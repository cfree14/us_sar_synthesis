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laska/tables/"/>
    </mc:Choice>
  </mc:AlternateContent>
  <xr:revisionPtr revIDLastSave="0" documentId="13_ncr:1_{60FCD9DA-AF0B-B549-88C8-200FDAB928EF}" xr6:coauthVersionLast="47" xr6:coauthVersionMax="47" xr10:uidLastSave="{00000000-0000-0000-0000-000000000000}"/>
  <bookViews>
    <workbookView xWindow="0" yWindow="760" windowWidth="34200" windowHeight="21380" xr2:uid="{504DB44F-3DAF-0F4A-9088-3703074DBC8D}"/>
  </bookViews>
  <sheets>
    <sheet name="tabula-Alaska_2013_Appendix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</calcChain>
</file>

<file path=xl/sharedStrings.xml><?xml version="1.0" encoding="utf-8"?>
<sst xmlns="http://schemas.openxmlformats.org/spreadsheetml/2006/main" count="243" uniqueCount="89">
  <si>
    <t>Alaska</t>
  </si>
  <si>
    <t>N/A</t>
  </si>
  <si>
    <t>NS</t>
  </si>
  <si>
    <t>Bearded seal</t>
  </si>
  <si>
    <t>S</t>
  </si>
  <si>
    <t>Beluga whale</t>
  </si>
  <si>
    <t>Beaufort Sea</t>
  </si>
  <si>
    <t>UNDET</t>
  </si>
  <si>
    <t>E. Chukchi Sea</t>
  </si>
  <si>
    <t>E. Bering Sea</t>
  </si>
  <si>
    <t>Bristol Bay</t>
  </si>
  <si>
    <t>Cook Inlet</t>
  </si>
  <si>
    <t>Bowhead whale</t>
  </si>
  <si>
    <t>W. Arctic</t>
  </si>
  <si>
    <t>Fin whale</t>
  </si>
  <si>
    <t>NE Pacific</t>
  </si>
  <si>
    <t>Harbor porpoise</t>
  </si>
  <si>
    <t>SE Alaska</t>
  </si>
  <si>
    <t>Gulf of Alaska</t>
  </si>
  <si>
    <t>Bering Sea</t>
  </si>
  <si>
    <t>Harbor seal</t>
  </si>
  <si>
    <t>Aleutian Islands</t>
  </si>
  <si>
    <t>Pribilof Islands</t>
  </si>
  <si>
    <t>North Kodiak</t>
  </si>
  <si>
    <t>South Kodiak</t>
  </si>
  <si>
    <t>Cook Inlet/ Shelikof</t>
  </si>
  <si>
    <t>Lynn Canal/_x000D_Stephens</t>
  </si>
  <si>
    <t>Sitka/ Chatham</t>
  </si>
  <si>
    <t>Clarence Strait</t>
  </si>
  <si>
    <t>Humpback whale</t>
  </si>
  <si>
    <t>W. N. Pacific</t>
  </si>
  <si>
    <t>CNP - entire stock</t>
  </si>
  <si>
    <t>Killer whale</t>
  </si>
  <si>
    <t>Alaska Resident</t>
  </si>
  <si>
    <t>AT1 transient</t>
  </si>
  <si>
    <t>Minke whale</t>
  </si>
  <si>
    <t>Narwhal</t>
  </si>
  <si>
    <t>Unidentified stock</t>
  </si>
  <si>
    <t>Northern fur seal</t>
  </si>
  <si>
    <t>E. North Pacific</t>
  </si>
  <si>
    <t>Cent. N. Pacific</t>
  </si>
  <si>
    <t>Ribbon seal</t>
  </si>
  <si>
    <t>Right whale</t>
  </si>
  <si>
    <t>E. N. Pacific</t>
  </si>
  <si>
    <t>Ringed seal</t>
  </si>
  <si>
    <t>Sperm whale</t>
  </si>
  <si>
    <t>N. Pacific</t>
  </si>
  <si>
    <t>Spotted seal</t>
  </si>
  <si>
    <t>Steller sea lion</t>
  </si>
  <si>
    <t>E. U. S.</t>
  </si>
  <si>
    <t>W. U. S.</t>
  </si>
  <si>
    <t>12+</t>
  </si>
  <si>
    <t>2004-2006</t>
  </si>
  <si>
    <t>Baird's beaked whale</t>
  </si>
  <si>
    <t>Cuvier's beaked whale</t>
  </si>
  <si>
    <t>Dall's porpoise</t>
  </si>
  <si>
    <t>Pacific white-sided dolphin</t>
  </si>
  <si>
    <t>Stejneger's beaked whale</t>
  </si>
  <si>
    <t>Prince William Sound</t>
  </si>
  <si>
    <t>Glacier Bay/ Icy Strait</t>
  </si>
  <si>
    <t>Dixon/ Cape Decision</t>
  </si>
  <si>
    <t>Northern Resident (British Columbia)</t>
  </si>
  <si>
    <t>GOA, AI, BS Transient</t>
  </si>
  <si>
    <t>West Coast Transient</t>
  </si>
  <si>
    <t>Mortality and serious injury estimates calculated for humpbacks in the northern area of the Central North Pacific  humpback whale stock range (Gulf of Alaska, Aleutian Islands, and Bering Sea).</t>
  </si>
  <si>
    <t>No or minimal reported take by fishery observers; however, observer coverage was minimal or nonexistent.</t>
  </si>
  <si>
    <t>N(est) based on counts of individual animals identified from photo-identification catalogs. Surveys for abundance estimates of these stocks are conducted infrequently</t>
  </si>
  <si>
    <t>Includes entanglements from recreational or subsistence fisheries.</t>
  </si>
  <si>
    <t>species</t>
  </si>
  <si>
    <t>stock</t>
  </si>
  <si>
    <t>n_est</t>
  </si>
  <si>
    <t>n_cv</t>
  </si>
  <si>
    <t>n_min</t>
  </si>
  <si>
    <t>last_survey</t>
  </si>
  <si>
    <t>survey_interval</t>
  </si>
  <si>
    <t>r_max</t>
  </si>
  <si>
    <t>rf</t>
  </si>
  <si>
    <t>pbr</t>
  </si>
  <si>
    <t>sim_fishery</t>
  </si>
  <si>
    <t>sim_native</t>
  </si>
  <si>
    <t>sim_total</t>
  </si>
  <si>
    <t>strategic_yn</t>
  </si>
  <si>
    <t>comments</t>
  </si>
  <si>
    <t>n_est_notes</t>
  </si>
  <si>
    <t>provisional</t>
  </si>
  <si>
    <t>63,160-78,198</t>
  </si>
  <si>
    <t>pbr_notes</t>
  </si>
  <si>
    <t>revised_yn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</si>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</sst>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"/>
      <family val="2"/>
    </font>
    <font>
      <sz val="12"/>
      <color rgb="FF0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19" fillId="0" borderId="0" xfId="0" applyFont="1"/>
    <xf numFmtId="0" fontId="0" fillId="33" borderId="0" xfId="0" applyFill="1"/>
    <xf numFmtId="3" fontId="0" fillId="33" borderId="0" xfId="0" applyNumberFormat="1" applyFill="1"/>
    <xf numFmtId="0" fontId="18" fillId="33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781A1-367D-9040-9401-D405AF2363B0}">
  <dimension ref="A1:R46"/>
  <sheetViews>
    <sheetView tabSelected="1" topLeftCell="A19" zoomScale="107" workbookViewId="0">
      <selection activeCell="L23" sqref="L23"/>
    </sheetView>
  </sheetViews>
  <sheetFormatPr baseColWidth="10" defaultRowHeight="16" x14ac:dyDescent="0.2"/>
  <cols>
    <col min="1" max="1" width="34.1640625" customWidth="1"/>
    <col min="2" max="2" width="29.5" customWidth="1"/>
    <col min="3" max="4" width="18.83203125" customWidth="1"/>
    <col min="7" max="7" width="15.6640625" customWidth="1"/>
  </cols>
  <sheetData>
    <row r="1" spans="1:18" x14ac:dyDescent="0.2">
      <c r="A1" t="s">
        <v>68</v>
      </c>
      <c r="B1" t="s">
        <v>69</v>
      </c>
      <c r="C1" t="s">
        <v>70</v>
      </c>
      <c r="D1" t="s">
        <v>83</v>
      </c>
      <c r="E1" t="s">
        <v>71</v>
      </c>
      <c r="F1" t="s">
        <v>72</v>
      </c>
      <c r="G1" t="s">
        <v>74</v>
      </c>
      <c r="H1" t="s">
        <v>73</v>
      </c>
      <c r="I1" t="s">
        <v>75</v>
      </c>
      <c r="J1" t="s">
        <v>76</v>
      </c>
      <c r="K1" t="s">
        <v>77</v>
      </c>
      <c r="L1" t="s">
        <v>86</v>
      </c>
      <c r="M1" t="s">
        <v>78</v>
      </c>
      <c r="N1" t="s">
        <v>79</v>
      </c>
      <c r="O1" t="s">
        <v>80</v>
      </c>
      <c r="P1" t="s">
        <v>81</v>
      </c>
      <c r="Q1" t="s">
        <v>87</v>
      </c>
      <c r="R1" t="s">
        <v>82</v>
      </c>
    </row>
    <row r="2" spans="1:18" s="3" customFormat="1" x14ac:dyDescent="0.2">
      <c r="A2" s="3" t="s">
        <v>53</v>
      </c>
      <c r="B2" s="3" t="s">
        <v>0</v>
      </c>
      <c r="C2" s="3" t="s">
        <v>1</v>
      </c>
      <c r="F2" s="3" t="s">
        <v>1</v>
      </c>
      <c r="I2" s="3">
        <v>0.04</v>
      </c>
      <c r="J2" s="3">
        <v>0.5</v>
      </c>
      <c r="K2" s="3" t="s">
        <v>1</v>
      </c>
      <c r="M2" s="3">
        <v>0</v>
      </c>
      <c r="N2" s="3">
        <v>0</v>
      </c>
      <c r="O2" s="3">
        <v>0</v>
      </c>
      <c r="P2" s="3" t="s">
        <v>2</v>
      </c>
      <c r="Q2" s="3" t="s">
        <v>88</v>
      </c>
    </row>
    <row r="3" spans="1:18" s="3" customFormat="1" x14ac:dyDescent="0.2">
      <c r="A3" s="3" t="s">
        <v>3</v>
      </c>
      <c r="B3" s="3" t="s">
        <v>0</v>
      </c>
      <c r="C3" s="3" t="s">
        <v>1</v>
      </c>
      <c r="F3" s="3" t="s">
        <v>1</v>
      </c>
      <c r="I3" s="3">
        <v>0.12</v>
      </c>
      <c r="J3" s="3">
        <v>0.5</v>
      </c>
      <c r="K3" s="3" t="s">
        <v>1</v>
      </c>
      <c r="M3" s="3">
        <v>1.8</v>
      </c>
      <c r="N3" s="4">
        <v>6788</v>
      </c>
      <c r="O3" s="4">
        <v>6790</v>
      </c>
      <c r="P3" s="3" t="s">
        <v>4</v>
      </c>
      <c r="Q3" s="3" t="s">
        <v>88</v>
      </c>
    </row>
    <row r="4" spans="1:18" x14ac:dyDescent="0.2">
      <c r="A4" t="s">
        <v>5</v>
      </c>
      <c r="B4" t="s">
        <v>6</v>
      </c>
      <c r="C4" s="1">
        <v>39258</v>
      </c>
      <c r="D4" s="1"/>
      <c r="E4">
        <v>0.23</v>
      </c>
      <c r="F4" s="1">
        <v>32453</v>
      </c>
      <c r="G4" s="1">
        <v>19</v>
      </c>
      <c r="H4">
        <v>1992</v>
      </c>
      <c r="I4">
        <v>0.04</v>
      </c>
      <c r="J4">
        <v>0.5</v>
      </c>
      <c r="K4" t="s">
        <v>7</v>
      </c>
      <c r="M4">
        <v>0</v>
      </c>
      <c r="N4">
        <v>126</v>
      </c>
      <c r="O4">
        <v>126</v>
      </c>
      <c r="P4" t="s">
        <v>2</v>
      </c>
    </row>
    <row r="5" spans="1:18" x14ac:dyDescent="0.2">
      <c r="A5" t="s">
        <v>5</v>
      </c>
      <c r="B5" t="s">
        <v>8</v>
      </c>
      <c r="C5" s="1">
        <v>3710</v>
      </c>
      <c r="D5" s="1"/>
      <c r="E5" t="s">
        <v>1</v>
      </c>
      <c r="F5" s="1">
        <v>3710</v>
      </c>
      <c r="G5" s="1">
        <v>12</v>
      </c>
      <c r="H5">
        <v>1998</v>
      </c>
      <c r="I5">
        <v>0.04</v>
      </c>
      <c r="J5">
        <v>1</v>
      </c>
      <c r="K5" t="s">
        <v>7</v>
      </c>
      <c r="M5">
        <v>0</v>
      </c>
      <c r="N5">
        <v>94.2</v>
      </c>
      <c r="O5">
        <v>94.2</v>
      </c>
      <c r="P5" t="s">
        <v>2</v>
      </c>
    </row>
    <row r="6" spans="1:18" x14ac:dyDescent="0.2">
      <c r="A6" t="s">
        <v>5</v>
      </c>
      <c r="B6" t="s">
        <v>9</v>
      </c>
      <c r="C6" s="1">
        <v>28406</v>
      </c>
      <c r="D6" s="1"/>
      <c r="E6">
        <v>0.24</v>
      </c>
      <c r="F6" s="1">
        <v>20231</v>
      </c>
      <c r="G6" s="1">
        <v>10</v>
      </c>
      <c r="H6">
        <v>2000</v>
      </c>
      <c r="I6">
        <v>0.04</v>
      </c>
      <c r="J6">
        <v>1</v>
      </c>
      <c r="K6" t="s">
        <v>7</v>
      </c>
      <c r="M6">
        <v>0</v>
      </c>
      <c r="N6">
        <v>192.6</v>
      </c>
      <c r="O6">
        <v>192.6</v>
      </c>
      <c r="P6" t="s">
        <v>2</v>
      </c>
    </row>
    <row r="7" spans="1:18" x14ac:dyDescent="0.2">
      <c r="A7" t="s">
        <v>5</v>
      </c>
      <c r="B7" t="s">
        <v>10</v>
      </c>
      <c r="C7" s="1">
        <v>2877</v>
      </c>
      <c r="D7" s="1"/>
      <c r="E7">
        <v>0.2</v>
      </c>
      <c r="F7" s="1">
        <v>2467</v>
      </c>
      <c r="G7" s="1">
        <v>6</v>
      </c>
      <c r="H7">
        <v>2005</v>
      </c>
      <c r="I7">
        <v>0.04</v>
      </c>
      <c r="J7">
        <v>1</v>
      </c>
      <c r="K7">
        <v>49</v>
      </c>
      <c r="M7">
        <v>0.8</v>
      </c>
      <c r="N7">
        <v>20</v>
      </c>
      <c r="O7">
        <v>20.8</v>
      </c>
      <c r="P7" t="s">
        <v>2</v>
      </c>
      <c r="R7" s="2" t="s">
        <v>64</v>
      </c>
    </row>
    <row r="8" spans="1:18" s="3" customFormat="1" x14ac:dyDescent="0.2">
      <c r="A8" s="3" t="s">
        <v>5</v>
      </c>
      <c r="B8" s="3" t="s">
        <v>11</v>
      </c>
      <c r="C8" s="3">
        <v>312</v>
      </c>
      <c r="E8" s="3">
        <v>0.1</v>
      </c>
      <c r="F8" s="3">
        <v>280</v>
      </c>
      <c r="G8" s="4">
        <v>1</v>
      </c>
      <c r="H8" s="3">
        <v>2012</v>
      </c>
      <c r="I8" s="3">
        <v>0.04</v>
      </c>
      <c r="J8" s="3">
        <v>0.1</v>
      </c>
      <c r="K8" s="3" t="s">
        <v>7</v>
      </c>
      <c r="M8" s="3">
        <v>0</v>
      </c>
      <c r="N8" s="3">
        <v>0</v>
      </c>
      <c r="O8" s="3">
        <v>0</v>
      </c>
      <c r="P8" s="3" t="s">
        <v>4</v>
      </c>
      <c r="Q8" s="3" t="s">
        <v>88</v>
      </c>
      <c r="R8" s="5"/>
    </row>
    <row r="9" spans="1:18" s="3" customFormat="1" x14ac:dyDescent="0.2">
      <c r="A9" s="3" t="s">
        <v>12</v>
      </c>
      <c r="B9" s="3" t="s">
        <v>13</v>
      </c>
      <c r="C9" s="4">
        <v>12631</v>
      </c>
      <c r="D9" s="4"/>
      <c r="E9" s="3">
        <v>0.24</v>
      </c>
      <c r="F9" s="4">
        <v>10314</v>
      </c>
      <c r="G9" s="4">
        <v>8</v>
      </c>
      <c r="H9" s="3">
        <v>2004</v>
      </c>
      <c r="I9" s="3">
        <v>0.04</v>
      </c>
      <c r="J9" s="3">
        <v>0.5</v>
      </c>
      <c r="K9" s="3">
        <v>103</v>
      </c>
      <c r="M9" s="3">
        <v>0.4</v>
      </c>
      <c r="N9" s="3">
        <v>39</v>
      </c>
      <c r="O9" s="3">
        <v>39.4</v>
      </c>
      <c r="P9" s="3" t="s">
        <v>4</v>
      </c>
      <c r="Q9" s="3" t="s">
        <v>88</v>
      </c>
    </row>
    <row r="10" spans="1:18" s="3" customFormat="1" x14ac:dyDescent="0.2">
      <c r="A10" s="3" t="s">
        <v>54</v>
      </c>
      <c r="B10" s="3" t="s">
        <v>0</v>
      </c>
      <c r="C10" s="3" t="s">
        <v>1</v>
      </c>
      <c r="F10" s="3" t="s">
        <v>1</v>
      </c>
      <c r="I10" s="3">
        <v>0.04</v>
      </c>
      <c r="J10" s="3">
        <v>0.5</v>
      </c>
      <c r="K10" s="3" t="s">
        <v>1</v>
      </c>
      <c r="M10" s="3">
        <v>0</v>
      </c>
      <c r="N10" s="3">
        <v>0</v>
      </c>
      <c r="O10" s="3">
        <v>0</v>
      </c>
      <c r="P10" s="3" t="s">
        <v>2</v>
      </c>
      <c r="Q10" s="3" t="s">
        <v>88</v>
      </c>
    </row>
    <row r="11" spans="1:18" x14ac:dyDescent="0.2">
      <c r="A11" t="s">
        <v>55</v>
      </c>
      <c r="B11" t="s">
        <v>0</v>
      </c>
      <c r="C11" s="1">
        <v>83400</v>
      </c>
      <c r="D11" s="1"/>
      <c r="E11">
        <v>9.7000000000000003E-2</v>
      </c>
      <c r="F11" t="s">
        <v>1</v>
      </c>
      <c r="G11" s="1">
        <v>18</v>
      </c>
      <c r="H11">
        <v>1993</v>
      </c>
      <c r="I11">
        <v>0.04</v>
      </c>
      <c r="J11">
        <v>1</v>
      </c>
      <c r="K11" t="s">
        <v>7</v>
      </c>
      <c r="M11">
        <v>28.9</v>
      </c>
      <c r="N11">
        <v>0</v>
      </c>
      <c r="O11">
        <v>28.9</v>
      </c>
      <c r="P11" t="s">
        <v>2</v>
      </c>
    </row>
    <row r="12" spans="1:18" s="3" customFormat="1" x14ac:dyDescent="0.2">
      <c r="A12" s="3" t="s">
        <v>14</v>
      </c>
      <c r="B12" s="3" t="s">
        <v>15</v>
      </c>
      <c r="C12" s="3" t="s">
        <v>1</v>
      </c>
      <c r="E12" s="3" t="s">
        <v>1</v>
      </c>
      <c r="F12" s="3" t="s">
        <v>1</v>
      </c>
      <c r="G12" s="4">
        <v>2</v>
      </c>
      <c r="H12" s="3">
        <v>2010</v>
      </c>
      <c r="I12" s="3">
        <v>0.04</v>
      </c>
      <c r="J12" s="3">
        <v>0.1</v>
      </c>
      <c r="K12" s="3" t="s">
        <v>7</v>
      </c>
      <c r="M12" s="3">
        <v>0</v>
      </c>
      <c r="N12" s="3">
        <v>0</v>
      </c>
      <c r="O12" s="3">
        <v>0.4</v>
      </c>
      <c r="P12" s="3" t="s">
        <v>4</v>
      </c>
      <c r="Q12" s="3" t="s">
        <v>88</v>
      </c>
    </row>
    <row r="13" spans="1:18" s="3" customFormat="1" x14ac:dyDescent="0.2">
      <c r="A13" s="3" t="s">
        <v>16</v>
      </c>
      <c r="B13" s="3" t="s">
        <v>17</v>
      </c>
      <c r="C13" s="4">
        <v>11146</v>
      </c>
      <c r="D13" s="4"/>
      <c r="E13" s="3">
        <v>0.24199999999999999</v>
      </c>
      <c r="F13" s="4">
        <v>9116</v>
      </c>
      <c r="G13" s="4">
        <v>15</v>
      </c>
      <c r="H13" s="3">
        <v>1997</v>
      </c>
      <c r="I13" s="3">
        <v>0.04</v>
      </c>
      <c r="J13" s="3">
        <v>0.5</v>
      </c>
      <c r="K13" s="3" t="s">
        <v>7</v>
      </c>
      <c r="M13" s="3">
        <v>22.6</v>
      </c>
      <c r="N13" s="3">
        <v>0</v>
      </c>
      <c r="O13" s="3">
        <v>22.6</v>
      </c>
      <c r="P13" s="3" t="s">
        <v>4</v>
      </c>
      <c r="Q13" s="3" t="s">
        <v>88</v>
      </c>
      <c r="R13" s="6" t="s">
        <v>65</v>
      </c>
    </row>
    <row r="14" spans="1:18" s="3" customFormat="1" x14ac:dyDescent="0.2">
      <c r="A14" s="3" t="s">
        <v>16</v>
      </c>
      <c r="B14" s="3" t="s">
        <v>18</v>
      </c>
      <c r="C14" s="4">
        <v>31046</v>
      </c>
      <c r="D14" s="4"/>
      <c r="E14" s="3">
        <v>0.214</v>
      </c>
      <c r="F14" s="4">
        <v>25987</v>
      </c>
      <c r="G14" s="4">
        <v>14</v>
      </c>
      <c r="H14" s="3">
        <v>1998</v>
      </c>
      <c r="I14" s="3">
        <v>0.04</v>
      </c>
      <c r="J14" s="3">
        <v>0.5</v>
      </c>
      <c r="K14" s="3" t="s">
        <v>7</v>
      </c>
      <c r="M14" s="3">
        <v>71.400000000000006</v>
      </c>
      <c r="N14" s="3">
        <v>0</v>
      </c>
      <c r="O14" s="3">
        <v>71.400000000000006</v>
      </c>
      <c r="P14" s="3" t="s">
        <v>4</v>
      </c>
      <c r="Q14" s="3" t="s">
        <v>88</v>
      </c>
    </row>
    <row r="15" spans="1:18" s="3" customFormat="1" x14ac:dyDescent="0.2">
      <c r="A15" s="3" t="s">
        <v>16</v>
      </c>
      <c r="B15" s="3" t="s">
        <v>19</v>
      </c>
      <c r="C15" s="4">
        <v>48215</v>
      </c>
      <c r="D15" s="4"/>
      <c r="E15" s="3">
        <v>0.223</v>
      </c>
      <c r="F15" s="4">
        <v>40039</v>
      </c>
      <c r="G15" s="4">
        <v>12</v>
      </c>
      <c r="H15" s="3">
        <v>1999</v>
      </c>
      <c r="I15" s="3">
        <v>0.04</v>
      </c>
      <c r="J15" s="3">
        <v>0.5</v>
      </c>
      <c r="K15" s="3" t="s">
        <v>7</v>
      </c>
      <c r="M15" s="3">
        <v>0.36</v>
      </c>
      <c r="N15" s="3">
        <v>0</v>
      </c>
      <c r="O15" s="3">
        <v>0.76</v>
      </c>
      <c r="P15" s="3" t="s">
        <v>4</v>
      </c>
      <c r="Q15" s="3" t="s">
        <v>88</v>
      </c>
    </row>
    <row r="16" spans="1:18" x14ac:dyDescent="0.2">
      <c r="A16" t="s">
        <v>20</v>
      </c>
      <c r="B16" t="s">
        <v>21</v>
      </c>
      <c r="C16" s="1">
        <v>3579</v>
      </c>
      <c r="D16" s="1"/>
      <c r="F16" s="1">
        <v>3313</v>
      </c>
      <c r="G16" s="1">
        <v>7</v>
      </c>
      <c r="H16">
        <v>2004</v>
      </c>
      <c r="I16">
        <v>0.12</v>
      </c>
      <c r="J16">
        <v>0.5</v>
      </c>
      <c r="K16">
        <v>99</v>
      </c>
      <c r="M16">
        <v>1</v>
      </c>
      <c r="N16">
        <v>90</v>
      </c>
      <c r="O16">
        <v>93.1</v>
      </c>
      <c r="P16" t="s">
        <v>2</v>
      </c>
    </row>
    <row r="17" spans="1:18" x14ac:dyDescent="0.2">
      <c r="A17" t="s">
        <v>20</v>
      </c>
      <c r="B17" t="s">
        <v>22</v>
      </c>
      <c r="C17">
        <v>232</v>
      </c>
      <c r="F17">
        <v>232</v>
      </c>
      <c r="G17" s="1">
        <v>1</v>
      </c>
      <c r="H17">
        <v>2010</v>
      </c>
      <c r="I17">
        <v>0.12</v>
      </c>
      <c r="J17">
        <v>0.5</v>
      </c>
      <c r="K17">
        <v>7</v>
      </c>
      <c r="M17">
        <v>1</v>
      </c>
      <c r="N17">
        <v>0</v>
      </c>
      <c r="O17">
        <v>3.1</v>
      </c>
      <c r="P17" t="s">
        <v>2</v>
      </c>
    </row>
    <row r="18" spans="1:18" x14ac:dyDescent="0.2">
      <c r="A18" t="s">
        <v>20</v>
      </c>
      <c r="B18" t="s">
        <v>10</v>
      </c>
      <c r="C18" s="1">
        <v>18577</v>
      </c>
      <c r="D18" s="1"/>
      <c r="F18" s="1">
        <v>17690</v>
      </c>
      <c r="G18" s="1">
        <v>6</v>
      </c>
      <c r="H18">
        <v>2005</v>
      </c>
      <c r="I18">
        <v>0.12</v>
      </c>
      <c r="J18">
        <v>1</v>
      </c>
      <c r="K18" s="1">
        <v>1061</v>
      </c>
      <c r="L18" s="1"/>
      <c r="M18">
        <v>1</v>
      </c>
      <c r="N18">
        <v>141</v>
      </c>
      <c r="O18">
        <v>144.1</v>
      </c>
      <c r="P18" t="s">
        <v>2</v>
      </c>
    </row>
    <row r="19" spans="1:18" x14ac:dyDescent="0.2">
      <c r="A19" t="s">
        <v>20</v>
      </c>
      <c r="B19" t="s">
        <v>23</v>
      </c>
      <c r="C19" s="1">
        <v>4509</v>
      </c>
      <c r="D19" s="1"/>
      <c r="F19" s="1">
        <v>4272</v>
      </c>
      <c r="G19" s="1">
        <v>5</v>
      </c>
      <c r="H19">
        <v>2006</v>
      </c>
      <c r="I19">
        <v>0.12</v>
      </c>
      <c r="J19">
        <v>1</v>
      </c>
      <c r="K19">
        <v>256</v>
      </c>
      <c r="M19">
        <v>1</v>
      </c>
      <c r="N19">
        <v>131</v>
      </c>
      <c r="O19">
        <v>134.1</v>
      </c>
      <c r="P19" t="s">
        <v>2</v>
      </c>
    </row>
    <row r="20" spans="1:18" x14ac:dyDescent="0.2">
      <c r="A20" t="s">
        <v>20</v>
      </c>
      <c r="B20" t="s">
        <v>24</v>
      </c>
      <c r="C20" s="1">
        <v>11117</v>
      </c>
      <c r="D20" s="1"/>
      <c r="F20" s="1">
        <v>10645</v>
      </c>
      <c r="G20" s="1">
        <v>5</v>
      </c>
      <c r="H20">
        <v>2006</v>
      </c>
      <c r="I20">
        <v>0.12</v>
      </c>
      <c r="J20">
        <v>1</v>
      </c>
      <c r="K20">
        <v>639</v>
      </c>
      <c r="M20">
        <v>1</v>
      </c>
      <c r="N20">
        <v>78</v>
      </c>
      <c r="O20">
        <v>81.099999999999994</v>
      </c>
      <c r="P20" t="s">
        <v>2</v>
      </c>
    </row>
    <row r="21" spans="1:18" x14ac:dyDescent="0.2">
      <c r="A21" t="s">
        <v>20</v>
      </c>
      <c r="B21" t="s">
        <v>58</v>
      </c>
      <c r="C21" s="1">
        <v>31503</v>
      </c>
      <c r="D21" s="1"/>
      <c r="F21" s="1">
        <v>27157</v>
      </c>
      <c r="G21" s="1">
        <v>5</v>
      </c>
      <c r="H21">
        <v>2006</v>
      </c>
      <c r="I21">
        <v>0.12</v>
      </c>
      <c r="J21">
        <v>0.5</v>
      </c>
      <c r="K21">
        <v>815</v>
      </c>
      <c r="M21">
        <v>25</v>
      </c>
      <c r="N21">
        <v>439</v>
      </c>
      <c r="O21">
        <v>466.1</v>
      </c>
      <c r="P21" t="s">
        <v>2</v>
      </c>
    </row>
    <row r="22" spans="1:18" x14ac:dyDescent="0.2">
      <c r="A22" t="s">
        <v>20</v>
      </c>
      <c r="B22" t="s">
        <v>25</v>
      </c>
      <c r="C22" s="1">
        <v>22900</v>
      </c>
      <c r="D22" s="1"/>
      <c r="F22" s="1">
        <v>21896</v>
      </c>
      <c r="G22" s="1">
        <v>5</v>
      </c>
      <c r="H22">
        <v>2006</v>
      </c>
      <c r="I22">
        <v>0.12</v>
      </c>
      <c r="J22">
        <v>1</v>
      </c>
      <c r="K22" s="1">
        <v>1314</v>
      </c>
      <c r="L22" s="1"/>
      <c r="M22">
        <v>1</v>
      </c>
      <c r="N22">
        <v>233</v>
      </c>
      <c r="O22">
        <v>236.1</v>
      </c>
      <c r="P22" t="s">
        <v>2</v>
      </c>
    </row>
    <row r="23" spans="1:18" x14ac:dyDescent="0.2">
      <c r="A23" t="s">
        <v>20</v>
      </c>
      <c r="B23" t="s">
        <v>59</v>
      </c>
      <c r="C23" s="1">
        <v>5042</v>
      </c>
      <c r="D23" s="1"/>
      <c r="F23" s="1">
        <v>4735</v>
      </c>
      <c r="G23" s="1">
        <v>4</v>
      </c>
      <c r="H23">
        <v>2007</v>
      </c>
      <c r="I23">
        <v>0.12</v>
      </c>
      <c r="J23">
        <v>0.5</v>
      </c>
      <c r="K23">
        <v>142</v>
      </c>
      <c r="M23">
        <v>1</v>
      </c>
      <c r="N23">
        <v>52</v>
      </c>
      <c r="O23">
        <v>55.1</v>
      </c>
      <c r="P23" t="s">
        <v>2</v>
      </c>
    </row>
    <row r="24" spans="1:18" x14ac:dyDescent="0.2">
      <c r="A24" t="s">
        <v>20</v>
      </c>
      <c r="B24" t="s">
        <v>26</v>
      </c>
      <c r="C24" s="1">
        <v>8870</v>
      </c>
      <c r="D24" s="1"/>
      <c r="F24" s="1">
        <v>8481</v>
      </c>
      <c r="G24" s="1">
        <v>4</v>
      </c>
      <c r="H24">
        <v>2007</v>
      </c>
      <c r="I24">
        <v>0.12</v>
      </c>
      <c r="J24">
        <v>0.5</v>
      </c>
      <c r="K24">
        <v>254</v>
      </c>
      <c r="M24">
        <v>1</v>
      </c>
      <c r="N24">
        <v>30</v>
      </c>
      <c r="O24">
        <v>33.1</v>
      </c>
      <c r="P24" t="s">
        <v>2</v>
      </c>
    </row>
    <row r="25" spans="1:18" x14ac:dyDescent="0.2">
      <c r="A25" t="s">
        <v>20</v>
      </c>
      <c r="B25" t="s">
        <v>27</v>
      </c>
      <c r="C25" s="1">
        <v>8586</v>
      </c>
      <c r="D25" s="1"/>
      <c r="F25" s="1">
        <v>8222</v>
      </c>
      <c r="G25" s="1">
        <v>4</v>
      </c>
      <c r="H25">
        <v>2007</v>
      </c>
      <c r="I25">
        <v>0.12</v>
      </c>
      <c r="J25">
        <v>0.5</v>
      </c>
      <c r="K25">
        <v>247</v>
      </c>
      <c r="M25">
        <v>1</v>
      </c>
      <c r="N25">
        <v>222</v>
      </c>
      <c r="O25">
        <v>225.1</v>
      </c>
      <c r="P25" t="s">
        <v>2</v>
      </c>
    </row>
    <row r="26" spans="1:18" x14ac:dyDescent="0.2">
      <c r="A26" t="s">
        <v>20</v>
      </c>
      <c r="B26" t="s">
        <v>60</v>
      </c>
      <c r="C26" s="1">
        <v>14388</v>
      </c>
      <c r="D26" s="1"/>
      <c r="F26" s="1">
        <v>13682</v>
      </c>
      <c r="G26" s="1">
        <v>5</v>
      </c>
      <c r="H26">
        <v>2003</v>
      </c>
      <c r="I26">
        <v>0.12</v>
      </c>
      <c r="J26">
        <v>1</v>
      </c>
      <c r="K26">
        <v>821</v>
      </c>
      <c r="M26">
        <v>1</v>
      </c>
      <c r="N26">
        <v>157</v>
      </c>
      <c r="O26">
        <v>160.1</v>
      </c>
      <c r="P26" t="s">
        <v>2</v>
      </c>
    </row>
    <row r="27" spans="1:18" x14ac:dyDescent="0.2">
      <c r="A27" t="s">
        <v>20</v>
      </c>
      <c r="B27" t="s">
        <v>28</v>
      </c>
      <c r="C27" s="1">
        <v>23289</v>
      </c>
      <c r="D27" s="1"/>
      <c r="F27" s="1">
        <v>22471</v>
      </c>
      <c r="G27" s="1">
        <v>5</v>
      </c>
      <c r="H27">
        <v>2003</v>
      </c>
      <c r="I27">
        <v>0.12</v>
      </c>
      <c r="J27">
        <v>1</v>
      </c>
      <c r="K27" s="1">
        <v>1348</v>
      </c>
      <c r="L27" s="1"/>
      <c r="M27">
        <v>1</v>
      </c>
      <c r="N27">
        <v>164</v>
      </c>
      <c r="O27">
        <v>167.1</v>
      </c>
      <c r="P27" t="s">
        <v>2</v>
      </c>
    </row>
    <row r="28" spans="1:18" s="3" customFormat="1" x14ac:dyDescent="0.2">
      <c r="A28" s="3" t="s">
        <v>29</v>
      </c>
      <c r="B28" s="3" t="s">
        <v>30</v>
      </c>
      <c r="C28" s="3">
        <v>938</v>
      </c>
      <c r="E28" s="3">
        <v>0.3</v>
      </c>
      <c r="F28" s="3">
        <v>732</v>
      </c>
      <c r="G28" s="4">
        <v>6</v>
      </c>
      <c r="H28" s="3">
        <v>2006</v>
      </c>
      <c r="I28" s="3">
        <v>7.0000000000000007E-2</v>
      </c>
      <c r="J28" s="3">
        <v>0.1</v>
      </c>
      <c r="K28" s="3">
        <v>2.6</v>
      </c>
      <c r="L28" s="3">
        <v>2</v>
      </c>
      <c r="M28" s="3">
        <v>0.4</v>
      </c>
      <c r="N28" s="3">
        <v>0</v>
      </c>
      <c r="O28" s="3">
        <v>2</v>
      </c>
      <c r="P28" s="3" t="s">
        <v>4</v>
      </c>
      <c r="Q28" s="3" t="s">
        <v>88</v>
      </c>
    </row>
    <row r="29" spans="1:18" s="3" customFormat="1" x14ac:dyDescent="0.2">
      <c r="A29" s="3" t="s">
        <v>29</v>
      </c>
      <c r="B29" s="3" t="s">
        <v>31</v>
      </c>
      <c r="C29" s="4">
        <v>7469</v>
      </c>
      <c r="D29" s="4"/>
      <c r="E29" s="3">
        <v>0.3</v>
      </c>
      <c r="F29" s="4">
        <v>5833</v>
      </c>
      <c r="G29" s="4">
        <v>6</v>
      </c>
      <c r="H29" s="3" t="s">
        <v>52</v>
      </c>
      <c r="I29" s="3">
        <v>7.0000000000000007E-2</v>
      </c>
      <c r="J29" s="3">
        <v>0.3</v>
      </c>
      <c r="K29" s="3">
        <v>61.2</v>
      </c>
      <c r="M29" s="3">
        <v>7.45</v>
      </c>
      <c r="N29" s="3">
        <v>0</v>
      </c>
      <c r="O29" s="3">
        <v>13.9</v>
      </c>
      <c r="P29" s="3" t="s">
        <v>4</v>
      </c>
      <c r="Q29" s="3" t="s">
        <v>88</v>
      </c>
      <c r="R29" s="6" t="s">
        <v>67</v>
      </c>
    </row>
    <row r="30" spans="1:18" s="3" customFormat="1" x14ac:dyDescent="0.2">
      <c r="A30" s="3" t="s">
        <v>32</v>
      </c>
      <c r="B30" s="3" t="s">
        <v>33</v>
      </c>
      <c r="C30" s="4">
        <v>2347</v>
      </c>
      <c r="D30" s="4"/>
      <c r="E30" s="3" t="s">
        <v>1</v>
      </c>
      <c r="F30" s="4">
        <v>2347</v>
      </c>
      <c r="G30" s="4">
        <v>1</v>
      </c>
      <c r="H30" s="3">
        <v>2012</v>
      </c>
      <c r="I30" s="3">
        <v>0.04</v>
      </c>
      <c r="J30" s="3">
        <v>0.5</v>
      </c>
      <c r="K30" s="3">
        <v>23.4</v>
      </c>
      <c r="M30" s="3">
        <v>0.9</v>
      </c>
      <c r="N30" s="3">
        <v>0</v>
      </c>
      <c r="O30" s="3">
        <v>0.9</v>
      </c>
      <c r="P30" s="3" t="s">
        <v>2</v>
      </c>
      <c r="Q30" s="3" t="s">
        <v>88</v>
      </c>
      <c r="R30" s="6" t="s">
        <v>66</v>
      </c>
    </row>
    <row r="31" spans="1:18" s="3" customFormat="1" x14ac:dyDescent="0.2">
      <c r="A31" s="3" t="s">
        <v>32</v>
      </c>
      <c r="B31" s="3" t="s">
        <v>61</v>
      </c>
      <c r="C31" s="3">
        <v>261</v>
      </c>
      <c r="E31" s="3" t="s">
        <v>1</v>
      </c>
      <c r="F31" s="3">
        <v>261</v>
      </c>
      <c r="G31" s="4">
        <v>2</v>
      </c>
      <c r="H31" s="3">
        <v>2011</v>
      </c>
      <c r="I31" s="3">
        <v>0.03</v>
      </c>
      <c r="J31" s="3">
        <v>0.5</v>
      </c>
      <c r="K31" s="3">
        <v>1.96</v>
      </c>
      <c r="M31" s="3">
        <v>0</v>
      </c>
      <c r="N31" s="3">
        <v>0</v>
      </c>
      <c r="O31" s="3">
        <v>0</v>
      </c>
      <c r="P31" s="3" t="s">
        <v>2</v>
      </c>
      <c r="Q31" s="3" t="s">
        <v>88</v>
      </c>
      <c r="R31" s="6" t="s">
        <v>66</v>
      </c>
    </row>
    <row r="32" spans="1:18" s="3" customFormat="1" x14ac:dyDescent="0.2">
      <c r="A32" s="3" t="s">
        <v>32</v>
      </c>
      <c r="B32" s="3" t="s">
        <v>34</v>
      </c>
      <c r="C32" s="3">
        <v>7</v>
      </c>
      <c r="E32" s="3" t="s">
        <v>1</v>
      </c>
      <c r="F32" s="3">
        <v>7</v>
      </c>
      <c r="G32" s="4">
        <v>1</v>
      </c>
      <c r="H32" s="3">
        <v>2012</v>
      </c>
      <c r="I32" s="3">
        <v>0.04</v>
      </c>
      <c r="J32" s="3">
        <v>0.1</v>
      </c>
      <c r="K32" s="3">
        <v>0</v>
      </c>
      <c r="M32" s="3">
        <v>0</v>
      </c>
      <c r="N32" s="3">
        <v>0</v>
      </c>
      <c r="O32" s="3">
        <v>0</v>
      </c>
      <c r="P32" s="3" t="s">
        <v>4</v>
      </c>
      <c r="Q32" s="3" t="s">
        <v>88</v>
      </c>
      <c r="R32" s="6" t="s">
        <v>66</v>
      </c>
    </row>
    <row r="33" spans="1:18" s="3" customFormat="1" x14ac:dyDescent="0.2">
      <c r="A33" s="3" t="s">
        <v>32</v>
      </c>
      <c r="B33" s="3" t="s">
        <v>62</v>
      </c>
      <c r="C33" s="3">
        <v>587</v>
      </c>
      <c r="E33" s="3" t="s">
        <v>1</v>
      </c>
      <c r="F33" s="3">
        <v>587</v>
      </c>
      <c r="G33" s="4">
        <v>1</v>
      </c>
      <c r="H33" s="3">
        <v>2012</v>
      </c>
      <c r="I33" s="3">
        <v>0.04</v>
      </c>
      <c r="J33" s="3">
        <v>0.5</v>
      </c>
      <c r="K33" s="3">
        <v>5.9</v>
      </c>
      <c r="M33" s="3">
        <v>0.6</v>
      </c>
      <c r="N33" s="3">
        <v>0</v>
      </c>
      <c r="O33" s="3">
        <v>0.6</v>
      </c>
      <c r="P33" s="3" t="s">
        <v>2</v>
      </c>
      <c r="Q33" s="3" t="s">
        <v>88</v>
      </c>
      <c r="R33" s="6" t="s">
        <v>66</v>
      </c>
    </row>
    <row r="34" spans="1:18" s="3" customFormat="1" x14ac:dyDescent="0.2">
      <c r="A34" s="3" t="s">
        <v>32</v>
      </c>
      <c r="B34" s="3" t="s">
        <v>63</v>
      </c>
      <c r="C34" s="3">
        <v>243</v>
      </c>
      <c r="E34" s="3" t="s">
        <v>1</v>
      </c>
      <c r="F34" s="3">
        <v>243</v>
      </c>
      <c r="G34" s="4">
        <v>3</v>
      </c>
      <c r="H34" s="3">
        <v>2009</v>
      </c>
      <c r="I34" s="3">
        <v>0.04</v>
      </c>
      <c r="J34" s="3">
        <v>0.5</v>
      </c>
      <c r="K34" s="3">
        <v>2.4</v>
      </c>
      <c r="M34" s="3">
        <v>0</v>
      </c>
      <c r="N34" s="3">
        <v>0</v>
      </c>
      <c r="O34" s="3">
        <v>0</v>
      </c>
      <c r="P34" s="3" t="s">
        <v>2</v>
      </c>
      <c r="Q34" s="3" t="s">
        <v>88</v>
      </c>
      <c r="R34" s="6" t="s">
        <v>66</v>
      </c>
    </row>
    <row r="35" spans="1:18" x14ac:dyDescent="0.2">
      <c r="A35" t="s">
        <v>35</v>
      </c>
      <c r="B35" t="s">
        <v>0</v>
      </c>
      <c r="C35" t="s">
        <v>1</v>
      </c>
      <c r="F35" t="s">
        <v>1</v>
      </c>
      <c r="I35">
        <v>0.04</v>
      </c>
      <c r="J35">
        <v>0.5</v>
      </c>
      <c r="K35" t="s">
        <v>1</v>
      </c>
      <c r="M35">
        <v>0</v>
      </c>
      <c r="N35">
        <v>0</v>
      </c>
      <c r="O35">
        <v>0.2</v>
      </c>
      <c r="P35" t="s">
        <v>2</v>
      </c>
    </row>
    <row r="36" spans="1:18" s="3" customFormat="1" x14ac:dyDescent="0.2">
      <c r="A36" s="3" t="s">
        <v>36</v>
      </c>
      <c r="B36" s="3" t="s">
        <v>37</v>
      </c>
      <c r="C36" s="3" t="s">
        <v>1</v>
      </c>
      <c r="F36" s="3" t="s">
        <v>1</v>
      </c>
      <c r="I36" s="3">
        <v>0.04</v>
      </c>
      <c r="J36" s="3">
        <v>0.5</v>
      </c>
      <c r="K36" s="3" t="s">
        <v>1</v>
      </c>
      <c r="M36" s="3">
        <v>0</v>
      </c>
      <c r="N36" s="3">
        <v>0</v>
      </c>
      <c r="O36" s="3">
        <v>0</v>
      </c>
      <c r="P36" s="3" t="s">
        <v>2</v>
      </c>
      <c r="Q36" s="3" t="s">
        <v>88</v>
      </c>
    </row>
    <row r="37" spans="1:18" s="3" customFormat="1" x14ac:dyDescent="0.2">
      <c r="A37" s="3" t="s">
        <v>38</v>
      </c>
      <c r="B37" s="3" t="s">
        <v>39</v>
      </c>
      <c r="C37" s="4">
        <v>639545</v>
      </c>
      <c r="D37" s="4"/>
      <c r="E37" s="3" t="s">
        <v>1</v>
      </c>
      <c r="F37" s="4">
        <v>541317</v>
      </c>
      <c r="G37" s="4">
        <v>1</v>
      </c>
      <c r="H37" s="3">
        <v>2011</v>
      </c>
      <c r="I37" s="3">
        <v>8.5999999999999993E-2</v>
      </c>
      <c r="J37" s="3">
        <v>0.5</v>
      </c>
      <c r="K37" s="4">
        <v>11638</v>
      </c>
      <c r="L37" s="4"/>
      <c r="M37" s="3">
        <v>4.5999999999999996</v>
      </c>
      <c r="N37" s="3">
        <v>463</v>
      </c>
      <c r="O37" s="3">
        <v>471</v>
      </c>
      <c r="P37" s="3" t="s">
        <v>4</v>
      </c>
      <c r="Q37" s="3" t="s">
        <v>88</v>
      </c>
    </row>
    <row r="38" spans="1:18" x14ac:dyDescent="0.2">
      <c r="A38" t="s">
        <v>56</v>
      </c>
      <c r="B38" t="s">
        <v>40</v>
      </c>
      <c r="C38" s="1">
        <v>26880</v>
      </c>
      <c r="D38" s="1"/>
      <c r="E38" t="s">
        <v>1</v>
      </c>
      <c r="F38" t="s">
        <v>1</v>
      </c>
      <c r="G38" t="s">
        <v>51</v>
      </c>
      <c r="H38">
        <v>1990</v>
      </c>
      <c r="I38">
        <v>0.04</v>
      </c>
      <c r="J38">
        <v>0.5</v>
      </c>
      <c r="K38" t="s">
        <v>7</v>
      </c>
      <c r="M38">
        <v>0</v>
      </c>
      <c r="N38">
        <v>0</v>
      </c>
      <c r="O38">
        <v>0</v>
      </c>
      <c r="P38" t="s">
        <v>2</v>
      </c>
    </row>
    <row r="39" spans="1:18" s="3" customFormat="1" x14ac:dyDescent="0.2">
      <c r="A39" s="3" t="s">
        <v>41</v>
      </c>
      <c r="B39" s="3" t="s">
        <v>0</v>
      </c>
      <c r="C39" s="4">
        <v>61100</v>
      </c>
      <c r="D39" s="3" t="s">
        <v>84</v>
      </c>
      <c r="F39" s="3" t="s">
        <v>1</v>
      </c>
      <c r="G39" s="3">
        <v>1</v>
      </c>
      <c r="H39" s="3">
        <v>2012</v>
      </c>
      <c r="I39" s="3">
        <v>0.12</v>
      </c>
      <c r="J39" s="3">
        <v>0.5</v>
      </c>
      <c r="K39" s="3" t="s">
        <v>1</v>
      </c>
      <c r="M39" s="3">
        <v>1.02</v>
      </c>
      <c r="N39" s="3">
        <v>193</v>
      </c>
      <c r="O39" s="3">
        <v>194</v>
      </c>
      <c r="P39" s="3" t="s">
        <v>2</v>
      </c>
      <c r="Q39" s="3" t="s">
        <v>88</v>
      </c>
    </row>
    <row r="40" spans="1:18" s="3" customFormat="1" x14ac:dyDescent="0.2">
      <c r="A40" s="3" t="s">
        <v>42</v>
      </c>
      <c r="B40" s="3" t="s">
        <v>43</v>
      </c>
      <c r="C40" s="3">
        <v>31</v>
      </c>
      <c r="E40" s="3">
        <v>0.23</v>
      </c>
      <c r="F40" s="3">
        <v>25.7</v>
      </c>
      <c r="H40" s="3">
        <v>2010</v>
      </c>
      <c r="I40" s="3">
        <v>0.04</v>
      </c>
      <c r="J40" s="3">
        <v>0.1</v>
      </c>
      <c r="K40" s="3">
        <v>0</v>
      </c>
      <c r="M40" s="3">
        <v>0</v>
      </c>
      <c r="N40" s="3">
        <v>0</v>
      </c>
      <c r="O40" s="3">
        <v>0</v>
      </c>
      <c r="P40" s="3" t="s">
        <v>4</v>
      </c>
      <c r="Q40" s="3" t="s">
        <v>88</v>
      </c>
    </row>
    <row r="41" spans="1:18" s="3" customFormat="1" x14ac:dyDescent="0.2">
      <c r="A41" s="3" t="s">
        <v>44</v>
      </c>
      <c r="B41" s="3" t="s">
        <v>0</v>
      </c>
      <c r="C41" s="3" t="s">
        <v>1</v>
      </c>
      <c r="F41" s="3" t="s">
        <v>1</v>
      </c>
      <c r="I41" s="3">
        <v>0.12</v>
      </c>
      <c r="J41" s="3">
        <v>0.5</v>
      </c>
      <c r="K41" s="3" t="s">
        <v>1</v>
      </c>
      <c r="M41" s="3">
        <v>3.52</v>
      </c>
      <c r="N41" s="4">
        <v>9567</v>
      </c>
      <c r="O41" s="4">
        <v>9571</v>
      </c>
      <c r="P41" s="3" t="s">
        <v>4</v>
      </c>
      <c r="Q41" s="3" t="s">
        <v>88</v>
      </c>
    </row>
    <row r="42" spans="1:18" s="3" customFormat="1" x14ac:dyDescent="0.2">
      <c r="A42" s="3" t="s">
        <v>45</v>
      </c>
      <c r="B42" s="3" t="s">
        <v>46</v>
      </c>
      <c r="C42" s="3" t="s">
        <v>1</v>
      </c>
      <c r="F42" s="3" t="s">
        <v>1</v>
      </c>
      <c r="I42" s="3">
        <v>0.04</v>
      </c>
      <c r="J42" s="3">
        <v>0.1</v>
      </c>
      <c r="K42" s="3" t="s">
        <v>1</v>
      </c>
      <c r="M42" s="3">
        <v>0.28000000000000003</v>
      </c>
      <c r="N42" s="3">
        <v>0</v>
      </c>
      <c r="O42" s="3">
        <v>0.28000000000000003</v>
      </c>
      <c r="P42" s="3" t="s">
        <v>4</v>
      </c>
      <c r="Q42" s="3" t="s">
        <v>88</v>
      </c>
    </row>
    <row r="43" spans="1:18" x14ac:dyDescent="0.2">
      <c r="A43" t="s">
        <v>47</v>
      </c>
      <c r="B43" t="s">
        <v>0</v>
      </c>
      <c r="C43" t="s">
        <v>1</v>
      </c>
      <c r="F43" t="s">
        <v>1</v>
      </c>
      <c r="I43">
        <v>0.12</v>
      </c>
      <c r="J43">
        <v>0.5</v>
      </c>
      <c r="K43" t="s">
        <v>1</v>
      </c>
      <c r="M43">
        <v>1</v>
      </c>
      <c r="N43" s="1">
        <v>5265</v>
      </c>
      <c r="O43" s="1">
        <v>5266</v>
      </c>
      <c r="P43" t="s">
        <v>2</v>
      </c>
    </row>
    <row r="44" spans="1:18" s="3" customFormat="1" x14ac:dyDescent="0.2">
      <c r="A44" s="3" t="s">
        <v>57</v>
      </c>
      <c r="B44" s="3" t="s">
        <v>0</v>
      </c>
      <c r="C44" s="3" t="s">
        <v>1</v>
      </c>
      <c r="F44" s="3" t="s">
        <v>1</v>
      </c>
      <c r="I44" s="3">
        <v>0.04</v>
      </c>
      <c r="J44" s="3">
        <v>0.5</v>
      </c>
      <c r="K44" s="3" t="s">
        <v>1</v>
      </c>
      <c r="M44" s="3">
        <v>0</v>
      </c>
      <c r="N44" s="3">
        <v>0</v>
      </c>
      <c r="O44" s="3">
        <v>0</v>
      </c>
      <c r="P44" s="3" t="s">
        <v>2</v>
      </c>
      <c r="Q44" s="3" t="s">
        <v>88</v>
      </c>
    </row>
    <row r="45" spans="1:18" s="3" customFormat="1" x14ac:dyDescent="0.2">
      <c r="A45" s="3" t="s">
        <v>48</v>
      </c>
      <c r="B45" s="3" t="s">
        <v>49</v>
      </c>
      <c r="C45" s="3">
        <f>AVERAGE(63160, 78198)</f>
        <v>70679</v>
      </c>
      <c r="D45" s="3" t="s">
        <v>85</v>
      </c>
      <c r="F45" s="4">
        <v>34485</v>
      </c>
      <c r="G45" s="4">
        <v>2</v>
      </c>
      <c r="H45" s="3">
        <v>2011</v>
      </c>
      <c r="I45" s="3">
        <v>0.12</v>
      </c>
      <c r="J45" s="3">
        <v>0.75</v>
      </c>
      <c r="K45" s="4">
        <v>1552</v>
      </c>
      <c r="L45" s="4"/>
      <c r="M45" s="3">
        <v>49</v>
      </c>
      <c r="N45" s="3">
        <v>11.9</v>
      </c>
      <c r="O45" s="3">
        <v>65.099999999999994</v>
      </c>
      <c r="P45" s="3" t="s">
        <v>4</v>
      </c>
      <c r="Q45" s="3" t="s">
        <v>88</v>
      </c>
      <c r="R45" s="6" t="s">
        <v>67</v>
      </c>
    </row>
    <row r="46" spans="1:18" s="3" customFormat="1" x14ac:dyDescent="0.2">
      <c r="A46" s="3" t="s">
        <v>48</v>
      </c>
      <c r="B46" s="3" t="s">
        <v>50</v>
      </c>
      <c r="C46" s="4">
        <v>45659</v>
      </c>
      <c r="D46" s="4"/>
      <c r="F46" s="4">
        <v>45659</v>
      </c>
      <c r="G46" s="4">
        <v>1</v>
      </c>
      <c r="H46" s="3">
        <v>2012</v>
      </c>
      <c r="I46" s="3">
        <v>0.12</v>
      </c>
      <c r="J46" s="3">
        <v>0.1</v>
      </c>
      <c r="K46" s="3">
        <v>274</v>
      </c>
      <c r="M46" s="3">
        <v>29.6</v>
      </c>
      <c r="N46" s="3">
        <v>199</v>
      </c>
      <c r="O46" s="3">
        <v>230</v>
      </c>
      <c r="P46" s="3" t="s">
        <v>4</v>
      </c>
      <c r="Q46" s="3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tabula-Alaska_2013_Appendix2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Free</cp:lastModifiedBy>
  <dcterms:created xsi:type="dcterms:W3CDTF">2026-04-30T01:44:10Z</dcterms:created>
  <dcterms:modified xsi:type="dcterms:W3CDTF">2026-05-27T13:44:31Z</dcterms:modified>
</cp:coreProperties>
</file>