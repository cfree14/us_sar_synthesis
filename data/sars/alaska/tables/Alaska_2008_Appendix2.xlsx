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18FB971A-15CB-5242-97EB-75265330019B}" xr6:coauthVersionLast="47" xr6:coauthVersionMax="47" xr10:uidLastSave="{00000000-0000-0000-0000-000000000000}"/>
  <bookViews>
    <workbookView xWindow="0" yWindow="760" windowWidth="16880" windowHeight="21380" xr2:uid="{888F7D1A-4DE8-7345-B9A5-391F170F6CE2}"/>
  </bookViews>
  <sheets>
    <sheet name="tabula-Alaska_2008_Appendi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<sst xmlns="http://schemas.openxmlformats.org/spreadsheetml/2006/main" count="197" uniqueCount="76">
  <si>
    <t>Alaska</t>
  </si>
  <si>
    <t>N/A</t>
  </si>
  <si>
    <t>NS</t>
  </si>
  <si>
    <t>Bearded seal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</si>
  <si>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</si>
  <si>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</si>
  <si>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</si>
  <si>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</si>
  <si>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</si>
  <si>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</si>
  <si>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</si>
  <si>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S</t>
  </si>
  <si>
    <t>Bowhead whale</t>
  </si>
  <si>
    <t>W. Arctic</t>
  </si>
  <si>
    <t>Fin whale</t>
  </si>
  <si>
    <t>NE Pacific</t>
  </si>
  <si>
    <t>Gray whale</t>
  </si>
  <si>
    <t>E. N. Pacific</t>
  </si>
  <si>
    <t>Harbor porpoise</t>
  </si>
  <si>
    <t>SE Alaska</t>
  </si>
  <si>
    <t>Gulf of Alaska</t>
  </si>
  <si>
    <t>Bering Sea</t>
  </si>
  <si>
    <t>Harbor seal</t>
  </si>
  <si>
    <t>Humpback whale</t>
  </si>
  <si>
    <t>W. N. Pacific</t>
  </si>
  <si>
    <t>CNP - entire stock</t>
  </si>
  <si>
    <t>Killer whale</t>
  </si>
  <si>
    <t>Alaska Resident</t>
  </si>
  <si>
    <t>AT1 transient</t>
  </si>
  <si>
    <t>Minke whale</t>
  </si>
  <si>
    <t>Right whale</t>
  </si>
  <si>
    <t>Northern fur seal</t>
  </si>
  <si>
    <t>E. North Pacific</t>
  </si>
  <si>
    <t>Cent. N. Pacific</t>
  </si>
  <si>
    <t>Ribbon seal</t>
  </si>
  <si>
    <t>Ringed seal</t>
  </si>
  <si>
    <t>Sperm whale</t>
  </si>
  <si>
    <t>N. Pacific</t>
  </si>
  <si>
    <t>Spotted seal</t>
  </si>
  <si>
    <t>Steller sea lion</t>
  </si>
  <si>
    <t>E. U. S.</t>
  </si>
  <si>
    <t>W. U. S.</t>
  </si>
  <si>
    <t>Baird's beaked whale</t>
  </si>
  <si>
    <t>Cuvier's beaked whale</t>
  </si>
  <si>
    <t>Dall's porpoise</t>
  </si>
  <si>
    <t>Pacific white-sided dolphin</t>
  </si>
  <si>
    <t>Stejneger's beaked whale</t>
  </si>
  <si>
    <t>CNP - SEAK feeding area</t>
  </si>
  <si>
    <t>Northern Resident (British Columbia)</t>
  </si>
  <si>
    <t>GOA, AI, BS Transient</t>
  </si>
  <si>
    <t>West Coast Transient</t>
  </si>
  <si>
    <t>15+</t>
  </si>
  <si>
    <t>8+</t>
  </si>
  <si>
    <t>12+</t>
  </si>
  <si>
    <t>1997-1998</t>
  </si>
  <si>
    <t>1996; 1999</t>
  </si>
  <si>
    <t>No or minimal reported take by fishery observers; however, observer coverage was minimal or nonexistent.</t>
  </si>
  <si>
    <t>Recent changes in the abundance estimates do not indicate a major population increase. Instead, these increases are due to new analytical methods that take environmental covariates into account and thus provide an improved estimate of harbor seal abundance.</t>
  </si>
  <si>
    <t>N(est) based on counts of individual animals identified from photo-identification catalogs. Surveys for abundance estimates of these stocks are conducted infrequently.</t>
  </si>
  <si>
    <t>species</t>
  </si>
  <si>
    <t>stock</t>
  </si>
  <si>
    <t>n_est</t>
  </si>
  <si>
    <t>n_cv</t>
  </si>
  <si>
    <t>n_min</t>
  </si>
  <si>
    <t>survey_interval</t>
  </si>
  <si>
    <t>last_survey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</si>
  <si>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</si>
  <si>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</si>
  <si>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</si>
  <si>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</si>
  <si>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</si>
  <si>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</si>
  <si>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</si>
  <si>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</si>
  <si>
    <t>n_est_notes</t>
  </si>
  <si>
    <t>45,095-55,832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</si>
</sst>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CC32-59C8-8F45-9425-193E5E8A5A6D}">
  <dimension ref="A1:P38"/>
  <sheetViews>
    <sheetView tabSelected="1" workbookViewId="0">
      <selection activeCell="C38" sqref="C38"/>
    </sheetView>
  </sheetViews>
  <sheetFormatPr baseColWidth="10" defaultRowHeight="16" x14ac:dyDescent="0.2"/>
  <cols>
    <col min="1" max="1" width="35.6640625" style="1" customWidth="1"/>
    <col min="2" max="2" width="40.33203125" style="1" customWidth="1"/>
    <col min="3" max="4" width="22.6640625" style="1" customWidth="1"/>
    <col min="5" max="16384" width="10.83203125" style="1"/>
  </cols>
  <sheetData>
    <row r="1" spans="1:16" x14ac:dyDescent="0.2">
      <c r="A1" s="1" t="s">
        <v>59</v>
      </c>
      <c r="B1" s="1" t="s">
        <v>60</v>
      </c>
      <c r="C1" s="1" t="s">
        <v>61</v>
      </c>
      <c r="D1" s="1" t="s">
        <v>74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 ht="17" x14ac:dyDescent="0.2">
      <c r="A2" s="2" t="s">
        <v>42</v>
      </c>
      <c r="B2" s="1" t="s">
        <v>0</v>
      </c>
      <c r="C2" s="1" t="s">
        <v>1</v>
      </c>
      <c r="F2" s="1" t="s">
        <v>1</v>
      </c>
      <c r="I2" s="1">
        <v>0.04</v>
      </c>
      <c r="J2" s="1">
        <v>0.5</v>
      </c>
      <c r="K2" s="1" t="s">
        <v>1</v>
      </c>
      <c r="L2" s="1">
        <v>0</v>
      </c>
      <c r="M2" s="1">
        <v>0</v>
      </c>
      <c r="N2" s="1">
        <v>0</v>
      </c>
      <c r="O2" s="1" t="s">
        <v>2</v>
      </c>
    </row>
    <row r="3" spans="1:16" x14ac:dyDescent="0.2">
      <c r="A3" s="1" t="s">
        <v>3</v>
      </c>
      <c r="B3" s="1" t="s">
        <v>0</v>
      </c>
      <c r="C3" s="1" t="s">
        <v>1</v>
      </c>
      <c r="F3" s="1" t="s">
        <v>1</v>
      </c>
      <c r="I3" s="1">
        <v>0.12</v>
      </c>
      <c r="J3" s="1">
        <v>0.5</v>
      </c>
      <c r="K3" s="1" t="s">
        <v>1</v>
      </c>
      <c r="L3" s="1">
        <v>0.68</v>
      </c>
      <c r="M3" s="3">
        <v>6788</v>
      </c>
      <c r="N3" s="3">
        <v>6789</v>
      </c>
      <c r="O3" s="1" t="s">
        <v>2</v>
      </c>
    </row>
    <row r="4" spans="1:16" x14ac:dyDescent="0.2">
      <c r="A4" s="1" t="s">
        <v>4</v>
      </c>
      <c r="B4" s="1" t="s">
        <v>5</v>
      </c>
      <c r="C4" s="3">
        <v>39258</v>
      </c>
      <c r="D4" s="3"/>
      <c r="E4" s="1">
        <v>0.23</v>
      </c>
      <c r="F4" s="3">
        <v>32453</v>
      </c>
      <c r="G4" s="3">
        <v>14</v>
      </c>
      <c r="H4" s="1">
        <v>1992</v>
      </c>
      <c r="I4" s="1">
        <v>0.04</v>
      </c>
      <c r="J4" s="1">
        <v>0.5</v>
      </c>
      <c r="K4" s="1" t="s">
        <v>6</v>
      </c>
      <c r="L4" s="1">
        <v>0</v>
      </c>
      <c r="M4" s="1">
        <v>139</v>
      </c>
      <c r="N4" s="1">
        <v>139</v>
      </c>
      <c r="O4" s="1" t="s">
        <v>2</v>
      </c>
    </row>
    <row r="5" spans="1:16" x14ac:dyDescent="0.2">
      <c r="A5" s="1" t="s">
        <v>4</v>
      </c>
      <c r="B5" s="1" t="s">
        <v>7</v>
      </c>
      <c r="C5" s="3">
        <v>3710</v>
      </c>
      <c r="D5" s="3"/>
      <c r="E5" s="1" t="s">
        <v>1</v>
      </c>
      <c r="F5" s="3">
        <v>3710</v>
      </c>
      <c r="G5" s="3">
        <v>17</v>
      </c>
      <c r="H5" s="1">
        <v>1991</v>
      </c>
      <c r="I5" s="1">
        <v>0.04</v>
      </c>
      <c r="J5" s="1">
        <v>1</v>
      </c>
      <c r="K5" s="1" t="s">
        <v>6</v>
      </c>
      <c r="L5" s="1">
        <v>0</v>
      </c>
      <c r="M5" s="1">
        <v>59</v>
      </c>
      <c r="N5" s="1">
        <v>59</v>
      </c>
      <c r="O5" s="1" t="s">
        <v>2</v>
      </c>
    </row>
    <row r="6" spans="1:16" x14ac:dyDescent="0.2">
      <c r="A6" s="1" t="s">
        <v>4</v>
      </c>
      <c r="B6" s="1" t="s">
        <v>8</v>
      </c>
      <c r="C6" s="3">
        <v>18142</v>
      </c>
      <c r="D6" s="3"/>
      <c r="E6" s="1">
        <v>0.24</v>
      </c>
      <c r="F6" s="3">
        <v>14898</v>
      </c>
      <c r="G6" s="3">
        <v>8</v>
      </c>
      <c r="H6" s="1">
        <v>2000</v>
      </c>
      <c r="I6" s="1">
        <v>0.04</v>
      </c>
      <c r="J6" s="1">
        <v>1</v>
      </c>
      <c r="K6" s="1">
        <v>298</v>
      </c>
      <c r="L6" s="1">
        <v>0</v>
      </c>
      <c r="M6" s="1">
        <v>197</v>
      </c>
      <c r="N6" s="1">
        <v>197</v>
      </c>
      <c r="O6" s="1" t="s">
        <v>2</v>
      </c>
    </row>
    <row r="7" spans="1:16" x14ac:dyDescent="0.2">
      <c r="A7" s="1" t="s">
        <v>4</v>
      </c>
      <c r="B7" s="1" t="s">
        <v>9</v>
      </c>
      <c r="C7" s="3">
        <v>2877</v>
      </c>
      <c r="D7" s="3"/>
      <c r="E7" s="1">
        <v>0.2</v>
      </c>
      <c r="F7" s="3">
        <v>2467</v>
      </c>
      <c r="G7" s="3">
        <v>8</v>
      </c>
      <c r="H7" s="1">
        <v>2005</v>
      </c>
      <c r="I7" s="1">
        <v>0.04</v>
      </c>
      <c r="J7" s="1">
        <v>1</v>
      </c>
      <c r="K7" s="1">
        <v>49</v>
      </c>
      <c r="L7" s="1">
        <v>0</v>
      </c>
      <c r="M7" s="1">
        <v>17</v>
      </c>
      <c r="N7" s="1">
        <v>17</v>
      </c>
      <c r="O7" s="1" t="s">
        <v>2</v>
      </c>
    </row>
    <row r="8" spans="1:16" x14ac:dyDescent="0.2">
      <c r="A8" s="1" t="s">
        <v>4</v>
      </c>
      <c r="B8" s="1" t="s">
        <v>10</v>
      </c>
      <c r="C8" s="1">
        <v>375</v>
      </c>
      <c r="E8" s="1">
        <v>0.21</v>
      </c>
      <c r="F8" s="1">
        <v>314</v>
      </c>
      <c r="G8" s="3">
        <v>1</v>
      </c>
      <c r="H8" s="1">
        <v>2007</v>
      </c>
      <c r="I8" s="1">
        <v>0.04</v>
      </c>
      <c r="J8" s="1">
        <v>0.3</v>
      </c>
      <c r="K8" s="1" t="s">
        <v>6</v>
      </c>
      <c r="L8" s="1">
        <v>0</v>
      </c>
      <c r="M8" s="1">
        <v>0.4</v>
      </c>
      <c r="N8" s="1">
        <v>0.4</v>
      </c>
      <c r="O8" s="1" t="s">
        <v>11</v>
      </c>
    </row>
    <row r="9" spans="1:16" x14ac:dyDescent="0.2">
      <c r="A9" s="1" t="s">
        <v>12</v>
      </c>
      <c r="B9" s="1" t="s">
        <v>13</v>
      </c>
      <c r="C9" s="3">
        <v>10545</v>
      </c>
      <c r="D9" s="3"/>
      <c r="E9" s="1">
        <v>0.13</v>
      </c>
      <c r="F9" s="3">
        <v>9472</v>
      </c>
      <c r="G9" s="3">
        <v>7</v>
      </c>
      <c r="H9" s="1">
        <v>2001</v>
      </c>
      <c r="I9" s="1">
        <v>0.04</v>
      </c>
      <c r="J9" s="1">
        <v>0.5</v>
      </c>
      <c r="K9" s="1">
        <v>95</v>
      </c>
      <c r="L9" s="1">
        <v>0.2</v>
      </c>
      <c r="M9" s="1">
        <v>42</v>
      </c>
      <c r="N9" s="1">
        <v>43</v>
      </c>
      <c r="O9" s="1" t="s">
        <v>11</v>
      </c>
    </row>
    <row r="10" spans="1:16" x14ac:dyDescent="0.2">
      <c r="A10" s="1" t="s">
        <v>43</v>
      </c>
      <c r="B10" s="1" t="s">
        <v>0</v>
      </c>
      <c r="C10" s="1" t="s">
        <v>1</v>
      </c>
      <c r="F10" s="1" t="s">
        <v>1</v>
      </c>
      <c r="I10" s="1">
        <v>0.04</v>
      </c>
      <c r="J10" s="1">
        <v>0.5</v>
      </c>
      <c r="K10" s="1" t="s">
        <v>1</v>
      </c>
      <c r="L10" s="1">
        <v>0</v>
      </c>
      <c r="M10" s="1">
        <v>0</v>
      </c>
      <c r="N10" s="1">
        <v>0</v>
      </c>
      <c r="O10" s="1" t="s">
        <v>2</v>
      </c>
    </row>
    <row r="11" spans="1:16" x14ac:dyDescent="0.2">
      <c r="A11" s="1" t="s">
        <v>44</v>
      </c>
      <c r="B11" s="1" t="s">
        <v>0</v>
      </c>
      <c r="C11" s="3">
        <v>83400</v>
      </c>
      <c r="D11" s="3"/>
      <c r="E11" s="1">
        <v>9.7000000000000003E-2</v>
      </c>
      <c r="F11" s="1" t="s">
        <v>1</v>
      </c>
      <c r="G11" s="3">
        <v>15</v>
      </c>
      <c r="H11" s="1">
        <v>1993</v>
      </c>
      <c r="I11" s="1">
        <v>0.04</v>
      </c>
      <c r="J11" s="1">
        <v>1</v>
      </c>
      <c r="K11" s="1" t="s">
        <v>6</v>
      </c>
      <c r="L11" s="1">
        <v>30</v>
      </c>
      <c r="M11" s="1">
        <v>0</v>
      </c>
      <c r="N11" s="1">
        <v>30</v>
      </c>
      <c r="O11" s="1" t="s">
        <v>2</v>
      </c>
    </row>
    <row r="12" spans="1:16" x14ac:dyDescent="0.2">
      <c r="A12" s="1" t="s">
        <v>14</v>
      </c>
      <c r="B12" s="1" t="s">
        <v>15</v>
      </c>
      <c r="C12" s="3">
        <v>5700</v>
      </c>
      <c r="D12" s="3"/>
      <c r="E12" s="1" t="s">
        <v>1</v>
      </c>
      <c r="F12" s="3">
        <v>5700</v>
      </c>
      <c r="G12" s="3">
        <v>5</v>
      </c>
      <c r="H12" s="1">
        <v>2003</v>
      </c>
      <c r="I12" s="1">
        <v>0.04</v>
      </c>
      <c r="J12" s="1">
        <v>0.1</v>
      </c>
      <c r="K12" s="1">
        <v>11.4</v>
      </c>
      <c r="L12" s="1">
        <v>0.23</v>
      </c>
      <c r="M12" s="1">
        <v>0</v>
      </c>
      <c r="N12" s="1">
        <v>0.23</v>
      </c>
      <c r="O12" s="1" t="s">
        <v>11</v>
      </c>
    </row>
    <row r="13" spans="1:16" x14ac:dyDescent="0.2">
      <c r="A13" s="1" t="s">
        <v>16</v>
      </c>
      <c r="B13" s="1" t="s">
        <v>17</v>
      </c>
      <c r="C13" s="3">
        <v>18813</v>
      </c>
      <c r="D13" s="3"/>
      <c r="E13" s="1">
        <v>7.0000000000000007E-2</v>
      </c>
      <c r="F13" s="3">
        <v>17752</v>
      </c>
      <c r="G13" s="3">
        <v>6</v>
      </c>
      <c r="H13" s="1">
        <v>2002</v>
      </c>
      <c r="I13" s="1">
        <v>4.7E-2</v>
      </c>
      <c r="J13" s="1">
        <v>1</v>
      </c>
      <c r="K13" s="1">
        <v>417</v>
      </c>
      <c r="L13" s="1">
        <v>6.7</v>
      </c>
      <c r="M13" s="1">
        <v>122</v>
      </c>
      <c r="N13" s="1">
        <v>130</v>
      </c>
      <c r="O13" s="1" t="s">
        <v>2</v>
      </c>
    </row>
    <row r="14" spans="1:16" x14ac:dyDescent="0.2">
      <c r="A14" s="1" t="s">
        <v>18</v>
      </c>
      <c r="B14" s="1" t="s">
        <v>19</v>
      </c>
      <c r="C14" s="3">
        <v>11146</v>
      </c>
      <c r="D14" s="3"/>
      <c r="E14" s="1">
        <v>0.24199999999999999</v>
      </c>
      <c r="F14" s="3">
        <v>9116</v>
      </c>
      <c r="G14" s="3">
        <v>11</v>
      </c>
      <c r="H14" s="1">
        <v>1997</v>
      </c>
      <c r="I14" s="1">
        <v>0.04</v>
      </c>
      <c r="J14" s="1">
        <v>0.5</v>
      </c>
      <c r="K14" s="1" t="s">
        <v>6</v>
      </c>
      <c r="L14" s="4">
        <v>0</v>
      </c>
      <c r="M14" s="1">
        <v>0</v>
      </c>
      <c r="N14" s="1">
        <v>0</v>
      </c>
      <c r="O14" s="1" t="s">
        <v>11</v>
      </c>
      <c r="P14" s="5" t="s">
        <v>56</v>
      </c>
    </row>
    <row r="15" spans="1:16" x14ac:dyDescent="0.2">
      <c r="A15" s="1" t="s">
        <v>18</v>
      </c>
      <c r="B15" s="1" t="s">
        <v>20</v>
      </c>
      <c r="C15" s="3">
        <v>31046</v>
      </c>
      <c r="D15" s="3"/>
      <c r="E15" s="1">
        <v>0.214</v>
      </c>
      <c r="F15" s="3">
        <v>25987</v>
      </c>
      <c r="G15" s="3">
        <v>10</v>
      </c>
      <c r="H15" s="1">
        <v>1998</v>
      </c>
      <c r="I15" s="1">
        <v>0.04</v>
      </c>
      <c r="J15" s="1">
        <v>0.5</v>
      </c>
      <c r="K15" s="1" t="s">
        <v>6</v>
      </c>
      <c r="L15" s="1">
        <v>71</v>
      </c>
      <c r="M15" s="1">
        <v>0</v>
      </c>
      <c r="N15" s="1">
        <v>73</v>
      </c>
      <c r="O15" s="1" t="s">
        <v>11</v>
      </c>
    </row>
    <row r="16" spans="1:16" x14ac:dyDescent="0.2">
      <c r="A16" s="1" t="s">
        <v>18</v>
      </c>
      <c r="B16" s="1" t="s">
        <v>21</v>
      </c>
      <c r="C16" s="3">
        <v>48215</v>
      </c>
      <c r="D16" s="3"/>
      <c r="E16" s="1">
        <v>0.223</v>
      </c>
      <c r="F16" s="3">
        <v>40039</v>
      </c>
      <c r="G16" s="3">
        <v>9</v>
      </c>
      <c r="H16" s="1">
        <v>1999</v>
      </c>
      <c r="I16" s="1">
        <v>0.04</v>
      </c>
      <c r="J16" s="1">
        <v>0.5</v>
      </c>
      <c r="K16" s="1" t="s">
        <v>6</v>
      </c>
      <c r="L16" s="1">
        <v>0</v>
      </c>
      <c r="M16" s="1">
        <v>0</v>
      </c>
      <c r="N16" s="1">
        <v>0</v>
      </c>
      <c r="O16" s="1" t="s">
        <v>11</v>
      </c>
    </row>
    <row r="17" spans="1:16" x14ac:dyDescent="0.2">
      <c r="A17" s="1" t="s">
        <v>22</v>
      </c>
      <c r="B17" s="1" t="s">
        <v>19</v>
      </c>
      <c r="C17" s="3">
        <v>112391</v>
      </c>
      <c r="D17" s="3"/>
      <c r="E17" s="1">
        <v>0.04</v>
      </c>
      <c r="F17" s="3">
        <v>108670</v>
      </c>
      <c r="G17" s="3">
        <v>10</v>
      </c>
      <c r="H17" s="1" t="s">
        <v>54</v>
      </c>
      <c r="I17" s="1">
        <v>0.12</v>
      </c>
      <c r="J17" s="1">
        <v>0.5</v>
      </c>
      <c r="K17" s="3">
        <v>3260</v>
      </c>
      <c r="L17" s="1">
        <v>0</v>
      </c>
      <c r="M17" s="3">
        <v>1092</v>
      </c>
      <c r="N17" s="3">
        <v>1094</v>
      </c>
      <c r="O17" s="1" t="s">
        <v>2</v>
      </c>
      <c r="P17" s="5" t="s">
        <v>57</v>
      </c>
    </row>
    <row r="18" spans="1:16" x14ac:dyDescent="0.2">
      <c r="A18" s="1" t="s">
        <v>22</v>
      </c>
      <c r="B18" s="1" t="s">
        <v>20</v>
      </c>
      <c r="C18" s="3">
        <v>45975</v>
      </c>
      <c r="D18" s="3"/>
      <c r="E18" s="1">
        <v>0.04</v>
      </c>
      <c r="F18" s="3">
        <v>44453</v>
      </c>
      <c r="G18" s="3">
        <v>9</v>
      </c>
      <c r="H18" s="1" t="s">
        <v>55</v>
      </c>
      <c r="I18" s="1">
        <v>0.12</v>
      </c>
      <c r="J18" s="1">
        <v>0.5</v>
      </c>
      <c r="K18" s="3">
        <v>1334</v>
      </c>
      <c r="L18" s="1">
        <v>24</v>
      </c>
      <c r="M18" s="1">
        <v>795</v>
      </c>
      <c r="N18" s="1">
        <v>820</v>
      </c>
      <c r="O18" s="1" t="s">
        <v>2</v>
      </c>
      <c r="P18" s="5" t="s">
        <v>57</v>
      </c>
    </row>
    <row r="19" spans="1:16" x14ac:dyDescent="0.2">
      <c r="A19" s="1" t="s">
        <v>22</v>
      </c>
      <c r="B19" s="1" t="s">
        <v>21</v>
      </c>
      <c r="C19" s="3">
        <v>21651</v>
      </c>
      <c r="D19" s="3"/>
      <c r="E19" s="1">
        <v>0.1</v>
      </c>
      <c r="F19" s="3">
        <v>20109</v>
      </c>
      <c r="G19" s="3">
        <v>8</v>
      </c>
      <c r="H19" s="1">
        <v>2000</v>
      </c>
      <c r="I19" s="1">
        <v>0.12</v>
      </c>
      <c r="J19" s="1">
        <v>0.5</v>
      </c>
      <c r="K19" s="1">
        <v>603</v>
      </c>
      <c r="L19" s="1">
        <v>1.3</v>
      </c>
      <c r="M19" s="1">
        <v>174</v>
      </c>
      <c r="N19" s="1">
        <v>177</v>
      </c>
      <c r="O19" s="1" t="s">
        <v>2</v>
      </c>
      <c r="P19" s="5" t="s">
        <v>57</v>
      </c>
    </row>
    <row r="20" spans="1:16" x14ac:dyDescent="0.2">
      <c r="A20" s="1" t="s">
        <v>23</v>
      </c>
      <c r="B20" s="1" t="s">
        <v>24</v>
      </c>
      <c r="C20" s="1">
        <v>394</v>
      </c>
      <c r="E20" s="1">
        <v>0.08</v>
      </c>
      <c r="F20" s="1">
        <v>367</v>
      </c>
      <c r="G20" s="1" t="s">
        <v>51</v>
      </c>
      <c r="H20" s="1">
        <v>1993</v>
      </c>
      <c r="I20" s="1">
        <v>7.0000000000000007E-2</v>
      </c>
      <c r="J20" s="1">
        <v>0.1</v>
      </c>
      <c r="K20" s="1" t="s">
        <v>6</v>
      </c>
      <c r="L20" s="1">
        <v>0.2</v>
      </c>
      <c r="M20" s="1">
        <v>0</v>
      </c>
      <c r="N20" s="1">
        <v>0.2</v>
      </c>
      <c r="O20" s="1" t="s">
        <v>11</v>
      </c>
    </row>
    <row r="21" spans="1:16" x14ac:dyDescent="0.2">
      <c r="A21" s="1" t="s">
        <v>23</v>
      </c>
      <c r="B21" s="1" t="s">
        <v>25</v>
      </c>
      <c r="C21" s="3">
        <v>4005</v>
      </c>
      <c r="D21" s="3"/>
      <c r="E21" s="1">
        <v>9.5000000000000001E-2</v>
      </c>
      <c r="F21" s="3">
        <v>3698</v>
      </c>
      <c r="G21" s="3">
        <v>14</v>
      </c>
      <c r="H21" s="1">
        <v>1993</v>
      </c>
      <c r="I21" s="1">
        <v>7.0000000000000007E-2</v>
      </c>
      <c r="J21" s="1">
        <v>0.1</v>
      </c>
      <c r="K21" s="1" t="s">
        <v>6</v>
      </c>
      <c r="L21" s="1">
        <v>3.2</v>
      </c>
      <c r="M21" s="1">
        <v>0</v>
      </c>
      <c r="N21" s="1">
        <v>5</v>
      </c>
      <c r="O21" s="1" t="s">
        <v>11</v>
      </c>
    </row>
    <row r="22" spans="1:16" x14ac:dyDescent="0.2">
      <c r="A22" s="1" t="s">
        <v>23</v>
      </c>
      <c r="B22" s="1" t="s">
        <v>47</v>
      </c>
      <c r="C22" s="1">
        <v>961</v>
      </c>
      <c r="E22" s="1">
        <v>0.12</v>
      </c>
      <c r="F22" s="1">
        <v>868</v>
      </c>
      <c r="I22" s="1">
        <v>7.0000000000000007E-2</v>
      </c>
      <c r="J22" s="1">
        <v>0.1</v>
      </c>
      <c r="K22" s="1" t="s">
        <v>6</v>
      </c>
      <c r="L22" s="1">
        <v>1.4</v>
      </c>
      <c r="M22" s="1">
        <v>0</v>
      </c>
      <c r="N22" s="1">
        <v>2.8</v>
      </c>
      <c r="O22" s="1" t="s">
        <v>1</v>
      </c>
    </row>
    <row r="23" spans="1:16" x14ac:dyDescent="0.2">
      <c r="A23" s="1" t="s">
        <v>26</v>
      </c>
      <c r="B23" s="1" t="s">
        <v>27</v>
      </c>
      <c r="C23" s="3">
        <v>1123</v>
      </c>
      <c r="D23" s="3"/>
      <c r="E23" s="1" t="s">
        <v>1</v>
      </c>
      <c r="F23" s="3">
        <v>1123</v>
      </c>
      <c r="G23" s="3" t="s">
        <v>52</v>
      </c>
      <c r="H23" s="1">
        <v>2003</v>
      </c>
      <c r="I23" s="1">
        <v>0.04</v>
      </c>
      <c r="J23" s="1">
        <v>0.5</v>
      </c>
      <c r="K23" s="1">
        <v>11.2</v>
      </c>
      <c r="L23" s="1">
        <v>1.5</v>
      </c>
      <c r="M23" s="1">
        <v>0</v>
      </c>
      <c r="N23" s="1">
        <v>1.5</v>
      </c>
      <c r="O23" s="1" t="s">
        <v>2</v>
      </c>
      <c r="P23" s="5" t="s">
        <v>58</v>
      </c>
    </row>
    <row r="24" spans="1:16" x14ac:dyDescent="0.2">
      <c r="A24" s="1" t="s">
        <v>26</v>
      </c>
      <c r="B24" s="1" t="s">
        <v>48</v>
      </c>
      <c r="C24" s="1">
        <v>216</v>
      </c>
      <c r="E24" s="1" t="s">
        <v>1</v>
      </c>
      <c r="F24" s="1">
        <v>216</v>
      </c>
      <c r="I24" s="1">
        <v>0.04</v>
      </c>
      <c r="J24" s="1">
        <v>0.5</v>
      </c>
      <c r="K24" s="1">
        <v>2.16</v>
      </c>
      <c r="L24" s="1">
        <v>0</v>
      </c>
      <c r="M24" s="1">
        <v>0</v>
      </c>
      <c r="N24" s="1">
        <v>0</v>
      </c>
      <c r="O24" s="1" t="s">
        <v>2</v>
      </c>
      <c r="P24" s="5" t="s">
        <v>58</v>
      </c>
    </row>
    <row r="25" spans="1:16" x14ac:dyDescent="0.2">
      <c r="A25" s="1" t="s">
        <v>26</v>
      </c>
      <c r="B25" s="1" t="s">
        <v>28</v>
      </c>
      <c r="C25" s="1">
        <v>7</v>
      </c>
      <c r="E25" s="1" t="s">
        <v>1</v>
      </c>
      <c r="F25" s="1">
        <v>7</v>
      </c>
      <c r="I25" s="1">
        <v>0.04</v>
      </c>
      <c r="J25" s="1">
        <v>0.1</v>
      </c>
      <c r="K25" s="1">
        <v>0</v>
      </c>
      <c r="L25" s="1">
        <v>0</v>
      </c>
      <c r="M25" s="1">
        <v>0</v>
      </c>
      <c r="N25" s="1">
        <v>0</v>
      </c>
      <c r="O25" s="1" t="s">
        <v>11</v>
      </c>
      <c r="P25" s="5" t="s">
        <v>58</v>
      </c>
    </row>
    <row r="26" spans="1:16" x14ac:dyDescent="0.2">
      <c r="A26" s="1" t="s">
        <v>26</v>
      </c>
      <c r="B26" s="1" t="s">
        <v>49</v>
      </c>
      <c r="C26" s="1">
        <v>314</v>
      </c>
      <c r="E26" s="1" t="s">
        <v>1</v>
      </c>
      <c r="F26" s="1">
        <v>314</v>
      </c>
      <c r="G26" s="1" t="s">
        <v>52</v>
      </c>
      <c r="H26" s="1">
        <v>2003</v>
      </c>
      <c r="I26" s="1">
        <v>0.04</v>
      </c>
      <c r="J26" s="1">
        <v>0.5</v>
      </c>
      <c r="K26" s="1">
        <v>3.1</v>
      </c>
      <c r="L26" s="1">
        <v>0.4</v>
      </c>
      <c r="M26" s="1">
        <v>0</v>
      </c>
      <c r="N26" s="1">
        <v>0.4</v>
      </c>
      <c r="O26" s="1" t="s">
        <v>2</v>
      </c>
      <c r="P26" s="5" t="s">
        <v>58</v>
      </c>
    </row>
    <row r="27" spans="1:16" x14ac:dyDescent="0.2">
      <c r="A27" s="1" t="s">
        <v>26</v>
      </c>
      <c r="B27" s="1" t="s">
        <v>50</v>
      </c>
      <c r="C27" s="1">
        <v>314</v>
      </c>
      <c r="E27" s="1" t="s">
        <v>1</v>
      </c>
      <c r="F27" s="1">
        <v>314</v>
      </c>
      <c r="I27" s="1">
        <v>0.04</v>
      </c>
      <c r="J27" s="1">
        <v>0.5</v>
      </c>
      <c r="K27" s="1">
        <v>3.1</v>
      </c>
      <c r="L27" s="1">
        <v>0</v>
      </c>
      <c r="M27" s="1">
        <v>0</v>
      </c>
      <c r="N27" s="1">
        <v>0</v>
      </c>
      <c r="O27" s="1" t="s">
        <v>2</v>
      </c>
      <c r="P27" s="5" t="s">
        <v>58</v>
      </c>
    </row>
    <row r="28" spans="1:16" x14ac:dyDescent="0.2">
      <c r="A28" s="1" t="s">
        <v>29</v>
      </c>
      <c r="B28" s="1" t="s">
        <v>0</v>
      </c>
      <c r="C28" s="1" t="s">
        <v>1</v>
      </c>
      <c r="F28" s="1" t="s">
        <v>1</v>
      </c>
      <c r="I28" s="1">
        <v>0.04</v>
      </c>
      <c r="J28" s="1">
        <v>0.5</v>
      </c>
      <c r="K28" s="1" t="s">
        <v>1</v>
      </c>
      <c r="L28" s="1">
        <v>0.32</v>
      </c>
      <c r="M28" s="1">
        <v>0</v>
      </c>
      <c r="N28" s="1">
        <v>0.32</v>
      </c>
      <c r="O28" s="1" t="s">
        <v>2</v>
      </c>
    </row>
    <row r="29" spans="1:16" x14ac:dyDescent="0.2">
      <c r="A29" s="1" t="s">
        <v>30</v>
      </c>
      <c r="B29" s="1" t="s">
        <v>17</v>
      </c>
      <c r="C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>
        <v>0.04</v>
      </c>
      <c r="J29" s="1">
        <v>0.1</v>
      </c>
      <c r="K29" s="1">
        <v>0</v>
      </c>
      <c r="L29" s="1">
        <v>0</v>
      </c>
      <c r="M29" s="1">
        <v>0</v>
      </c>
      <c r="N29" s="1">
        <v>0</v>
      </c>
      <c r="O29" s="1" t="s">
        <v>11</v>
      </c>
    </row>
    <row r="30" spans="1:16" x14ac:dyDescent="0.2">
      <c r="A30" s="1" t="s">
        <v>31</v>
      </c>
      <c r="B30" s="1" t="s">
        <v>32</v>
      </c>
      <c r="C30" s="3">
        <v>665550</v>
      </c>
      <c r="D30" s="3"/>
      <c r="E30" s="1" t="s">
        <v>1</v>
      </c>
      <c r="F30" s="3">
        <v>654437</v>
      </c>
      <c r="G30" s="3">
        <v>2</v>
      </c>
      <c r="H30" s="1">
        <v>2006</v>
      </c>
      <c r="I30" s="1">
        <v>8.5999999999999993E-2</v>
      </c>
      <c r="J30" s="1">
        <v>0.5</v>
      </c>
      <c r="K30" s="3">
        <v>14070</v>
      </c>
      <c r="L30" s="1">
        <v>1.9</v>
      </c>
      <c r="M30" s="1">
        <v>667</v>
      </c>
      <c r="N30" s="1">
        <v>669</v>
      </c>
      <c r="O30" s="1" t="s">
        <v>11</v>
      </c>
    </row>
    <row r="31" spans="1:16" x14ac:dyDescent="0.2">
      <c r="A31" s="1" t="s">
        <v>45</v>
      </c>
      <c r="B31" s="1" t="s">
        <v>33</v>
      </c>
      <c r="C31" s="3">
        <v>26880</v>
      </c>
      <c r="D31" s="3"/>
      <c r="E31" s="1" t="s">
        <v>1</v>
      </c>
      <c r="F31" s="1" t="s">
        <v>1</v>
      </c>
      <c r="G31" s="1" t="s">
        <v>53</v>
      </c>
      <c r="H31" s="1">
        <v>1990</v>
      </c>
      <c r="I31" s="1">
        <v>0.04</v>
      </c>
      <c r="J31" s="1">
        <v>0.5</v>
      </c>
      <c r="K31" s="1" t="s">
        <v>6</v>
      </c>
      <c r="L31" s="1">
        <v>0</v>
      </c>
      <c r="M31" s="1">
        <v>0</v>
      </c>
      <c r="N31" s="1">
        <v>0</v>
      </c>
      <c r="O31" s="1" t="s">
        <v>2</v>
      </c>
    </row>
    <row r="32" spans="1:16" x14ac:dyDescent="0.2">
      <c r="A32" s="1" t="s">
        <v>34</v>
      </c>
      <c r="B32" s="1" t="s">
        <v>0</v>
      </c>
      <c r="C32" s="1" t="s">
        <v>1</v>
      </c>
      <c r="F32" s="1" t="s">
        <v>1</v>
      </c>
      <c r="I32" s="1">
        <v>0.12</v>
      </c>
      <c r="J32" s="1">
        <v>0.5</v>
      </c>
      <c r="K32" s="1" t="s">
        <v>1</v>
      </c>
      <c r="L32" s="1">
        <v>0.8</v>
      </c>
      <c r="M32" s="1">
        <v>193</v>
      </c>
      <c r="N32" s="1">
        <v>194</v>
      </c>
      <c r="O32" s="1" t="s">
        <v>2</v>
      </c>
    </row>
    <row r="33" spans="1:15" x14ac:dyDescent="0.2">
      <c r="A33" s="1" t="s">
        <v>35</v>
      </c>
      <c r="B33" s="1" t="s">
        <v>0</v>
      </c>
      <c r="C33" s="1" t="s">
        <v>1</v>
      </c>
      <c r="F33" s="1" t="s">
        <v>1</v>
      </c>
      <c r="I33" s="1">
        <v>0.12</v>
      </c>
      <c r="J33" s="1">
        <v>0.5</v>
      </c>
      <c r="K33" s="1" t="s">
        <v>1</v>
      </c>
      <c r="L33" s="1">
        <v>0.71</v>
      </c>
      <c r="M33" s="3">
        <v>9567</v>
      </c>
      <c r="N33" s="3">
        <v>9568</v>
      </c>
      <c r="O33" s="1" t="s">
        <v>2</v>
      </c>
    </row>
    <row r="34" spans="1:15" x14ac:dyDescent="0.2">
      <c r="A34" s="1" t="s">
        <v>36</v>
      </c>
      <c r="B34" s="1" t="s">
        <v>37</v>
      </c>
      <c r="C34" s="1" t="s">
        <v>1</v>
      </c>
      <c r="F34" s="1" t="s">
        <v>1</v>
      </c>
      <c r="I34" s="1">
        <v>0.04</v>
      </c>
      <c r="J34" s="1">
        <v>0.1</v>
      </c>
      <c r="K34" s="1" t="s">
        <v>1</v>
      </c>
      <c r="L34" s="1">
        <v>2</v>
      </c>
      <c r="M34" s="1">
        <v>0</v>
      </c>
      <c r="N34" s="1">
        <v>2</v>
      </c>
      <c r="O34" s="1" t="s">
        <v>11</v>
      </c>
    </row>
    <row r="35" spans="1:15" x14ac:dyDescent="0.2">
      <c r="A35" s="1" t="s">
        <v>38</v>
      </c>
      <c r="B35" s="1" t="s">
        <v>0</v>
      </c>
      <c r="C35" s="1" t="s">
        <v>1</v>
      </c>
      <c r="F35" s="1" t="s">
        <v>1</v>
      </c>
      <c r="I35" s="1">
        <v>0.12</v>
      </c>
      <c r="J35" s="1">
        <v>0.5</v>
      </c>
      <c r="K35" s="1" t="s">
        <v>1</v>
      </c>
      <c r="L35" s="1">
        <v>0.88</v>
      </c>
      <c r="M35" s="3">
        <v>5265</v>
      </c>
      <c r="N35" s="3">
        <v>5266</v>
      </c>
      <c r="O35" s="1" t="s">
        <v>2</v>
      </c>
    </row>
    <row r="36" spans="1:15" x14ac:dyDescent="0.2">
      <c r="A36" s="1" t="s">
        <v>46</v>
      </c>
      <c r="B36" s="1" t="s">
        <v>0</v>
      </c>
      <c r="C36" s="1" t="s">
        <v>1</v>
      </c>
      <c r="F36" s="1" t="s">
        <v>1</v>
      </c>
      <c r="I36" s="1">
        <v>0.04</v>
      </c>
      <c r="J36" s="1">
        <v>0.5</v>
      </c>
      <c r="K36" s="1" t="s">
        <v>1</v>
      </c>
      <c r="L36" s="1">
        <v>0</v>
      </c>
      <c r="M36" s="1">
        <v>0</v>
      </c>
      <c r="N36" s="1">
        <v>0</v>
      </c>
      <c r="O36" s="1" t="s">
        <v>2</v>
      </c>
    </row>
    <row r="37" spans="1:15" x14ac:dyDescent="0.2">
      <c r="A37" s="1" t="s">
        <v>39</v>
      </c>
      <c r="B37" s="1" t="s">
        <v>40</v>
      </c>
      <c r="C37" s="1">
        <f>AVERAGE(45095,55832)</f>
        <v>50463.5</v>
      </c>
      <c r="D37" s="1" t="s">
        <v>75</v>
      </c>
      <c r="F37" s="3">
        <v>44404</v>
      </c>
      <c r="G37" s="3">
        <v>3</v>
      </c>
      <c r="H37" s="1">
        <v>2005</v>
      </c>
      <c r="I37" s="1">
        <v>0.12</v>
      </c>
      <c r="J37" s="1">
        <v>0.75</v>
      </c>
      <c r="K37" s="3">
        <v>1998</v>
      </c>
      <c r="L37" s="1">
        <v>1.4</v>
      </c>
      <c r="M37" s="1">
        <v>12</v>
      </c>
      <c r="N37" s="1">
        <v>16.7</v>
      </c>
      <c r="O37" s="1" t="s">
        <v>11</v>
      </c>
    </row>
    <row r="38" spans="1:15" x14ac:dyDescent="0.2">
      <c r="A38" s="1" t="s">
        <v>39</v>
      </c>
      <c r="B38" s="1" t="s">
        <v>41</v>
      </c>
      <c r="C38" s="3">
        <v>38988</v>
      </c>
      <c r="D38" s="3"/>
      <c r="F38" s="3">
        <v>38988</v>
      </c>
      <c r="G38" s="3">
        <v>3</v>
      </c>
      <c r="H38" s="1">
        <v>2005</v>
      </c>
      <c r="I38" s="1">
        <v>0.12</v>
      </c>
      <c r="J38" s="1">
        <v>0.1</v>
      </c>
      <c r="K38" s="1">
        <v>234</v>
      </c>
      <c r="L38" s="1">
        <v>26.2</v>
      </c>
      <c r="M38" s="1">
        <v>135</v>
      </c>
      <c r="N38" s="1">
        <v>162</v>
      </c>
      <c r="O38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tabula-Alaska_2008_Appendix2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2026-05-19T17:21:32Z</dcterms:created>
  <dcterms:modified xsi:type="dcterms:W3CDTF">2026-05-26T05:14:14Z</dcterms:modified>
</cp:coreProperties>
</file>