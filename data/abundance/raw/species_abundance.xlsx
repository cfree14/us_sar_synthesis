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C_abundance_data_situation" sheetId="1" r:id="rId5"/>
    <sheet state="visible" name="SAR" sheetId="2" r:id="rId6"/>
    <sheet state="visible" name="metadata" sheetId="3" r:id="rId7"/>
    <sheet state="visible" name="U.S." sheetId="4" r:id="rId8"/>
    <sheet state="visible" name="U.S. growth rates" sheetId="5" r:id="rId9"/>
    <sheet state="visible" name="Australia" sheetId="6" r:id="rId10"/>
    <sheet state="visible" name="Canada" sheetId="7" r:id="rId11"/>
    <sheet state="visible" name="Antarctica" sheetId="8" r:id="rId12"/>
    <sheet state="visible" name="Species Count Data" sheetId="9" r:id="rId13"/>
    <sheet state="visible" name="Species Check List" sheetId="10" r:id="rId14"/>
  </sheets>
  <definedNames>
    <definedName hidden="1" localSheetId="6" name="_xlnm._FilterDatabase">Canada!$A$1:$A$982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tc={30d8e67d-a768-4fe6-beb8-ec12d9cb775a}</author>
    <author>tc={f1775f58-3555-4877-af53-a348085dbea6}</author>
  </authors>
  <commentList>
    <comment authorId="0" xr:uid="{30d8e67d-a768-4fe6-beb8-ec12d9cb775a}" ref="O38">
      <text>
        <t xml:space="preserve">[Threaded comment]
 Your version of Excel allows you to read this threaded comment; however, any edits to it will get removed if the file is opened in a newer version of Excel. Learn more: https://go.microsoft.com/fwlink/?linkid=870924
Comment:
	This is complicated
</t>
      </text>
    </comment>
    <comment authorId="1" xr:uid="{f1775f58-3555-4877-af53-a348085dbea6}" ref="D1">
      <text>
        <t xml:space="preserve">[Threaded comment]
 Your version of Excel allows you to read this threaded comment; however, any edits to it will get removed if the file is opened in a newer version of Excel. Learn more: https://go.microsoft.com/fwlink/?linkid=870924
Comment:
	This year is the year of Nmin?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tc={10f0b756-6a8d-40dc-851c-31850f8bd8cc}</author>
    <author>tc={1a2043b4-9075-41ef-b7f4-5a3a771a6bc2}</author>
    <author>tc={356de4bd-cca8-4c26-953a-ceaa0ccdc49f}</author>
    <author>tc={588275d9-a1c8-4e8d-bfce-bc42e3c78426}</author>
    <author>tc={67a6cae5-b799-4e90-b7ed-728dc56d9470}</author>
  </authors>
  <commentList>
    <comment authorId="0" xr:uid="{10f0b756-6a8d-40dc-851c-31850f8bd8cc}" ref="K39">
      <text>
        <t xml:space="preserve">[Threaded comment]
 Your version of Excel allows you to read this threaded comment; however, any edits to it will get removed if the file is opened in a newer version of Excel. Learn more: https://go.microsoft.com/fwlink/?linkid=870924
Comment:
	N/A?, ranged between 6000 and 9500
</t>
      </text>
    </comment>
    <comment authorId="1" xr:uid="{1a2043b4-9075-41ef-b7f4-5a3a771a6bc2}" ref="A1336">
      <text>
        <t xml:space="preserve">[Threaded comment]
 Your version of Excel allows you to read this threaded comment; however, any edits to it will get removed if the file is opened in a newer version of Excel. Learn more: https://go.microsoft.com/fwlink/?linkid=870924
Comment:
	data is counted but falls within the predicted range - not sure what to do
</t>
      </text>
    </comment>
    <comment authorId="2" xr:uid="{356de4bd-cca8-4c26-953a-ceaa0ccdc49f}" ref="A1336">
      <text>
        <t xml:space="preserve">[Threaded comment]
 Your version of Excel allows you to read this threaded comment; however, any edits to it will get removed if the file is opened in a newer version of Excel. Learn more: https://go.microsoft.com/fwlink/?linkid=870924
Comment:
	realized vs predicted (but predicted is in the same graph area as realized)
</t>
      </text>
    </comment>
    <comment authorId="3" xr:uid="{588275d9-a1c8-4e8d-bfce-bc42e3c78426}" ref="F217">
      <text>
        <t xml:space="preserve">[Threaded comment]
 Your version of Excel allows you to read this threaded comment; however, any edits to it will get removed if the file is opened in a newer version of Excel. Learn more: https://go.microsoft.com/fwlink/?linkid=870924
Comment:
	Line-transect?
</t>
      </text>
    </comment>
    <comment authorId="4" xr:uid="{67a6cae5-b799-4e90-b7ed-728dc56d9470}" ref="F995">
      <text>
        <t xml:space="preserve">[Threaded comment]
 Your version of Excel allows you to read this threaded comment; however, any edits to it will get removed if the file is opened in a newer version of Excel. Learn more: https://go.microsoft.com/fwlink/?linkid=870924
Comment:
	the author estimates the total pups from the combined survey types
</t>
      </text>
    </comment>
  </commentList>
</comments>
</file>

<file path=xl/sharedStrings.xml><?xml version="1.0" encoding="utf-8"?>
<sst xmlns="http://schemas.openxmlformats.org/spreadsheetml/2006/main" count="50310" uniqueCount="1492">
  <si>
    <t>stock</t>
  </si>
  <si>
    <t>reference</t>
  </si>
  <si>
    <t>country</t>
  </si>
  <si>
    <t>region</t>
  </si>
  <si>
    <t>common_name</t>
  </si>
  <si>
    <t>has abundance data?</t>
  </si>
  <si>
    <t>species</t>
  </si>
  <si>
    <t>years with abundance data</t>
  </si>
  <si>
    <t>growth_rate</t>
  </si>
  <si>
    <t xml:space="preserve">recovery factor </t>
  </si>
  <si>
    <t>pbr</t>
  </si>
  <si>
    <t>ref_link</t>
  </si>
  <si>
    <t>citation</t>
  </si>
  <si>
    <t>notes</t>
  </si>
  <si>
    <t>CA sea lion (U.S.)</t>
  </si>
  <si>
    <t>yes</t>
  </si>
  <si>
    <t>&gt;7 years</t>
  </si>
  <si>
    <t>* Laake et al., 2018</t>
  </si>
  <si>
    <t>Harbor seal (California)</t>
  </si>
  <si>
    <r>
      <rPr>
        <rFont val="Arial"/>
        <b/>
        <color theme="1"/>
      </rPr>
      <t xml:space="preserve">Example: </t>
    </r>
    <r>
      <rPr>
        <rFont val="Arial"/>
        <color theme="1"/>
      </rPr>
      <t>Laake et al. (2018)</t>
    </r>
  </si>
  <si>
    <t>USA</t>
  </si>
  <si>
    <t>US West Coast</t>
  </si>
  <si>
    <t>California sea lion</t>
  </si>
  <si>
    <t>Zalophus californianus</t>
  </si>
  <si>
    <t>Harbor seal (Oregon &amp; Washington Coast)</t>
  </si>
  <si>
    <t>Harbor seal (Washington Inland)</t>
  </si>
  <si>
    <t>https://wildlife.onlinelibrary.wiley.com/doi/10.1002/jwmg.21405</t>
  </si>
  <si>
    <t>* Pearson et al., 2023</t>
  </si>
  <si>
    <t>Northern elephant seal (California breeding)</t>
  </si>
  <si>
    <t>pup count</t>
  </si>
  <si>
    <t>Northern fur seal (California)</t>
  </si>
  <si>
    <t>Harbor porpoise (Morro bay)</t>
  </si>
  <si>
    <t>* Forney et al., 2020, abd data has high uncertainty and cannot be used</t>
  </si>
  <si>
    <t>area</t>
  </si>
  <si>
    <t>Harbor porpoise (Monterey bay)</t>
  </si>
  <si>
    <t>stock_id</t>
  </si>
  <si>
    <t>survey_method</t>
  </si>
  <si>
    <t>Harbor porpoise (SF-Russian river)</t>
  </si>
  <si>
    <t>abundance_units</t>
  </si>
  <si>
    <t>year</t>
  </si>
  <si>
    <t>abundance</t>
  </si>
  <si>
    <t>Harbor porpoise (Northern California-Southern Oregon)</t>
  </si>
  <si>
    <t>Harbor porpoise (Washington Inland water)</t>
  </si>
  <si>
    <t>Region</t>
  </si>
  <si>
    <t>abundance_low</t>
  </si>
  <si>
    <t>abundance_hi</t>
  </si>
  <si>
    <t>no</t>
  </si>
  <si>
    <t>/</t>
  </si>
  <si>
    <t>source_type (digitize/actual)</t>
  </si>
  <si>
    <t>Dall's porpoise (CA/OR/WA)</t>
  </si>
  <si>
    <t>5 years (2 extra years for CA water only)</t>
  </si>
  <si>
    <t>SAR Revised date</t>
  </si>
  <si>
    <t>abd has high uncertainty and cannot be used</t>
  </si>
  <si>
    <t>Laake, J.L., Lowry, M.S., DeLong, R.L., Melin, S.R. and Carretta, J.V., 2018. Population growth and status of California sea lions. The Journal of Wildlife Management, 82(3), pp.583-595.</t>
  </si>
  <si>
    <t>Stock</t>
  </si>
  <si>
    <t>Pacific white-sided dolphin (CA/OR/WA, Northern and Southern)</t>
  </si>
  <si>
    <t>Year</t>
  </si>
  <si>
    <t>(NOAA Fisheries, 2021)</t>
  </si>
  <si>
    <t>Nmin numbers</t>
  </si>
  <si>
    <t>Risso's dolphin (CA/OR/WA)</t>
  </si>
  <si>
    <t xml:space="preserve">Eastern North Pacific </t>
  </si>
  <si>
    <t>Blue whale</t>
  </si>
  <si>
    <t>Balaenoptera musculus musculus</t>
  </si>
  <si>
    <t>Nmin method</t>
  </si>
  <si>
    <t>Common bottlenose dolphin (California coastal)</t>
  </si>
  <si>
    <t>* Weller et al., 2016, abd data is in 2 years rather than annual abundance</t>
  </si>
  <si>
    <t>https://media.fisheries.noaa.gov/2022-08/2021-PacBluewhale-Eastern%20North%20Pacific%20Stock.pdf</t>
  </si>
  <si>
    <t>R(max)</t>
  </si>
  <si>
    <t>California-Oregon-Washington</t>
  </si>
  <si>
    <t>Common bottlenose dolphin (Offshore coastal)</t>
  </si>
  <si>
    <t>Baird's beaked whale</t>
  </si>
  <si>
    <t>BABEWHALE-CA/OR/WA</t>
  </si>
  <si>
    <t>Bayesian Line-transect</t>
  </si>
  <si>
    <t>Recovery Factor (RF)</t>
  </si>
  <si>
    <t>Total Number</t>
  </si>
  <si>
    <t>Striped dolphin (CA/OR/WA)</t>
  </si>
  <si>
    <t>PBR</t>
  </si>
  <si>
    <t>Trend</t>
  </si>
  <si>
    <t>Short-beaked common dolphin (CA/OR/WA)</t>
  </si>
  <si>
    <t>Strategic?</t>
  </si>
  <si>
    <t>MNPL</t>
  </si>
  <si>
    <t>actual</t>
  </si>
  <si>
    <t>Long-beaked common dolphin (California)</t>
  </si>
  <si>
    <t>Within OSP?</t>
  </si>
  <si>
    <t>https://media.fisheries.noaa.gov/2022-08/pacific-2021-beaked-whale-mesoplodont.pdf</t>
  </si>
  <si>
    <t>Year range (SM/I)</t>
  </si>
  <si>
    <t>NOAA Fisheries. (2021). BLUE WHALE (Balaenoptera musculus musculus): Eastern North Pacific Stock. https://media.fisheries.noaa.gov/2022-08/2021-PacBluewhale-Eastern%20North%20Pacific%20Stock.pdf</t>
  </si>
  <si>
    <t>Northern right-whale dolphin (CA/OR/WA)</t>
  </si>
  <si>
    <t>(NOAA Fisheries, 2022)</t>
  </si>
  <si>
    <t xml:space="preserve">Western Arctic </t>
  </si>
  <si>
    <t># of sources (SM/I)</t>
  </si>
  <si>
    <t>Bowhead whale</t>
  </si>
  <si>
    <t>Balaena mysticetus</t>
  </si>
  <si>
    <t>Killer whale (Eastern North Pacific offshore)</t>
  </si>
  <si>
    <t># of SM/I</t>
  </si>
  <si>
    <t>https://www.fisheries.noaa.gov/s3/2023-08/Bowhead-Whale-WAS-2022.pdf</t>
  </si>
  <si>
    <t>MMPA Stock status</t>
  </si>
  <si>
    <t>Killer whale (Eastern North Pacific Southern Resident)</t>
  </si>
  <si>
    <t>* Extreme endangered species, the abundance is the direct count of each individual</t>
  </si>
  <si>
    <t>ESA stock status</t>
  </si>
  <si>
    <t>Note</t>
  </si>
  <si>
    <t>Short-finned pilot whale (CA/OR/WA)</t>
  </si>
  <si>
    <t>Baird's beaked whale (CA/OR/WA)</t>
  </si>
  <si>
    <t>7 years</t>
  </si>
  <si>
    <t>*abd data from Bayesian trend analysis</t>
  </si>
  <si>
    <t>NOAA Fisheries. (2022). BOWHEAD WHALE (Balaena mysticetus): Western Arctic Stock. 03/15/2022. https://www.fisheries.noaa.gov/s3/2023-08/Bowhead-Whale-WAS-2022.pdf</t>
  </si>
  <si>
    <t>Mesoplodon beaked whale (CA/OR/WA)</t>
  </si>
  <si>
    <t>Pacific</t>
  </si>
  <si>
    <t>California/Oregon/Washington</t>
  </si>
  <si>
    <t>Fin whale</t>
  </si>
  <si>
    <t>Balaenoptera physalus velifera</t>
  </si>
  <si>
    <t>https://media.fisheries.noaa.gov/2022-08/2021-PACfinwhale-CaliforniaOregonWashington%20Stock.pdf</t>
  </si>
  <si>
    <t>Cuvier's beaked whale (CA/OR/WA)</t>
  </si>
  <si>
    <t>California sea lion (U.S.)</t>
  </si>
  <si>
    <t>Pygmy sperm whale (CA/OR/WA)</t>
  </si>
  <si>
    <r>
      <rPr>
        <rFont val="Arial"/>
        <color rgb="FF000000"/>
      </rPr>
      <t xml:space="preserve">NOAA Fisheries. (2021). BAIRD’S BEAKED WHALE (Berardius bairdii): California/Oregon/Washington Stock. </t>
    </r>
    <r>
      <rPr>
        <rFont val="Arial"/>
        <color rgb="FF1155CC"/>
        <u/>
      </rPr>
      <t>https://media.fisheries.noaa.gov/2022-08/pacific-2021-beaked-whale-mesoplodont.pdf</t>
    </r>
  </si>
  <si>
    <t>Dwarf sperm whale (CA/OR/WA)</t>
  </si>
  <si>
    <t>logistic growth model</t>
  </si>
  <si>
    <t>12%-default (7% Laake et al., 2018)</t>
  </si>
  <si>
    <t>Sperm whale (CA/OR/WA)</t>
  </si>
  <si>
    <t>NOAA Fisheries. (2021). FIN WHALE (Balaenoptera physalus velifera ): California/Oregon/Washington Stock. https://media.fisheries.noaa.gov/2022-08/2021-PACfinwhale-CaliforniaOregonWashington%20Stock.pdf</t>
  </si>
  <si>
    <t>(NOAA Fisheries, 2020)</t>
  </si>
  <si>
    <t xml:space="preserve">Northeast Pacific Stock </t>
  </si>
  <si>
    <t>Gray whale (ENP and Pacific coast feeding group)</t>
  </si>
  <si>
    <r>
      <rPr>
        <rFont val="Arial"/>
        <color rgb="FF000000"/>
      </rPr>
      <t xml:space="preserve">NOAA Fisheries. (2021). BAIRD’S BEAKED WHALE (Berardius bairdii): California/Oregon/Washington Stock. </t>
    </r>
    <r>
      <rPr>
        <rFont val="Arial"/>
        <color rgb="FF1155CC"/>
        <u/>
      </rPr>
      <t>https://media.fisheries.noaa.gov/2022-08/pacific-2021-beaked-whale-mesoplodont.pdf</t>
    </r>
  </si>
  <si>
    <t>Balaenoptera physalus</t>
  </si>
  <si>
    <t>Increasing</t>
  </si>
  <si>
    <t>https://media.fisheries.noaa.gov/2021-08/FIN-WHALE-Balaenoptera-physalus-Northeast-Pacific-Stock.pdf</t>
  </si>
  <si>
    <t>Humpback whale (CA/OR/WA)</t>
  </si>
  <si>
    <t>No</t>
  </si>
  <si>
    <r>
      <rPr>
        <rFont val="Arial"/>
        <color rgb="FF000000"/>
      </rPr>
      <t xml:space="preserve">NOAA Fisheries. (2021). BAIRD’S BEAKED WHALE (Berardius bairdii): California/Oregon/Washington Stock. </t>
    </r>
    <r>
      <rPr>
        <rFont val="Arial"/>
        <color rgb="FF1155CC"/>
        <u/>
      </rPr>
      <t>https://media.fisheries.noaa.gov/2022-08/pacific-2021-beaked-whale-mesoplodont.pdf</t>
    </r>
  </si>
  <si>
    <t>Blue whale (ENP)</t>
  </si>
  <si>
    <t>Yes</t>
  </si>
  <si>
    <t>2004-2016</t>
  </si>
  <si>
    <t>Fin whale (CA/OR/WA)</t>
  </si>
  <si>
    <t>7 (5 observer + 2 stranding)</t>
  </si>
  <si>
    <r>
      <rPr>
        <rFont val="Arial"/>
        <color rgb="FF000000"/>
      </rPr>
      <t xml:space="preserve">NOAA Fisheries. (2021). BAIRD’S BEAKED WHALE (Berardius bairdii): California/Oregon/Washington Stock. </t>
    </r>
    <r>
      <rPr>
        <rFont val="Arial"/>
        <color rgb="FF1155CC"/>
        <u/>
      </rPr>
      <t>https://media.fisheries.noaa.gov/2022-08/pacific-2021-beaked-whale-mesoplodont.pdf</t>
    </r>
  </si>
  <si>
    <t>Sei whale (ENP)</t>
  </si>
  <si>
    <t>NOAA Fisheries. (2020). FIN WHALE (Balaenoptera physalus): Northeast Pacific Stock. https://media.fisheries.noaa.gov/2021-08/FIN-WHALE-Balaenoptera-physalus-Northeast-Pacific-Stock.pdf</t>
  </si>
  <si>
    <t>197 (mean)</t>
  </si>
  <si>
    <t>Non-depleted</t>
  </si>
  <si>
    <t>Gray whale</t>
  </si>
  <si>
    <t>Minke whale (CA/OR/WA)</t>
  </si>
  <si>
    <t>Eschrichtius robustus</t>
  </si>
  <si>
    <t>Not listed</t>
  </si>
  <si>
    <t>https://www.fisheries.noaa.gov/s3/2021-08/2020-Pacific-SARS-Eastern-GrayWhale-dragged-.pdf</t>
  </si>
  <si>
    <r>
      <rPr>
        <rFont val="Arial"/>
        <color rgb="FF000000"/>
      </rPr>
      <t xml:space="preserve">NOAA Fisheries. (2021). BAIRD’S BEAKED WHALE (Berardius bairdii): California/Oregon/Washington Stock. </t>
    </r>
    <r>
      <rPr>
        <rFont val="Arial"/>
        <color rgb="FF1155CC"/>
        <u/>
      </rPr>
      <t>https://media.fisheries.noaa.gov/2022-08/pacific-2021-beaked-whale-mesoplodont.pdf</t>
    </r>
  </si>
  <si>
    <t>Bryde's whale (ENP Tropical)</t>
  </si>
  <si>
    <t>Guadalupe fur seal (Mexico)</t>
  </si>
  <si>
    <r>
      <rPr>
        <rFont val="Arial"/>
        <color rgb="FF000000"/>
      </rPr>
      <t xml:space="preserve">NOAA Fisheries. (2021). BAIRD’S BEAKED WHALE (Berardius bairdii): California/Oregon/Washington Stock. </t>
    </r>
    <r>
      <rPr>
        <rFont val="Arial"/>
        <color rgb="FF1155CC"/>
        <u/>
      </rPr>
      <t>https://media.fisheries.noaa.gov/2022-08/pacific-2021-beaked-whale-mesoplodont.pdf</t>
    </r>
  </si>
  <si>
    <t>Gray whale (WNP)</t>
  </si>
  <si>
    <t>NOAA Fisheries. (2020). GRAY WHALE (Eschrichtius robustus): Eastern North Pacific Stock. https://www.fisheries.noaa.gov/s3/2021-08/2020-Pacific-SARS-Eastern-GrayWhale-dragged-.pdf</t>
  </si>
  <si>
    <r>
      <rPr>
        <rFont val="Arial"/>
        <color rgb="FF000000"/>
      </rPr>
      <t xml:space="preserve">NOAA Fisheries. (2021). BAIRD’S BEAKED WHALE (Berardius bairdii): California/Oregon/Washington Stock. </t>
    </r>
    <r>
      <rPr>
        <rFont val="Arial"/>
        <color rgb="FF1155CC"/>
        <u/>
      </rPr>
      <t>https://media.fisheries.noaa.gov/2022-08/pacific-2021-beaked-whale-mesoplodont.pdf</t>
    </r>
  </si>
  <si>
    <t>Southern sea otter (California)</t>
  </si>
  <si>
    <t>Humpback whale</t>
  </si>
  <si>
    <t>Northern sea otter (Washington)</t>
  </si>
  <si>
    <t>Megaptera novaeangliae</t>
  </si>
  <si>
    <t xml:space="preserve">Species distribution model </t>
  </si>
  <si>
    <t xml:space="preserve">Total Number </t>
  </si>
  <si>
    <t>https://media.fisheries.noaa.gov/2022-08/2021-HumpbackWhale-CaliforniaOregonWashington%20Stock.pdf</t>
  </si>
  <si>
    <t xml:space="preserve">actual </t>
  </si>
  <si>
    <r>
      <rPr>
        <rFont val="Arial"/>
        <color rgb="FF000000"/>
      </rPr>
      <t xml:space="preserve">NOAA Fisheries. (2021). BAIRD’S BEAKED WHALE (Berardius bairdii): California/Oregon/Washington Stock. </t>
    </r>
    <r>
      <rPr>
        <rFont val="Arial"/>
        <color rgb="FF1155CC"/>
        <u/>
      </rPr>
      <t>https://media.fisheries.noaa.gov/2022-08/pacific-2021-beaked-whale-mesoplodont.pdf</t>
    </r>
  </si>
  <si>
    <t>Haul out count</t>
  </si>
  <si>
    <t>12%-default</t>
  </si>
  <si>
    <t>NOAA Fisheries. (2021). HUMPBACK WHALE (Megaptera novaeangliae): California/Oregon/Washington Stock. https://media.fisheries.noaa.gov/2022-08/2021-HumpbackWhale-CaliforniaOregonWashington%20Stock.pdf</t>
  </si>
  <si>
    <r>
      <rPr>
        <rFont val="Arial"/>
        <color rgb="FF000000"/>
      </rPr>
      <t xml:space="preserve">NOAA Fisheries. (2021). BAIRD’S BEAKED WHALE (Berardius bairdii): California/Oregon/Washington Stock. </t>
    </r>
    <r>
      <rPr>
        <rFont val="Arial"/>
        <color rgb="FF1155CC"/>
        <u/>
      </rPr>
      <t>https://media.fisheries.noaa.gov/2022-08/pacific-2021-beaked-whale-mesoplodont.pdf</t>
    </r>
  </si>
  <si>
    <t>(NOAA Fisheries, 2019)</t>
  </si>
  <si>
    <t>Gulf of Maine</t>
  </si>
  <si>
    <t>https://s3.amazonaws.com/media.fisheries.noaa.gov/2020-10/2019%20humpback%20whale%20gulf%20of%20Maine%20508.pdf?null</t>
  </si>
  <si>
    <r>
      <rPr>
        <rFont val="Arial"/>
        <color rgb="FF000000"/>
      </rPr>
      <t xml:space="preserve">NOAA Fisheries. (2021). BAIRD’S BEAKED WHALE (Berardius bairdii): California/Oregon/Washington Stock. </t>
    </r>
    <r>
      <rPr>
        <rFont val="Arial"/>
        <color rgb="FF1155CC"/>
        <u/>
      </rPr>
      <t>https://media.fisheries.noaa.gov/2022-08/pacific-2021-beaked-whale-mesoplodont.pdf</t>
    </r>
  </si>
  <si>
    <t>NA</t>
  </si>
  <si>
    <t>Unknown</t>
  </si>
  <si>
    <r>
      <rPr>
        <rFont val="Arial"/>
        <color rgb="FF000000"/>
      </rPr>
      <t xml:space="preserve">NOAA Fisheries. (2021). BAIRD’S BEAKED WHALE (Berardius bairdii): California/Oregon/Washington Stock. </t>
    </r>
    <r>
      <rPr>
        <rFont val="Arial"/>
        <color rgb="FF1155CC"/>
        <u/>
      </rPr>
      <t>https://media.fisheries.noaa.gov/2022-08/pacific-2021-beaked-whale-mesoplodont.pdf</t>
    </r>
  </si>
  <si>
    <t>2005-2012</t>
  </si>
  <si>
    <t>4 (3 observer + 1 stranding)</t>
  </si>
  <si>
    <t>30 (mean)</t>
  </si>
  <si>
    <r>
      <rPr>
        <rFont val="Arial"/>
        <color rgb="FF000000"/>
      </rPr>
      <t xml:space="preserve">NOAA Fisheries. (2021). BAIRD’S BEAKED WHALE (Berardius bairdii): California/Oregon/Washington Stock. </t>
    </r>
    <r>
      <rPr>
        <rFont val="Arial"/>
        <color rgb="FF1155CC"/>
        <u/>
      </rPr>
      <t>https://media.fisheries.noaa.gov/2022-08/pacific-2021-beaked-whale-mesoplodont.pdf</t>
    </r>
  </si>
  <si>
    <t>NOAA Fisheries. (2019). HUMPBACK WHALE (Megaptera novaeangliae): Gulf of Maine Stock. https://s3.amazonaws.com/media.fisheries.noaa.gov/2020-10/2019%20humpback%20whale%20gulf%20of%20Maine%20508.pdf?null</t>
  </si>
  <si>
    <t xml:space="preserve">Western Atlantic </t>
  </si>
  <si>
    <t>North Atlantic right whale</t>
  </si>
  <si>
    <t>Eubalaena glacialis</t>
  </si>
  <si>
    <t>https://www.fisheries.noaa.gov/s3/2023-08/North-Atlantic-Right-Whale-Western-Atlantic-2022.pdf</t>
  </si>
  <si>
    <r>
      <rPr>
        <rFont val="Arial"/>
        <color rgb="FF000000"/>
      </rPr>
      <t xml:space="preserve">NOAA Fisheries. (2021). BAIRD’S BEAKED WHALE (Berardius bairdii): California/Oregon/Washington Stock. </t>
    </r>
    <r>
      <rPr>
        <rFont val="Arial"/>
        <color rgb="FF1155CC"/>
        <u/>
      </rPr>
      <t>https://media.fisheries.noaa.gov/2022-08/pacific-2021-beaked-whale-mesoplodont.pdf</t>
    </r>
  </si>
  <si>
    <t>Harbor seal (Oregon Coast)</t>
  </si>
  <si>
    <t xml:space="preserve">Cook Inlet </t>
  </si>
  <si>
    <t xml:space="preserve">Beluga </t>
  </si>
  <si>
    <t>BGWHALE-COINLET</t>
  </si>
  <si>
    <t>Aerial Survey</t>
  </si>
  <si>
    <t>-</t>
  </si>
  <si>
    <t>https://www.fisheries.noaa.gov/s3/2023-05/2021BELUGA-WHALE-Delphinapterus-leucas-Cook-Inlet-Stock.pdf</t>
  </si>
  <si>
    <t>12%-default (6.4%-10.1% Brown et al., 2005)</t>
  </si>
  <si>
    <t>NOAA Fisheries. (2022). North Atlantic right whale (Eubalaena glacialis): Western Atlantic Stock. https://www.fisheries.noaa.gov/s3/2023-08/North-Atlantic-Right-Whale-Western-Atlantic-2022.pdf</t>
  </si>
  <si>
    <t>Sperm whale</t>
  </si>
  <si>
    <t>Physeter macrocephalus</t>
  </si>
  <si>
    <t>https://media.fisheries.noaa.gov/dam-migration/2019_sars_spermwhale_caorwa.pdf</t>
  </si>
  <si>
    <t xml:space="preserve">Unknown, reaching to carrying capacity </t>
  </si>
  <si>
    <t>NOAA Fisheries. (2021). BELUGA WHALE (Delphinapterus leucas): Cook Inlet Stock. https://www.fisheries.noaa.gov/s3/2023-05/2021BELUGA-WHALE-Delphinapterus-leucas-Cook-Inlet-Stock.pdf</t>
  </si>
  <si>
    <t>**95% data, did not digitalize error margin because presented as line (not error bars/points)</t>
  </si>
  <si>
    <t>Unknown (previously reported within OSP)</t>
  </si>
  <si>
    <t>1990-2011</t>
  </si>
  <si>
    <t>8 (6 observer + 1 fisher self-report + 1 stranding)</t>
  </si>
  <si>
    <t>NOAA Fisheries. (2019). SPERM WHALE (Physeter macrocephalus): California/Oregon/Washington Stock. https://media.fisheries.noaa.gov/dam-migration/2019_sars_spermwhale_caorwa.pdf</t>
  </si>
  <si>
    <t>10.6 (mean)</t>
  </si>
  <si>
    <t>Cuvier's whale</t>
  </si>
  <si>
    <t>Ziphius cavirostris</t>
  </si>
  <si>
    <t>https://www.fisheries.noaa.gov/s3/2023-08/Cuviers-CAORWA-2022.pdf</t>
  </si>
  <si>
    <t>Harbor seal (Washington Coast)</t>
  </si>
  <si>
    <t>NOAA Fisheries. (2022). CUVIER’S BEAKED WHALE (Ziphius cavirostris): California/Oregon/Washington Stock. https://www.fisheries.noaa.gov/s3/2023-08/Cuviers-CAORWA-2022.pdf</t>
  </si>
  <si>
    <t>Beluga whale</t>
  </si>
  <si>
    <t>Delphinapterus leucas</t>
  </si>
  <si>
    <t>12%-default (18.5% Jeffries et al., 2003)</t>
  </si>
  <si>
    <t>Unknown, reaching to carrying capacity</t>
  </si>
  <si>
    <t>Hawaii Islands</t>
  </si>
  <si>
    <t>False killer whale</t>
  </si>
  <si>
    <t>Pseudorca crassidens</t>
  </si>
  <si>
    <t>https://media.fisheries.noaa.gov/2022-08/2021-FALSE%20KILLER%20WHALE-Hawaiian%20Islands%20Stock%20Complex.pdf</t>
  </si>
  <si>
    <t>* The latest abundacne information of this stock is updated by other study</t>
  </si>
  <si>
    <t>NOAA Fisheries. (2021). FALSE KILLER WHALE (Pseudorca crassidens): Hawaiian Islands Stock Complex – Main Hawaiian Islands Insular, Northwestern Hawaiian Islands, and Hawaii Pelagic Stocks. https://media.fisheries.noaa.gov/2022-08/2021-FALSE%20KILLER%20WHALE-Hawaiian%20Islands%20Stock%20Complex.pdf</t>
  </si>
  <si>
    <t>Harbor seal (Washington Inland Water)</t>
  </si>
  <si>
    <t xml:space="preserve">Eastern North Pacific (Southern Resident) </t>
  </si>
  <si>
    <t>Killer whale</t>
  </si>
  <si>
    <t>Orcinus orca</t>
  </si>
  <si>
    <t>https://www.fisheries.noaa.gov/s3/2023-08/Killer-Whale-Eastern-North-Pacific-2022.pdf</t>
  </si>
  <si>
    <t>12%-default (12.6% Jeffries et al., 2003)</t>
  </si>
  <si>
    <t>NOAA Fisheries. (2022). KILLER WHALE (Orcinus orca): Eastern North Pacific Southern Resident Stock. https://www.fisheries.noaa.gov/s3/2023-08/Killer-Whale-Eastern-North-Pacific-2022.pdf</t>
  </si>
  <si>
    <t xml:space="preserve">California </t>
  </si>
  <si>
    <t>Northern elephant seal</t>
  </si>
  <si>
    <t>Mirounga angustirostris</t>
  </si>
  <si>
    <t>3.1% or 12%</t>
  </si>
  <si>
    <t>https://media.fisheries.noaa.gov/2022-08/2021-NorthernElephant-California%20Breeding%20Stock.pdf</t>
  </si>
  <si>
    <t>1993-2011</t>
  </si>
  <si>
    <t>10 (5 observer + 2 fisher self-report + 3 stranding)</t>
  </si>
  <si>
    <t>9.8 (mean)</t>
  </si>
  <si>
    <t>NOAA Fisheries. (2021). NORTHERN ELEPHANT SEAL (Mirounga angustirostris): California Breeding Stock. https://media.fisheries.noaa.gov/2022-08/2021-NorthernElephant-California%20Breeding%20Stock.pdf</t>
  </si>
  <si>
    <t>Eastern Pacific</t>
  </si>
  <si>
    <t>Northern fur seal</t>
  </si>
  <si>
    <t>Callorhinus ursinus</t>
  </si>
  <si>
    <t>https://www.fisheries.noaa.gov/s3/2022-08/2021-NORTHERN-FUR-SEAL-Callorhinus-ursinus-Eastern-Pacific-Stock.pdf</t>
  </si>
  <si>
    <t>* The latest abundance information of this stock is updated by other study</t>
  </si>
  <si>
    <t>NOAA Fisheries. (2021). NORTHERN FUR SEAL (Callorhinus ursinus): Eastern Pacific Stock. https://www.fisheries.noaa.gov/s3/2022-08/2021-NORTHERN-FUR-SEAL-Callorhinus-ursinus-Eastern-Pacific-Stock.pdf</t>
  </si>
  <si>
    <t>(NOAA Fisheries, 2018)</t>
  </si>
  <si>
    <t>U.S. West Coast</t>
  </si>
  <si>
    <t xml:space="preserve">Haul out count </t>
  </si>
  <si>
    <t>https://media.fisheries.noaa.gov/dam-migration/ca_sea_lion_final_2018_sar.pdf</t>
  </si>
  <si>
    <t>12% default (17% 1958-1987, 3.1% 1988-2013 Lowry et al., 2014)</t>
  </si>
  <si>
    <t>NOAA Fisheries. (2018). CALIFORNIA SEA LION (Zalophus californianus): U.S. Stock. https://media.fisheries.noaa.gov/dam-migration/ca_sea_lion_final_2018_sar.pdf</t>
  </si>
  <si>
    <t>USA/Canada</t>
  </si>
  <si>
    <t>Eastern U.S.</t>
  </si>
  <si>
    <t>Steller sea lion</t>
  </si>
  <si>
    <t>Eumetopias jubatus</t>
  </si>
  <si>
    <t>2012-2019</t>
  </si>
  <si>
    <t>4.25% pups, 3.22% non-pups</t>
  </si>
  <si>
    <t>https://media.fisheries.noaa.gov/dam-migration/2019_sars_alaska_steller_sea_lion_-_eastern_us.pdf</t>
  </si>
  <si>
    <t>5 (5 observer)</t>
  </si>
  <si>
    <t>Eastern North Pacific</t>
  </si>
  <si>
    <t>5.3 (mean)</t>
  </si>
  <si>
    <t>BLWHALE-ENPACIFIC</t>
  </si>
  <si>
    <t>Line-transect</t>
  </si>
  <si>
    <t>NOAA Fisheries. (2019). Steller sea lion (Eumetopias jubatus): Eastern U.S. Stock.</t>
  </si>
  <si>
    <t xml:space="preserve">Western U.S. </t>
  </si>
  <si>
    <t xml:space="preserve">digitized </t>
  </si>
  <si>
    <t>https://www.fisheries.noaa.gov/s3/2023-06/STELLERSEALIONEumetopiasjubatusWesternU.S.Stock-.pdf</t>
  </si>
  <si>
    <t>13.7%-species (Gallo 1994)</t>
  </si>
  <si>
    <t>1062 (Mexico)</t>
  </si>
  <si>
    <t>NOAA Fisheries. (2020). Steller sea lion (Eumetopias jubatus): Western U.S. Stock. https://www.fisheries.noaa.gov/s3/2023-06/STELLERSEALIONEumetopiasjubatusWesternU.S.Stock-.pdf</t>
  </si>
  <si>
    <t xml:space="preserve"> 1.63% y-1
and 1.82% growth rates in Alaska - more details in (Sweeney et al., 2019)</t>
  </si>
  <si>
    <r>
      <rPr>
        <rFont val="Arial"/>
        <color rgb="FF000000"/>
      </rPr>
      <t xml:space="preserve">NOAA Fisheries. (2021). BLUE WHALE (Balaenoptera musculus musculus): Eastern North Pacific Stock. </t>
    </r>
    <r>
      <rPr>
        <rFont val="Arial"/>
        <color rgb="FF1155CC"/>
        <u/>
      </rPr>
      <t>https://media.fisheries.noaa.gov/2022-08/2021-PacBluewhale-Eastern%20North%20Pacific%20Stock.pdf</t>
    </r>
  </si>
  <si>
    <t>Morro Bay</t>
  </si>
  <si>
    <t>Harbor porpoise</t>
  </si>
  <si>
    <t>Phocoena phocoena</t>
  </si>
  <si>
    <t xml:space="preserve">this data exceeded the bounds of the graph, so this was the uppermost point of digitalization </t>
  </si>
  <si>
    <t>https://media.fisheries.noaa.gov/2022-08/2021-HARBOR%20PORPOISE-Morro%20Bay%20Stock.pdf</t>
  </si>
  <si>
    <t>2013-2017</t>
  </si>
  <si>
    <t>3.8 (mean-US water)</t>
  </si>
  <si>
    <t xml:space="preserve">Depleted </t>
  </si>
  <si>
    <t>Threatened</t>
  </si>
  <si>
    <t>* This stock primarily breed outside U.S.</t>
  </si>
  <si>
    <t>NOAA Fisheries. (2021). HARBOR PORPOISE (Phocoena phocoena): Morro Bay Stock. https://media.fisheries.noaa.gov/2022-08/2021-HARBOR%20PORPOISE-Morro%20Bay%20Stock.pdf</t>
  </si>
  <si>
    <t xml:space="preserve">Monterey Bay </t>
  </si>
  <si>
    <t>https://media.fisheries.noaa.gov/2022-08/2021-HARBOR%20PORPOISE-Monterey%20Bay%20Stock.pdf</t>
  </si>
  <si>
    <t>NOAA Fisheries. (2021). HARBOR PORPOISE (Phocoena phocoena): Monterey Bay Stock. https://media.fisheries.noaa.gov/2022-08/2021-HARBOR%20PORPOISE-Monterey%20Bay%20Stock.pdf</t>
  </si>
  <si>
    <t xml:space="preserve">**also used citations from (Forney et al., 2021) </t>
  </si>
  <si>
    <t>San Francisco-Russian River</t>
  </si>
  <si>
    <t>12%-default (20% derived from linear regression)</t>
  </si>
  <si>
    <t>Habor porpoise</t>
  </si>
  <si>
    <t>https://media.fisheries.noaa.gov/2022-08/2021-HARBOR%20PORPOISE-San%20Francisco-Russian%20River%20Stock.pdf</t>
  </si>
  <si>
    <t>Increasing (San Miguel Island); Unknown (Farallon Island)</t>
  </si>
  <si>
    <t>2009-2013</t>
  </si>
  <si>
    <t>1 (stranding)</t>
  </si>
  <si>
    <t>1.8 (mean)</t>
  </si>
  <si>
    <t>NOAA Fisheries. (2021). HARBOR PORPOISE (Phocoena phocoena): San Francisco-Russian River Stock. https://media.fisheries.noaa.gov/2022-08/2021-HARBOR%20PORPOISE-San%20Francisco-Russian%20River%20Stock.pdf</t>
  </si>
  <si>
    <t xml:space="preserve">Blue whale </t>
  </si>
  <si>
    <t>Northern California/Southern Oregon</t>
  </si>
  <si>
    <t>https://media.fisheries.noaa.gov/2022-08/2021-HARBOR%20PORPOISE%20-Northern%20CaliforniaSouthern%20Oregon%20Stock.pdf</t>
  </si>
  <si>
    <t>Hawaiian monk seal</t>
  </si>
  <si>
    <t>Multiple depnding on each site - discovery curve analysis; total enumeration; capture-recapture; counts corrected for the proportion of seals at sea; minimum tally</t>
  </si>
  <si>
    <t>7%-species (Johanos 2023a)</t>
  </si>
  <si>
    <t>NOAA Fisheries. (2021). HARBOR PORPOISE (Phocoena phocoena): Northern California/Southern Oregon Stock. https://media.fisheries.noaa.gov/2022-08/2021-HARBOR%20PORPOISE%20-Northern%20CaliforniaSouthern%20Oregon%20Stock.pdf</t>
  </si>
  <si>
    <t xml:space="preserve">Increasing </t>
  </si>
  <si>
    <t>Photo Mark-Recapture</t>
  </si>
  <si>
    <t>(Carretta et al., 2017)</t>
  </si>
  <si>
    <t>Mesoplodont beaked whale</t>
  </si>
  <si>
    <r>
      <rPr>
        <rFont val="Arial"/>
        <i/>
        <color theme="1"/>
      </rPr>
      <t>Mesoplodon</t>
    </r>
    <r>
      <rPr>
        <rFont val="Arial"/>
        <i/>
        <color theme="1"/>
      </rPr>
      <t xml:space="preserve"> spp.</t>
    </r>
  </si>
  <si>
    <t>https://media.fisheries.noaa.gov/dam-migration/pacific-2017-mes_beaked_whales-caorwa-508.pdf</t>
  </si>
  <si>
    <t>2017-2021</t>
  </si>
  <si>
    <t>4 (hunting + fishery entanglement + marine debris + disease)</t>
  </si>
  <si>
    <t>5.4 (mean)</t>
  </si>
  <si>
    <t>Carretta, J. V., Forney, K. A., Oleson, E. M., Weller, D. W., Lang, A. R., Baker, J., Muto, M. M., Hanson, B., Orr, A. J., Huber, H., Lowry, M. S., Barlow, J., &amp; Moore, J. E. (2017). MESOPLODONT BEAKED WHALES (Mesoplodon spp.): 2017 California/Oregon/Washington Stocks.</t>
  </si>
  <si>
    <t>Endangered</t>
  </si>
  <si>
    <t>Hawaii islands</t>
  </si>
  <si>
    <t>Neomonachus schauinslandi</t>
  </si>
  <si>
    <t>https://www.fisheries.noaa.gov/s3/2023-08/Monk-Seal-2022.pdf</t>
  </si>
  <si>
    <t>Harbor porpoise (Morro Bay)</t>
  </si>
  <si>
    <t>Aerial survey</t>
  </si>
  <si>
    <t>NOAA Fisheries. (2022). HAWAIIAN MONK SEAL (Neomonachus schauinslandi). https://www.fisheries.noaa.gov/s3/2023-08/Monk-Seal-2022.pdf</t>
  </si>
  <si>
    <t>9.6%-stock (Forney et al., 2020)</t>
  </si>
  <si>
    <t>Alaska - Aleutians</t>
  </si>
  <si>
    <t>Harbor seal</t>
  </si>
  <si>
    <t>Phoca vitulina richardii</t>
  </si>
  <si>
    <t>https://media.fisheries.noaa.gov/dam-migration/2019_sars_alaska_harbor_seal.pdf</t>
  </si>
  <si>
    <t>NOAA Fisheries. (2020). HARBOR SEAL (Phoca vitulina richardii). https://media.fisheries.noaa.gov/dam-migration/2019_sars_alaska_harbor_seal.pdf</t>
  </si>
  <si>
    <t>2015-2019</t>
  </si>
  <si>
    <t xml:space="preserve">growth rate, recovery factor, and PBR are for Alaska in general </t>
  </si>
  <si>
    <t>Alaska - Bristol Bay</t>
  </si>
  <si>
    <t>Alaska - North Kodiak</t>
  </si>
  <si>
    <t>Alaska - South Kodiak</t>
  </si>
  <si>
    <t>Alaska - Prince William Sound</t>
  </si>
  <si>
    <t>Harbor porpoise (Monterey Bay)</t>
  </si>
  <si>
    <t>year_diff</t>
  </si>
  <si>
    <t>abundance_diff</t>
  </si>
  <si>
    <t>growth_rates_all</t>
  </si>
  <si>
    <t>Alaska - Cook Inlet/Shelikof Strait</t>
  </si>
  <si>
    <t>growth_rates_annual</t>
  </si>
  <si>
    <t>5.8%-stock (Forney et al., 2020)</t>
  </si>
  <si>
    <t>Alaska - Glacier Bay/Icy Strait</t>
  </si>
  <si>
    <t>Alaska - Lynn Canal/Stephens Passage</t>
  </si>
  <si>
    <t>Alaska - Sitka/Chatham Strait</t>
  </si>
  <si>
    <t>Alaska - Dixon/Cape Decision</t>
  </si>
  <si>
    <t>1(stranding)</t>
  </si>
  <si>
    <t>Alaska - Clarence Strait</t>
  </si>
  <si>
    <t>0.2 (mean)</t>
  </si>
  <si>
    <t xml:space="preserve">Western North Atlantic </t>
  </si>
  <si>
    <t>Phoca vitulina vitulina</t>
  </si>
  <si>
    <t>https://media.fisheries.noaa.gov/2022-08/Harb%20Seal-W%20North%20Atl%20Stock_SAR%202021.pdf</t>
  </si>
  <si>
    <t>Harbor porpoise (San Francisco-Russian River)</t>
  </si>
  <si>
    <t>NOAA Fisheries. (2021). HARBOR SEAL (Phoca vitulina vitulina): Western North Atlantic Stock. https://media.fisheries.noaa.gov/2022-08/Harb%20Seal-W%20North%20Atl%20Stock_SAR%202021.pdf</t>
  </si>
  <si>
    <t>(NOAA Fisheries, 2013)</t>
  </si>
  <si>
    <t>Oregon/Washington Coast</t>
  </si>
  <si>
    <t>https://media.fisheries.noaa.gov/dam-migration/po2013sehr-owco_508.pdf</t>
  </si>
  <si>
    <t>6.1%-stock (Forney et al., 2020)</t>
  </si>
  <si>
    <t>NOAA Fisheries. (2013). HARBOR SEAL (Phoca vitulina richardii): Oregon/Washington Coast Stock. https://media.fisheries.noaa.gov/dam-migration/po2013sehr-owco_508.pdf</t>
  </si>
  <si>
    <t>PBR cannot be calculated due to insufficient data</t>
  </si>
  <si>
    <t>(NOAA Fisheries, 2014)</t>
  </si>
  <si>
    <t>California</t>
  </si>
  <si>
    <t>https://media.fisheries.noaa.gov/dam-migration/po2014sehr-ca_508.pdf</t>
  </si>
  <si>
    <t>0.4 (mean)</t>
  </si>
  <si>
    <t>NOAA Fisheries. (2014). HARBOR SEAL (Phoca vitulina richardii): California Stock. https://media.fisheries.noaa.gov/dam-migration/po2014sehr-ca_508.pdf</t>
  </si>
  <si>
    <t>(DFO, 2022)</t>
  </si>
  <si>
    <t>CAN</t>
  </si>
  <si>
    <t xml:space="preserve">South Hudson Bay, East Hudson Bay </t>
  </si>
  <si>
    <t>Atlantic walrus</t>
  </si>
  <si>
    <t>Odobenus rosmarus rosmarus</t>
  </si>
  <si>
    <t>https://www.dfo-mpo.gc.ca/csas-sccs/Publications/SAR-AS/2024/2024_035-eng.pdf</t>
  </si>
  <si>
    <t>Harbor porpoise (Northern California/Southern Oregon coast)</t>
  </si>
  <si>
    <t>DFO. (2022). Assessment of the South and East Hudson Bay Atlantic Walrus (Odobenus rosmarus rosmarus) Stock in 2022. https://www.dfo-mpo.gc.ca/csas-sccs/Publications/SAR-AS/2024/2024_035-eng.pdf</t>
  </si>
  <si>
    <t>(DFO, 2023)</t>
  </si>
  <si>
    <t>Hudson Bay-Davis Strait</t>
  </si>
  <si>
    <t>4%-default</t>
  </si>
  <si>
    <t>https://publications.gc.ca/collections/collection_2023/mpo-dfo/fs70-6/Fs70-6-2023-030-eng.pdf</t>
  </si>
  <si>
    <t>Western Arctic</t>
  </si>
  <si>
    <t>BOWHALE-WARCTC</t>
  </si>
  <si>
    <t>Iced-based count, Acoustic</t>
  </si>
  <si>
    <t>DFO. 2023. Estimates of abundance and total allowable removals for the Hudson Bay-Davis Strait Atlantic Walrus (Odobenus rosmarus rosmarus) stock. DFO Can. Sci. Advis. Sec. Sci. Advis. Rep. 2023/030.</t>
  </si>
  <si>
    <t>(DFO, 2020)</t>
  </si>
  <si>
    <t xml:space="preserve">Northwest Atlantic/Newfoundland, Labrador, and Quebec Region </t>
  </si>
  <si>
    <t>Harp seal</t>
  </si>
  <si>
    <t>Pagophilus groenlandicus</t>
  </si>
  <si>
    <t>https://waves-vagues.dfo-mpo.gc.ca/library-bibliotheque/40878478.pdf</t>
  </si>
  <si>
    <t>Harbor porpoise (Central Oregon)</t>
  </si>
  <si>
    <t xml:space="preserve">Givens (2021) abundance estimates but NOAA information </t>
  </si>
  <si>
    <t>DFO. (2020). 2019 Status of Northwest Atlantic Harp Seals, Pagophilus groenlandicus. https://waves-vagues.dfo-mpo.gc.ca/library-bibliotheque/40878478.pdf</t>
  </si>
  <si>
    <t>(COSEWIC, 2022)</t>
  </si>
  <si>
    <t>Pacific Ocean, British Columbia</t>
  </si>
  <si>
    <t>Sea otter</t>
  </si>
  <si>
    <t>Enhydra lutris</t>
  </si>
  <si>
    <t>https://wildlife-species.az.ec.gc.ca/species-risk-registry/virtual_sara/files//cosewic/sr%20Sea%20Otter%202022_e.pdf</t>
  </si>
  <si>
    <t>COSEWIC. 2022. COSEWIC assessment and status report on the Sea Otter Enhydra lutris in Canada. Committee on the Status of Endangered Wildlife in Canada. Ottawa. xii + 69 pp. (https://www.canada.ca/en/environment-climate-change/services/species-risk-public-registry.html).</t>
  </si>
  <si>
    <t>(DFO, 2021)</t>
  </si>
  <si>
    <t xml:space="preserve">Northwest Atlantic </t>
  </si>
  <si>
    <t xml:space="preserve">Grey seal </t>
  </si>
  <si>
    <t>Halichoerus grypus</t>
  </si>
  <si>
    <t>https://waves-vagues.dfo-mpo.gc.ca/library-bibliotheque/41063648.pdf</t>
  </si>
  <si>
    <t>DFO. 2022. Stock assessment of Northwest Atlantic grey seals (Halichoerus grypus) in Canada in 2021. DFO Can. Sci. Advis. Sec. Sci. Advis. Rep. 2022/018.</t>
  </si>
  <si>
    <t>(DFO, 2019)</t>
  </si>
  <si>
    <t xml:space="preserve">Central and Arctic Region </t>
  </si>
  <si>
    <t xml:space="preserve">Beluga whale </t>
  </si>
  <si>
    <t>https://waves-vagues.dfo-mpo.gc.ca/library-bibliotheque/4081841x.pdf</t>
  </si>
  <si>
    <t>Harbor porpoise (Northern Oregon/Washington Coast)</t>
  </si>
  <si>
    <t>DFO. 2019. Sustainable harvest advice for Cumberland Sound beluga based on the 2017 aerial survey and modelled abundance estimates. DFO Can. Sci. Advis. Sec. Sci. Advis. Rep. 2019/024.</t>
  </si>
  <si>
    <t>Pacific Region</t>
  </si>
  <si>
    <t>https://waves-vagues.dfo-mpo.gc.ca/library-bibliotheque/41003925.pdf</t>
  </si>
  <si>
    <t>DFO. 2021. Trends in Abundance and Distribution of Steller sea lions (Eumetopias Jubatus) in Canada. DFO Can. Sci. Advis. Sec. Sci. Advis. Rep. 2021/035.</t>
  </si>
  <si>
    <t>(Watt et al., 2019)</t>
  </si>
  <si>
    <t>2007-2021</t>
  </si>
  <si>
    <t xml:space="preserve">Central and Arctic Region (Eastern Canada and West Greenland)/Baffin Bay </t>
  </si>
  <si>
    <t xml:space="preserve">Narwhal </t>
  </si>
  <si>
    <t>3 (1 fisher self-report + 2 stranding)</t>
  </si>
  <si>
    <t>Monodon monoceros</t>
  </si>
  <si>
    <t>https://waves-vagues.dfo-mpo.gc.ca/library-bibliotheque/4080382x.pdf</t>
  </si>
  <si>
    <t>3.2 (mean)</t>
  </si>
  <si>
    <t>Watt, C.A., Witting, L., Marcoux, M., Doniol-Valcroze, T., Guldborg Hansen, R., Hobbs, R., Lee, D.S., Ferguson, S.H., and Heide-Jørgensen, M.P. 2019. Harvest allocation modelling for narwhal (Monodon Monoceros) stocks shared between eastern Canada and West Greenland. DFO Can. Sci. Advis. Sec. Res. Doc. 2019/031. iv + 27 p.</t>
  </si>
  <si>
    <t xml:space="preserve">includes Smith Sound, Jones Sound, Inglefield Bredning, Melville Bay, Somerset Island, Admiralty Inlet, Eclipse Sound, East Baffin Island </t>
  </si>
  <si>
    <t>National Capital Region - St. Lawrence Estuary</t>
  </si>
  <si>
    <t>https://waves-vagues.dfo-mpo.gc.ca/library-bibliotheque/41194093.pdf</t>
  </si>
  <si>
    <t>DFO. 2023. Abundance and population trajectory of St. Lawrence beluga. DFO Can. Sci. Advis. Sec. Sci. Advis. Rep. 2023/024.</t>
  </si>
  <si>
    <t>https://waves-vagues.dfo-mpo.gc.ca/library-bibliotheque/41111151.pdf</t>
  </si>
  <si>
    <t>CASEALION-U.S.</t>
  </si>
  <si>
    <t>Population reconstruction model</t>
  </si>
  <si>
    <t xml:space="preserve">Non-pups </t>
  </si>
  <si>
    <t>DFO. 2023. California Sea Lion Abundance Estimation in Canada, 2020–21. DFO Can. Sci. Advis. Sec. Sci. Advis. Rep. 2023/016.</t>
  </si>
  <si>
    <t>California, Alaska</t>
  </si>
  <si>
    <t>https://wildlife-species.az.ec.gc.ca/species-risk-registry/virtual_sara/files//cosewic/Sas-NorthernFurSeal-v00-2022-eng.pdf</t>
  </si>
  <si>
    <t>1993-2014</t>
  </si>
  <si>
    <t>Laake, J. L., Lowry, M. S., DeLong, R. L., Melin, S. R., &amp; Carretta, J. V. (2018). Population growth and status of california sea lions. The Journal of Wildlife Management, 82(3), 583–595. https://doi.org/10.1002/jwmg.21405</t>
  </si>
  <si>
    <t xml:space="preserve">Found the Laake data in the NOAA data page </t>
  </si>
  <si>
    <t>6 (5 observer + 1 stranding)</t>
  </si>
  <si>
    <t>7.2 (mean)</t>
  </si>
  <si>
    <t>Laake, J. L., Lowry, M. S., DeLong, R. L., Melin, S. R., &amp; Carretta, J. V. (2018). Population growth and status of california sea lions. The Journal of Wildlife Management, 82(3), 583–595. https://doi.org/10.1002/jwmg.21406</t>
  </si>
  <si>
    <t>COSEWIC. 2022. COSEWIC status appraisal summary on the Northern Fur Seal Callorhinus ursinus in Canada. Committee on the Status of Endangered Wildlife in Canada. Ottawa. xxi pp. (https://www.canada.ca/en/environment-climate-change/services/species-risk-public-registry.html).</t>
  </si>
  <si>
    <t>(Chandler et al., 2017)</t>
  </si>
  <si>
    <t>British Columbia/Strait of Georgia</t>
  </si>
  <si>
    <t>Pacific harbor seal</t>
  </si>
  <si>
    <t>Laake, J. L., Lowry, M. S., DeLong, R. L., Melin, S. R., &amp; Carretta, J. V. (2018). Population growth and status of california sea lions. The Journal of Wildlife Management, 82(3), 583–595. https://doi.org/10.1002/jwmg.21407</t>
  </si>
  <si>
    <t>https://waves-vagues.dfo-mpo.gc.ca/library-bibliotheque/40617944.pdf</t>
  </si>
  <si>
    <t>Dall's porpoise (California/Oregon/Washington)</t>
  </si>
  <si>
    <t>Laake, J. L., Lowry, M. S., DeLong, R. L., Melin, S. R., &amp; Carretta, J. V. (2018). Population growth and status of california sea lions. The Journal of Wildlife Management, 82(3), 583–595. https://doi.org/10.1002/jwmg.21408</t>
  </si>
  <si>
    <t>Species distribution model</t>
  </si>
  <si>
    <t>Laake, J. L., Lowry, M. S., DeLong, R. L., Melin, S. R., &amp; Carretta, J. V. (2018). Population growth and status of california sea lions. The Journal of Wildlife Management, 82(3), 583–595. https://doi.org/10.1002/jwmg.21409</t>
  </si>
  <si>
    <t>Chandler, P.C., King, S.A., and Boldt, J. (Eds.). 2017. State of the physical, biological and selected fishery resources of Pacific Canadian marine ecosystems in 2016. Can. Tech. Rep. Fish. Aquat. Sci. 3225: 243 + vi p.</t>
  </si>
  <si>
    <t>British Columbia</t>
  </si>
  <si>
    <t>Laake, J. L., Lowry, M. S., DeLong, R. L., Melin, S. R., &amp; Carretta, J. V. (2018). Population growth and status of california sea lions. The Journal of Wildlife Management, 82(3), 583–595. https://doi.org/10.1002/jwmg.21410</t>
  </si>
  <si>
    <t>similar data to earlier Canada Steller sea lion graphs</t>
  </si>
  <si>
    <t>(COSEWIC, 2017)</t>
  </si>
  <si>
    <t>Northern Pacific</t>
  </si>
  <si>
    <t>Laake, J. L., Lowry, M. S., DeLong, R. L., Melin, S. R., &amp; Carretta, J. V. (2018). Population growth and status of california sea lions. The Journal of Wildlife Management, 82(3), 583–595. https://doi.org/10.1002/jwmg.21411</t>
  </si>
  <si>
    <t>https://wildlife-species.az.ec.gc.ca/species-risk-registry/virtual_sara/files//cosewic/srGreyWhale2017e.pdf</t>
  </si>
  <si>
    <t>3 (2 observer + 1 stranding)</t>
  </si>
  <si>
    <t>Laake, J. L., Lowry, M. S., DeLong, R. L., Melin, S. R., &amp; Carretta, J. V. (2018). Population growth and status of california sea lions. The Journal of Wildlife Management, 82(3), 583–595. https://doi.org/10.1002/jwmg.21412</t>
  </si>
  <si>
    <t>0.66 (mean)</t>
  </si>
  <si>
    <t>Laake, J. L., Lowry, M. S., DeLong, R. L., Melin, S. R., &amp; Carretta, J. V. (2018). Population growth and status of california sea lions. The Journal of Wildlife Management, 82(3), 583–595. https://doi.org/10.1002/jwmg.21413</t>
  </si>
  <si>
    <t>COSEWIC. 2017. COSEWIC assessment and status report on the Grey Whale Eschrichtius robustus, Northern Pacific Migratory population, Pacific Coast Feeding Group population and the Western Pacific population, in Canada. Committee on the Status of Endangered Wildlife in Canada. Ottawa. xxi + 74 pp. (http://www.registrelepsararegistry.gc.ca/default.asp?lang=en&amp;n=24F7211B-1).</t>
  </si>
  <si>
    <t>called DU1 - the same graph as NOAA ENP Grey Whales, did not digitalize a second time because same graph from NOAA by Durban et al. 2013 and Laake et al. 2012</t>
  </si>
  <si>
    <t>Laake, J. L., Lowry, M. S., DeLong, R. L., Melin, S. R., &amp; Carretta, J. V. (2018). Population growth and status of california sea lions. The Journal of Wildlife Management, 82(3), 583–595. https://doi.org/10.1002/jwmg.21414</t>
  </si>
  <si>
    <t xml:space="preserve">Pacific Coast </t>
  </si>
  <si>
    <t>Pacific white-sided dolphin (California/Oregon/Washington, Northern and Southern stock)</t>
  </si>
  <si>
    <t xml:space="preserve">DU2 population </t>
  </si>
  <si>
    <t>Laake, J. L., Lowry, M. S., DeLong, R. L., Melin, S. R., &amp; Carretta, J. V. (2018). Population growth and status of california sea lions. The Journal of Wildlife Management, 82(3), 583–595. https://doi.org/10.1002/jwmg.21415</t>
  </si>
  <si>
    <t>Western Pacific and Sakhalin Island</t>
  </si>
  <si>
    <t xml:space="preserve">DU3 population - includes Sakhalin Island population </t>
  </si>
  <si>
    <t>(COSEWIC, 2008)</t>
  </si>
  <si>
    <t>Pacific Ocean</t>
  </si>
  <si>
    <t xml:space="preserve">Killer whale </t>
  </si>
  <si>
    <t>Laake, J. L., Lowry, M. S., DeLong, R. L., Melin, S. R., &amp; Carretta, J. V. (2018). Population growth and status of california sea lions. The Journal of Wildlife Management, 82(3), 583–595. https://doi.org/10.1002/jwmg.21416</t>
  </si>
  <si>
    <t xml:space="preserve">5.8% (N. Resident), </t>
  </si>
  <si>
    <t>https://wildlife-species.az.ec.gc.ca/species-risk-registry/virtual_sara/files//cosewic/sr_killer_whale_0809_e.pdf</t>
  </si>
  <si>
    <t>Laake, J. L., Lowry, M. S., DeLong, R. L., Melin, S. R., &amp; Carretta, J. V. (2018). Population growth and status of california sea lions. The Journal of Wildlife Management, 82(3), 583–595. https://doi.org/10.1002/jwmg.21417</t>
  </si>
  <si>
    <t>Laake, J. L., Lowry, M. S., DeLong, R. L., Melin, S. R., &amp; Carretta, J. V. (2018). Population growth and status of california sea lions. The Journal of Wildlife Management, 82(3), 583–595. https://doi.org/10.1002/jwmg.21418</t>
  </si>
  <si>
    <t>Laake, J. L., Lowry, M. S., DeLong, R. L., Melin, S. R., &amp; Carretta, J. V. (2018). Population growth and status of california sea lions. The Journal of Wildlife Management, 82(3), 583–595. https://doi.org/10.1002/jwmg.21419</t>
  </si>
  <si>
    <t>COSEWIC. 2008. COSEWIC assessment and update status report on the Killer Whale Orcinus orca, Southern Resident population, Northern Resident population, West Coast Transient population, Offshore population and Northwest Atlantic / Eastern Arctic population, in Canada. Committee on the Status of Endangered Wildlife in Canada. Ottawa. viii + 65 pp. (www.sararegistry.gc.ca/status/status_e.cfm).</t>
  </si>
  <si>
    <t>(George et al., 2004)</t>
  </si>
  <si>
    <t xml:space="preserve">Bowhead whale </t>
  </si>
  <si>
    <t>Balaenu mysticetus</t>
  </si>
  <si>
    <t>7 (mean)</t>
  </si>
  <si>
    <t>https://onlinelibrary.wiley.com/doi/10.1111/j.1748-7692.2004.tb01191.x</t>
  </si>
  <si>
    <t>Laake, J. L., Lowry, M. S., DeLong, R. L., Melin, S. R., &amp; Carretta, J. V. (2018). Population growth and status of california sea lions. The Journal of Wildlife Management, 82(3), 583–595. https://doi.org/10.1002/jwmg.21420</t>
  </si>
  <si>
    <t>Laake, J. L., Lowry, M. S., DeLong, R. L., Melin, S. R., &amp; Carretta, J. V. (2018). Population growth and status of california sea lions. The Journal of Wildlife Management, 82(3), 583–595. https://doi.org/10.1002/jwmg.21421</t>
  </si>
  <si>
    <t>George, J. C. “Craig,” Zeh, J., Suydam, R., &amp; Clark, C. (2004). Abundance and Population Trend (1978-2001) of Western Arctic Bowhead Whales Surveyed Near Barrow, Alaska. Marine Mammal Science, 20(4), 755–773. https://doi.org/10.1111/j.1748-7692.2004.tb01191.x</t>
  </si>
  <si>
    <t>Risso's dolphin (California/Oregon/Washington)</t>
  </si>
  <si>
    <t>(COSEWIC, 2006)</t>
  </si>
  <si>
    <t>Laake, J. L., Lowry, M. S., DeLong, R. L., Melin, S. R., &amp; Carretta, J. V. (2018). Population growth and status of california sea lions. The Journal of Wildlife Management, 82(3), 583–595. https://doi.org/10.1002/jwmg.21422</t>
  </si>
  <si>
    <t xml:space="preserve">Harbor porpoise </t>
  </si>
  <si>
    <t xml:space="preserve">Phocoena phocoena </t>
  </si>
  <si>
    <t>https://wildlife-species.az.ec.gc.ca/species-risk-registry/virtual_sara/files//cosewic/sr_harbour_porpoise_e2.pdf</t>
  </si>
  <si>
    <t>Line-transect survey</t>
  </si>
  <si>
    <t>Laake, J. L., Lowry, M. S., DeLong, R. L., Melin, S. R., &amp; Carretta, J. V. (2018). Population growth and status of california sea lions. The Journal of Wildlife Management, 82(3), 583–595. https://doi.org/10.1002/jwmg.21423</t>
  </si>
  <si>
    <t>Laake, J. L., Lowry, M. S., DeLong, R. L., Melin, S. R., &amp; Carretta, J. V. (2018). Population growth and status of california sea lions. The Journal of Wildlife Management, 82(3), 583–595. https://doi.org/10.1002/jwmg.21424</t>
  </si>
  <si>
    <t>COSEWIC 2006. COSEWIC assessment and update status report on the harbour porpoise Phocoena phocoena (Northwest Atlantic population) in Canada. Committee on the Status of Endangered Wildlife in Canada. Ottawa. vii + 32 pp. (www.sararegistry.gc.ca/status/status_e.cfm).</t>
  </si>
  <si>
    <t>PBR from (Waring et al., 2015), abundance data from (Waring et al., 2001)</t>
  </si>
  <si>
    <t>(Noad et al., 2019)</t>
  </si>
  <si>
    <t>AUS</t>
  </si>
  <si>
    <t>Laake, J. L., Lowry, M. S., DeLong, R. L., Melin, S. R., &amp; Carretta, J. V. (2018). Population growth and status of california sea lions. The Journal of Wildlife Management, 82(3), 583–595. https://doi.org/10.1002/jwmg.21425</t>
  </si>
  <si>
    <t>Eastern</t>
  </si>
  <si>
    <t xml:space="preserve">Humpback whale </t>
  </si>
  <si>
    <t>https://esj-journals.onlinelibrary.wiley.com/doi/epdf/10.1002/1438-390X.1014</t>
  </si>
  <si>
    <t>Laake, J. L., Lowry, M. S., DeLong, R. L., Melin, S. R., &amp; Carretta, J. V. (2018). Population growth and status of california sea lions. The Journal of Wildlife Management, 82(3), 583–595. https://doi.org/10.1002/jwmg.21426</t>
  </si>
  <si>
    <t>Laake, J. L., Lowry, M. S., DeLong, R. L., Melin, S. R., &amp; Carretta, J. V. (2018). Population growth and status of california sea lions. The Journal of Wildlife Management, 82(3), 583–595. https://doi.org/10.1002/jwmg.21427</t>
  </si>
  <si>
    <t>2004-2014</t>
  </si>
  <si>
    <t>5 (4 observer + 1 stranding)</t>
  </si>
  <si>
    <t>Laake, J. L., Lowry, M. S., DeLong, R. L., Melin, S. R., &amp; Carretta, J. V. (2018). Population growth and status of california sea lions. The Journal of Wildlife Management, 82(3), 583–595. https://doi.org/10.1002/jwmg.21428</t>
  </si>
  <si>
    <t>3.7 (mean)</t>
  </si>
  <si>
    <t>Noad, M. J., Kniest, E., &amp; Dunlop, R. A. (2019). Boom to bust? Implications for the continued rapid growth of the eastern Australian humpback whale population despite recovery. Population Ecology, 61(2), 198–209. https://doi.org/10.1002/1438-390X.1014</t>
  </si>
  <si>
    <r>
      <rPr/>
      <t xml:space="preserve">article cited in </t>
    </r>
    <r>
      <rPr>
        <color rgb="FF1155CC"/>
        <u/>
      </rPr>
      <t>https://soe.dcceew.gov.au/marine/environment/marine-species</t>
    </r>
  </si>
  <si>
    <t>Laake, J. L., Lowry, M. S., DeLong, R. L., Melin, S. R., &amp; Carretta, J. V. (2018). Population growth and status of california sea lions. The Journal of Wildlife Management, 82(3), 583–595. https://doi.org/10.1002/jwmg.21429</t>
  </si>
  <si>
    <t>(Stamation et al., 2020)</t>
  </si>
  <si>
    <t>Southeastern</t>
  </si>
  <si>
    <t>Southern right whale</t>
  </si>
  <si>
    <t>Eubalaena australis</t>
  </si>
  <si>
    <t>https://www.int-res.com/articles/esr2020/41/n041p373.pdf</t>
  </si>
  <si>
    <t>Laake, J. L., Lowry, M. S., DeLong, R. L., Melin, S. R., &amp; Carretta, J. V. (2018). Population growth and status of california sea lions. The Journal of Wildlife Management, 82(3), 583–595. https://doi.org/10.1002/jwmg.21430</t>
  </si>
  <si>
    <t>Laake, J. L., Lowry, M. S., DeLong, R. L., Melin, S. R., &amp; Carretta, J. V. (2018). Population growth and status of california sea lions. The Journal of Wildlife Management, 82(3), 583–595. https://doi.org/10.1002/jwmg.21431</t>
  </si>
  <si>
    <t>Common bottlenose dolphin (California coast)</t>
  </si>
  <si>
    <t>Stamation, K., Watson, M., Moloney, P., Charlton, C., &amp; Bannister, J. (2020). Population estimate and rate of increase of southern right whales Eubalaena australis in southeastern Australia. Endangered Species Research, 41, 373–383. https://doi.org/10.3354/esr01031</t>
  </si>
  <si>
    <r>
      <rPr/>
      <t xml:space="preserve">article cited in </t>
    </r>
    <r>
      <rPr>
        <color rgb="FF1155CC"/>
        <u/>
      </rPr>
      <t>https://soe.dcceew.gov.au/marine/environment/marine-species</t>
    </r>
  </si>
  <si>
    <t>(Constantine et al., 2012)</t>
  </si>
  <si>
    <t>Laake, J. L., Lowry, M. S., DeLong, R. L., Melin, S. R., &amp; Carretta, J. V. (2018). Population growth and status of california sea lions. The Journal of Wildlife Management, 82(3), 583–595. https://doi.org/10.1002/jwmg.21432</t>
  </si>
  <si>
    <t>Oceania</t>
  </si>
  <si>
    <t xml:space="preserve">South Pacific </t>
  </si>
  <si>
    <t>Photo ID mark-recapture</t>
  </si>
  <si>
    <t>https://nora.nerc.ac.uk/id/eprint/500569/1/m453p249.pdf</t>
  </si>
  <si>
    <t>Laake, J. L., Lowry, M. S., DeLong, R. L., Melin, S. R., &amp; Carretta, J. V. (2018). Population growth and status of california sea lions. The Journal of Wildlife Management, 82(3), 583–595. https://doi.org/10.1002/jwmg.21433</t>
  </si>
  <si>
    <t>Laake, J. L., Lowry, M. S., DeLong, R. L., Melin, S. R., &amp; Carretta, J. V. (2018). Population growth and status of california sea lions. The Journal of Wildlife Management, 82(3), 583–595. https://doi.org/10.1002/jwmg.21434</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</si>
  <si>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https://doi.org/10.3354/meps09613</t>
  </si>
  <si>
    <t>Laake, J. L., Lowry, M. S., DeLong, R. L., Melin, S. R., &amp; Carretta, J. V. (2018). Population growth and status of california sea lions. The Journal of Wildlife Management, 82(3), 583–595. https://doi.org/10.1002/jwmg.21435</t>
  </si>
  <si>
    <t>(Goldsworthy et al., 2020)</t>
  </si>
  <si>
    <t>South Australia</t>
  </si>
  <si>
    <t>Australian sea lion</t>
  </si>
  <si>
    <t>Neophoca cinerea</t>
  </si>
  <si>
    <t>Laake, J. L., Lowry, M. S., DeLong, R. L., Melin, S. R., &amp; Carretta, J. V. (2018). Population growth and status of california sea lions. The Journal of Wildlife Management, 82(3), 583–595. https://doi.org/10.1002/jwmg.21436</t>
  </si>
  <si>
    <t>1.86 (?)</t>
  </si>
  <si>
    <t xml:space="preserve">0.01 (?) </t>
  </si>
  <si>
    <t>https://pir.sa.gov.au/__data/assets/pdf_file/0004/358285/Australian_sea_lion_investigations_2018-19.pdf</t>
  </si>
  <si>
    <t>2010-2014</t>
  </si>
  <si>
    <t>Laake, J. L., Lowry, M. S., DeLong, R. L., Melin, S. R., &amp; Carretta, J. V. (2018). Population growth and status of california sea lions. The Journal of Wildlife Management, 82(3), 583–595. https://doi.org/10.1002/jwmg.21437</t>
  </si>
  <si>
    <t>2 (1 observer + 1 stranding)</t>
  </si>
  <si>
    <t>Laake, J. L., Lowry, M. S., DeLong, R. L., Melin, S. R., &amp; Carretta, J. V. (2018). Population growth and status of california sea lions. The Journal of Wildlife Management, 82(3), 583–595. https://doi.org/10.1002/jwmg.21438</t>
  </si>
  <si>
    <t>2 (mean)</t>
  </si>
  <si>
    <t>Laake, J. L., Lowry, M. S., DeLong, R. L., Melin, S. R., &amp; Carretta, J. V. (2018). Population growth and status of california sea lions. The Journal of Wildlife Management, 82(3), 583–595. https://doi.org/10.1002/jwmg.21439</t>
  </si>
  <si>
    <t>Laake, J. L., Lowry, M. S., DeLong, R. L., Melin, S. R., &amp; Carretta, J. V. (2018). Population growth and status of california sea lions. The Journal of Wildlife Management, 82(3), 583–595. https://doi.org/10.1002/jwmg.21440</t>
  </si>
  <si>
    <t>Goldsworthy, S. D., Hodgson, J., &amp; Holman, D. (2020). Australian sea lion investigations: 2018-19 (1051). South Australian Research and Development Institute (Aquatic Sciences). https://pir.sa.gov.au/__data/assets/pdf_file/0004/358285/Australian_sea_lion_investigations_2018-19.pdf</t>
  </si>
  <si>
    <t>Paper notes a 5% increase in pup abundance, and a recovery rate of 1%</t>
  </si>
  <si>
    <t>Common bottlenose dolphin (California/Oregon/Washington Offshore)</t>
  </si>
  <si>
    <t>Laake, J. L., Lowry, M. S., DeLong, R. L., Melin, S. R., &amp; Carretta, J. V. (2018). Population growth and status of california sea lions. The Journal of Wildlife Management, 82(3), 583–595. https://doi.org/10.1002/jwmg.21441</t>
  </si>
  <si>
    <t>Great Sandy Strait, Queensland</t>
  </si>
  <si>
    <t>Indo-Pacific humpback dolphin</t>
  </si>
  <si>
    <t xml:space="preserve">Sousa chinensis </t>
  </si>
  <si>
    <t>https://onlinelibrary.wiley.com/doi/10.1111/j.1748-7692.2009.00296.x</t>
  </si>
  <si>
    <t>Laake, J. L., Lowry, M. S., DeLong, R. L., Melin, S. R., &amp; Carretta, J. V. (2018). Population growth and status of california sea lions. The Journal of Wildlife Management, 82(3), 583–595. https://doi.org/10.1002/jwmg.21442</t>
  </si>
  <si>
    <t>Laake, J. L., Lowry, M. S., DeLong, R. L., Melin, S. R., &amp; Carretta, J. V. (2018). Population growth and status of california sea lions. The Journal of Wildlife Management, 82(3), 583–595. https://doi.org/10.1002/jwmg.21443</t>
  </si>
  <si>
    <t>Laake, J. L., Lowry, M. S., DeLong, R. L., Melin, S. R., &amp; Carretta, J. V. (2018). Population growth and status of california sea lions. The Journal of Wildlife Management, 82(3), 583–595. https://doi.org/10.1002/jwmg.21444</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</si>
  <si>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https://doi.org/10.3354/meps09619</t>
  </si>
  <si>
    <t>(Palmer et al., 2014)</t>
  </si>
  <si>
    <t xml:space="preserve">Northern Territory </t>
  </si>
  <si>
    <t xml:space="preserve">Snubfin dolphin </t>
  </si>
  <si>
    <t>Orcaella heinsohni</t>
  </si>
  <si>
    <t>Pup counts</t>
  </si>
  <si>
    <t>Pups</t>
  </si>
  <si>
    <t>https://www.publish.csiro.au/wr/pdf/WR14031</t>
  </si>
  <si>
    <t>3 (3 observer)</t>
  </si>
  <si>
    <t>0.82 (mean)</t>
  </si>
  <si>
    <t>Palmer, C., Brooks, L., Parra, G. J., Rogers, T., Glasgow, D., &amp; Woinarski, J. C. Z. (2014). Estimates of abundance and apparent survival of coastal dolphins in Port Essington harbour, Northern Territory, Australia. Wildlife Research, 41(1), 35. https://doi.org/10.1071/WR14031</t>
  </si>
  <si>
    <t xml:space="preserve">Humpback dolphin </t>
  </si>
  <si>
    <t>Sousa sp.</t>
  </si>
  <si>
    <t>https://www.publish.csiro.au/wr/pdf/WR14032</t>
  </si>
  <si>
    <t>Striped dolphin (California/Oregon/Washington)</t>
  </si>
  <si>
    <t>Palmer, C., Brooks, L., Parra, G. J., Rogers, T., Glasgow, D., &amp; Woinarski, J. C. Z. (2014). Estimates of abundance and apparent survival of coastal dolphins in Port Essington harbour, Northern Territory, Australia. Wildlife Research, 41(1), 35. https://doi.org/10.1071/WR14032</t>
  </si>
  <si>
    <t xml:space="preserve">Bottlenose dolphin </t>
  </si>
  <si>
    <t>Tursiops sp.</t>
  </si>
  <si>
    <t>https://www.publish.csiro.au/wr/pdf/WR14033</t>
  </si>
  <si>
    <t>Palmer, C., Brooks, L., Parra, G. J., Rogers, T., Glasgow, D., &amp; Woinarski, J. C. Z. (2014). Estimates of abundance and apparent survival of coastal dolphins in Port Essington harbour, Northern Territory, Australia. Wildlife Research, 41(1), 35. https://doi.org/10.1071/WR14033</t>
  </si>
  <si>
    <t>(B. Pitcher, 2018)</t>
  </si>
  <si>
    <t xml:space="preserve">Western Australia, Southern Australia </t>
  </si>
  <si>
    <t xml:space="preserve">Australian sea lion </t>
  </si>
  <si>
    <t>https://www.dcceew.gov.au/sites/default/files/documents/australian-sea-lion-monitoring-framework-background-document-2018.pdf</t>
  </si>
  <si>
    <t>4 (mean)</t>
  </si>
  <si>
    <t>B. Pitcher. (2018). Australian Sea Lion Monitoring Framework: Background document. https://www.dcceew.gov.au/sites/default/files/documents/australian-sea-lion-monitoring-framework-background-document-2018.pdf</t>
  </si>
  <si>
    <t>(Lowry et al., 2014)</t>
  </si>
  <si>
    <t xml:space="preserve">Southen California, Central California </t>
  </si>
  <si>
    <t>Short-beaked common dolphin (California/Oregon/Washington)</t>
  </si>
  <si>
    <t>http://ctfs.si.edu/Public/pdfs/LowryConditEtAl_AqMamm2014.pdf</t>
  </si>
  <si>
    <t>Lowry, M. S., Condit, R., Hatfield, B., Allen, S. G., Berger, R., Morris, P. A., Boeuf, B. J. L., &amp; Reiter, J. (2014). Abundance, Distribution, and Population Growth of the Northern Elephant Seal (Mirounga angustirostris) in the United States from 1991 to 2010. Aquatic Mammals. http://ctfs.si.edu/Public/pdfs/LowryConditEtAl_AqMamm2014.pdf</t>
  </si>
  <si>
    <t xml:space="preserve">(Becker et al., 2020) </t>
  </si>
  <si>
    <t xml:space="preserve">California Current Ecosystem </t>
  </si>
  <si>
    <t>Balaenoptera musculus</t>
  </si>
  <si>
    <t>https://repository.library.noaa.gov/view/noaa/27826</t>
  </si>
  <si>
    <t>Increasing (migration)</t>
  </si>
  <si>
    <t xml:space="preserve">Becker, Elizabeth A. et al. (2020). Habitat-based density estimates for cetaceans in the California Current Ecosystem based on 1991-2018 survey data. </t>
  </si>
  <si>
    <t>30.5 (mean)</t>
  </si>
  <si>
    <t>(Calambokidis &amp; Barlow, 2020)</t>
  </si>
  <si>
    <t xml:space="preserve">US West Coast </t>
  </si>
  <si>
    <t>https://repository.library.noaa.gov/view/noaa/27104</t>
  </si>
  <si>
    <t>Calambokidis, J., &amp; Barlow, J. (2020). Updated abundance estimates for blue and humpback whales along the U.S. West Coast using data through 2018.</t>
  </si>
  <si>
    <t>Long-beaked common dolphin</t>
  </si>
  <si>
    <t>Delphinus delphis bairdii)</t>
  </si>
  <si>
    <t xml:space="preserve">Short-beaked common dolphin </t>
  </si>
  <si>
    <t>Delphinus delphis delphis</t>
  </si>
  <si>
    <t>Risso's dolphin</t>
  </si>
  <si>
    <t>Grampus griseus</t>
  </si>
  <si>
    <t>Pacific white-sided dolphin</t>
  </si>
  <si>
    <t>Lagenorhynchus obliquidens</t>
  </si>
  <si>
    <t xml:space="preserve">Northern right whale dolphin </t>
  </si>
  <si>
    <t>Lissodelphis boreali</t>
  </si>
  <si>
    <t>4 (1 observer + 4 stranding)</t>
  </si>
  <si>
    <t>26.5 (mean)</t>
  </si>
  <si>
    <t>Striped dolphin</t>
  </si>
  <si>
    <t>Stenella coeruleoalba</t>
  </si>
  <si>
    <t xml:space="preserve">Common bottlenose dolphin </t>
  </si>
  <si>
    <t>Tursiops truncatus</t>
  </si>
  <si>
    <t xml:space="preserve">Dall's porpoise </t>
  </si>
  <si>
    <t>Phocoenoides dalli</t>
  </si>
  <si>
    <t>Northern right-whale dolphin (California/Oregon/Washington)</t>
  </si>
  <si>
    <t>Minke whale</t>
  </si>
  <si>
    <t>Balaenoptera acutostrata</t>
  </si>
  <si>
    <t xml:space="preserve">Fin whale </t>
  </si>
  <si>
    <t xml:space="preserve">Megaptera novaeangliae </t>
  </si>
  <si>
    <t xml:space="preserve">Baird's beaked whale </t>
  </si>
  <si>
    <t>Berardius bairdii</t>
  </si>
  <si>
    <t>(Punt et al., 2023)</t>
  </si>
  <si>
    <t>ANT</t>
  </si>
  <si>
    <t xml:space="preserve">Antarctic Areas III–E to VI–W. </t>
  </si>
  <si>
    <t xml:space="preserve">Minke whale </t>
  </si>
  <si>
    <t>Balaenoptera  bonaerensis</t>
  </si>
  <si>
    <t>https://journal.iwc.int/index.php/jcrm/article/view/527/253</t>
  </si>
  <si>
    <t>6.6 (mean)</t>
  </si>
  <si>
    <t>Punt, A. E., Hakamada, T., &amp; Bando, T. (2023). Assessment of Antarctic minke whales using statistical catch-at-age analysis (SCAA). J. Cetacean Res. Manage., 14(1), 93–116. https://doi.org/10.47536/jcrm.v14i1.527</t>
  </si>
  <si>
    <t>(Hagihara et al., 2016)</t>
  </si>
  <si>
    <t xml:space="preserve">Torres Strait </t>
  </si>
  <si>
    <t>Dugong</t>
  </si>
  <si>
    <t>Dugong dugon</t>
  </si>
  <si>
    <t>0.5 or 1</t>
  </si>
  <si>
    <t>https://nesptropical.edu.au/wp-content/uploads/2016/06/NESP-TWQ-3.2-FINAL-REPORT-2.pdf</t>
  </si>
  <si>
    <t>4%-default (2 % Ford et al., 2014)</t>
  </si>
  <si>
    <t>Hagihara, R., Cleguer, C., Preston, S., Sobtzick, S., Hamann, M., Shimada, T. and Marsh, H. (2016) Improving the estimates of abundance of dugongs and large immature and adult-sized green turtles in Western and Central Torres Strait. Report to the National Environmental Science Programme. Reef and Rainforest Research Centre Limited, Cairns (53pp.).</t>
  </si>
  <si>
    <t>(Van Waerebeek et al., 2023)</t>
  </si>
  <si>
    <t>Southern Ocean</t>
  </si>
  <si>
    <t>Stable</t>
  </si>
  <si>
    <t>Cuvier's beaked whale</t>
  </si>
  <si>
    <t>CUBEWHALE-CA/OR/WA</t>
  </si>
  <si>
    <t>2012-2016</t>
  </si>
  <si>
    <t xml:space="preserve">mean estimate for Bayesian </t>
  </si>
  <si>
    <t>Killer whale (Eastern North Pacific resident)</t>
  </si>
  <si>
    <t>Direct count</t>
  </si>
  <si>
    <t xml:space="preserve">3.5%-species </t>
  </si>
  <si>
    <t>Decreasing</t>
  </si>
  <si>
    <r>
      <rPr/>
      <t xml:space="preserve">NOAA Fisheries. (2022). CUVIER’S BEAKED WHALE (Ziphius cavirostris): California/Oregon/Washington Stock. </t>
    </r>
    <r>
      <rPr>
        <color rgb="FF1155CC"/>
        <u/>
      </rPr>
      <t>https://www.fisheries.noaa.gov/s3/2023-08/Cuviers-CAORWA-2022.pdf</t>
    </r>
  </si>
  <si>
    <t>Acoustic Point-Transect</t>
  </si>
  <si>
    <r>
      <rPr/>
      <t xml:space="preserve">NOAA Fisheries. (2022). CUVIER’S BEAKED WHALE (Ziphius cavirostris): California/Oregon/Washington Stock. </t>
    </r>
    <r>
      <rPr>
        <color rgb="FF1155CC"/>
        <u/>
      </rPr>
      <t>https://www.fisheries.noaa.gov/s3/2023-08/Cuviers-CAORWA-2022.pdf</t>
    </r>
  </si>
  <si>
    <t>no information on reproductive rates, median estimate for Acoustic Point Transect data</t>
  </si>
  <si>
    <t>2015-2020</t>
  </si>
  <si>
    <t>DAPORPOISE-CA/OR/WA</t>
  </si>
  <si>
    <t>https://media.fisheries.noaa.gov/2022-08/2021-DALL'S%20PORPOISE%20-%20CaliforniaOregonWashington%20Stock.pdf</t>
  </si>
  <si>
    <t>Short-finned pilot whale (California/Oregon/Washington)</t>
  </si>
  <si>
    <t>Bayesian trend</t>
  </si>
  <si>
    <t>2 (observer)</t>
  </si>
  <si>
    <t>1.2 (mean)</t>
  </si>
  <si>
    <t>Baird's beaked whale (California/Oregon/Washington)</t>
  </si>
  <si>
    <t>FKIWHALE-HI</t>
  </si>
  <si>
    <t>Design-Based, Encounter on Shipboard Line-transect Surveys</t>
  </si>
  <si>
    <t xml:space="preserve">**no net reproductive rates, also a chart with numeric data, may include whales that are not in Hawaii stock specifically </t>
  </si>
  <si>
    <t>Mesoplodont beaked whale (California/Oregon/Washington)</t>
  </si>
  <si>
    <t>Model-Based, Encounter on Shipboard Line-transect Surveys</t>
  </si>
  <si>
    <t>2011-2015</t>
  </si>
  <si>
    <t>FIWHALE-CA/OR/WA</t>
  </si>
  <si>
    <t>Bayesian Trend Analysis</t>
  </si>
  <si>
    <t>1 (observer)</t>
  </si>
  <si>
    <t>0.1 (mean)</t>
  </si>
  <si>
    <t>* This stock is composed of several species, and it's unclear which one is driving the increasing trend</t>
  </si>
  <si>
    <t>data from Becker et al (2020)</t>
  </si>
  <si>
    <t>Cuvier's beaked whale (California/Oregon/Washington)</t>
  </si>
  <si>
    <t>Passive acoustic data</t>
  </si>
  <si>
    <t xml:space="preserve">Line-transect </t>
  </si>
  <si>
    <t>2016-2020</t>
  </si>
  <si>
    <t>0.06 (mean)</t>
  </si>
  <si>
    <t>Pygmy sperm whale (California/Oregon/Washington)</t>
  </si>
  <si>
    <t>GRWHALE-ENPACIFIC</t>
  </si>
  <si>
    <t>Shore-Based Count</t>
  </si>
  <si>
    <t>Dwarf sperm whale (California/Oregon/Washington)</t>
  </si>
  <si>
    <t>Sperm whale (California/Oregon/Washington)</t>
  </si>
  <si>
    <t>2015-2021</t>
  </si>
  <si>
    <t>0.52 (mean)</t>
  </si>
  <si>
    <t>Gray whale (Eastern north pacific)</t>
  </si>
  <si>
    <t>Shore-based count</t>
  </si>
  <si>
    <t>6.2%-stock</t>
  </si>
  <si>
    <t>2014-2018</t>
  </si>
  <si>
    <t>5 (subsistence harvest + commercial fisheries + marine debris + vessel strike + illegal hunt)</t>
  </si>
  <si>
    <t>131 (mean)</t>
  </si>
  <si>
    <t>* The endangered status of this stock was removed in 1994</t>
  </si>
  <si>
    <t>Gray whale (Western north pacific)</t>
  </si>
  <si>
    <t>6.2%-species</t>
  </si>
  <si>
    <t>Increasing (from 2015-2016)</t>
  </si>
  <si>
    <t>HBPORPOISE-SF/RRIVER</t>
  </si>
  <si>
    <t xml:space="preserve">Aerial Survey, Bayesian Model </t>
  </si>
  <si>
    <t>Humpback whale (Central America/Southern Mexico-California/Oregon/Washington)</t>
  </si>
  <si>
    <t>8.2%-stock</t>
  </si>
  <si>
    <t>3 (commercial-fishery + vessel strikes + non-commercial sources)</t>
  </si>
  <si>
    <t>14.9 (mean)</t>
  </si>
  <si>
    <t>Humpback whale (Mainland Mexico-California/Oregon/Washington)</t>
  </si>
  <si>
    <t>3 (commercial fishery + vessel strikes + non-commercial sources)</t>
  </si>
  <si>
    <t>22 (mean)</t>
  </si>
  <si>
    <t>Blue whale (Eastern North Pacific)</t>
  </si>
  <si>
    <t>2 (commercial fishery + vessel strike)</t>
  </si>
  <si>
    <t>18.6 (mean)</t>
  </si>
  <si>
    <t xml:space="preserve">Morro Bay </t>
  </si>
  <si>
    <t>HBPORPOISE-MRBAY</t>
  </si>
  <si>
    <t>Aerial Survey, Bayesian Model</t>
  </si>
  <si>
    <t>Fin whale (California/Oregon/Washington)</t>
  </si>
  <si>
    <t>table also originall found in (Forney et al, 2021)</t>
  </si>
  <si>
    <t>43.4 (mean)</t>
  </si>
  <si>
    <t>Sei whale (Eastern North Pacific)</t>
  </si>
  <si>
    <t>Minke whale (California/Oregon/Washington)</t>
  </si>
  <si>
    <t>3 (commercial fishery + shooting + vessel strikes)</t>
  </si>
  <si>
    <t>HBPORPOISE-MTBAY</t>
  </si>
  <si>
    <t>0.37 (mean)</t>
  </si>
  <si>
    <t>data from NOAA table from Forney et al</t>
  </si>
  <si>
    <t>Bryde's whale (Eastern tropical Pacific)</t>
  </si>
  <si>
    <t>2001-2013</t>
  </si>
  <si>
    <t>Rough-toothed dolphin (Hawaii)</t>
  </si>
  <si>
    <t>Rough-toothed dolphin (American Samoa)</t>
  </si>
  <si>
    <t>NA (426-2731)</t>
  </si>
  <si>
    <t>NA (3.4-22)</t>
  </si>
  <si>
    <t>2006-2008</t>
  </si>
  <si>
    <t>3.6 (mean)</t>
  </si>
  <si>
    <t>HBPORPOISE-NCA/SOR</t>
  </si>
  <si>
    <t>Risso's dolphin (Hawaii)</t>
  </si>
  <si>
    <t>Common bottlenose dolphin (Kanua'i/Ni'ihau)</t>
  </si>
  <si>
    <t>Unknown (Van Cise et al., 2021 suggests declining)</t>
  </si>
  <si>
    <t>0 (undetermined)</t>
  </si>
  <si>
    <t>Common bottlenose dolphin (O'ahu)</t>
  </si>
  <si>
    <t>HBSEAL-AL</t>
  </si>
  <si>
    <t>stock region/ management area</t>
  </si>
  <si>
    <t>definition of stock region/management area</t>
  </si>
  <si>
    <t>Survey/estimation method</t>
  </si>
  <si>
    <t>low estimates</t>
  </si>
  <si>
    <t>Common bottlenose dolphin (Maui Nui)</t>
  </si>
  <si>
    <t>high estimates</t>
  </si>
  <si>
    <t>abundance units</t>
  </si>
  <si>
    <t xml:space="preserve">Australia (Eastern Coast) </t>
  </si>
  <si>
    <t>See map for survey area</t>
  </si>
  <si>
    <t xml:space="preserve">Land-Based Spotting, Aerial Survey </t>
  </si>
  <si>
    <r>
      <rPr/>
      <t xml:space="preserve">Noad MJ, Kniest E, Dunlop RA. Boom to bust? Implications for the continued rapid growth of the eastern Australian humpback whale population despite recovery. Popul Ecol. 2019; 61:198–209. </t>
    </r>
    <r>
      <rPr>
        <color rgb="FF1155CC"/>
        <u/>
      </rPr>
      <t>https://doi.org/10.1002/1438-390X.1014</t>
    </r>
  </si>
  <si>
    <t>2017-2022</t>
  </si>
  <si>
    <t xml:space="preserve">used a graph for data and articel had mutliple models for the same data, report references data from two survey methods, unsure of exact stock area, for unclear dots - estimated locations along the line at visually similar intervals </t>
  </si>
  <si>
    <t>Common bottlenose dolphin (Hawaii Island stock)</t>
  </si>
  <si>
    <t>Noad MJ, Kniest E, Dunlop RA. Boom to bust? Implications for the continued rapid growth of the eastern Australian humpback whale population despite recovery. Popul Ecol. 2019; 61:198–209. https://doi.org/10.1002/1438-390X.1015</t>
  </si>
  <si>
    <t>Noad MJ, Kniest E, Dunlop RA. Boom to bust? Implications for the continued rapid growth of the eastern Australian humpback whale population despite recovery. Popul Ecol. 2019; 61:198–209. https://doi.org/10.1002/1438-390X.1016</t>
  </si>
  <si>
    <t>Noad MJ, Kniest E, Dunlop RA. Boom to bust? Implications for the continued rapid growth of the eastern Australian humpback whale population despite recovery. Popul Ecol. 2019; 61:198–209. https://doi.org/10.1002/1438-390X.1017</t>
  </si>
  <si>
    <t>Unknown (Van Cise et al., 2021 suggests increasing)</t>
  </si>
  <si>
    <t>Noad MJ, Kniest E, Dunlop RA. Boom to bust? Implications for the continued rapid growth of the eastern Australian humpback whale population despite recovery. Popul Ecol. 2019; 61:198–209. https://doi.org/10.1002/1438-390X.1018</t>
  </si>
  <si>
    <t>Noad MJ, Kniest E, Dunlop RA. Boom to bust? Implications for the continued rapid growth of the eastern Australian humpback whale population despite recovery. Popul Ecol. 2019; 61:198–209. https://doi.org/10.1002/1438-390X.1019</t>
  </si>
  <si>
    <t>Noad MJ, Kniest E, Dunlop RA. Boom to bust? Implications for the continued rapid growth of the eastern Australian humpback whale population despite recovery. Popul Ecol. 2019; 61:198–209. https://doi.org/10.1002/1438-390X.1020</t>
  </si>
  <si>
    <t>Noad MJ, Kniest E, Dunlop RA. Boom to bust? Implications for the continued rapid growth of the eastern Australian humpback whale population despite recovery. Popul Ecol. 2019; 61:198–209. https://doi.org/10.1002/1438-390X.1021</t>
  </si>
  <si>
    <t>Noad MJ, Kniest E, Dunlop RA. Boom to bust? Implications for the continued rapid growth of the eastern Australian humpback whale population despite recovery. Popul Ecol. 2019; 61:198–209. https://doi.org/10.1002/1438-390X.1022</t>
  </si>
  <si>
    <t>Common bottlenose dolphin (Hawaii pelagic stock)</t>
  </si>
  <si>
    <t>Noad MJ, Kniest E, Dunlop RA. Boom to bust? Implications for the continued rapid growth of the eastern Australian humpback whale population despite recovery. Popul Ecol. 2019; 61:198–209. https://doi.org/10.1002/1438-390X.1023</t>
  </si>
  <si>
    <t>HBSEAL-BTBAY</t>
  </si>
  <si>
    <t>Noad MJ, Kniest E, Dunlop RA. Boom to bust? Implications for the continued rapid growth of the eastern Australian humpback whale population despite recovery. Popul Ecol. 2019; 61:198–209. https://doi.org/10.1002/1438-390X.1024</t>
  </si>
  <si>
    <t>Noad MJ, Kniest E, Dunlop RA. Boom to bust? Implications for the continued rapid growth of the eastern Australian humpback whale population despite recovery. Popul Ecol. 2019; 61:198–209. https://doi.org/10.1002/1438-390X.1025</t>
  </si>
  <si>
    <t xml:space="preserve">Southeastern Australia </t>
  </si>
  <si>
    <t>Tasmania, Victoria and New South Wales</t>
  </si>
  <si>
    <t>Superpopulation Mark-Recapture Model</t>
  </si>
  <si>
    <t>Breeding Females</t>
  </si>
  <si>
    <t>Stamation, K., Watson, M., Moloney, P., Charlton, C., &amp; Bannister, J. (2020). Population estimate and rate of increase of southern right whales Eubalaena australis in southeastern Australia. Endangered Species Research, 41, 373–383. https://doi.org/10.3354/esr01032</t>
  </si>
  <si>
    <t>Stamation, K., Watson, M., Moloney, P., Charlton, C., &amp; Bannister, J. (2020). Population estimate and rate of increase of southern right whales Eubalaena australis in southeastern Australia. Endangered Species Research, 41, 373–383. https://doi.org/10.3354/esr01033</t>
  </si>
  <si>
    <t>Stamation, K., Watson, M., Moloney, P., Charlton, C., &amp; Bannister, J. (2020). Population estimate and rate of increase of southern right whales Eubalaena australis in southeastern Australia. Endangered Species Research, 41, 373–383. https://doi.org/10.3354/esr01034</t>
  </si>
  <si>
    <t>Stamation, K., Watson, M., Moloney, P., Charlton, C., &amp; Bannister, J. (2020). Population estimate and rate of increase of southern right whales Eubalaena australis in southeastern Australia. Endangered Species Research, 41, 373–383. https://doi.org/10.3354/esr01035</t>
  </si>
  <si>
    <t>Pantropical spotted dolphin (O'ahu)</t>
  </si>
  <si>
    <t>Stamation, K., Watson, M., Moloney, P., Charlton, C., &amp; Bannister, J. (2020). Population estimate and rate of increase of southern right whales Eubalaena australis in southeastern Australia. Endangered Species Research, 41, 373–383. https://doi.org/10.3354/esr01036</t>
  </si>
  <si>
    <t>Stamation, K., Watson, M., Moloney, P., Charlton, C., &amp; Bannister, J. (2020). Population estimate and rate of increase of southern right whales Eubalaena australis in southeastern Australia. Endangered Species Research, 41, 373–383. https://doi.org/10.3354/esr01037</t>
  </si>
  <si>
    <t>Stamation, K., Watson, M., Moloney, P., Charlton, C., &amp; Bannister, J. (2020). Population estimate and rate of increase of southern right whales Eubalaena australis in southeastern Australia. Endangered Species Research, 41, 373–383. https://doi.org/10.3354/esr01038</t>
  </si>
  <si>
    <t>Stamation, K., Watson, M., Moloney, P., Charlton, C., &amp; Bannister, J. (2020). Population estimate and rate of increase of southern right whales Eubalaena australis in southeastern Australia. Endangered Species Research, 41, 373–383. https://doi.org/10.3354/esr01039</t>
  </si>
  <si>
    <t>Stamation, K., Watson, M., Moloney, P., Charlton, C., &amp; Bannister, J. (2020). Population estimate and rate of increase of southern right whales Eubalaena australis in southeastern Australia. Endangered Species Research, 41, 373–383. https://doi.org/10.3354/esr01040</t>
  </si>
  <si>
    <t>Stamation, K., Watson, M., Moloney, P., Charlton, C., &amp; Bannister, J. (2020). Population estimate and rate of increase of southern right whales Eubalaena australis in southeastern Australia. Endangered Species Research, 41, 373–383. https://doi.org/10.3354/esr01041</t>
  </si>
  <si>
    <t>Stamation, K., Watson, M., Moloney, P., Charlton, C., &amp; Bannister, J. (2020). Population estimate and rate of increase of southern right whales Eubalaena australis in southeastern Australia. Endangered Species Research, 41, 373–383. https://doi.org/10.3354/esr01042</t>
  </si>
  <si>
    <t>Stamation, K., Watson, M., Moloney, P., Charlton, C., &amp; Bannister, J. (2020). Population estimate and rate of increase of southern right whales Eubalaena australis in southeastern Australia. Endangered Species Research, 41, 373–383. https://doi.org/10.3354/esr01043</t>
  </si>
  <si>
    <t>Stamation, K., Watson, M., Moloney, P., Charlton, C., &amp; Bannister, J. (2020). Population estimate and rate of increase of southern right whales Eubalaena australis in southeastern Australia. Endangered Species Research, 41, 373–383. https://doi.org/10.3354/esr01044</t>
  </si>
  <si>
    <t>Stamation, K., Watson, M., Moloney, P., Charlton, C., &amp; Bannister, J. (2020). Population estimate and rate of increase of southern right whales Eubalaena australis in southeastern Australia. Endangered Species Research, 41, 373–383. https://doi.org/10.3354/esr01045</t>
  </si>
  <si>
    <t>Pantropical spotted dolphin (Maui Nui)</t>
  </si>
  <si>
    <t>Stamation, K., Watson, M., Moloney, P., Charlton, C., &amp; Bannister, J. (2020). Population estimate and rate of increase of southern right whales Eubalaena australis in southeastern Australia. Endangered Species Research, 41, 373–383. https://doi.org/10.3354/esr01046</t>
  </si>
  <si>
    <t>Stamation, K., Watson, M., Moloney, P., Charlton, C., &amp; Bannister, J. (2020). Population estimate and rate of increase of southern right whales Eubalaena australis in southeastern Australia. Endangered Species Research, 41, 373–383. https://doi.org/10.3354/esr01047</t>
  </si>
  <si>
    <t>Stamation, K., Watson, M., Moloney, P., Charlton, C., &amp; Bannister, J. (2020). Population estimate and rate of increase of southern right whales Eubalaena australis in southeastern Australia. Endangered Species Research, 41, 373–383. https://doi.org/10.3354/esr01048</t>
  </si>
  <si>
    <t>Stamation, K., Watson, M., Moloney, P., Charlton, C., &amp; Bannister, J. (2020). Population estimate and rate of increase of southern right whales Eubalaena australis in southeastern Australia. Endangered Species Research, 41, 373–383. https://doi.org/10.3354/esr01049</t>
  </si>
  <si>
    <t>Stamation, K., Watson, M., Moloney, P., Charlton, C., &amp; Bannister, J. (2020). Population estimate and rate of increase of southern right whales Eubalaena australis in southeastern Australia. Endangered Species Research, 41, 373–383. https://doi.org/10.3354/esr01050</t>
  </si>
  <si>
    <t>Stamation, K., Watson, M., Moloney, P., Charlton, C., &amp; Bannister, J. (2020). Population estimate and rate of increase of southern right whales Eubalaena australis in southeastern Australia. Endangered Species Research, 41, 373–383. https://doi.org/10.3354/esr01051</t>
  </si>
  <si>
    <t>Stamation, K., Watson, M., Moloney, P., Charlton, C., &amp; Bannister, J. (2020). Population estimate and rate of increase of southern right whales Eubalaena australis in southeastern Australia. Endangered Species Research, 41, 373–383. https://doi.org/10.3354/esr01052</t>
  </si>
  <si>
    <t>Stamation, K., Watson, M., Moloney, P., Charlton, C., &amp; Bannister, J. (2020). Population estimate and rate of increase of southern right whales Eubalaena australis in southeastern Australia. Endangered Species Research, 41, 373–383. https://doi.org/10.3354/esr01053</t>
  </si>
  <si>
    <t>HBSEAL-NKOD</t>
  </si>
  <si>
    <t>Pantropical spotted dolphin (Hawaii Island)</t>
  </si>
  <si>
    <t>Stamation, K., Watson, M., Moloney, P., Charlton, C., &amp; Bannister, J. (2020). Population estimate and rate of increase of southern right whales Eubalaena australis in southeastern Australia. Endangered Species Research, 41, 373–383. https://doi.org/10.3354/esr01054</t>
  </si>
  <si>
    <t>Stamation, K., Watson, M., Moloney, P., Charlton, C., &amp; Bannister, J. (2020). Population estimate and rate of increase of southern right whales Eubalaena australis in southeastern Australia. Endangered Species Research, 41, 373–383. https://doi.org/10.3354/esr01055</t>
  </si>
  <si>
    <t>Stamation, K., Watson, M., Moloney, P., Charlton, C., &amp; Bannister, J. (2020). Population estimate and rate of increase of southern right whales Eubalaena australis in southeastern Australia. Endangered Species Research, 41, 373–383. https://doi.org/10.3354/esr01056</t>
  </si>
  <si>
    <t>Stamation, K., Watson, M., Moloney, P., Charlton, C., &amp; Bannister, J. (2020). Population estimate and rate of increase of southern right whales Eubalaena australis in southeastern Australia. Endangered Species Research, 41, 373–383. https://doi.org/10.3354/esr01057</t>
  </si>
  <si>
    <t>Stamation, K., Watson, M., Moloney, P., Charlton, C., &amp; Bannister, J. (2020). Population estimate and rate of increase of southern right whales Eubalaena australis in southeastern Australia. Endangered Species Research, 41, 373–383. https://doi.org/10.3354/esr01058</t>
  </si>
  <si>
    <t>Stamation, K., Watson, M., Moloney, P., Charlton, C., &amp; Bannister, J. (2020). Population estimate and rate of increase of southern right whales Eubalaena australis in southeastern Australia. Endangered Species Research, 41, 373–383. https://doi.org/10.3354/esr01059</t>
  </si>
  <si>
    <t>Stamation, K., Watson, M., Moloney, P., Charlton, C., &amp; Bannister, J. (2020). Population estimate and rate of increase of southern right whales Eubalaena australis in southeastern Australia. Endangered Species Research, 41, 373–383. https://doi.org/10.3354/esr01060</t>
  </si>
  <si>
    <t>Stamation, K., Watson, M., Moloney, P., Charlton, C., &amp; Bannister, J. (2020). Population estimate and rate of increase of southern right whales Eubalaena australis in southeastern Australia. Endangered Species Research, 41, 373–383. https://doi.org/10.3354/esr01061</t>
  </si>
  <si>
    <t>Stamation, K., Watson, M., Moloney, P., Charlton, C., &amp; Bannister, J. (2020). Population estimate and rate of increase of southern right whales Eubalaena australis in southeastern Australia. Endangered Species Research, 41, 373–383. https://doi.org/10.3354/esr01062</t>
  </si>
  <si>
    <t>Pantropical spotted dolphin (Hawaii pelagic)</t>
  </si>
  <si>
    <t>Stamation, K., Watson, M., Moloney, P., Charlton, C., &amp; Bannister, J. (2020). Population estimate and rate of increase of southern right whales Eubalaena australis in southeastern Australia. Endangered Species Research, 41, 373–383. https://doi.org/10.3354/esr01063</t>
  </si>
  <si>
    <t xml:space="preserve">Oceania </t>
  </si>
  <si>
    <t>New Caledonia, Tonga Islands, Cook Islands and French Polynesia</t>
  </si>
  <si>
    <t>GenotypeSYN</t>
  </si>
  <si>
    <t xml:space="preserve">SYN refers to 4 main regions, while ALL includes 5 secondary regions </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</si>
  <si>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https://doi.org/10.3354/meps09614</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</si>
  <si>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https://doi.org/10.3354/meps09615</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</si>
  <si>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https://doi.org/10.3354/meps09616</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</si>
  <si>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https://doi.org/10.3354/meps09617</t>
  </si>
  <si>
    <t>GenotypeALL</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</si>
  <si>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https://doi.org/10.3354/meps09618</t>
  </si>
  <si>
    <t>Spinner dolphin (Hawaii Island)</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</si>
  <si>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https://doi.org/10.3354/meps09620</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</si>
  <si>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https://doi.org/10.3354/meps09621</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</si>
  <si>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https://doi.org/10.3354/meps09622</t>
  </si>
  <si>
    <t>GenotypeALLmales</t>
  </si>
  <si>
    <t>Males</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</si>
  <si>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https://doi.org/10.3354/meps09623</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</si>
  <si>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https://doi.org/10.3354/meps09624</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</si>
  <si>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https://doi.org/10.3354/meps09625</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</si>
  <si>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https://doi.org/10.3354/meps09626</t>
  </si>
  <si>
    <t>HBSEAL-SKOD</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</si>
  <si>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https://doi.org/10.3354/meps09627</t>
  </si>
  <si>
    <t>GenotypeSYNmales</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</si>
  <si>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https://doi.org/10.3354/meps09628</t>
  </si>
  <si>
    <t>Spinner dolphin (Oahu-4 islands)</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</si>
  <si>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https://doi.org/10.3354/meps09629</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</si>
  <si>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https://doi.org/10.3354/meps09630</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</si>
  <si>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https://doi.org/10.3354/meps09631</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</si>
  <si>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https://doi.org/10.3354/meps09632</t>
  </si>
  <si>
    <t>GenotypeSYNno2004males</t>
  </si>
  <si>
    <t>Females?</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</si>
  <si>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https://doi.org/10.3354/meps09633</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</si>
  <si>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https://doi.org/10.3354/meps09634</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</si>
  <si>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https://doi.org/10.3354/meps09635</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</si>
  <si>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https://doi.org/10.3354/meps09636</t>
  </si>
  <si>
    <t>PhotoIDSYN</t>
  </si>
  <si>
    <t xml:space="preserve">Tota Number </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</si>
  <si>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https://doi.org/10.3354/meps09637</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</si>
  <si>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https://doi.org/10.3354/meps09638</t>
  </si>
  <si>
    <t>Constantine, R., Jackson, J., Steel, D., Baker, C., Brooks, L., Burns, D., Clapham, P., Hauser, N., Madon, B., Mattila, D., Oremus, M., Poole, M., Robbins, J., Thompson, K., &amp; Garrigue, C. (2012). Abundance of humpback whales in Oceania using photo-identification and microsatellite genotyping. Marine Ecology Progress Series, 453, 249–261. https://doi.org/10.3354/meps09639</t>
  </si>
  <si>
    <t xml:space="preserve">South Australia </t>
  </si>
  <si>
    <t xml:space="preserve">Olive Island </t>
  </si>
  <si>
    <t xml:space="preserve">Cumulative Pup Production </t>
  </si>
  <si>
    <t xml:space="preserve">could not accurately read error bars on graphs </t>
  </si>
  <si>
    <t xml:space="preserve">Mark-Recapture </t>
  </si>
  <si>
    <t xml:space="preserve">Pups (including dead pups) </t>
  </si>
  <si>
    <t xml:space="preserve">only noted error bars when sure that the bar matched the data point - Did not record ambiguous error bars </t>
  </si>
  <si>
    <t>Spinner dolphin (Kauai/Niihau)</t>
  </si>
  <si>
    <t>Nicholas Baudin Island</t>
  </si>
  <si>
    <t xml:space="preserve">Ground Survey - Comparable </t>
  </si>
  <si>
    <t>HBSEAL-PWSOUND</t>
  </si>
  <si>
    <t xml:space="preserve">Pups </t>
  </si>
  <si>
    <t xml:space="preserve">some surveys were marked as comparable (good), while others were marked as questionnable (lower quality data) - digitalized separately </t>
  </si>
  <si>
    <t>Spinner dolphin (Pearl &amp; Hermes reef)</t>
  </si>
  <si>
    <t xml:space="preserve">Ground Survey - Questionnable </t>
  </si>
  <si>
    <t xml:space="preserve">West Waldegrave Island </t>
  </si>
  <si>
    <t>Spinner dolphin (Midway atoll/Kure)</t>
  </si>
  <si>
    <t>Ground Survey</t>
  </si>
  <si>
    <t>Four Hummocks Island</t>
  </si>
  <si>
    <t>Queensland</t>
  </si>
  <si>
    <t xml:space="preserve">Great Sandy Strait </t>
  </si>
  <si>
    <t>POPAN-5</t>
  </si>
  <si>
    <t xml:space="preserve">Total Number (Seasonal) </t>
  </si>
  <si>
    <t>used the seasonal population data, took these points from mark-recapture surveys, the data is classified into seasons - broke down the seasons into years by what season had the most months in which year</t>
  </si>
  <si>
    <t>Spinner dolphin (Hawaii pelagic)</t>
  </si>
  <si>
    <t xml:space="preserve">2005-2006 data </t>
  </si>
  <si>
    <t>MARK</t>
  </si>
  <si>
    <t xml:space="preserve">Port Essington Harbor </t>
  </si>
  <si>
    <t xml:space="preserve">used models to create estimation, different years indicate different periods of time within the same year </t>
  </si>
  <si>
    <t>HBSEAL-COINLET/SHSTRAIT</t>
  </si>
  <si>
    <t>Palmer, C., Brooks, L., Parra, G. J., Rogers, T., Glasgow, D., &amp; Woinarski, J. C. Z. (2014). Estimates of abundance and apparent survival of coastal dolphins in Port Essington harbour, Northern Territory, Australia. Wildlife Research, 41(1), 35. https://doi.org/10.1071/WR14034</t>
  </si>
  <si>
    <t>Palmer, C., Brooks, L., Parra, G. J., Rogers, T., Glasgow, D., &amp; Woinarski, J. C. Z. (2014). Estimates of abundance and apparent survival of coastal dolphins in Port Essington harbour, Northern Territory, Australia. Wildlife Research, 41(1), 35. https://doi.org/10.1071/WR14035</t>
  </si>
  <si>
    <t>Palmer, C., Brooks, L., Parra, G. J., Rogers, T., Glasgow, D., &amp; Woinarski, J. C. Z. (2014). Estimates of abundance and apparent survival of coastal dolphins in Port Essington harbour, Northern Territory, Australia. Wildlife Research, 41(1), 35. https://doi.org/10.1071/WR14036</t>
  </si>
  <si>
    <t>Palmer, C., Brooks, L., Parra, G. J., Rogers, T., Glasgow, D., &amp; Woinarski, J. C. Z. (2014). Estimates of abundance and apparent survival of coastal dolphins in Port Essington harbour, Northern Territory, Australia. Wildlife Research, 41(1), 35. https://doi.org/10.1071/WR14037</t>
  </si>
  <si>
    <t>Humpback dolphin</t>
  </si>
  <si>
    <t>Spinner dolphin (American Samoa)</t>
  </si>
  <si>
    <t>Palmer, C., Brooks, L., Parra, G. J., Rogers, T., Glasgow, D., &amp; Woinarski, J. C. Z. (2014). Estimates of abundance and apparent survival of coastal dolphins in Port Essington harbour, Northern Territory, Australia. Wildlife Research, 41(1), 35. https://doi.org/10.1071/WR14038</t>
  </si>
  <si>
    <t>NA (317-41483)</t>
  </si>
  <si>
    <t>Palmer, C., Brooks, L., Parra, G. J., Rogers, T., Glasgow, D., &amp; Woinarski, J. C. Z. (2014). Estimates of abundance and apparent survival of coastal dolphins in Port Essington harbour, Northern Territory, Australia. Wildlife Research, 41(1), 35. https://doi.org/10.1071/WR14039</t>
  </si>
  <si>
    <t>Palmer, C., Brooks, L., Parra, G. J., Rogers, T., Glasgow, D., &amp; Woinarski, J. C. Z. (2014). Estimates of abundance and apparent survival of coastal dolphins in Port Essington harbour, Northern Territory, Australia. Wildlife Research, 41(1), 35. https://doi.org/10.1071/WR14040</t>
  </si>
  <si>
    <t>Palmer, C., Brooks, L., Parra, G. J., Rogers, T., Glasgow, D., &amp; Woinarski, J. C. Z. (2014). Estimates of abundance and apparent survival of coastal dolphins in Port Essington harbour, Northern Territory, Australia. Wildlife Research, 41(1), 35. https://doi.org/10.1071/WR14041</t>
  </si>
  <si>
    <t>NA (3.2-415)</t>
  </si>
  <si>
    <t>Palmer, C., Brooks, L., Parra, G. J., Rogers, T., Glasgow, D., &amp; Woinarski, J. C. Z. (2014). Estimates of abundance and apparent survival of coastal dolphins in Port Essington harbour, Northern Territory, Australia. Wildlife Research, 41(1), 35. https://doi.org/10.1071/WR14042</t>
  </si>
  <si>
    <t>Palmer, C., Brooks, L., Parra, G. J., Rogers, T., Glasgow, D., &amp; Woinarski, J. C. Z. (2014). Estimates of abundance and apparent survival of coastal dolphins in Port Essington harbour, Northern Territory, Australia. Wildlife Research, 41(1), 35. https://doi.org/10.1071/WR14043</t>
  </si>
  <si>
    <t>Palmer, C., Brooks, L., Parra, G. J., Rogers, T., Glasgow, D., &amp; Woinarski, J. C. Z. (2014). Estimates of abundance and apparent survival of coastal dolphins in Port Essington harbour, Northern Territory, Australia. Wildlife Research, 41(1), 35. https://doi.org/10.1071/WR14044</t>
  </si>
  <si>
    <t>Palmer, C., Brooks, L., Parra, G. J., Rogers, T., Glasgow, D., &amp; Woinarski, J. C. Z. (2014). Estimates of abundance and apparent survival of coastal dolphins in Port Essington harbour, Northern Territory, Australia. Wildlife Research, 41(1), 35. https://doi.org/10.1071/WR14045</t>
  </si>
  <si>
    <t>Palmer, C., Brooks, L., Parra, G. J., Rogers, T., Glasgow, D., &amp; Woinarski, J. C. Z. (2014). Estimates of abundance and apparent survival of coastal dolphins in Port Essington harbour, Northern Territory, Australia. Wildlife Research, 41(1), 35. https://doi.org/10.1071/WR14046</t>
  </si>
  <si>
    <t>Palmer, C., Brooks, L., Parra, G. J., Rogers, T., Glasgow, D., &amp; Woinarski, J. C. Z. (2014). Estimates of abundance and apparent survival of coastal dolphins in Port Essington harbour, Northern Territory, Australia. Wildlife Research, 41(1), 35. https://doi.org/10.1071/WR14047</t>
  </si>
  <si>
    <t>Palmer, C., Brooks, L., Parra, G. J., Rogers, T., Glasgow, D., &amp; Woinarski, J. C. Z. (2014). Estimates of abundance and apparent survival of coastal dolphins in Port Essington harbour, Northern Territory, Australia. Wildlife Research, 41(1), 35. https://doi.org/10.1071/WR14048</t>
  </si>
  <si>
    <t>Palmer, C., Brooks, L., Parra, G. J., Rogers, T., Glasgow, D., &amp; Woinarski, J. C. Z. (2014). Estimates of abundance and apparent survival of coastal dolphins in Port Essington harbour, Northern Territory, Australia. Wildlife Research, 41(1), 35. https://doi.org/10.1071/WR14049</t>
  </si>
  <si>
    <t>Striped dolphin (Hawaii)</t>
  </si>
  <si>
    <t>Palmer, C., Brooks, L., Parra, G. J., Rogers, T., Glasgow, D., &amp; Woinarski, J. C. Z. (2014). Estimates of abundance and apparent survival of coastal dolphins in Port Essington harbour, Northern Territory, Australia. Wildlife Research, 41(1), 35. https://doi.org/10.1071/WR14050</t>
  </si>
  <si>
    <t>Palmer, C., Brooks, L., Parra, G. J., Rogers, T., Glasgow, D., &amp; Woinarski, J. C. Z. (2014). Estimates of abundance and apparent survival of coastal dolphins in Port Essington harbour, Northern Territory, Australia. Wildlife Research, 41(1), 35. https://doi.org/10.1071/WR14051</t>
  </si>
  <si>
    <t xml:space="preserve">Pages Islands </t>
  </si>
  <si>
    <t>Pup Counts</t>
  </si>
  <si>
    <t>Fraser's dolphin (Hawaii)</t>
  </si>
  <si>
    <t>HBSEAL-GLBAY/ICSTRAIT</t>
  </si>
  <si>
    <t>Spencer Gulf</t>
  </si>
  <si>
    <t xml:space="preserve">only digitalized error bars that could be clearly seen in graph </t>
  </si>
  <si>
    <t>Seal Bay</t>
  </si>
  <si>
    <t xml:space="preserve">Pup Counts </t>
  </si>
  <si>
    <t>Melon-headed whale (Kohala Resident)</t>
  </si>
  <si>
    <t>Western and Central Torres Strait</t>
  </si>
  <si>
    <t xml:space="preserve">Hagihara Method </t>
  </si>
  <si>
    <t>Melon-headed whale (Hawaiian Island)</t>
  </si>
  <si>
    <t xml:space="preserve">Pollock Method </t>
  </si>
  <si>
    <t>Pygmy killer whale (Hawaii)</t>
  </si>
  <si>
    <t>False killer whale (Main Hawaiian Island Insular)</t>
  </si>
  <si>
    <t>HBSEAL-LYCANNAL/STPASSAGE</t>
  </si>
  <si>
    <t>Encounter data (mark-recapture)</t>
  </si>
  <si>
    <t>False killer whale (Hawaii pelagic)</t>
  </si>
  <si>
    <t>False killer whale (Northwestern Hawaiian Island)</t>
  </si>
  <si>
    <t>False killer whale (Palmyra Atoll)</t>
  </si>
  <si>
    <t>HBSEAL-SI/CHSTRAIT</t>
  </si>
  <si>
    <t>2006-2010</t>
  </si>
  <si>
    <t>False killer whale (American Samoa)</t>
  </si>
  <si>
    <t>NA (45-936)</t>
  </si>
  <si>
    <t>NA (0.4-7.5)</t>
  </si>
  <si>
    <t>Killer whale (Hawaii)</t>
  </si>
  <si>
    <t>Short-finned pilot whale (Hawaii)</t>
  </si>
  <si>
    <t>HBSEAL-DX/CAPEDE</t>
  </si>
  <si>
    <t>Blainville's beaked whale (Hawaii)</t>
  </si>
  <si>
    <t>Longman's beaked whale (Hawaii)</t>
  </si>
  <si>
    <t>Cuvier's beaked whale (Hawaii)</t>
  </si>
  <si>
    <t>HBSEAL-CLSTRAIT</t>
  </si>
  <si>
    <t>Pygmy sperm whale (Hawaii)</t>
  </si>
  <si>
    <t>Dwarf sperm whale (Hawaii)</t>
  </si>
  <si>
    <t>Northwest Atlantic (Newfoundland-Labrador stratum)</t>
  </si>
  <si>
    <t>waters from the northern tip of Labrador to the southwestern coast of Newfoundland</t>
  </si>
  <si>
    <t>aerial</t>
  </si>
  <si>
    <t>individuals</t>
  </si>
  <si>
    <t>ICES (2023) - NW Atlantic harbor porpoise</t>
  </si>
  <si>
    <t>uncorrected estimates</t>
  </si>
  <si>
    <t>Sperm whale (Hawaii)</t>
  </si>
  <si>
    <t>Ottawa Islands south to Ekwan Point, western Hudson Bay</t>
  </si>
  <si>
    <t>growth rate 8%, PBR 4, recovery factor 0.25</t>
  </si>
  <si>
    <t>northern Hudson Bay, southern Foxe Basin, Hudson Strait, and southeastern Baffin Island</t>
  </si>
  <si>
    <t>PBR 360, recovery factor 1, growth rate 8%</t>
  </si>
  <si>
    <t>Blue whale (Central North Pacific)</t>
  </si>
  <si>
    <t>California (Channel Islands)</t>
  </si>
  <si>
    <t>HBSEAL-CAISLANDS</t>
  </si>
  <si>
    <t>Haul-out counts</t>
  </si>
  <si>
    <t>digitized</t>
  </si>
  <si>
    <t xml:space="preserve">Newfoundland, Labrador, and Quebec Region </t>
  </si>
  <si>
    <t>PBR 425,600, graph of total does not have specific data points</t>
  </si>
  <si>
    <t>Fin whale (Hawaii)</t>
  </si>
  <si>
    <t>Bryde's whale (Hawaii)</t>
  </si>
  <si>
    <t>Coastal waters of west and north coast of Vancouver Island and central coast of BC</t>
  </si>
  <si>
    <t xml:space="preserve">Aerial Survey, Boat Survey </t>
  </si>
  <si>
    <t>growth rate 2.6%, reintroduced post extripation in 1969-72</t>
  </si>
  <si>
    <t>Sei whale (Hawaii)</t>
  </si>
  <si>
    <t>Minke whale (Hawaii)</t>
  </si>
  <si>
    <t>California (Mainland)</t>
  </si>
  <si>
    <t>HBSEAL-CAMAIN</t>
  </si>
  <si>
    <t>Humpback whale (IUCN Oceania subpopulation - American Samoa)</t>
  </si>
  <si>
    <t>Grey seal</t>
  </si>
  <si>
    <t xml:space="preserve">Scotian Shelf (Sable Island and Coastal Nova Scotia) </t>
  </si>
  <si>
    <t xml:space="preserve">Aerial Survey, Integrated Population Model </t>
  </si>
  <si>
    <t>Pups (1000s)</t>
  </si>
  <si>
    <t>overall: growth rate 1.5%, dots difficult to see on graph for Shelf_Pups</t>
  </si>
  <si>
    <t>Fluke photo identification</t>
  </si>
  <si>
    <t>10.6%-species</t>
  </si>
  <si>
    <t>Alaska</t>
  </si>
  <si>
    <t>Stellar sea lion (Western stock)</t>
  </si>
  <si>
    <t>AgTrend modeled count</t>
  </si>
  <si>
    <t>9 (observer) + stranding report + subsistence harvest</t>
  </si>
  <si>
    <t>Stellar sea lion (Eastern stock)</t>
  </si>
  <si>
    <t xml:space="preserve">7 (observer) + stranding report + subsistence harvest </t>
  </si>
  <si>
    <t>* Mention this stock is likely within the OSP but the determination of the status has not been made</t>
  </si>
  <si>
    <t>Northern fur seal (Eastern Pacific)</t>
  </si>
  <si>
    <t>Life table estimates based on pup count</t>
  </si>
  <si>
    <t>California (Total)</t>
  </si>
  <si>
    <t>8.6%-stock</t>
  </si>
  <si>
    <t>HBSEAL-CA</t>
  </si>
  <si>
    <t>1 (observer) + stranding report + subsistence harvest</t>
  </si>
  <si>
    <t>Harbor seal (Aleutian Islands)</t>
  </si>
  <si>
    <t>Aerial survey count</t>
  </si>
  <si>
    <t>8 (observer) + stranding report + subsistence harvest</t>
  </si>
  <si>
    <t>* If decreasing probability of the stock is indicated to be greater than 0.5 - then the stock is decreasing</t>
  </si>
  <si>
    <t>Harbor seal (Pribliof Islands)</t>
  </si>
  <si>
    <t>Washington (Coastal)</t>
  </si>
  <si>
    <t>Harbor seal (Bristol Bay)</t>
  </si>
  <si>
    <t>HBSEAL-WACOA</t>
  </si>
  <si>
    <t xml:space="preserve"> Gulf of St. Lawrence (Gulf)</t>
  </si>
  <si>
    <t xml:space="preserve">Integrated Population Model </t>
  </si>
  <si>
    <t>Harbor seal (North Kodiak)</t>
  </si>
  <si>
    <t>**data was recorded via aeria survey and predicted with IPM</t>
  </si>
  <si>
    <t>Harbor seal (South Kodiak)</t>
  </si>
  <si>
    <t>Washington (Inland)</t>
  </si>
  <si>
    <t>HBSEAL-WAINLAND</t>
  </si>
  <si>
    <t>https://media.fisheries.noaa.gov/dam-migration/po2013sehr-wain_508.pdf</t>
  </si>
  <si>
    <t>Harbor seal (Prince William Sound)</t>
  </si>
  <si>
    <t>Harbor seal (Cook Inlet/Shelikof Strait)</t>
  </si>
  <si>
    <t>Harbor seal (Glacier bay/Icy Strait)</t>
  </si>
  <si>
    <t>Oregon (Coastal)</t>
  </si>
  <si>
    <t>HBSEAL-ORCOA</t>
  </si>
  <si>
    <t>Non-pup</t>
  </si>
  <si>
    <t>Harbor seal (Lynn Canal/Stephens  Passage)</t>
  </si>
  <si>
    <t>Harbor seal (Sitka/Chatham Strait)</t>
  </si>
  <si>
    <t xml:space="preserve"> Gulf of St. Lawrence (Gulf), Scotian Shelf (Sable Island and Coastal Nova Scotia) </t>
  </si>
  <si>
    <t>Harbor seal (Dixon/Cape Decision)</t>
  </si>
  <si>
    <t>HMSEAL-HI</t>
  </si>
  <si>
    <t xml:space="preserve">Capture-recapture, Field Counts, Trend Analysis </t>
  </si>
  <si>
    <t>Harbor seal (Clearence Strait)</t>
  </si>
  <si>
    <t>HUWHALE-CA/OR/WA</t>
  </si>
  <si>
    <t>Spotted seal (Bering)</t>
  </si>
  <si>
    <t>data from (Calambokidis &amp; Barlow, 2020)</t>
  </si>
  <si>
    <t>Photo Mark Recapture</t>
  </si>
  <si>
    <t>Bearded seal (Beringia)</t>
  </si>
  <si>
    <t>3 (observer) + stranding report + subsistence harvest</t>
  </si>
  <si>
    <t>Ringed seal (Arctic)</t>
  </si>
  <si>
    <t>2 (observer) + stranding report + subsistence harvest</t>
  </si>
  <si>
    <t>* The PBR is indicated to be negatively biased</t>
  </si>
  <si>
    <t>Ribbon seal (Bering)</t>
  </si>
  <si>
    <t>4 (observer) + stranding report + subsistence harvest</t>
  </si>
  <si>
    <t>Beluga whale (Beaufort sea)</t>
  </si>
  <si>
    <t>Total Number (1000s)</t>
  </si>
  <si>
    <t>Subsistence harvest</t>
  </si>
  <si>
    <t>HUWHALE-GUMAINE</t>
  </si>
  <si>
    <t>Total Number (Females)**</t>
  </si>
  <si>
    <t>Beluga whale (Eastern Chukchi sea)</t>
  </si>
  <si>
    <t xml:space="preserve">**GoM humpback whale abundance data includes "some, but not all, calves", methods described in Pace et. al, 2017 </t>
  </si>
  <si>
    <t>Beluga whale (Easrern Bering sea)</t>
  </si>
  <si>
    <t>Beluga whale (Bristol Bay)</t>
  </si>
  <si>
    <t>Total Number (Males)**</t>
  </si>
  <si>
    <t>Beluga whale (Cook Inlet)</t>
  </si>
  <si>
    <t>stranding report</t>
  </si>
  <si>
    <t>* Stranding report could be from non-human caused sources, subsistence harvest in history happened for this stock</t>
  </si>
  <si>
    <t>Narwhal (unidentified)</t>
  </si>
  <si>
    <t>Total Number**</t>
  </si>
  <si>
    <t>Killer whale (Eastern North Pacific - Alaska resident)</t>
  </si>
  <si>
    <t>Photo ID count</t>
  </si>
  <si>
    <t>2 (observer) + self-report</t>
  </si>
  <si>
    <t>* The Nmin is derived from photo-id count of whales in Gulf of Alaska from 2005-2019, and the count of whales for the Aleutian Islands and Bering Sea from 2001-2010</t>
  </si>
  <si>
    <t>Killer whale (Eastern North Pacific - Northern resident)</t>
  </si>
  <si>
    <t>2.9%-stock</t>
  </si>
  <si>
    <t>self-report</t>
  </si>
  <si>
    <t>Killer whale (Eastern North Pacific - Gulf of Alaska, Aleutian Islands, and Bering Sea Transient)</t>
  </si>
  <si>
    <t>Eastern North Pacific Southern resident</t>
  </si>
  <si>
    <t>KIWHALE-ENPACIFICSRE</t>
  </si>
  <si>
    <t>Killer whale (AT1 transient)</t>
  </si>
  <si>
    <t xml:space="preserve">the growth rate is for specifically Alaska killer whales but applied to Southern Resident stock, count is only the individually identifiable ones, so the Nmin is the same as the abundance (due to this - assumed mark recapture) </t>
  </si>
  <si>
    <t>* The stock is indicated to be unlikely recover</t>
  </si>
  <si>
    <t>Killer whale (West coast transient)</t>
  </si>
  <si>
    <t>Pacific white-sided dolphin (North Pacific)</t>
  </si>
  <si>
    <t>Harbor porpoise (Southeast Alaska: Northern Southeast Alaska inland waters)</t>
  </si>
  <si>
    <t>2012-2013</t>
  </si>
  <si>
    <t>* The stock is indicated as strategic because human-caused mortality &gt; PBR</t>
  </si>
  <si>
    <t>Harbor porpoise (Southeast Alaska: Southern Southeast Alaska inland waters)</t>
  </si>
  <si>
    <t>Harbor porpoise (Southeast Alaska: Yakutat/Southeast Alaska offshore waters)</t>
  </si>
  <si>
    <t>2007-2008</t>
  </si>
  <si>
    <t>1 (observer) + self-report</t>
  </si>
  <si>
    <t>Harbor porpoise (Gulf of Alaska)</t>
  </si>
  <si>
    <t>1990-2005, 2014-2018</t>
  </si>
  <si>
    <t>4 (observer) + self-report</t>
  </si>
  <si>
    <t>LBCODOLPHIN-CA</t>
  </si>
  <si>
    <t>Total Numbers</t>
  </si>
  <si>
    <t>* The stock is indicated as strategic because the level of mortality and serious injury would likely exceed the PBR level if more accurate information on abundance estimate is available</t>
  </si>
  <si>
    <t>https://media.fisheries.noaa.gov/2022-08/2021-LONG-BEAKED%20COMMON%20DOLPHIN-California%20Stock.pdf</t>
  </si>
  <si>
    <t>Harbor porpoise (Bering sea)</t>
  </si>
  <si>
    <t>Dall's porpoise (Alaska)</t>
  </si>
  <si>
    <t>1990-2013, 2015-2019</t>
  </si>
  <si>
    <t>Sperm whale (North Pacific)</t>
  </si>
  <si>
    <t>3 (observer) + self-report</t>
  </si>
  <si>
    <t>(NOAA Fisheries, 2017)</t>
  </si>
  <si>
    <t>MEBEWHALE-CA/OR/WA</t>
  </si>
  <si>
    <t>* The PBR is considered as unreliable for this stock because the survey only covers a small-portion of the species distribution range</t>
  </si>
  <si>
    <t>Baird's beaked whale (Alaska)</t>
  </si>
  <si>
    <r>
      <rPr/>
      <t xml:space="preserve">NOAA Fisheries. (2017). MESOPLODONT BEAKED WHALE (Mesoplodon spp.): California/Oregon/Washington Stock, </t>
    </r>
    <r>
      <rPr>
        <color rgb="FF1155CC"/>
        <u/>
      </rPr>
      <t>https://media.fisheries.noaa.gov/dam-migration/pacific-2017-mes_beaked_whales-caorwa-508.pdf</t>
    </r>
  </si>
  <si>
    <r>
      <rPr/>
      <t xml:space="preserve">NOAA Fisheries. (2017). MESOPLODONT BEAKED WHALE (Mesoplodon spp.): California/Oregon/Washington Stock, </t>
    </r>
    <r>
      <rPr>
        <color rgb="FF1155CC"/>
        <u/>
      </rPr>
      <t>https://media.fisheries.noaa.gov/dam-migration/pacific-2017-mes_beaked_whales-caorwa-508.pdf</t>
    </r>
  </si>
  <si>
    <r>
      <rPr/>
      <t xml:space="preserve">NOAA Fisheries. (2017). MESOPLODONT BEAKED WHALE (Mesoplodon spp.): California/Oregon/Washington Stock, </t>
    </r>
    <r>
      <rPr>
        <color rgb="FF1155CC"/>
        <u/>
      </rPr>
      <t>https://media.fisheries.noaa.gov/dam-migration/pacific-2017-mes_beaked_whales-caorwa-508.pdf</t>
    </r>
  </si>
  <si>
    <r>
      <rPr/>
      <t xml:space="preserve">NOAA Fisheries. (2017). MESOPLODONT BEAKED WHALE (Mesoplodon spp.): California/Oregon/Washington Stock, </t>
    </r>
    <r>
      <rPr>
        <color rgb="FF1155CC"/>
        <u/>
      </rPr>
      <t>https://media.fisheries.noaa.gov/dam-migration/pacific-2017-mes_beaked_whales-caorwa-508.pdf</t>
    </r>
  </si>
  <si>
    <t>Cuvier's beaked whale (Alaska)</t>
  </si>
  <si>
    <r>
      <rPr/>
      <t xml:space="preserve">NOAA Fisheries. (2017). MESOPLODONT BEAKED WHALE (Mesoplodon spp.): California/Oregon/Washington Stock, </t>
    </r>
    <r>
      <rPr>
        <color rgb="FF1155CC"/>
        <u/>
      </rPr>
      <t>https://media.fisheries.noaa.gov/dam-migration/pacific-2017-mes_beaked_whales-caorwa-508.pdf</t>
    </r>
  </si>
  <si>
    <r>
      <rPr/>
      <t xml:space="preserve">NOAA Fisheries. (2017). MESOPLODONT BEAKED WHALE (Mesoplodon spp.): California/Oregon/Washington Stock, </t>
    </r>
    <r>
      <rPr>
        <color rgb="FF1155CC"/>
        <u/>
      </rPr>
      <t>https://media.fisheries.noaa.gov/dam-migration/pacific-2017-mes_beaked_whales-caorwa-508.pdf</t>
    </r>
  </si>
  <si>
    <r>
      <rPr/>
      <t xml:space="preserve">NOAA Fisheries. (2017). MESOPLODONT BEAKED WHALE (Mesoplodon spp.): California/Oregon/Washington Stock, </t>
    </r>
    <r>
      <rPr>
        <color rgb="FF1155CC"/>
        <u/>
      </rPr>
      <t>https://media.fisheries.noaa.gov/dam-migration/pacific-2017-mes_beaked_whales-caorwa-508.pdf</t>
    </r>
  </si>
  <si>
    <t xml:space="preserve">Cumberland Sound </t>
  </si>
  <si>
    <t>MIWHALE-CA/OR/WA</t>
  </si>
  <si>
    <t>https://media.fisheries.noaa.gov/2022-08/2021-PACminke-CaliforniaOregonWashington%20Stock.pdf</t>
  </si>
  <si>
    <t>coast of British Columbia (see map)</t>
  </si>
  <si>
    <t xml:space="preserve">Aerial Survey </t>
  </si>
  <si>
    <t>Stejneger's beaked whale (Alaska)</t>
  </si>
  <si>
    <t>PBR 2474, growth rate 12%, recovery factor 1</t>
  </si>
  <si>
    <t>Sato's beaked whale</t>
  </si>
  <si>
    <t xml:space="preserve">Non-Pups </t>
  </si>
  <si>
    <t>Western Atlantic</t>
  </si>
  <si>
    <t>RTWHALE-WNATLANTIC</t>
  </si>
  <si>
    <t xml:space="preserve">Total Number (Females) </t>
  </si>
  <si>
    <t>Humpback whale (Western North Pacific)</t>
  </si>
  <si>
    <t>6.7%-stock (Calambokidis et al., 2008)</t>
  </si>
  <si>
    <t>1 (observer) + self-report + other non-U.S. fisheries</t>
  </si>
  <si>
    <t>Narwhal</t>
  </si>
  <si>
    <t>Central and Arctic Region (Eastern Canada and West Greenland)</t>
  </si>
  <si>
    <t>Humpback whale (Hawaii)</t>
  </si>
  <si>
    <t xml:space="preserve">Baffin Bay - Smith Sound </t>
  </si>
  <si>
    <t>survey method from (Richard et al., 2010)</t>
  </si>
  <si>
    <t xml:space="preserve">Baffin Bay - Jones Sound </t>
  </si>
  <si>
    <t>7%-stock</t>
  </si>
  <si>
    <t>Baffin Bay - Inglefield Bredning</t>
  </si>
  <si>
    <t>2012-2020</t>
  </si>
  <si>
    <t>2 (observer) + self-report + entanglement + vessel strikes</t>
  </si>
  <si>
    <t>Baffin Bay - Melville Bay</t>
  </si>
  <si>
    <t>Humpback whale (Mexico-North Pacific)</t>
  </si>
  <si>
    <t>6.6%-stock</t>
  </si>
  <si>
    <t>Baffin Bay - Somerset Island</t>
  </si>
  <si>
    <t>2 (observer) + self-report + entanglement + vessel strike</t>
  </si>
  <si>
    <t>Baffin Bay - Admiralty Inlet</t>
  </si>
  <si>
    <t>Fin whale (Northeast Pacific)</t>
  </si>
  <si>
    <t>Baffin Bay - Eclipse Sound</t>
  </si>
  <si>
    <t>Baffin Bay - East Baffin Island</t>
  </si>
  <si>
    <t>vessel strike</t>
  </si>
  <si>
    <t>National Capital Region</t>
  </si>
  <si>
    <t>St. Lawrence Estuary</t>
  </si>
  <si>
    <t>Minke whale (Alaska)</t>
  </si>
  <si>
    <t>North Pacific right whale (Eastern North Pacific)</t>
  </si>
  <si>
    <t xml:space="preserve">Total Number (Males) </t>
  </si>
  <si>
    <t>Bowhead whale (Western Arctic)</t>
  </si>
  <si>
    <t>Ice-based count; Line-transect survey</t>
  </si>
  <si>
    <t>4%-default (3.7%-stock by Givens et al., 2016)</t>
  </si>
  <si>
    <t xml:space="preserve">CA sea lions don't breed in Canada, but will migrate and winter on the coast </t>
  </si>
  <si>
    <t>self-report + subsistence harvest</t>
  </si>
  <si>
    <t>* The population trend of this stock is not known to be decreasing, so used 0.5 for recovery factor instead of 0.1 for endangered species</t>
  </si>
  <si>
    <t xml:space="preserve">Pacific Region </t>
  </si>
  <si>
    <t xml:space="preserve">Strait of Georgia </t>
  </si>
  <si>
    <t xml:space="preserve">from a section of a larger report - does not have any metion of specific methdo </t>
  </si>
  <si>
    <t xml:space="preserve">British Columbia </t>
  </si>
  <si>
    <t>Grey whale</t>
  </si>
  <si>
    <t>Pacific Coast Feeding Group (DU2)</t>
  </si>
  <si>
    <t>British Columbia, Pacific Ocean</t>
  </si>
  <si>
    <t>Mark-Recapture</t>
  </si>
  <si>
    <t>DU1, DU2, DU3 populations - subsets of the NOAA Northern Pacific Data</t>
  </si>
  <si>
    <t>California (Central)</t>
  </si>
  <si>
    <t>NESEAL-CACENTRAL</t>
  </si>
  <si>
    <t>Aerial Survey, Ground Survey</t>
  </si>
  <si>
    <t>Births</t>
  </si>
  <si>
    <t>Pacific Coast Feeding Group (DU3)</t>
  </si>
  <si>
    <t xml:space="preserve">Bayesian Model </t>
  </si>
  <si>
    <t xml:space="preserve">Northern Resident </t>
  </si>
  <si>
    <t>Photo-ID</t>
  </si>
  <si>
    <t>Adults</t>
  </si>
  <si>
    <t xml:space="preserve">does not list a specific survey method for the model </t>
  </si>
  <si>
    <t xml:space="preserve">Photo-ID </t>
  </si>
  <si>
    <t>NESEAL-CAISLANDS</t>
  </si>
  <si>
    <t xml:space="preserve">Southern Resident </t>
  </si>
  <si>
    <t xml:space="preserve">Bering, Chukchi, and Beaufort Seas </t>
  </si>
  <si>
    <t xml:space="preserve">Visual Survey, Passive Acoustic Survey </t>
  </si>
  <si>
    <t>specifically Bowhead whales in Canadian waters</t>
  </si>
  <si>
    <t xml:space="preserve">US Total </t>
  </si>
  <si>
    <t>NESEAL-CABRE</t>
  </si>
  <si>
    <t>* US total is the sum of Central CA births and Channel Islands births</t>
  </si>
  <si>
    <t>Bay of Fundy, Gulf of Maine</t>
  </si>
  <si>
    <t xml:space="preserve">Shipboard Line-transect Survey, Aerial Line-transect Survey </t>
  </si>
  <si>
    <t>the study specified two methods used concurrently, data from (Waring et al., 2001)</t>
  </si>
  <si>
    <t>Farallon Island</t>
  </si>
  <si>
    <t>Eastern Pacific (Bogoslof)</t>
  </si>
  <si>
    <t>NFSEAL-BO</t>
  </si>
  <si>
    <t>Mark Recapture</t>
  </si>
  <si>
    <t xml:space="preserve">Data chart (without standard errors) in stock report, also call this method "shear-sampling" </t>
  </si>
  <si>
    <t>San Miguel - Adam's Cove</t>
  </si>
  <si>
    <t>Eastern Pacific (St. George)</t>
  </si>
  <si>
    <t>NFSEAL-GR</t>
  </si>
  <si>
    <t xml:space="preserve">source_type (digitized/actual) </t>
  </si>
  <si>
    <t>Antarctica</t>
  </si>
  <si>
    <t>Antarctic Area III–E</t>
  </si>
  <si>
    <t>Statistical catch-at-age analysis, JAPRA program</t>
  </si>
  <si>
    <t>1995-96</t>
  </si>
  <si>
    <t xml:space="preserve">two different programs used - IDCR and JAPRA - there is only two years of data per area for IDCR data so did not include it </t>
  </si>
  <si>
    <t>1997-98</t>
  </si>
  <si>
    <t>Punt, A. E., Hakamada, T., &amp; Bando, T. (2023). Assessment of Antarctic minke whales using statistical catch-at-age analysis (SCAA). J. Cetacean Res. Manage., 14(1), 93–116. https://doi.org/10.47536/jcrm.v14i1.528</t>
  </si>
  <si>
    <t>1999-00</t>
  </si>
  <si>
    <t>Punt, A. E., Hakamada, T., &amp; Bando, T. (2023). Assessment of Antarctic minke whales using statistical catch-at-age analysis (SCAA). J. Cetacean Res. Manage., 14(1), 93–116. https://doi.org/10.47536/jcrm.v14i1.529</t>
  </si>
  <si>
    <t>Punt, A. E., Hakamada, T., &amp; Bando, T. (2023). Assessment of Antarctic minke whales using statistical catch-at-age analysis (SCAA). J. Cetacean Res. Manage., 14(1), 93–116. https://doi.org/10.47536/jcrm.v14i1.530</t>
  </si>
  <si>
    <t>Eastern Pacific (St. Paul)</t>
  </si>
  <si>
    <t>NFSEAL-PL</t>
  </si>
  <si>
    <t>Punt, A. E., Hakamada, T., &amp; Bando, T. (2023). Assessment of Antarctic minke whales using statistical catch-at-age analysis (SCAA). J. Cetacean Res. Manage., 14(1), 93–116. https://doi.org/10.47536/jcrm.v14i1.531</t>
  </si>
  <si>
    <t>Punt, A. E., Hakamada, T., &amp; Bando, T. (2023). Assessment of Antarctic minke whales using statistical catch-at-age analysis (SCAA). J. Cetacean Res. Manage., 14(1), 93–116. https://doi.org/10.47536/jcrm.v14i1.532</t>
  </si>
  <si>
    <t>Punt, A. E., Hakamada, T., &amp; Bando, T. (2023). Assessment of Antarctic minke whales using statistical catch-at-age analysis (SCAA). J. Cetacean Res. Manage., 14(1), 93–116. https://doi.org/10.47536/jcrm.v14i1.533</t>
  </si>
  <si>
    <t xml:space="preserve">Antarctic Area IV </t>
  </si>
  <si>
    <t>1989-90</t>
  </si>
  <si>
    <t>Punt, A. E., Hakamada, T., &amp; Bando, T. (2023). Assessment of Antarctic minke whales using statistical catch-at-age analysis (SCAA). J. Cetacean Res. Manage., 14(1), 93–116. https://doi.org/10.47536/jcrm.v14i1.534</t>
  </si>
  <si>
    <t>1991-92</t>
  </si>
  <si>
    <t>Punt, A. E., Hakamada, T., &amp; Bando, T. (2023). Assessment of Antarctic minke whales using statistical catch-at-age analysis (SCAA). J. Cetacean Res. Manage., 14(1), 93–116. https://doi.org/10.47536/jcrm.v14i1.535</t>
  </si>
  <si>
    <t>1993-94</t>
  </si>
  <si>
    <t>Punt, A. E., Hakamada, T., &amp; Bando, T. (2023). Assessment of Antarctic minke whales using statistical catch-at-age analysis (SCAA). J. Cetacean Res. Manage., 14(1), 93–116. https://doi.org/10.47536/jcrm.v14i1.536</t>
  </si>
  <si>
    <t>Punt, A. E., Hakamada, T., &amp; Bando, T. (2023). Assessment of Antarctic minke whales using statistical catch-at-age analysis (SCAA). J. Cetacean Res. Manage., 14(1), 93–116. https://doi.org/10.47536/jcrm.v14i1.537</t>
  </si>
  <si>
    <t>Punt, A. E., Hakamada, T., &amp; Bando, T. (2023). Assessment of Antarctic minke whales using statistical catch-at-age analysis (SCAA). J. Cetacean Res. Manage., 14(1), 93–116. https://doi.org/10.47536/jcrm.v14i1.538</t>
  </si>
  <si>
    <t xml:space="preserve">*this year only surveyed a small part of Prydz bay compared to other years </t>
  </si>
  <si>
    <t>Punt, A. E., Hakamada, T., &amp; Bando, T. (2023). Assessment of Antarctic minke whales using statistical catch-at-age analysis (SCAA). J. Cetacean Res. Manage., 14(1), 93–116. https://doi.org/10.47536/jcrm.v14i1.539</t>
  </si>
  <si>
    <t>Punt, A. E., Hakamada, T., &amp; Bando, T. (2023). Assessment of Antarctic minke whales using statistical catch-at-age analysis (SCAA). J. Cetacean Res. Manage., 14(1), 93–116. https://doi.org/10.47536/jcrm.v14i1.540</t>
  </si>
  <si>
    <t>Punt, A. E., Hakamada, T., &amp; Bando, T. (2023). Assessment of Antarctic minke whales using statistical catch-at-age analysis (SCAA). J. Cetacean Res. Manage., 14(1), 93–116. https://doi.org/10.47536/jcrm.v14i1.541</t>
  </si>
  <si>
    <t>Punt, A. E., Hakamada, T., &amp; Bando, T. (2023). Assessment of Antarctic minke whales using statistical catch-at-age analysis (SCAA). J. Cetacean Res. Manage., 14(1), 93–116. https://doi.org/10.47536/jcrm.v14i1.542</t>
  </si>
  <si>
    <t>Punt, A. E., Hakamada, T., &amp; Bando, T. (2023). Assessment of Antarctic minke whales using statistical catch-at-age analysis (SCAA). J. Cetacean Res. Manage., 14(1), 93–116. https://doi.org/10.47536/jcrm.v14i1.543</t>
  </si>
  <si>
    <t>Antarctic Area V-W</t>
  </si>
  <si>
    <t>1990-91</t>
  </si>
  <si>
    <t>1992-93</t>
  </si>
  <si>
    <t>Punt, A. E., Hakamada, T., &amp; Bando, T. (2023). Assessment of Antarctic minke whales using statistical catch-at-age analysis (SCAA). J. Cetacean Res. Manage., 14(1), 93–116. https://doi.org/10.47536/jcrm.v14i1.544</t>
  </si>
  <si>
    <t>1994-95</t>
  </si>
  <si>
    <t>Punt, A. E., Hakamada, T., &amp; Bando, T. (2023). Assessment of Antarctic minke whales using statistical catch-at-age analysis (SCAA). J. Cetacean Res. Manage., 14(1), 93–116. https://doi.org/10.47536/jcrm.v14i1.545</t>
  </si>
  <si>
    <t>1996-97</t>
  </si>
  <si>
    <t>Punt, A. E., Hakamada, T., &amp; Bando, T. (2023). Assessment of Antarctic minke whales using statistical catch-at-age analysis (SCAA). J. Cetacean Res. Manage., 14(1), 93–116. https://doi.org/10.47536/jcrm.v14i1.546</t>
  </si>
  <si>
    <t>1998-99</t>
  </si>
  <si>
    <t>Punt, A. E., Hakamada, T., &amp; Bando, T. (2023). Assessment of Antarctic minke whales using statistical catch-at-age analysis (SCAA). J. Cetacean Res. Manage., 14(1), 93–116. https://doi.org/10.47536/jcrm.v14i1.547</t>
  </si>
  <si>
    <t>Punt, A. E., Hakamada, T., &amp; Bando, T. (2023). Assessment of Antarctic minke whales using statistical catch-at-age analysis (SCAA). J. Cetacean Res. Manage., 14(1), 93–116. https://doi.org/10.47536/jcrm.v14i1.548</t>
  </si>
  <si>
    <t>Punt, A. E., Hakamada, T., &amp; Bando, T. (2023). Assessment of Antarctic minke whales using statistical catch-at-age analysis (SCAA). J. Cetacean Res. Manage., 14(1), 93–116. https://doi.org/10.47536/jcrm.v14i1.549</t>
  </si>
  <si>
    <t>Punt, A. E., Hakamada, T., &amp; Bando, T. (2023). Assessment of Antarctic minke whales using statistical catch-at-age analysis (SCAA). J. Cetacean Res. Manage., 14(1), 93–116. https://doi.org/10.47536/jcrm.v14i1.550</t>
  </si>
  <si>
    <t>Punt, A. E., Hakamada, T., &amp; Bando, T. (2023). Assessment of Antarctic minke whales using statistical catch-at-age analysis (SCAA). J. Cetacean Res. Manage., 14(1), 93–116. https://doi.org/10.47536/jcrm.v14i1.551</t>
  </si>
  <si>
    <t>Punt, A. E., Hakamada, T., &amp; Bando, T. (2023). Assessment of Antarctic minke whales using statistical catch-at-age analysis (SCAA). J. Cetacean Res. Manage., 14(1), 93–116. https://doi.org/10.47536/jcrm.v14i1.552</t>
  </si>
  <si>
    <t>Punt, A. E., Hakamada, T., &amp; Bando, T. (2023). Assessment of Antarctic minke whales using statistical catch-at-age analysis (SCAA). J. Cetacean Res. Manage., 14(1), 93–116. https://doi.org/10.47536/jcrm.v14i1.553</t>
  </si>
  <si>
    <t>Punt, A. E., Hakamada, T., &amp; Bando, T. (2023). Assessment of Antarctic minke whales using statistical catch-at-age analysis (SCAA). J. Cetacean Res. Manage., 14(1), 93–116. https://doi.org/10.47536/jcrm.v14i1.554</t>
  </si>
  <si>
    <t xml:space="preserve">Antarctica </t>
  </si>
  <si>
    <t>Antarctic Area V-E</t>
  </si>
  <si>
    <t>Punt, A. E., Hakamada, T., &amp; Bando, T. (2023). Assessment of Antarctic minke whales using statistical catch-at-age analysis (SCAA). J. Cetacean Res. Manage., 14(1), 93–116. https://doi.org/10.47536/jcrm.v14i1.555</t>
  </si>
  <si>
    <t>Punt, A. E., Hakamada, T., &amp; Bando, T. (2023). Assessment of Antarctic minke whales using statistical catch-at-age analysis (SCAA). J. Cetacean Res. Manage., 14(1), 93–116. https://doi.org/10.47536/jcrm.v14i1.556</t>
  </si>
  <si>
    <t>Punt, A. E., Hakamada, T., &amp; Bando, T. (2023). Assessment of Antarctic minke whales using statistical catch-at-age analysis (SCAA). J. Cetacean Res. Manage., 14(1), 93–116. https://doi.org/10.47536/jcrm.v14i1.557</t>
  </si>
  <si>
    <t>Punt, A. E., Hakamada, T., &amp; Bando, T. (2023). Assessment of Antarctic minke whales using statistical catch-at-age analysis (SCAA). J. Cetacean Res. Manage., 14(1), 93–116. https://doi.org/10.47536/jcrm.v14i1.558</t>
  </si>
  <si>
    <t>Punt, A. E., Hakamada, T., &amp; Bando, T. (2023). Assessment of Antarctic minke whales using statistical catch-at-age analysis (SCAA). J. Cetacean Res. Manage., 14(1), 93–116. https://doi.org/10.47536/jcrm.v14i1.559</t>
  </si>
  <si>
    <t>Punt, A. E., Hakamada, T., &amp; Bando, T. (2023). Assessment of Antarctic minke whales using statistical catch-at-age analysis (SCAA). J. Cetacean Res. Manage., 14(1), 93–116. https://doi.org/10.47536/jcrm.v14i1.560</t>
  </si>
  <si>
    <t>Punt, A. E., Hakamada, T., &amp; Bando, T. (2023). Assessment of Antarctic minke whales using statistical catch-at-age analysis (SCAA). J. Cetacean Res. Manage., 14(1), 93–116. https://doi.org/10.47536/jcrm.v14i1.561</t>
  </si>
  <si>
    <t>Punt, A. E., Hakamada, T., &amp; Bando, T. (2023). Assessment of Antarctic minke whales using statistical catch-at-age analysis (SCAA). J. Cetacean Res. Manage., 14(1), 93–116. https://doi.org/10.47536/jcrm.v14i1.562</t>
  </si>
  <si>
    <t>Eastern Pacific (Overall)</t>
  </si>
  <si>
    <t>NFSEAL-EPACIFIC</t>
  </si>
  <si>
    <t>Punt, A. E., Hakamada, T., &amp; Bando, T. (2023). Assessment of Antarctic minke whales using statistical catch-at-age analysis (SCAA). J. Cetacean Res. Manage., 14(1), 93–116. https://doi.org/10.47536/jcrm.v14i1.563</t>
  </si>
  <si>
    <t>Punt, A. E., Hakamada, T., &amp; Bando, T. (2023). Assessment of Antarctic minke whales using statistical catch-at-age analysis (SCAA). J. Cetacean Res. Manage., 14(1), 93–116. https://doi.org/10.47536/jcrm.v14i1.564</t>
  </si>
  <si>
    <t>Antarctic Area VI-W</t>
  </si>
  <si>
    <t>Punt, A. E., Hakamada, T., &amp; Bando, T. (2023). Assessment of Antarctic minke whales using statistical catch-at-age analysis (SCAA). J. Cetacean Res. Manage., 14(1), 93–116. https://doi.org/10.47536/jcrm.v14i1.565</t>
  </si>
  <si>
    <t>Punt, A. E., Hakamada, T., &amp; Bando, T. (2023). Assessment of Antarctic minke whales using statistical catch-at-age analysis (SCAA). J. Cetacean Res. Manage., 14(1), 93–116. https://doi.org/10.47536/jcrm.v14i1.566</t>
  </si>
  <si>
    <t>Punt, A. E., Hakamada, T., &amp; Bando, T. (2023). Assessment of Antarctic minke whales using statistical catch-at-age analysis (SCAA). J. Cetacean Res. Manage., 14(1), 93–116. https://doi.org/10.47536/jcrm.v14i1.567</t>
  </si>
  <si>
    <t>Punt, A. E., Hakamada, T., &amp; Bando, T. (2023). Assessment of Antarctic minke whales using statistical catch-at-age analysis (SCAA). J. Cetacean Res. Manage., 14(1), 93–116. https://doi.org/10.47536/jcrm.v14i1.568</t>
  </si>
  <si>
    <t>Punt, A. E., Hakamada, T., &amp; Bando, T. (2023). Assessment of Antarctic minke whales using statistical catch-at-age analysis (SCAA). J. Cetacean Res. Manage., 14(1), 93–116. https://doi.org/10.47536/jcrm.v14i1.569</t>
  </si>
  <si>
    <t>Punt, A. E., Hakamada, T., &amp; Bando, T. (2023). Assessment of Antarctic minke whales using statistical catch-at-age analysis (SCAA). J. Cetacean Res. Manage., 14(1), 93–116. https://doi.org/10.47536/jcrm.v14i1.570</t>
  </si>
  <si>
    <t>Punt, A. E., Hakamada, T., &amp; Bando, T. (2023). Assessment of Antarctic minke whales using statistical catch-at-age analysis (SCAA). J. Cetacean Res. Manage., 14(1), 93–116. https://doi.org/10.47536/jcrm.v14i1.571</t>
  </si>
  <si>
    <t>San Miguel - Castle Rock</t>
  </si>
  <si>
    <t>California-Oregon-Washignton</t>
  </si>
  <si>
    <t>Northern right whale dolphin</t>
  </si>
  <si>
    <t>NRWDOLPHIN-CA/OR/WA</t>
  </si>
  <si>
    <t>https://media.fisheries.noaa.gov/2022-08/2021-NorthernRWdolphin-CaliforniaOregonWashington%20Stock.pdf</t>
  </si>
  <si>
    <t>*did not include data from Oregon and Washington</t>
  </si>
  <si>
    <t>(U.S. Fish &amp; Wildlife Service, 2019)</t>
  </si>
  <si>
    <t>Washington</t>
  </si>
  <si>
    <t>Northern sea otter</t>
  </si>
  <si>
    <t>NSEAOTTER-WA</t>
  </si>
  <si>
    <t>https://www.fws.gov/sites/default/files/documents/northern-sea-otter-washington-stock-assessment-report-july-2018.pdf</t>
  </si>
  <si>
    <t>Washington Coast</t>
  </si>
  <si>
    <t xml:space="preserve">Aerial survey, Radio Tagging Study </t>
  </si>
  <si>
    <t>(NOAA, Fisheries, 2021)</t>
  </si>
  <si>
    <t>PAWSDOLPHIN-CA/OR/WA</t>
  </si>
  <si>
    <t>https://www.fisheries.noaa.gov/s3/2022-08/2021-PACWHITESIDE-CaliforniaOregonWashington-Northern-and-Southern-Stocks.pdf</t>
  </si>
  <si>
    <t>Oregon Coast</t>
  </si>
  <si>
    <t>Hawaii</t>
  </si>
  <si>
    <t>RIDOLPHIN-HI</t>
  </si>
  <si>
    <t>https://media.fisheries.noaa.gov/2021-08/2020-Pacific-SARS-Rissos.pdf</t>
  </si>
  <si>
    <t>Haul-out Count, Radio Tagging</t>
  </si>
  <si>
    <t xml:space="preserve">Country </t>
  </si>
  <si>
    <t>common name</t>
  </si>
  <si>
    <t>stock id</t>
  </si>
  <si>
    <t>survey method</t>
  </si>
  <si>
    <t>Figure # on SAR</t>
  </si>
  <si>
    <t>source cite</t>
  </si>
  <si>
    <t>Title</t>
  </si>
  <si>
    <t>actual data found? (Y/N)</t>
  </si>
  <si>
    <t>Species/method checked? (Y/N)</t>
  </si>
  <si>
    <t>ref link</t>
  </si>
  <si>
    <t>Short-beaked common dolphin</t>
  </si>
  <si>
    <t>* Red means the SAR figure contains less than 5 estimations/survey method</t>
  </si>
  <si>
    <t>SBCODOLPHIN-CA/OR/WA</t>
  </si>
  <si>
    <t>https://media.fisheries.noaa.gov/2022-08/2021-shortbeak-common-dolphin-CaliforniaOregonWashington%20Stock.pdf</t>
  </si>
  <si>
    <t>Figure 2</t>
  </si>
  <si>
    <t>Barlow, 2016</t>
  </si>
  <si>
    <t>Cetacean abundance in the California Current estimated from ship-based line-transect surveys in 1991-2014</t>
  </si>
  <si>
    <t>N (digitized)</t>
  </si>
  <si>
    <t>Y</t>
  </si>
  <si>
    <t>N/A</t>
  </si>
  <si>
    <t>Becker et al., 2020</t>
  </si>
  <si>
    <t>Habitat-based density estimates for cetaceans in the California Current Ecosystem based on 1991-2018 survey data</t>
  </si>
  <si>
    <t>Y (actual)</t>
  </si>
  <si>
    <t>Photo mark-recapture (Chao Model)</t>
  </si>
  <si>
    <t>Calambokidis and Barlow, 2020</t>
  </si>
  <si>
    <t>Updated abundance estimates for blue and humpback whales along the U.S. West Coast using data through 2018</t>
  </si>
  <si>
    <t>iced-based count, acoustic</t>
  </si>
  <si>
    <t>Givens et al., 2016</t>
  </si>
  <si>
    <t>Horvitz-Thompson whale abundance estimation adjusting for uncertain recapture, temporal availability variation, and intermittent effort</t>
  </si>
  <si>
    <t>https://www.north-slope.org/wp-content/uploads/2022/03/Givens_et_al-2016-Environmetrics.2011_abundance_bowhead_whale_final.pdf</t>
  </si>
  <si>
    <t>Short-finned pilot whale</t>
  </si>
  <si>
    <t>SFPIWHALE-HI</t>
  </si>
  <si>
    <t>https://media.fisheries.noaa.gov/2021-08/2020-Pacific-SARS-ShortFinPWHI.pdf</t>
  </si>
  <si>
    <t>Nadeem et al., 2016</t>
  </si>
  <si>
    <t>Integrating population dynamics models and distance sampling data: a spatial hierarchical state-space approach</t>
  </si>
  <si>
    <t>Y(actual), Table S3, 20% percentile estimates</t>
  </si>
  <si>
    <t>https://repository.library.noaa.gov/view/noaa/54171</t>
  </si>
  <si>
    <t>Figure 2 (until 2006), open circles</t>
  </si>
  <si>
    <t>Laake et al., 2012</t>
  </si>
  <si>
    <r>
      <rPr>
        <rFont val="serif"/>
        <color theme="1"/>
        <sz val="10.0"/>
      </rPr>
      <t xml:space="preserve">Gray whale southbound migration surveys 1967–2006: </t>
    </r>
    <r>
      <rPr>
        <rFont val="serif"/>
        <color theme="1"/>
        <sz val="10.0"/>
      </rPr>
      <t>an integrated re-analysis</t>
    </r>
  </si>
  <si>
    <t>Y (actual), Eguchi et al., 2023, Table 1</t>
  </si>
  <si>
    <t>https://swfsc-publications.fisheries.noaa.gov/publications/CR/2023/2023Eguchi.pdf</t>
  </si>
  <si>
    <t>(U.S. Fish &amp; Wildlife Service, 2021)</t>
  </si>
  <si>
    <t>Southern sea otter</t>
  </si>
  <si>
    <t>SSEAOTTER-CAMAIN</t>
  </si>
  <si>
    <t>Shore-based counts</t>
  </si>
  <si>
    <t>Total Number (raw)</t>
  </si>
  <si>
    <t>https://www.fws.gov/sites/default/files/documents/southern-sea-otter-stock-assessment-report.pdf</t>
  </si>
  <si>
    <t>Figure 2 (2006-2010), open circles, remove 2006 estimate point due to repetition</t>
  </si>
  <si>
    <t>Durban et al., 2015</t>
  </si>
  <si>
    <t>Estimating gray whale abundance from shore-based counts using a multilevel Bayesian model</t>
  </si>
  <si>
    <t>Figure 2 (2014,2015), closed circles</t>
  </si>
  <si>
    <t>Durban et al., 2017</t>
  </si>
  <si>
    <t>Gray whale abundance estimates from shore-based counts off California in 2014/15 and 2015/16</t>
  </si>
  <si>
    <t>Y (actual), Table 2</t>
  </si>
  <si>
    <t>Humpback whale (Total)</t>
  </si>
  <si>
    <t>Mark-recapture</t>
  </si>
  <si>
    <t>Figure 3 (A)</t>
  </si>
  <si>
    <t>Robbins and Pace, 2018</t>
  </si>
  <si>
    <t>Trends in Abundance of North Atlantic Humpback Whales in the Gulf of Maine</t>
  </si>
  <si>
    <t>https://repository.library.noaa.gov/view/noaa/22947</t>
  </si>
  <si>
    <t>Humpback whale (Males)</t>
  </si>
  <si>
    <t>Humpback whale (Females)</t>
  </si>
  <si>
    <t>Robbins and Pace, 2019</t>
  </si>
  <si>
    <t>North Atlantic right whale (Total)</t>
  </si>
  <si>
    <t>Figure 2 (A)</t>
  </si>
  <si>
    <t>N/A, check Pace 2017 et al., and Pace 2021 et al., no table found</t>
  </si>
  <si>
    <t>North Atlantic right whale (Males)</t>
  </si>
  <si>
    <t>North Atlantic right whale (Females)</t>
  </si>
  <si>
    <t>SPWHALE-CA/OR/WA</t>
  </si>
  <si>
    <t>Moore and Barlow, 2017</t>
  </si>
  <si>
    <t>Population abundance and trend estimates for beaked whales and sperm whales in the California Current based on ship-based visual line-transect survey data, 1991 – 2014</t>
  </si>
  <si>
    <t>Y (actual), Table above figure 1, Median</t>
  </si>
  <si>
    <t>https://swfsc-publications.fisheries.noaa.gov/publications/TM/SWFSC/NOAA-TM-NMFS-SWFSC-585.pdf</t>
  </si>
  <si>
    <t>Northern Fur Seal</t>
  </si>
  <si>
    <t>Y (actual), Table 5, Median</t>
  </si>
  <si>
    <t>Acoustic point-transect</t>
  </si>
  <si>
    <t>Figure 2, orange triangle</t>
  </si>
  <si>
    <t>Barlow et al., 2021</t>
  </si>
  <si>
    <t>Acoustic-based estimates of Cuvier's beaked whale (Ziphius cavirostris) density and abundance along the U.S. West Coast from drifting hydrophone recorders</t>
  </si>
  <si>
    <t>Y (actual), in abstract</t>
  </si>
  <si>
    <t>https://repository.library.noaa.gov/view/noaa/41020</t>
  </si>
  <si>
    <t>Y (actual), Table 6, Median</t>
  </si>
  <si>
    <t>Figure 3</t>
  </si>
  <si>
    <t>Y (actual), Table 7, Median</t>
  </si>
  <si>
    <t>Figure 2, ADF&amp; G survey, 1979</t>
  </si>
  <si>
    <t>Calkins et al., 1989</t>
  </si>
  <si>
    <t>Status of belukha whales in Cook Inlet, p. 109-112. In L. E. Jarvela and L. K. Thorsteinson, (eds.), Proceedings of the Gulf of Alaska, Cook Inlet, and North Aleutian Basin Information Update Meeting, February 7-8, 1989, Anchorage, Alaska</t>
  </si>
  <si>
    <t>Y (actual), population size</t>
  </si>
  <si>
    <t>https://www.adfg.alaska.gov/static/home/library/pdfs/wildlife/research_pdfs/status_belukha_whales_cook_inlet_ch_15_donald_calkins.pdf</t>
  </si>
  <si>
    <t>Figure 2, NMFS survey, 1991</t>
  </si>
  <si>
    <t>Shelden and Mahoney, 2016</t>
  </si>
  <si>
    <t>Aerial surveys of beluga whales in Cook Inlet, Alaska, June 1991</t>
  </si>
  <si>
    <t>Y (actual), abstract</t>
  </si>
  <si>
    <t>https://repository.library.noaa.gov/view/noaa/8690</t>
  </si>
  <si>
    <t>Figure 2, 1994-2012</t>
  </si>
  <si>
    <t>Hobbs et al., 2015a</t>
  </si>
  <si>
    <t>Estimated abundance and trend in aerial counts of beluga whales, Delphinapterus leucas, in Cook Inlet, Alaska, 1994-2012</t>
  </si>
  <si>
    <t>Y (actual), Figure 5</t>
  </si>
  <si>
    <t>https://spo.nmfs.noaa.gov/sites/default/files/pdf-content/MFR/mfr771/mfr7712.pdf</t>
  </si>
  <si>
    <t>Ship-Based Line-transect</t>
  </si>
  <si>
    <t>Figure 2, 2014, 2016, 2018</t>
  </si>
  <si>
    <t>Wades et al., 2018</t>
  </si>
  <si>
    <t>Aerial surveys, distribution, abundance, and trend of belugas (Delphinapterus leucas) in Cook Inlet, Alaska, June 2018</t>
  </si>
  <si>
    <t>Y (actual), Table 3, Point estimates</t>
  </si>
  <si>
    <t>https://apps-afsc.fisheries.noaa.gov/documents/PR2019-09.pdf</t>
  </si>
  <si>
    <t>population data from (Moore &amp; Barlow, 2017)</t>
  </si>
  <si>
    <t>Line-transect, design-based</t>
  </si>
  <si>
    <t>Figure 4</t>
  </si>
  <si>
    <t>Bradford et al., 2020</t>
  </si>
  <si>
    <t>Abundance Estimates of False Killer Whales in Hawaiian Waters and the Broader Central Pacific</t>
  </si>
  <si>
    <t>Y (actual), Table 5</t>
  </si>
  <si>
    <t>https://repository.library.noaa.gov/view/noaa/24756#:~:text=The%20design%2Dbased%20estimates%20of,to%204%2C712)%20individuals%2C%20respectively.</t>
  </si>
  <si>
    <t xml:space="preserve">Eastern U.S. (Eastern Stock) </t>
  </si>
  <si>
    <t>STSEALION-E</t>
  </si>
  <si>
    <t xml:space="preserve">Aerial Survey, Ground Survey, Ship Survey </t>
  </si>
  <si>
    <t>Line-transect, model-based</t>
  </si>
  <si>
    <t>NOAA 2021</t>
  </si>
  <si>
    <t>False killer whale SAR 2021</t>
  </si>
  <si>
    <t>Y (actual), SAR Table 2</t>
  </si>
  <si>
    <t>CWR, 2024</t>
  </si>
  <si>
    <t>Y (actual), refer to the line graph</t>
  </si>
  <si>
    <t>https://www.mmc.gov/priority-topics/species-of-concern/southern-resident-killer-whale/population/</t>
  </si>
  <si>
    <t xml:space="preserve">graphs and data from (Kathryn M. Sweeney et al., 2017), Non-pups indicates adults and juveniles </t>
  </si>
  <si>
    <t>Bradford et al., 2021</t>
  </si>
  <si>
    <t>Line­transect abundance estimates of cetaceans in U.S. waters around the Hawaiian Islands in 2002, 2010, and 2017</t>
  </si>
  <si>
    <t>Y (actual), Table 4</t>
  </si>
  <si>
    <t>https://repository.library.noaa.gov/view/noaa/29004</t>
  </si>
  <si>
    <t>Becker et al., 2021</t>
  </si>
  <si>
    <t>Habitat­ based density models for cetaceans within the U.S Exclusive Economic Zone waters around the Hawaiian Archipelago.</t>
  </si>
  <si>
    <t>https://repository.library.noaa.gov/view/noaa/29276</t>
  </si>
  <si>
    <t>STDOLPHIN-CA/OR/WA</t>
  </si>
  <si>
    <t>STDOLPHIN-HI</t>
  </si>
  <si>
    <t xml:space="preserve">Eastern U.S. (Southeast Alaska) </t>
  </si>
  <si>
    <t>STSEALION-SEAK</t>
  </si>
  <si>
    <t>Forney et al., 2020</t>
  </si>
  <si>
    <t>A multi-decadal Bayesian trend analysis of harbor porpoise (Phocoena phocoena) populations off California relative to past fishery bycatch</t>
  </si>
  <si>
    <t>N (digitized), no actual table found</t>
  </si>
  <si>
    <t>https://repository.library.noaa.gov/view/noaa/32061</t>
  </si>
  <si>
    <t>coast of British Columbia</t>
  </si>
  <si>
    <t>US graphs and data from (Kathryn M. Sweeney et al., 2017), Non-pups indicates adults and juveniles, area information from (State of the Physical, Biological and Selected Fishery Resources of Pacific Canadian Marine Ecosystems in 2016, 2017)</t>
  </si>
  <si>
    <t>Dall's porpoise</t>
  </si>
  <si>
    <t>Boyd et al., 2018</t>
  </si>
  <si>
    <t>stimation of population size and trends for highly mobile species with dynamic spatial distributions</t>
  </si>
  <si>
    <t>https://onlinelibrary.wiley.com/doi/10.1111/ddi.12663</t>
  </si>
  <si>
    <t xml:space="preserve">Eastern U.S. (Washington) </t>
  </si>
  <si>
    <t>STSEALION-WA</t>
  </si>
  <si>
    <t>Lowry et al., 2014</t>
  </si>
  <si>
    <t>Abundance, Distribution, and Population Growth of the Northern Elephant Seal (Mirounga angustirostris) in the United States from 1991 to 2010.</t>
  </si>
  <si>
    <t>Y (actual), table 2</t>
  </si>
  <si>
    <t>Lowry et al., 2015</t>
  </si>
  <si>
    <t>U.S. total (California total)</t>
  </si>
  <si>
    <t>NESEAL-TOTAL</t>
  </si>
  <si>
    <t>Lowry et al., 2016</t>
  </si>
  <si>
    <t>Pup survey</t>
  </si>
  <si>
    <t>Figure 5/6</t>
  </si>
  <si>
    <t>unclear, part of the actual data come from Table 1 in SAR</t>
  </si>
  <si>
    <t>Mixed, actual data from Table 1</t>
  </si>
  <si>
    <t>St.Paul</t>
  </si>
  <si>
    <t>Northern fur seal - not separate stock</t>
  </si>
  <si>
    <t>Mixed, actual data from Table 2</t>
  </si>
  <si>
    <t>St.George</t>
  </si>
  <si>
    <t>Mixed, actual data from Table 3</t>
  </si>
  <si>
    <t>Boglosof</t>
  </si>
  <si>
    <t>Mixed, actual data from Table 4</t>
  </si>
  <si>
    <t>U.S. West coast</t>
  </si>
  <si>
    <t>California sea lion (Male, Female, and pups)</t>
  </si>
  <si>
    <t>Pup counts, population model</t>
  </si>
  <si>
    <t>Laake et al., 2018</t>
  </si>
  <si>
    <t>Population growth and status of California sea lions</t>
  </si>
  <si>
    <t>Y (actual), table 1</t>
  </si>
  <si>
    <t>https://repository.library.noaa.gov/view/noaa/62458</t>
  </si>
  <si>
    <t xml:space="preserve">Eastern U.S. </t>
  </si>
  <si>
    <t>Steller sea lion - Total (pup and non pup)</t>
  </si>
  <si>
    <t xml:space="preserve">Eastern U.S. (California) </t>
  </si>
  <si>
    <t>STSEALION-CA</t>
  </si>
  <si>
    <t>N (digitized), "unpublished data"</t>
  </si>
  <si>
    <t>Steller sea lion - Southeast Alaska (pup and non pup) - not separate stock</t>
  </si>
  <si>
    <t>Steller sea lion - California (pup and non pup) - not separate stock</t>
  </si>
  <si>
    <t>Steller sea lion - Oregon (pup and non pup) - not separate stock</t>
  </si>
  <si>
    <t>Steller sea lion - Washington (pup and non pup) - not separate stock</t>
  </si>
  <si>
    <t>STSEALION-W</t>
  </si>
  <si>
    <t>Sweeney et al., 2023</t>
  </si>
  <si>
    <t>Results of the Steller Sea Lion (Eumetopias jubatus) Surveys in Alaska, June–July 2023</t>
  </si>
  <si>
    <t>Y (actual), Table 2, realized counts</t>
  </si>
  <si>
    <t>https://www.fisheries.noaa.gov/s3//2023-12/2023-SSLsurveyreport-PR2023-08.pdf</t>
  </si>
  <si>
    <t>Stellar sea lion - Eastern Aleutian Islands (pup and non pup) - not separate stock</t>
  </si>
  <si>
    <t>Sweeney et al., 2024</t>
  </si>
  <si>
    <t>Results of the Steller Sea Lion (Eumetopias jubatus) Surveys in Alaska, June–July 2024</t>
  </si>
  <si>
    <t>Stellar sea lion - Western Aleutian Islands (pup and non pup) - not separate stock</t>
  </si>
  <si>
    <t>Sweeney et al., 2025</t>
  </si>
  <si>
    <t>Results of the Steller Sea Lion (Eumetopias jubatus) Surveys in Alaska, June–July 2025</t>
  </si>
  <si>
    <t>Stellar sea lion - Central Aleutian Islands (pup and non pup) - not separate stock</t>
  </si>
  <si>
    <t>Sweeney et al., 2026</t>
  </si>
  <si>
    <t>Results of the Steller Sea Lion (Eumetopias jubatus) Surveys in Alaska, June–July 2026</t>
  </si>
  <si>
    <t>Stellar sea lion - Eastern Gulf of Alaska (pup and non pup) - not separate stock</t>
  </si>
  <si>
    <t>Stellar sea lion - Western Gulf of Alaska (pup and non pup) - not separate stock</t>
  </si>
  <si>
    <t>Stellar sea lion - Central Gulf of Alaska (pup and non pup) - not separate stock</t>
  </si>
  <si>
    <t>Beach count</t>
  </si>
  <si>
    <t>Figure 1 (range-wide)</t>
  </si>
  <si>
    <t>unclear source of citation</t>
  </si>
  <si>
    <t xml:space="preserve">Eastern U.S. (Oregon) </t>
  </si>
  <si>
    <t>STSEALION-OR</t>
  </si>
  <si>
    <t>Brown et al., 2005</t>
  </si>
  <si>
    <t>Trends in abundance and current status of harbor seals in Oregon:1977-2003</t>
  </si>
  <si>
    <t>Y (actual), Table 1</t>
  </si>
  <si>
    <t>https://www.researchgate.net/publication/229660031_Trends_in_abundance_and_current_status_of_harbor_seals_in_Oregon_1977-2003/link/5c82963a299bf1268d485024/download?_tp=eyJjb250ZXh0Ijp7ImZpcnN0UGFnZSI6InB1YmxpY2F0aW9uIiwicGFnZSI6InB1YmxpY2F0aW9uIn19</t>
  </si>
  <si>
    <t>Washignton (Coastal)</t>
  </si>
  <si>
    <t>Jeffries et al., 2003</t>
  </si>
  <si>
    <t>Trends and status of harbor seals in Washington state: 1978-1999</t>
  </si>
  <si>
    <t>https://wdfw.wa.gov/sites/default/files/publications/00431/wdfw00431.pdf</t>
  </si>
  <si>
    <t>Lowry et al., 2005 &amp; unpublished data</t>
  </si>
  <si>
    <t>Pacific Harbor seal census in California during May-July 2002 and 2004</t>
  </si>
  <si>
    <t>https://swfsc-publications.fisheries.noaa.gov/publications/CR/2008/08Low.pdf</t>
  </si>
  <si>
    <t>Pacific Harbor seal census in California during May-July 2002 and 2005</t>
  </si>
  <si>
    <t>Pacific Harbor seal census in California during May-July 2002 and 2006</t>
  </si>
  <si>
    <t>Washington Inland</t>
  </si>
  <si>
    <t xml:space="preserve">Western U.S. (Alaska) </t>
  </si>
  <si>
    <t>Hartfield et al., 2019</t>
  </si>
  <si>
    <t>California sea otter census results, Spring 2019</t>
  </si>
  <si>
    <t>Y (actual), Table 1, Total (raw count)</t>
  </si>
  <si>
    <t>https://pubs.usgs.gov/ds/1118/ds1118.pdf</t>
  </si>
  <si>
    <t>Jeffries et al., 2016</t>
  </si>
  <si>
    <t>Results of the 2016 Survey of the Reintroduced Sea Otter Population in Washington State</t>
  </si>
  <si>
    <t>N (digitized), no table found</t>
  </si>
  <si>
    <t>https://www.fws.gov/sites/default/files/documents/SeaOtter_WASURV2016.pdf</t>
  </si>
  <si>
    <t>survey method and data from (Sweeney et al., 2019)</t>
  </si>
  <si>
    <t xml:space="preserve">Western U.S. (Eastern Aleutian Islands) </t>
  </si>
  <si>
    <t>STSEALION-EALISLAND</t>
  </si>
  <si>
    <t xml:space="preserve">Ariel Survey, Ship-Based Survey </t>
  </si>
  <si>
    <t xml:space="preserve">data combined from two reports: (Sweeney et al. 2018, 2019), visual regional key located in powerpoint doc </t>
  </si>
  <si>
    <t xml:space="preserve">Western U.S. (Western Aleutian Islands) </t>
  </si>
  <si>
    <t>STSEALION-WALISLAND</t>
  </si>
  <si>
    <t xml:space="preserve">Western U.S. (Central Aleutian Islands) </t>
  </si>
  <si>
    <t>STSEALION-CALISLAND</t>
  </si>
  <si>
    <t xml:space="preserve">Western U.S. (Western Gulf of Alaska) </t>
  </si>
  <si>
    <t>STSEALION-WGUAK</t>
  </si>
  <si>
    <t xml:space="preserve">Western U.S. (Eastern Gulf of Alaska) </t>
  </si>
  <si>
    <t>STSEALION-EGUAK</t>
  </si>
  <si>
    <t xml:space="preserve">Western U.S. (Central Gulf of Alaska) </t>
  </si>
  <si>
    <t>STSEALION-CGUAK</t>
  </si>
  <si>
    <t>https://media.fisheries.noaa.gov/2022-08/2021-STRIPED%20DOLPHIN-CaliforniaOregonWashington-Stock.pdf</t>
  </si>
  <si>
    <t>https://media.fisheries.noaa.gov/2021-08/2020-Pacific-SARS-stripeddolphin_hawaii.pdf</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</si>
</sst>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0.0000"/>
    <numFmt numFmtId="167" formatCode="yyyy-mm"/>
  </numFmts>
  <fonts count="37">
    <font>
      <sz val="10.0"/>
      <color rgb="FF000000"/>
      <name val="Arial"/>
      <scheme val="minor"/>
    </font>
    <font>
      <b/>
      <color theme="1"/>
      <name val="Arial"/>
      <scheme val="minor"/>
    </font>
    <font>
      <b/>
      <i/>
      <color theme="1"/>
      <name val="Arial"/>
      <scheme val="minor"/>
    </font>
    <font>
      <b/>
      <color rgb="FF222222"/>
      <name val="Arial"/>
    </font>
    <font>
      <color theme="1"/>
      <name val="Arial"/>
      <scheme val="minor"/>
    </font>
    <font>
      <i/>
      <color theme="1"/>
      <name val="Arial"/>
      <scheme val="minor"/>
    </font>
    <font>
      <color rgb="FF000000"/>
      <name val="Arial"/>
      <scheme val="minor"/>
    </font>
    <font>
      <u/>
      <color rgb="FF0000FF"/>
    </font>
    <font>
      <color theme="1"/>
      <name val="&quot;Helvetica Neue&quot;"/>
    </font>
    <font>
      <u/>
      <color rgb="FF0000FF"/>
    </font>
    <font>
      <u/>
      <color rgb="FF000000"/>
      <name val="Arial"/>
    </font>
    <font>
      <u/>
      <color rgb="FF0000FF"/>
    </font>
    <font>
      <color theme="1"/>
      <name val="Arial"/>
    </font>
    <font>
      <sz val="12.0"/>
      <color theme="1"/>
      <name val="Calibri"/>
    </font>
    <font>
      <u/>
      <color rgb="FF1155CC"/>
      <name val="Arial"/>
    </font>
    <font>
      <color rgb="FF000000"/>
      <name val="Arial"/>
    </font>
    <font>
      <u/>
      <color rgb="FF0000FF"/>
    </font>
    <font>
      <u/>
      <color rgb="FF1155CC"/>
      <name val="Arial"/>
    </font>
    <font>
      <color theme="1"/>
      <name val="Helvetica Neue"/>
    </font>
    <font>
      <i/>
      <color rgb="FF000000"/>
      <name val="Arial"/>
      <scheme val="minor"/>
    </font>
    <font>
      <sz val="12.0"/>
      <color rgb="FF000000"/>
      <name val="Calibri"/>
    </font>
    <font>
      <sz val="10.0"/>
      <color theme="1"/>
      <name val="Arial"/>
      <scheme val="minor"/>
    </font>
    <font>
      <u/>
      <color rgb="FF0000FF"/>
      <name val="Arial"/>
    </font>
    <font>
      <u/>
      <color rgb="FF1155CC"/>
      <name val="Arial"/>
    </font>
    <font>
      <u/>
      <color rgb="FF0000FF"/>
    </font>
    <font>
      <u/>
      <color rgb="FF1155CC"/>
      <name val="Arial"/>
    </font>
    <font>
      <u/>
      <color rgb="FF1155CC"/>
      <name val="Arial"/>
    </font>
    <font>
      <u/>
      <color rgb="FF0000FF"/>
    </font>
    <font>
      <u/>
      <color rgb="FF0000FF"/>
    </font>
    <font>
      <u/>
      <color rgb="FF0000FF"/>
    </font>
    <font>
      <u/>
      <color rgb="FF0000FF"/>
    </font>
    <font>
      <sz val="10.0"/>
      <color theme="1"/>
      <name val="Arial"/>
    </font>
    <font>
      <u/>
      <color rgb="FF1155CC"/>
      <name val="Arial"/>
    </font>
    <font>
      <u/>
      <color rgb="FF1155CC"/>
      <name val="Arial"/>
    </font>
    <font>
      <u/>
      <color rgb="FF0000FF"/>
      <name val="Arial"/>
    </font>
    <font>
      <color rgb="FF1C1D1E"/>
      <name val="Arial"/>
      <scheme val="minor"/>
    </font>
    <font>
      <u/>
      <color rgb="FF0000FF"/>
    </font>
  </fonts>
  <fills count="10">
    <fill>
      <patternFill patternType="none"/>
    </fill>
    <fill>
      <patternFill patternType="lightGray"/>
    </fill>
    <fill>
      <patternFill patternType="solid">
        <fgColor rgb="FFFFFF00"/>
        <bgColor rgb="FFFFFF00"/>
      </patternFill>
    </fill>
    <fill>
      <patternFill patternType="solid">
        <fgColor rgb="FFD9EAD3"/>
        <bgColor rgb="FFD9EAD3"/>
      </patternFill>
    </fill>
    <fill>
      <patternFill patternType="solid">
        <fgColor rgb="FF00FFFF"/>
        <bgColor rgb="FF00FFFF"/>
      </patternFill>
    </fill>
    <fill>
      <patternFill patternType="solid">
        <fgColor rgb="FFF4CCCC"/>
        <bgColor rgb="FFF4CCCC"/>
      </patternFill>
    </fill>
    <fill>
      <patternFill patternType="solid">
        <fgColor rgb="FFFFFFFF"/>
        <bgColor rgb="FFFFFFFF"/>
      </patternFill>
    </fill>
    <fill>
      <patternFill patternType="solid">
        <fgColor rgb="FFFF00FF"/>
        <bgColor rgb="FFFF00FF"/>
      </patternFill>
    </fill>
    <fill>
      <patternFill patternType="solid">
        <fgColor rgb="FFFFE599"/>
        <bgColor rgb="FFFFE599"/>
      </patternFill>
    </fill>
    <fill>
      <patternFill patternType="solid">
        <fgColor rgb="FFC9DAF8"/>
        <bgColor rgb="FFC9DAF8"/>
      </patternFill>
    </fill>
  </fills>
  <borders count="1">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2" fontId="2" numFmtId="0" xfId="0" applyAlignment="1" applyFill="1" applyFont="1">
      <alignment readingOrder="0"/>
    </xf>
    <xf borderId="0" fillId="0" fontId="1" numFmtId="0" xfId="0" applyFont="1"/>
    <xf borderId="0" fillId="2" fontId="3" numFmtId="0" xfId="0" applyAlignment="1" applyFill="1" applyFont="1">
      <alignment readingOrder="0"/>
    </xf>
    <xf borderId="0" fillId="2" fontId="1" numFmtId="0" xfId="0" applyFill="1" applyFont="1"/>
    <xf borderId="0" fillId="3" fontId="4" numFmtId="0" xfId="0" applyAlignment="1" applyFill="1" applyFont="1">
      <alignment readingOrder="0"/>
    </xf>
    <xf borderId="0" fillId="3" fontId="4" numFmtId="0" xfId="0" applyFill="1" applyFont="1"/>
    <xf borderId="0" fillId="2" fontId="4" numFmtId="0" xfId="0" applyAlignment="1" applyFill="1" applyFont="1">
      <alignment readingOrder="0"/>
    </xf>
    <xf borderId="0" fillId="2" fontId="5" numFmtId="0" xfId="0" applyAlignment="1" applyFill="1" applyFont="1">
      <alignment readingOrder="0"/>
    </xf>
    <xf borderId="0" fillId="0" fontId="4" numFmtId="0" xfId="0" applyAlignment="1" applyFont="1">
      <alignment readingOrder="0"/>
    </xf>
    <xf borderId="0" fillId="2" fontId="6" numFmtId="3" xfId="0" applyAlignment="1" applyFill="1" applyFont="1" applyNumberFormat="1">
      <alignment readingOrder="0"/>
    </xf>
    <xf borderId="0" fillId="4" fontId="4" numFmtId="0" xfId="0" applyAlignment="1" applyFill="1" applyFont="1">
      <alignment readingOrder="0"/>
    </xf>
    <xf borderId="0" fillId="4" fontId="4" numFmtId="0" xfId="0" applyFill="1" applyFont="1"/>
    <xf borderId="0" fillId="2" fontId="1" numFmtId="1" xfId="0" applyAlignment="1" applyFill="1" applyFont="1" applyNumberFormat="1">
      <alignment readingOrder="0"/>
    </xf>
    <xf borderId="0" fillId="5" fontId="4" numFmtId="0" xfId="0" applyAlignment="1" applyFill="1" applyFont="1">
      <alignment readingOrder="0"/>
    </xf>
    <xf borderId="0" fillId="5" fontId="4" numFmtId="0" xfId="0" applyFill="1" applyFont="1"/>
    <xf borderId="0" fillId="0" fontId="1" numFmtId="0" xfId="0" applyAlignment="1" applyFont="1">
      <alignment horizontal="left" readingOrder="0" shrinkToFit="0" vertical="center" wrapText="0"/>
    </xf>
    <xf borderId="0" fillId="2" fontId="7" numFmtId="0" xfId="0" applyAlignment="1" applyFill="1" applyFont="1">
      <alignment readingOrder="0"/>
    </xf>
    <xf borderId="0" fillId="2" fontId="4" numFmtId="0" xfId="0" applyFill="1" applyFont="1"/>
    <xf borderId="0" fillId="2" fontId="4" numFmtId="0" xfId="0" applyAlignment="1" applyFill="1" applyFont="1">
      <alignment readingOrder="0" shrinkToFit="0" wrapText="0"/>
    </xf>
    <xf borderId="0" fillId="0" fontId="5" numFmtId="0" xfId="0" applyAlignment="1" applyFont="1">
      <alignment readingOrder="0"/>
    </xf>
    <xf borderId="0" fillId="0" fontId="4" numFmtId="9" xfId="0" applyAlignment="1" applyFont="1" applyNumberFormat="1">
      <alignment readingOrder="0"/>
    </xf>
    <xf borderId="0" fillId="0" fontId="1" numFmtId="0" xfId="0" applyAlignment="1" applyFont="1">
      <alignment horizontal="left" readingOrder="0" shrinkToFit="0" vertical="center" wrapText="1"/>
    </xf>
    <xf borderId="0" fillId="6" fontId="4" numFmtId="0" xfId="0" applyAlignment="1" applyFill="1" applyFont="1">
      <alignment readingOrder="0"/>
    </xf>
    <xf borderId="0" fillId="0" fontId="8" numFmtId="0" xfId="0" applyAlignment="1" applyFont="1">
      <alignment horizontal="right" readingOrder="0" vertical="bottom"/>
    </xf>
    <xf borderId="0" fillId="0" fontId="8" numFmtId="1" xfId="0" applyAlignment="1" applyFont="1" applyNumberFormat="1">
      <alignment horizontal="right" readingOrder="0" vertical="bottom"/>
    </xf>
    <xf borderId="0" fillId="0" fontId="8" numFmtId="1" xfId="0" applyAlignment="1" applyFont="1" applyNumberFormat="1">
      <alignment horizontal="right" readingOrder="0" vertical="bottom"/>
    </xf>
    <xf borderId="0" fillId="6" fontId="8" numFmtId="1" xfId="0" applyAlignment="1" applyFill="1" applyFont="1" applyNumberFormat="1">
      <alignment horizontal="right" readingOrder="0" vertical="bottom"/>
    </xf>
    <xf borderId="0" fillId="0" fontId="9" numFmtId="0" xfId="0" applyAlignment="1" applyFont="1">
      <alignment readingOrder="0"/>
    </xf>
    <xf borderId="0" fillId="0" fontId="4" numFmtId="164" xfId="0" applyAlignment="1" applyFont="1" applyNumberFormat="1">
      <alignment readingOrder="0"/>
    </xf>
    <xf borderId="0" fillId="0" fontId="4" numFmtId="0" xfId="0" applyAlignment="1" applyFont="1">
      <alignment readingOrder="0" shrinkToFit="0" vertical="center" wrapText="0"/>
    </xf>
    <xf borderId="0" fillId="0" fontId="10" numFmtId="0" xfId="0" applyAlignment="1" applyFont="1">
      <alignment horizontal="left" readingOrder="0"/>
    </xf>
    <xf borderId="0" fillId="0" fontId="4" numFmtId="0" xfId="0" applyAlignment="1" applyFont="1">
      <alignment readingOrder="0" shrinkToFit="0" vertical="center" wrapText="1"/>
    </xf>
    <xf borderId="0" fillId="0" fontId="4" numFmtId="0" xfId="0" applyAlignment="1" applyFont="1">
      <alignment horizontal="left" readingOrder="0" shrinkToFit="0" vertical="center" wrapText="0"/>
    </xf>
    <xf borderId="0" fillId="0" fontId="4" numFmtId="165" xfId="0" applyAlignment="1" applyFont="1" applyNumberFormat="1">
      <alignment readingOrder="0"/>
    </xf>
    <xf borderId="0" fillId="7" fontId="4" numFmtId="0" xfId="0" applyAlignment="1" applyFill="1" applyFont="1">
      <alignment readingOrder="0"/>
    </xf>
    <xf borderId="0" fillId="7" fontId="4" numFmtId="0" xfId="0" applyFill="1" applyFont="1"/>
    <xf borderId="0" fillId="0" fontId="11" numFmtId="0" xfId="0" applyAlignment="1" applyFont="1">
      <alignment readingOrder="0"/>
    </xf>
    <xf borderId="0" fillId="0" fontId="4" numFmtId="1" xfId="0" applyAlignment="1" applyFont="1" applyNumberFormat="1">
      <alignment readingOrder="0"/>
    </xf>
    <xf borderId="0" fillId="0" fontId="4" numFmtId="3" xfId="0" applyAlignment="1" applyFont="1" applyNumberFormat="1">
      <alignment readingOrder="0"/>
    </xf>
    <xf borderId="0" fillId="0" fontId="4" numFmtId="0" xfId="0" applyAlignment="1" applyFont="1">
      <alignment horizontal="right" readingOrder="0"/>
    </xf>
    <xf borderId="0" fillId="0" fontId="4" numFmtId="10" xfId="0" applyAlignment="1" applyFont="1" applyNumberFormat="1">
      <alignment readingOrder="0"/>
    </xf>
    <xf borderId="0" fillId="0" fontId="8" numFmtId="1" xfId="0" applyAlignment="1" applyFont="1" applyNumberFormat="1">
      <alignment horizontal="right" vertical="bottom"/>
    </xf>
    <xf borderId="0" fillId="6" fontId="12" numFmtId="0" xfId="0" applyAlignment="1" applyFill="1" applyFont="1">
      <alignment readingOrder="0" vertical="bottom"/>
    </xf>
    <xf borderId="0" fillId="6" fontId="12" numFmtId="0" xfId="0" applyAlignment="1" applyFill="1" applyFont="1">
      <alignment vertical="bottom"/>
    </xf>
    <xf borderId="0" fillId="6" fontId="13" numFmtId="1" xfId="0" applyAlignment="1" applyFill="1" applyFont="1" applyNumberFormat="1">
      <alignment horizontal="right" readingOrder="0" vertical="bottom"/>
    </xf>
    <xf borderId="0" fillId="6" fontId="8" numFmtId="1" xfId="0" applyAlignment="1" applyFill="1" applyFont="1" applyNumberFormat="1">
      <alignment horizontal="right" readingOrder="0" vertical="bottom"/>
    </xf>
    <xf borderId="0" fillId="6" fontId="14" numFmtId="0" xfId="0" applyAlignment="1" applyFill="1" applyFont="1">
      <alignment vertical="bottom"/>
    </xf>
    <xf borderId="0" fillId="6" fontId="15" numFmtId="0" xfId="0" applyAlignment="1" applyFill="1" applyFont="1">
      <alignment readingOrder="0" shrinkToFit="0" vertical="bottom" wrapText="0"/>
    </xf>
    <xf borderId="0" fillId="6" fontId="4" numFmtId="0" xfId="0" applyFill="1" applyFont="1"/>
    <xf borderId="0" fillId="6" fontId="15" numFmtId="0" xfId="0" applyAlignment="1" applyFill="1" applyFont="1">
      <alignment readingOrder="0" shrinkToFit="0" vertical="bottom" wrapText="0"/>
    </xf>
    <xf borderId="0" fillId="6" fontId="4" numFmtId="10" xfId="0" applyAlignment="1" applyFill="1" applyFont="1" applyNumberFormat="1">
      <alignment readingOrder="0"/>
    </xf>
    <xf borderId="0" fillId="0" fontId="12" numFmtId="0" xfId="0" applyAlignment="1" applyFont="1">
      <alignment vertical="bottom"/>
    </xf>
    <xf borderId="0" fillId="6" fontId="16" numFmtId="0" xfId="0" applyAlignment="1" applyFill="1" applyFont="1">
      <alignment readingOrder="0"/>
    </xf>
    <xf borderId="0" fillId="0" fontId="13" numFmtId="1" xfId="0" applyAlignment="1" applyFont="1" applyNumberFormat="1">
      <alignment horizontal="right" readingOrder="0" vertical="bottom"/>
    </xf>
    <xf borderId="0" fillId="0" fontId="17" numFmtId="0" xfId="0" applyAlignment="1" applyFont="1">
      <alignment vertical="bottom"/>
    </xf>
    <xf borderId="0" fillId="0" fontId="12" numFmtId="9" xfId="0" applyAlignment="1" applyFont="1" applyNumberFormat="1">
      <alignment readingOrder="0" vertical="bottom"/>
    </xf>
    <xf borderId="0" fillId="0" fontId="12" numFmtId="0" xfId="0" applyAlignment="1" applyFont="1">
      <alignment readingOrder="0" vertical="bottom"/>
    </xf>
    <xf borderId="0" fillId="0" fontId="4" numFmtId="0" xfId="0" applyAlignment="1" applyFont="1">
      <alignment readingOrder="0" shrinkToFit="0" vertical="center" wrapText="0"/>
    </xf>
    <xf borderId="0" fillId="0" fontId="4" numFmtId="0" xfId="0" applyAlignment="1" applyFont="1">
      <alignment readingOrder="0" shrinkToFit="0" vertical="center" wrapText="1"/>
    </xf>
    <xf borderId="0" fillId="0" fontId="12" numFmtId="0" xfId="0" applyAlignment="1" applyFont="1">
      <alignment shrinkToFit="0" vertical="bottom" wrapText="0"/>
    </xf>
    <xf borderId="0" fillId="0" fontId="4" numFmtId="0" xfId="0" applyAlignment="1" applyFont="1">
      <alignment horizontal="left" readingOrder="0" shrinkToFit="0" vertical="center" wrapText="0"/>
    </xf>
    <xf borderId="0" fillId="0" fontId="4" numFmtId="0" xfId="0" applyAlignment="1" applyFont="1">
      <alignment shrinkToFit="0" vertical="center" wrapText="0"/>
    </xf>
    <xf borderId="0" fillId="2" fontId="1" numFmtId="166" xfId="0" applyAlignment="1" applyFill="1" applyFont="1" applyNumberFormat="1">
      <alignment readingOrder="0"/>
    </xf>
    <xf borderId="0" fillId="0" fontId="8" numFmtId="166" xfId="0" applyAlignment="1" applyFont="1" applyNumberFormat="1">
      <alignment horizontal="right" readingOrder="0" vertical="bottom"/>
    </xf>
    <xf borderId="0" fillId="0" fontId="4" numFmtId="0" xfId="0" applyAlignment="1" applyFont="1">
      <alignment readingOrder="0"/>
    </xf>
    <xf borderId="0" fillId="0" fontId="18" numFmtId="1" xfId="0" applyAlignment="1" applyFont="1" applyNumberFormat="1">
      <alignment horizontal="right" vertical="bottom"/>
    </xf>
    <xf borderId="0" fillId="0" fontId="18" numFmtId="1" xfId="0" applyAlignment="1" applyFont="1" applyNumberFormat="1">
      <alignment horizontal="right" readingOrder="0" vertical="bottom"/>
    </xf>
    <xf borderId="0" fillId="0" fontId="18" numFmtId="1" xfId="0" applyAlignment="1" applyFont="1" applyNumberFormat="1">
      <alignment horizontal="right" vertical="bottom"/>
    </xf>
    <xf borderId="0" fillId="0" fontId="4" numFmtId="1" xfId="0" applyAlignment="1" applyFont="1" applyNumberFormat="1">
      <alignment horizontal="right" readingOrder="0"/>
    </xf>
    <xf borderId="0" fillId="0" fontId="12" numFmtId="0" xfId="0" applyAlignment="1" applyFont="1">
      <alignment readingOrder="0" shrinkToFit="0" vertical="bottom" wrapText="0"/>
    </xf>
    <xf borderId="0" fillId="0" fontId="4" numFmtId="166" xfId="0" applyAlignment="1" applyFont="1" applyNumberFormat="1">
      <alignment readingOrder="0"/>
    </xf>
    <xf borderId="0" fillId="6" fontId="15" numFmtId="0" xfId="0" applyAlignment="1" applyFill="1" applyFont="1">
      <alignment horizontal="left" readingOrder="0"/>
    </xf>
    <xf borderId="0" fillId="0" fontId="12" numFmtId="0" xfId="0" applyAlignment="1" applyFont="1">
      <alignment horizontal="right" vertical="bottom"/>
    </xf>
    <xf borderId="0" fillId="0" fontId="12" numFmtId="1" xfId="0" applyAlignment="1" applyFont="1" applyNumberFormat="1">
      <alignment horizontal="right" readingOrder="0" vertical="bottom"/>
    </xf>
    <xf borderId="0" fillId="0" fontId="12" numFmtId="1" xfId="0" applyAlignment="1" applyFont="1" applyNumberFormat="1">
      <alignment horizontal="right" vertical="bottom"/>
    </xf>
    <xf borderId="0" fillId="6" fontId="8" numFmtId="166" xfId="0" applyAlignment="1" applyFill="1" applyFont="1" applyNumberFormat="1">
      <alignment horizontal="right" readingOrder="0" vertical="bottom"/>
    </xf>
    <xf borderId="0" fillId="0" fontId="19" numFmtId="0" xfId="0" applyAlignment="1" applyFont="1">
      <alignment readingOrder="0"/>
    </xf>
    <xf borderId="0" fillId="0" fontId="12" numFmtId="0" xfId="0" applyAlignment="1" applyFont="1">
      <alignment vertical="bottom"/>
    </xf>
    <xf borderId="0" fillId="0" fontId="12" numFmtId="0" xfId="0" applyAlignment="1" applyFont="1">
      <alignment horizontal="right" readingOrder="0" vertical="bottom"/>
    </xf>
    <xf borderId="0" fillId="6" fontId="18" numFmtId="1" xfId="0" applyAlignment="1" applyFill="1" applyFont="1" applyNumberFormat="1">
      <alignment horizontal="right" vertical="bottom"/>
    </xf>
    <xf borderId="0" fillId="0" fontId="12" numFmtId="0" xfId="0" applyAlignment="1" applyFont="1">
      <alignment horizontal="right" vertical="bottom"/>
    </xf>
    <xf borderId="0" fillId="0" fontId="4" numFmtId="3" xfId="0" applyAlignment="1" applyFont="1" applyNumberFormat="1">
      <alignment horizontal="right" readingOrder="0"/>
    </xf>
    <xf borderId="0" fillId="0" fontId="4" numFmtId="166" xfId="0" applyAlignment="1" applyFont="1" applyNumberFormat="1">
      <alignment horizontal="right" readingOrder="0"/>
    </xf>
    <xf borderId="0" fillId="0" fontId="5" numFmtId="0" xfId="0" applyFont="1"/>
    <xf borderId="0" fillId="0" fontId="8" numFmtId="1" xfId="0" applyAlignment="1" applyFont="1" applyNumberFormat="1">
      <alignment horizontal="right" vertical="bottom"/>
    </xf>
    <xf borderId="0" fillId="0" fontId="8" numFmtId="0" xfId="0" applyAlignment="1" applyFont="1">
      <alignment horizontal="right" vertical="bottom"/>
    </xf>
    <xf borderId="0" fillId="0" fontId="20" numFmtId="1" xfId="0" applyAlignment="1" applyFont="1" applyNumberFormat="1">
      <alignment horizontal="right" readingOrder="0" shrinkToFit="0" vertical="bottom" wrapText="0"/>
    </xf>
    <xf borderId="0" fillId="0" fontId="20" numFmtId="3" xfId="0" applyAlignment="1" applyFont="1" applyNumberFormat="1">
      <alignment horizontal="right" readingOrder="0" shrinkToFit="0" vertical="bottom" wrapText="0"/>
    </xf>
    <xf borderId="0" fillId="2" fontId="4" numFmtId="0" xfId="0" applyAlignment="1" applyFill="1" applyFont="1">
      <alignment horizontal="left" readingOrder="0" shrinkToFit="0" vertical="center" wrapText="0"/>
    </xf>
    <xf borderId="0" fillId="0" fontId="18" numFmtId="166" xfId="0" applyAlignment="1" applyFont="1" applyNumberFormat="1">
      <alignment horizontal="right" readingOrder="0" vertical="bottom"/>
    </xf>
    <xf borderId="0" fillId="0" fontId="12" numFmtId="166" xfId="0" applyAlignment="1" applyFont="1" applyNumberFormat="1">
      <alignment horizontal="right" readingOrder="0" vertical="bottom"/>
    </xf>
    <xf borderId="0" fillId="2" fontId="4" numFmtId="0" xfId="0" applyAlignment="1" applyFill="1" applyFont="1">
      <alignment readingOrder="0" shrinkToFit="0" vertical="center" wrapText="0"/>
    </xf>
    <xf borderId="0" fillId="0" fontId="12" numFmtId="1" xfId="0" applyAlignment="1" applyFont="1" applyNumberFormat="1">
      <alignment readingOrder="0" vertical="bottom"/>
    </xf>
    <xf borderId="0" fillId="0" fontId="15" numFmtId="1" xfId="0" applyAlignment="1" applyFont="1" applyNumberFormat="1">
      <alignment readingOrder="0" vertical="bottom"/>
    </xf>
    <xf borderId="0" fillId="0" fontId="20" numFmtId="166" xfId="0" applyAlignment="1" applyFont="1" applyNumberFormat="1">
      <alignment horizontal="right" readingOrder="0" shrinkToFit="0" vertical="bottom" wrapText="0"/>
    </xf>
    <xf borderId="0" fillId="0" fontId="0" numFmtId="0" xfId="0" applyAlignment="1" applyFont="1">
      <alignment horizontal="right" readingOrder="0" shrinkToFit="0" vertical="bottom" wrapText="0"/>
    </xf>
    <xf borderId="0" fillId="0" fontId="0" numFmtId="0" xfId="0" applyAlignment="1" applyFont="1">
      <alignment readingOrder="0" shrinkToFit="0" vertical="bottom" wrapText="0"/>
    </xf>
    <xf borderId="0" fillId="0" fontId="21" numFmtId="0" xfId="0" applyAlignment="1" applyFont="1">
      <alignment readingOrder="0"/>
    </xf>
    <xf borderId="0" fillId="0" fontId="8" numFmtId="166" xfId="0" applyAlignment="1" applyFont="1" applyNumberFormat="1">
      <alignment horizontal="right" vertical="bottom"/>
    </xf>
    <xf borderId="0" fillId="2" fontId="1" numFmtId="0" xfId="0" applyAlignment="1" applyFill="1" applyFont="1">
      <alignment readingOrder="0" shrinkToFit="0" wrapText="1"/>
    </xf>
    <xf borderId="0" fillId="2" fontId="4" numFmtId="0" xfId="0" applyAlignment="1" applyFill="1" applyFont="1">
      <alignment readingOrder="0" shrinkToFit="0" wrapText="1"/>
    </xf>
    <xf borderId="0" fillId="0" fontId="4" numFmtId="0" xfId="0" applyAlignment="1" applyFont="1">
      <alignment readingOrder="0" shrinkToFit="0" wrapText="1"/>
    </xf>
    <xf borderId="0" fillId="0" fontId="20" numFmtId="0" xfId="0" applyAlignment="1" applyFont="1">
      <alignment horizontal="right" readingOrder="0" shrinkToFit="0" vertical="bottom" wrapText="0"/>
    </xf>
    <xf borderId="0" fillId="6" fontId="18" numFmtId="1" xfId="0" applyAlignment="1" applyFill="1" applyFont="1" applyNumberFormat="1">
      <alignment horizontal="right" readingOrder="0" vertical="bottom"/>
    </xf>
    <xf borderId="0" fillId="0" fontId="22" numFmtId="0" xfId="0" applyAlignment="1" applyFont="1">
      <alignment readingOrder="0" vertical="bottom"/>
    </xf>
    <xf borderId="0" fillId="8" fontId="4" numFmtId="0" xfId="0" applyAlignment="1" applyFill="1" applyFont="1">
      <alignment readingOrder="0"/>
    </xf>
    <xf borderId="0" fillId="0" fontId="12" numFmtId="166" xfId="0" applyAlignment="1" applyFont="1" applyNumberFormat="1">
      <alignment readingOrder="0" vertical="bottom"/>
    </xf>
    <xf borderId="0" fillId="6" fontId="23" numFmtId="0" xfId="0" applyAlignment="1" applyFill="1" applyFont="1">
      <alignment readingOrder="0" vertical="bottom"/>
    </xf>
    <xf borderId="0" fillId="0" fontId="4" numFmtId="1" xfId="0" applyAlignment="1" applyFont="1" applyNumberFormat="1">
      <alignment readingOrder="0"/>
    </xf>
    <xf borderId="0" fillId="0" fontId="4" numFmtId="0" xfId="0" applyFont="1"/>
    <xf borderId="0" fillId="0" fontId="24" numFmtId="0" xfId="0" applyAlignment="1" applyFont="1">
      <alignment horizontal="left" readingOrder="0"/>
    </xf>
    <xf borderId="0" fillId="0" fontId="4" numFmtId="1" xfId="0" applyFont="1" applyNumberFormat="1"/>
    <xf borderId="0" fillId="0" fontId="4" numFmtId="166" xfId="0" applyFont="1" applyNumberFormat="1"/>
    <xf borderId="0" fillId="0" fontId="0" numFmtId="1" xfId="0" applyAlignment="1" applyFont="1" applyNumberFormat="1">
      <alignment horizontal="right" readingOrder="0" shrinkToFit="0" vertical="bottom" wrapText="0"/>
    </xf>
    <xf borderId="0" fillId="0" fontId="0" numFmtId="3" xfId="0" applyAlignment="1" applyFont="1" applyNumberFormat="1">
      <alignment horizontal="right" readingOrder="0" shrinkToFit="0" vertical="bottom" wrapText="0"/>
    </xf>
    <xf borderId="0" fillId="0" fontId="4" numFmtId="0" xfId="0" applyAlignment="1" applyFont="1">
      <alignment shrinkToFit="0" wrapText="1"/>
    </xf>
    <xf borderId="0" fillId="0" fontId="4" numFmtId="0" xfId="0" applyAlignment="1" applyFont="1">
      <alignment horizontal="left"/>
    </xf>
    <xf borderId="0" fillId="2" fontId="12" numFmtId="0" xfId="0" applyAlignment="1" applyFill="1" applyFont="1">
      <alignment vertical="bottom"/>
    </xf>
    <xf borderId="0" fillId="2" fontId="12" numFmtId="0" xfId="0" applyAlignment="1" applyFill="1" applyFont="1">
      <alignment horizontal="right" vertical="bottom"/>
    </xf>
    <xf borderId="0" fillId="2" fontId="12" numFmtId="1" xfId="0" applyAlignment="1" applyFill="1" applyFont="1" applyNumberFormat="1">
      <alignment horizontal="right" vertical="bottom"/>
    </xf>
    <xf borderId="0" fillId="2" fontId="12" numFmtId="1" xfId="0" applyAlignment="1" applyFill="1" applyFont="1" applyNumberFormat="1">
      <alignment vertical="bottom"/>
    </xf>
    <xf borderId="0" fillId="2" fontId="18" numFmtId="1" xfId="0" applyAlignment="1" applyFill="1" applyFont="1" applyNumberFormat="1">
      <alignment horizontal="right" vertical="bottom"/>
    </xf>
    <xf borderId="0" fillId="2" fontId="25" numFmtId="0" xfId="0" applyAlignment="1" applyFill="1" applyFont="1">
      <alignment vertical="bottom"/>
    </xf>
    <xf borderId="0" fillId="0" fontId="4" numFmtId="167" xfId="0" applyAlignment="1" applyFont="1" applyNumberFormat="1">
      <alignment readingOrder="0"/>
    </xf>
    <xf borderId="0" fillId="6" fontId="21" numFmtId="1" xfId="0" applyAlignment="1" applyFill="1" applyFont="1" applyNumberFormat="1">
      <alignment horizontal="right" readingOrder="0" vertical="bottom"/>
    </xf>
    <xf borderId="0" fillId="0" fontId="0" numFmtId="1" xfId="0" applyAlignment="1" applyFont="1" applyNumberFormat="1">
      <alignment horizontal="right" readingOrder="0" shrinkToFit="0" vertical="bottom" wrapText="0"/>
    </xf>
    <xf borderId="0" fillId="0" fontId="4" numFmtId="0" xfId="0" applyAlignment="1" applyFont="1">
      <alignment readingOrder="0"/>
    </xf>
    <xf borderId="0" fillId="0" fontId="26" numFmtId="0" xfId="0" applyAlignment="1" applyFont="1">
      <alignment vertical="bottom"/>
    </xf>
    <xf borderId="0" fillId="0" fontId="12" numFmtId="1" xfId="0" applyAlignment="1" applyFont="1" applyNumberFormat="1">
      <alignment vertical="bottom"/>
    </xf>
    <xf borderId="0" fillId="5" fontId="1" numFmtId="0" xfId="0" applyAlignment="1" applyFill="1" applyFont="1">
      <alignment readingOrder="0"/>
    </xf>
    <xf borderId="0" fillId="3" fontId="27" numFmtId="0" xfId="0" applyAlignment="1" applyFill="1" applyFont="1">
      <alignment readingOrder="0"/>
    </xf>
    <xf borderId="0" fillId="3" fontId="28" numFmtId="0" xfId="0" applyAlignment="1" applyFill="1" applyFont="1">
      <alignment readingOrder="0"/>
    </xf>
    <xf borderId="0" fillId="3" fontId="4" numFmtId="3" xfId="0" applyAlignment="1" applyFill="1" applyFont="1" applyNumberFormat="1">
      <alignment readingOrder="0"/>
    </xf>
    <xf borderId="0" fillId="3" fontId="29" numFmtId="3" xfId="0" applyAlignment="1" applyFill="1" applyFont="1" applyNumberFormat="1">
      <alignment readingOrder="0"/>
    </xf>
    <xf borderId="0" fillId="3" fontId="21" numFmtId="0" xfId="0" applyAlignment="1" applyFill="1" applyFont="1">
      <alignment readingOrder="0"/>
    </xf>
    <xf borderId="0" fillId="3" fontId="15" numFmtId="0" xfId="0" applyAlignment="1" applyFill="1" applyFont="1">
      <alignment horizontal="left" readingOrder="0"/>
    </xf>
    <xf borderId="0" fillId="3" fontId="0" numFmtId="0" xfId="0" applyAlignment="1" applyFill="1" applyFont="1">
      <alignment horizontal="left" readingOrder="0"/>
    </xf>
    <xf borderId="0" fillId="3" fontId="12" numFmtId="0" xfId="0" applyAlignment="1" applyFill="1" applyFont="1">
      <alignment vertical="bottom"/>
    </xf>
    <xf borderId="0" fillId="5" fontId="0" numFmtId="0" xfId="0" applyAlignment="1" applyFill="1" applyFont="1">
      <alignment horizontal="left" readingOrder="0"/>
    </xf>
    <xf borderId="0" fillId="5" fontId="30" numFmtId="0" xfId="0" applyAlignment="1" applyFill="1" applyFont="1">
      <alignment readingOrder="0"/>
    </xf>
    <xf borderId="0" fillId="3" fontId="31" numFmtId="0" xfId="0" applyAlignment="1" applyFill="1" applyFont="1">
      <alignment readingOrder="0"/>
    </xf>
    <xf borderId="0" fillId="5" fontId="12" numFmtId="0" xfId="0" applyAlignment="1" applyFill="1" applyFont="1">
      <alignment vertical="bottom"/>
    </xf>
    <xf borderId="0" fillId="5" fontId="32" numFmtId="0" xfId="0" applyAlignment="1" applyFill="1" applyFont="1">
      <alignment vertical="bottom"/>
    </xf>
    <xf borderId="0" fillId="3" fontId="33" numFmtId="0" xfId="0" applyAlignment="1" applyFill="1" applyFont="1">
      <alignment vertical="bottom"/>
    </xf>
    <xf borderId="0" fillId="3" fontId="12" numFmtId="0" xfId="0" applyAlignment="1" applyFill="1" applyFont="1">
      <alignment readingOrder="0" vertical="bottom"/>
    </xf>
    <xf borderId="0" fillId="0" fontId="12" numFmtId="0" xfId="0" applyAlignment="1" applyFont="1">
      <alignment shrinkToFit="0" vertical="bottom" wrapText="1"/>
    </xf>
    <xf borderId="0" fillId="3" fontId="34" numFmtId="0" xfId="0" applyAlignment="1" applyFill="1" applyFont="1">
      <alignment readingOrder="0" vertical="bottom"/>
    </xf>
    <xf borderId="0" fillId="3" fontId="12" numFmtId="0" xfId="0" applyAlignment="1" applyFill="1" applyFont="1">
      <alignment vertical="bottom"/>
    </xf>
    <xf borderId="0" fillId="3" fontId="35" numFmtId="0" xfId="0" applyAlignment="1" applyFill="1" applyFont="1">
      <alignment readingOrder="0"/>
    </xf>
    <xf borderId="0" fillId="9" fontId="4" numFmtId="0" xfId="0" applyAlignment="1" applyFill="1" applyFont="1">
      <alignment readingOrder="0"/>
    </xf>
    <xf borderId="0" fillId="9" fontId="36" numFmtId="0" xfId="0" applyAlignment="1" applyFill="1" applyFont="1">
      <alignment readingOrder="0"/>
    </xf>
    <xf borderId="0" fillId="9" fontId="4" numFmtId="0" xfId="0" applyFill="1" applyFont="1"/>
    <xf borderId="0" fillId="9" fontId="15" numFmtId="0" xfId="0" applyAlignment="1" applyFill="1" applyFont="1">
      <alignment horizontal="left" readingOrder="0"/>
    </xf>
    <xf borderId="0" fillId="9" fontId="12" numFmtId="0" xfId="0" applyAlignment="1" applyFill="1" applyFont="1">
      <alignment vertical="bottom"/>
    </xf>
    <xf borderId="0" fillId="0" fontId="15" numFmtId="0" xfId="0" applyAlignment="1" applyFont="1">
      <alignment horizontal="left" readingOrder="0"/>
    </xf>
    <xf borderId="0" fillId="0" fontId="0" numFmtId="166" xfId="0" applyAlignment="1" applyFont="1" applyNumberFormat="1">
      <alignment horizontal="righ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A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utian Fang" id="{8d15c66e-f0a6-4a65-a79b-7992fb5ec93c}" providerId="google-sheets"/>
  <x18tc:person displayName="Deleted account" id="{27a7bc90-f8aa-4f17-853a-130f271ad910}" providerId="google-sheets"/>
</x18tc:personList>
</file>

<file path=xl/tables/table1.xml><?xml version="1.0" encoding="utf-8"?>
<table xmlns="http://schemas.openxmlformats.org/spreadsheetml/2006/main" ref="A1:S136" displayName="Table1" name="Table1" id="1">
  <tableColumns count="19">
    <tableColumn name="Region" id="1"/>
    <tableColumn name="SAR Revised date" id="2"/>
    <tableColumn name="Stock" id="3"/>
    <tableColumn name="Year" id="4"/>
    <tableColumn name="Nmin numbers" id="5"/>
    <tableColumn name="Nmin method" id="6"/>
    <tableColumn name="R(max)" id="7"/>
    <tableColumn name="Recovery Factor (RF)" id="8"/>
    <tableColumn name="PBR" id="9"/>
    <tableColumn name="Trend" id="10"/>
    <tableColumn name="Strategic?" id="11"/>
    <tableColumn name="MNPL" id="12"/>
    <tableColumn name="Within OSP?" id="13"/>
    <tableColumn name="Year range (SM/I)" id="14"/>
    <tableColumn name="# of sources (SM/I)" id="15"/>
    <tableColumn name="# of SM/I" id="16"/>
    <tableColumn name="MMPA Stock status" id="17"/>
    <tableColumn name="ESA stock status" id="18"/>
    <tableColumn name="Note" id="19"/>
  </tableColumns>
  <tableStyleInfo name="SA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38" dT="2026-02-22T19:27:17.00" personId="{8d15c66e-f0a6-4a65-a79b-7992fb5ec93c}" id="{30d8e67d-a768-4fe6-beb8-ec12d9cb775a}" done="0">
    <x18tc:text xml:space="preserve">This is complicated</x18tc:text>
  </x18tc:threadedComment>
  <x18tc:threadedComment ref="D1" dT="2026-02-17T19:31:44.00" personId="{8d15c66e-f0a6-4a65-a79b-7992fb5ec93c}" id="{f1775f58-3555-4877-af53-a348085dbea6}" done="1">
    <x18tc:text xml:space="preserve">This year is the year of Nmin?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336" dT="2024-07-30T23:13:28.00" personId="{27a7bc90-f8aa-4f17-853a-130f271ad910}" id="{356de4bd-cca8-4c26-953a-ceaa0ccdc49f}" done="1">
    <x18tc:text xml:space="preserve">realized vs predicted (but predicted is in the same graph area as realized)</x18tc:text>
  </x18tc:threadedComment>
  <x18tc:threadedComment ref="K39" dT="2024-07-21T00:21:35.00" personId="{8d15c66e-f0a6-4a65-a79b-7992fb5ec93c}" id="{10f0b756-6a8d-40dc-851c-31850f8bd8cc}" done="1">
    <x18tc:text xml:space="preserve">N/A?, ranged between 6000 and 9500</x18tc:text>
  </x18tc:threadedComment>
  <x18tc:threadedComment ref="F995" dT="2024-07-21T00:00:44.00" personId="{8d15c66e-f0a6-4a65-a79b-7992fb5ec93c}" id="{67a6cae5-b799-4e90-b7ed-728dc56d9470}" done="0">
    <x18tc:text xml:space="preserve">the author estimates the total pups from the combined survey types</x18tc:text>
  </x18tc:threadedComment>
  <x18tc:threadedComment ref="F217" dT="2024-07-23T21:53:15.00" personId="{8d15c66e-f0a6-4a65-a79b-7992fb5ec93c}" id="{588275d9-a1c8-4e8d-bfce-bc42e3c78426}" done="1">
    <x18tc:text xml:space="preserve">Line-transect?</x18tc:text>
  </x18tc:threadedComment>
  <x18tc:threadedComment ref="A1336" dT="2024-07-31T22:16:03.00" personId="{27a7bc90-f8aa-4f17-853a-130f271ad910}" id="{1a2043b4-9075-41ef-b7f4-5a3a771a6bc2}" done="1">
    <x18tc:text xml:space="preserve">data is counted but falls within the predicted range - not sure what to do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dfo-mpo.gc.ca/csas-sccs/Publications/SAR-AS/2024/2024_035-eng.pdf" TargetMode="External"/><Relationship Id="rId84" Type="http://schemas.openxmlformats.org/officeDocument/2006/relationships/hyperlink" Target="https://repository.library.noaa.gov/view/noaa/27826" TargetMode="External"/><Relationship Id="rId83" Type="http://schemas.openxmlformats.org/officeDocument/2006/relationships/hyperlink" Target="https://repository.library.noaa.gov/view/noaa/27826" TargetMode="External"/><Relationship Id="rId42" Type="http://schemas.openxmlformats.org/officeDocument/2006/relationships/hyperlink" Target="https://waves-vagues.dfo-mpo.gc.ca/library-bibliotheque/40878478.pdf" TargetMode="External"/><Relationship Id="rId86" Type="http://schemas.openxmlformats.org/officeDocument/2006/relationships/hyperlink" Target="https://journal.iwc.int/index.php/jcrm/article/view/527/253" TargetMode="External"/><Relationship Id="rId41" Type="http://schemas.openxmlformats.org/officeDocument/2006/relationships/hyperlink" Target="https://publications.gc.ca/collections/collection_2023/mpo-dfo/fs70-6/Fs70-6-2023-030-eng.pdf" TargetMode="External"/><Relationship Id="rId85" Type="http://schemas.openxmlformats.org/officeDocument/2006/relationships/hyperlink" Target="https://repository.library.noaa.gov/view/noaa/27826" TargetMode="External"/><Relationship Id="rId44" Type="http://schemas.openxmlformats.org/officeDocument/2006/relationships/hyperlink" Target="https://waves-vagues.dfo-mpo.gc.ca/library-bibliotheque/41063648.pdf" TargetMode="External"/><Relationship Id="rId88" Type="http://schemas.openxmlformats.org/officeDocument/2006/relationships/drawing" Target="../drawings/drawing3.xml"/><Relationship Id="rId43" Type="http://schemas.openxmlformats.org/officeDocument/2006/relationships/hyperlink" Target="https://wildlife-species.az.ec.gc.ca/species-risk-registry/virtual_sara/files//cosewic/sr%20Sea%20Otter%202022_e.pdf" TargetMode="External"/><Relationship Id="rId87" Type="http://schemas.openxmlformats.org/officeDocument/2006/relationships/hyperlink" Target="https://nesptropical.edu.au/wp-content/uploads/2016/06/NESP-TWQ-3.2-FINAL-REPORT-2.pdf" TargetMode="External"/><Relationship Id="rId46" Type="http://schemas.openxmlformats.org/officeDocument/2006/relationships/hyperlink" Target="https://waves-vagues.dfo-mpo.gc.ca/library-bibliotheque/41003925.pdf" TargetMode="External"/><Relationship Id="rId45" Type="http://schemas.openxmlformats.org/officeDocument/2006/relationships/hyperlink" Target="https://waves-vagues.dfo-mpo.gc.ca/library-bibliotheque/4081841x.pdf" TargetMode="External"/><Relationship Id="rId80" Type="http://schemas.openxmlformats.org/officeDocument/2006/relationships/hyperlink" Target="https://repository.library.noaa.gov/view/noaa/27826" TargetMode="External"/><Relationship Id="rId82" Type="http://schemas.openxmlformats.org/officeDocument/2006/relationships/hyperlink" Target="https://repository.library.noaa.gov/view/noaa/27826" TargetMode="External"/><Relationship Id="rId81" Type="http://schemas.openxmlformats.org/officeDocument/2006/relationships/hyperlink" Target="https://repository.library.noaa.gov/view/noaa/27826" TargetMode="External"/><Relationship Id="rId1" Type="http://schemas.openxmlformats.org/officeDocument/2006/relationships/hyperlink" Target="https://wildlife.onlinelibrary.wiley.com/doi/10.1002/jwmg.21405" TargetMode="External"/><Relationship Id="rId2" Type="http://schemas.openxmlformats.org/officeDocument/2006/relationships/hyperlink" Target="https://media.fisheries.noaa.gov/2022-08/2021-PacBluewhale-Eastern%20North%20Pacific%20Stock.pdf" TargetMode="External"/><Relationship Id="rId3" Type="http://schemas.openxmlformats.org/officeDocument/2006/relationships/hyperlink" Target="https://www.fisheries.noaa.gov/s3/2023-08/Bowhead-Whale-WAS-2022.pdf" TargetMode="External"/><Relationship Id="rId4" Type="http://schemas.openxmlformats.org/officeDocument/2006/relationships/hyperlink" Target="https://media.fisheries.noaa.gov/2022-08/2021-PACfinwhale-CaliforniaOregonWashington%20Stock.pdf" TargetMode="External"/><Relationship Id="rId9" Type="http://schemas.openxmlformats.org/officeDocument/2006/relationships/hyperlink" Target="https://www.fisheries.noaa.gov/s3/2023-08/North-Atlantic-Right-Whale-Western-Atlantic-2022.pdf" TargetMode="External"/><Relationship Id="rId48" Type="http://schemas.openxmlformats.org/officeDocument/2006/relationships/hyperlink" Target="https://waves-vagues.dfo-mpo.gc.ca/library-bibliotheque/41194093.pdf" TargetMode="External"/><Relationship Id="rId47" Type="http://schemas.openxmlformats.org/officeDocument/2006/relationships/hyperlink" Target="https://waves-vagues.dfo-mpo.gc.ca/library-bibliotheque/4080382x.pdf" TargetMode="External"/><Relationship Id="rId49" Type="http://schemas.openxmlformats.org/officeDocument/2006/relationships/hyperlink" Target="https://waves-vagues.dfo-mpo.gc.ca/library-bibliotheque/41111151.pdf" TargetMode="External"/><Relationship Id="rId5" Type="http://schemas.openxmlformats.org/officeDocument/2006/relationships/hyperlink" Target="https://media.fisheries.noaa.gov/2021-08/FIN-WHALE-Balaenoptera-physalus-Northeast-Pacific-Stock.pdf" TargetMode="External"/><Relationship Id="rId6" Type="http://schemas.openxmlformats.org/officeDocument/2006/relationships/hyperlink" Target="https://www.fisheries.noaa.gov/s3/2021-08/2020-Pacific-SARS-Eastern-GrayWhale-dragged-.pdf" TargetMode="External"/><Relationship Id="rId7" Type="http://schemas.openxmlformats.org/officeDocument/2006/relationships/hyperlink" Target="https://media.fisheries.noaa.gov/2022-08/2021-HumpbackWhale-CaliforniaOregonWashington%20Stock.pdf" TargetMode="External"/><Relationship Id="rId8" Type="http://schemas.openxmlformats.org/officeDocument/2006/relationships/hyperlink" Target="https://s3.amazonaws.com/media.fisheries.noaa.gov/2020-10/2019%20humpback%20whale%20gulf%20of%20Maine%20508.pdf?null" TargetMode="External"/><Relationship Id="rId73" Type="http://schemas.openxmlformats.org/officeDocument/2006/relationships/hyperlink" Target="https://repository.library.noaa.gov/view/noaa/27826" TargetMode="External"/><Relationship Id="rId72" Type="http://schemas.openxmlformats.org/officeDocument/2006/relationships/hyperlink" Target="https://repository.library.noaa.gov/view/noaa/27104" TargetMode="External"/><Relationship Id="rId31" Type="http://schemas.openxmlformats.org/officeDocument/2006/relationships/hyperlink" Target="https://media.fisheries.noaa.gov/dam-migration/2019_sars_alaska_harbor_seal.pdf" TargetMode="External"/><Relationship Id="rId75" Type="http://schemas.openxmlformats.org/officeDocument/2006/relationships/hyperlink" Target="https://repository.library.noaa.gov/view/noaa/27826" TargetMode="External"/><Relationship Id="rId30" Type="http://schemas.openxmlformats.org/officeDocument/2006/relationships/hyperlink" Target="https://media.fisheries.noaa.gov/dam-migration/2019_sars_alaska_harbor_seal.pdf" TargetMode="External"/><Relationship Id="rId74" Type="http://schemas.openxmlformats.org/officeDocument/2006/relationships/hyperlink" Target="https://repository.library.noaa.gov/view/noaa/27826" TargetMode="External"/><Relationship Id="rId33" Type="http://schemas.openxmlformats.org/officeDocument/2006/relationships/hyperlink" Target="https://media.fisheries.noaa.gov/dam-migration/2019_sars_alaska_harbor_seal.pdf" TargetMode="External"/><Relationship Id="rId77" Type="http://schemas.openxmlformats.org/officeDocument/2006/relationships/hyperlink" Target="https://repository.library.noaa.gov/view/noaa/27826" TargetMode="External"/><Relationship Id="rId32" Type="http://schemas.openxmlformats.org/officeDocument/2006/relationships/hyperlink" Target="https://media.fisheries.noaa.gov/dam-migration/2019_sars_alaska_harbor_seal.pdf" TargetMode="External"/><Relationship Id="rId76" Type="http://schemas.openxmlformats.org/officeDocument/2006/relationships/hyperlink" Target="https://repository.library.noaa.gov/view/noaa/27104" TargetMode="External"/><Relationship Id="rId35" Type="http://schemas.openxmlformats.org/officeDocument/2006/relationships/hyperlink" Target="https://media.fisheries.noaa.gov/dam-migration/2019_sars_alaska_harbor_seal.pdf" TargetMode="External"/><Relationship Id="rId79" Type="http://schemas.openxmlformats.org/officeDocument/2006/relationships/hyperlink" Target="https://repository.library.noaa.gov/view/noaa/27826" TargetMode="External"/><Relationship Id="rId34" Type="http://schemas.openxmlformats.org/officeDocument/2006/relationships/hyperlink" Target="https://media.fisheries.noaa.gov/dam-migration/2019_sars_alaska_harbor_seal.pdf" TargetMode="External"/><Relationship Id="rId78" Type="http://schemas.openxmlformats.org/officeDocument/2006/relationships/hyperlink" Target="https://repository.library.noaa.gov/view/noaa/27826" TargetMode="External"/><Relationship Id="rId71" Type="http://schemas.openxmlformats.org/officeDocument/2006/relationships/hyperlink" Target="https://repository.library.noaa.gov/view/noaa/27826" TargetMode="External"/><Relationship Id="rId70" Type="http://schemas.openxmlformats.org/officeDocument/2006/relationships/hyperlink" Target="http://ctfs.si.edu/Public/pdfs/LowryConditEtAl_AqMamm2014.pdf" TargetMode="External"/><Relationship Id="rId37" Type="http://schemas.openxmlformats.org/officeDocument/2006/relationships/hyperlink" Target="https://media.fisheries.noaa.gov/2022-08/Harb%20Seal-W%20North%20Atl%20Stock_SAR%202021.pdf" TargetMode="External"/><Relationship Id="rId36" Type="http://schemas.openxmlformats.org/officeDocument/2006/relationships/hyperlink" Target="https://media.fisheries.noaa.gov/dam-migration/2019_sars_alaska_harbor_seal.pdf" TargetMode="External"/><Relationship Id="rId39" Type="http://schemas.openxmlformats.org/officeDocument/2006/relationships/hyperlink" Target="https://media.fisheries.noaa.gov/dam-migration/po2014sehr-ca_508.pdf" TargetMode="External"/><Relationship Id="rId38" Type="http://schemas.openxmlformats.org/officeDocument/2006/relationships/hyperlink" Target="https://media.fisheries.noaa.gov/dam-migration/po2013sehr-owco_508.pdf" TargetMode="External"/><Relationship Id="rId62" Type="http://schemas.openxmlformats.org/officeDocument/2006/relationships/hyperlink" Target="https://soe.dcceew.gov.au/marine/environment/marine-species" TargetMode="External"/><Relationship Id="rId61" Type="http://schemas.openxmlformats.org/officeDocument/2006/relationships/hyperlink" Target="https://www.int-res.com/articles/esr2020/41/n041p373.pdf" TargetMode="External"/><Relationship Id="rId20" Type="http://schemas.openxmlformats.org/officeDocument/2006/relationships/hyperlink" Target="https://media.fisheries.noaa.gov/2022-08/2021-HARBOR%20PORPOISE-Morro%20Bay%20Stock.pdf" TargetMode="External"/><Relationship Id="rId64" Type="http://schemas.openxmlformats.org/officeDocument/2006/relationships/hyperlink" Target="https://pir.sa.gov.au/__data/assets/pdf_file/0004/358285/Australian_sea_lion_investigations_2018-19.pdf" TargetMode="External"/><Relationship Id="rId63" Type="http://schemas.openxmlformats.org/officeDocument/2006/relationships/hyperlink" Target="https://nora.nerc.ac.uk/id/eprint/500569/1/m453p249.pdf" TargetMode="External"/><Relationship Id="rId22" Type="http://schemas.openxmlformats.org/officeDocument/2006/relationships/hyperlink" Target="https://media.fisheries.noaa.gov/2022-08/2021-HARBOR%20PORPOISE-San%20Francisco-Russian%20River%20Stock.pdf" TargetMode="External"/><Relationship Id="rId66" Type="http://schemas.openxmlformats.org/officeDocument/2006/relationships/hyperlink" Target="https://www.publish.csiro.au/wr/pdf/WR14031" TargetMode="External"/><Relationship Id="rId21" Type="http://schemas.openxmlformats.org/officeDocument/2006/relationships/hyperlink" Target="https://media.fisheries.noaa.gov/2022-08/2021-HARBOR%20PORPOISE-Monterey%20Bay%20Stock.pdf" TargetMode="External"/><Relationship Id="rId65" Type="http://schemas.openxmlformats.org/officeDocument/2006/relationships/hyperlink" Target="https://onlinelibrary.wiley.com/doi/10.1111/j.1748-7692.2009.00296.x" TargetMode="External"/><Relationship Id="rId24" Type="http://schemas.openxmlformats.org/officeDocument/2006/relationships/hyperlink" Target="https://media.fisheries.noaa.gov/dam-migration/pacific-2017-mes_beaked_whales-caorwa-508.pdf" TargetMode="External"/><Relationship Id="rId68" Type="http://schemas.openxmlformats.org/officeDocument/2006/relationships/hyperlink" Target="https://www.publish.csiro.au/wr/pdf/WR14033" TargetMode="External"/><Relationship Id="rId23" Type="http://schemas.openxmlformats.org/officeDocument/2006/relationships/hyperlink" Target="https://media.fisheries.noaa.gov/2022-08/2021-HARBOR%20PORPOISE%20-Northern%20CaliforniaSouthern%20Oregon%20Stock.pdf" TargetMode="External"/><Relationship Id="rId67" Type="http://schemas.openxmlformats.org/officeDocument/2006/relationships/hyperlink" Target="https://www.publish.csiro.au/wr/pdf/WR14032" TargetMode="External"/><Relationship Id="rId60" Type="http://schemas.openxmlformats.org/officeDocument/2006/relationships/hyperlink" Target="https://soe.dcceew.gov.au/marine/environment/marine-species" TargetMode="External"/><Relationship Id="rId26" Type="http://schemas.openxmlformats.org/officeDocument/2006/relationships/hyperlink" Target="https://media.fisheries.noaa.gov/dam-migration/2019_sars_alaska_harbor_seal.pdf" TargetMode="External"/><Relationship Id="rId25" Type="http://schemas.openxmlformats.org/officeDocument/2006/relationships/hyperlink" Target="https://www.fisheries.noaa.gov/s3/2023-08/Monk-Seal-2022.pdf" TargetMode="External"/><Relationship Id="rId69" Type="http://schemas.openxmlformats.org/officeDocument/2006/relationships/hyperlink" Target="https://www.dcceew.gov.au/sites/default/files/documents/australian-sea-lion-monitoring-framework-background-document-2018.pdf" TargetMode="External"/><Relationship Id="rId28" Type="http://schemas.openxmlformats.org/officeDocument/2006/relationships/hyperlink" Target="https://media.fisheries.noaa.gov/dam-migration/2019_sars_alaska_harbor_seal.pdf" TargetMode="External"/><Relationship Id="rId27" Type="http://schemas.openxmlformats.org/officeDocument/2006/relationships/hyperlink" Target="https://media.fisheries.noaa.gov/dam-migration/2019_sars_alaska_harbor_seal.pdf" TargetMode="External"/><Relationship Id="rId29" Type="http://schemas.openxmlformats.org/officeDocument/2006/relationships/hyperlink" Target="https://media.fisheries.noaa.gov/dam-migration/2019_sars_alaska_harbor_seal.pdf" TargetMode="External"/><Relationship Id="rId51" Type="http://schemas.openxmlformats.org/officeDocument/2006/relationships/hyperlink" Target="https://waves-vagues.dfo-mpo.gc.ca/library-bibliotheque/40617944.pdf" TargetMode="External"/><Relationship Id="rId50" Type="http://schemas.openxmlformats.org/officeDocument/2006/relationships/hyperlink" Target="https://wildlife-species.az.ec.gc.ca/species-risk-registry/virtual_sara/files//cosewic/Sas-NorthernFurSeal-v00-2022-eng.pdf" TargetMode="External"/><Relationship Id="rId53" Type="http://schemas.openxmlformats.org/officeDocument/2006/relationships/hyperlink" Target="https://wildlife-species.az.ec.gc.ca/species-risk-registry/virtual_sara/files//cosewic/srGreyWhale2017e.pdf" TargetMode="External"/><Relationship Id="rId52" Type="http://schemas.openxmlformats.org/officeDocument/2006/relationships/hyperlink" Target="https://waves-vagues.dfo-mpo.gc.ca/library-bibliotheque/40617944.pdf" TargetMode="External"/><Relationship Id="rId11" Type="http://schemas.openxmlformats.org/officeDocument/2006/relationships/hyperlink" Target="https://www.fisheries.noaa.gov/s3/2023-08/Cuviers-CAORWA-2022.pdf" TargetMode="External"/><Relationship Id="rId55" Type="http://schemas.openxmlformats.org/officeDocument/2006/relationships/hyperlink" Target="https://wildlife-species.az.ec.gc.ca/species-risk-registry/virtual_sara/files//cosewic/srGreyWhale2017e.pdf" TargetMode="External"/><Relationship Id="rId10" Type="http://schemas.openxmlformats.org/officeDocument/2006/relationships/hyperlink" Target="https://media.fisheries.noaa.gov/dam-migration/2019_sars_spermwhale_caorwa.pdf" TargetMode="External"/><Relationship Id="rId54" Type="http://schemas.openxmlformats.org/officeDocument/2006/relationships/hyperlink" Target="https://wildlife-species.az.ec.gc.ca/species-risk-registry/virtual_sara/files//cosewic/srGreyWhale2017e.pdf" TargetMode="External"/><Relationship Id="rId13" Type="http://schemas.openxmlformats.org/officeDocument/2006/relationships/hyperlink" Target="https://media.fisheries.noaa.gov/2022-08/2021-FALSE%20KILLER%20WHALE-Hawaiian%20Islands%20Stock%20Complex.pdf" TargetMode="External"/><Relationship Id="rId57" Type="http://schemas.openxmlformats.org/officeDocument/2006/relationships/hyperlink" Target="https://onlinelibrary.wiley.com/doi/10.1111/j.1748-7692.2004.tb01191.x" TargetMode="External"/><Relationship Id="rId12" Type="http://schemas.openxmlformats.org/officeDocument/2006/relationships/hyperlink" Target="https://www.fisheries.noaa.gov/s3/2023-05/2021BELUGA-WHALE-Delphinapterus-leucas-Cook-Inlet-Stock.pdf" TargetMode="External"/><Relationship Id="rId56" Type="http://schemas.openxmlformats.org/officeDocument/2006/relationships/hyperlink" Target="https://wildlife-species.az.ec.gc.ca/species-risk-registry/virtual_sara/files//cosewic/sr_killer_whale_0809_e.pdf" TargetMode="External"/><Relationship Id="rId15" Type="http://schemas.openxmlformats.org/officeDocument/2006/relationships/hyperlink" Target="https://media.fisheries.noaa.gov/2022-08/2021-NorthernElephant-California%20Breeding%20Stock.pdf" TargetMode="External"/><Relationship Id="rId59" Type="http://schemas.openxmlformats.org/officeDocument/2006/relationships/hyperlink" Target="https://esj-journals.onlinelibrary.wiley.com/doi/epdf/10.1002/1438-390X.1014" TargetMode="External"/><Relationship Id="rId14" Type="http://schemas.openxmlformats.org/officeDocument/2006/relationships/hyperlink" Target="https://www.fisheries.noaa.gov/s3/2023-08/Killer-Whale-Eastern-North-Pacific-2022.pdf" TargetMode="External"/><Relationship Id="rId58" Type="http://schemas.openxmlformats.org/officeDocument/2006/relationships/hyperlink" Target="https://wildlife-species.az.ec.gc.ca/species-risk-registry/virtual_sara/files//cosewic/sr_harbour_porpoise_e2.pdf" TargetMode="External"/><Relationship Id="rId17" Type="http://schemas.openxmlformats.org/officeDocument/2006/relationships/hyperlink" Target="https://media.fisheries.noaa.gov/dam-migration/ca_sea_lion_final_2018_sar.pdf" TargetMode="External"/><Relationship Id="rId16" Type="http://schemas.openxmlformats.org/officeDocument/2006/relationships/hyperlink" Target="https://www.fisheries.noaa.gov/s3/2022-08/2021-NORTHERN-FUR-SEAL-Callorhinus-ursinus-Eastern-Pacific-Stock.pdf" TargetMode="External"/><Relationship Id="rId19" Type="http://schemas.openxmlformats.org/officeDocument/2006/relationships/hyperlink" Target="https://www.fisheries.noaa.gov/s3/2023-06/STELLERSEALIONEumetopiasjubatusWesternU.S.Stock-.pdf" TargetMode="External"/><Relationship Id="rId18" Type="http://schemas.openxmlformats.org/officeDocument/2006/relationships/hyperlink" Target="https://media.fisheries.noaa.gov/dam-migration/2019_sars_alaska_steller_sea_lion_-_eastern_us.pdf"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media.fisheries.noaa.gov/dam-migration/2019_sars_alaska_harbor_seal.pdf" TargetMode="External"/><Relationship Id="rId391" Type="http://schemas.openxmlformats.org/officeDocument/2006/relationships/hyperlink" Target="https://media.fisheries.noaa.gov/dam-migration/2019_sars_alaska_harbor_seal.pdf" TargetMode="External"/><Relationship Id="rId390" Type="http://schemas.openxmlformats.org/officeDocument/2006/relationships/hyperlink" Target="https://media.fisheries.noaa.gov/dam-migration/2019_sars_alaska_harbor_seal.pdf"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media.fisheries.noaa.gov/2022-08/pacific-2021-beaked-whale-mesoplodont.pdf" TargetMode="External"/><Relationship Id="rId9" Type="http://schemas.openxmlformats.org/officeDocument/2006/relationships/hyperlink" Target="https://media.fisheries.noaa.gov/2022-08/pacific-2021-beaked-whale-mesoplodont.pdf" TargetMode="External"/><Relationship Id="rId385" Type="http://schemas.openxmlformats.org/officeDocument/2006/relationships/hyperlink" Target="https://media.fisheries.noaa.gov/2022-08/2021-HARBOR%20PORPOISE%20-Northern%20CaliforniaSouthern%20Oregon%20Stock.pdf" TargetMode="External"/><Relationship Id="rId384" Type="http://schemas.openxmlformats.org/officeDocument/2006/relationships/hyperlink" Target="https://media.fisheries.noaa.gov/2022-08/2021-HARBOR%20PORPOISE%20-Northern%20CaliforniaSouthern%20Oregon%20Stock.pdf" TargetMode="External"/><Relationship Id="rId383" Type="http://schemas.openxmlformats.org/officeDocument/2006/relationships/hyperlink" Target="https://media.fisheries.noaa.gov/2022-08/2021-HARBOR%20PORPOISE%20-Northern%20CaliforniaSouthern%20Oregon%20Stock.pdf" TargetMode="External"/><Relationship Id="rId382" Type="http://schemas.openxmlformats.org/officeDocument/2006/relationships/hyperlink" Target="https://media.fisheries.noaa.gov/2022-08/2021-HARBOR%20PORPOISE%20-Northern%20CaliforniaSouthern%20Oregon%20Stock.pdf" TargetMode="External"/><Relationship Id="rId5" Type="http://schemas.openxmlformats.org/officeDocument/2006/relationships/hyperlink" Target="https://media.fisheries.noaa.gov/2022-08/pacific-2021-beaked-whale-mesoplodont.pdf" TargetMode="External"/><Relationship Id="rId389" Type="http://schemas.openxmlformats.org/officeDocument/2006/relationships/hyperlink" Target="https://media.fisheries.noaa.gov/2022-08/2021-HARBOR%20PORPOISE%20-Northern%20CaliforniaSouthern%20Oregon%20Stock.pdf" TargetMode="External"/><Relationship Id="rId6" Type="http://schemas.openxmlformats.org/officeDocument/2006/relationships/hyperlink" Target="https://media.fisheries.noaa.gov/2022-08/pacific-2021-beaked-whale-mesoplodont.pdf" TargetMode="External"/><Relationship Id="rId388" Type="http://schemas.openxmlformats.org/officeDocument/2006/relationships/hyperlink" Target="https://media.fisheries.noaa.gov/2022-08/2021-HARBOR%20PORPOISE%20-Northern%20CaliforniaSouthern%20Oregon%20Stock.pdf" TargetMode="External"/><Relationship Id="rId7" Type="http://schemas.openxmlformats.org/officeDocument/2006/relationships/hyperlink" Target="https://media.fisheries.noaa.gov/2022-08/pacific-2021-beaked-whale-mesoplodont.pdf" TargetMode="External"/><Relationship Id="rId387" Type="http://schemas.openxmlformats.org/officeDocument/2006/relationships/hyperlink" Target="https://media.fisheries.noaa.gov/2022-08/2021-HARBOR%20PORPOISE%20-Northern%20CaliforniaSouthern%20Oregon%20Stock.pdf" TargetMode="External"/><Relationship Id="rId8" Type="http://schemas.openxmlformats.org/officeDocument/2006/relationships/hyperlink" Target="https://media.fisheries.noaa.gov/2022-08/pacific-2021-beaked-whale-mesoplodont.pdf" TargetMode="External"/><Relationship Id="rId386" Type="http://schemas.openxmlformats.org/officeDocument/2006/relationships/hyperlink" Target="https://media.fisheries.noaa.gov/2022-08/2021-HARBOR%20PORPOISE%20-Northern%20CaliforniaSouthern%20Oregon%20Stock.pdf" TargetMode="External"/><Relationship Id="rId381" Type="http://schemas.openxmlformats.org/officeDocument/2006/relationships/hyperlink" Target="https://media.fisheries.noaa.gov/2022-08/2021-HARBOR%20PORPOISE%20-Northern%20CaliforniaSouthern%20Oregon%20Stock.pdf" TargetMode="External"/><Relationship Id="rId380" Type="http://schemas.openxmlformats.org/officeDocument/2006/relationships/hyperlink" Target="https://media.fisheries.noaa.gov/2022-08/2021-HARBOR%20PORPOISE%20-Northern%20CaliforniaSouthern%20Oregon%20Stock.pdf" TargetMode="External"/><Relationship Id="rId379" Type="http://schemas.openxmlformats.org/officeDocument/2006/relationships/hyperlink" Target="https://media.fisheries.noaa.gov/2022-08/2021-HARBOR%20PORPOISE%20-Northern%20CaliforniaSouthern%20Oregon%20Stock.pdf" TargetMode="External"/><Relationship Id="rId374" Type="http://schemas.openxmlformats.org/officeDocument/2006/relationships/hyperlink" Target="https://media.fisheries.noaa.gov/2022-08/2021-HARBOR%20PORPOISE%20-Northern%20CaliforniaSouthern%20Oregon%20Stock.pdf" TargetMode="External"/><Relationship Id="rId373" Type="http://schemas.openxmlformats.org/officeDocument/2006/relationships/hyperlink" Target="https://media.fisheries.noaa.gov/2022-08/2021-HARBOR%20PORPOISE%20-Northern%20CaliforniaSouthern%20Oregon%20Stock.pdf" TargetMode="External"/><Relationship Id="rId372" Type="http://schemas.openxmlformats.org/officeDocument/2006/relationships/hyperlink" Target="https://media.fisheries.noaa.gov/2022-08/2021-HARBOR%20PORPOISE%20-Northern%20CaliforniaSouthern%20Oregon%20Stock.pdf" TargetMode="External"/><Relationship Id="rId371" Type="http://schemas.openxmlformats.org/officeDocument/2006/relationships/hyperlink" Target="https://media.fisheries.noaa.gov/2022-08/2021-HARBOR%20PORPOISE%20-Northern%20CaliforniaSouthern%20Oregon%20Stock.pdf" TargetMode="External"/><Relationship Id="rId378" Type="http://schemas.openxmlformats.org/officeDocument/2006/relationships/hyperlink" Target="https://media.fisheries.noaa.gov/2022-08/2021-HARBOR%20PORPOISE%20-Northern%20CaliforniaSouthern%20Oregon%20Stock.pdf" TargetMode="External"/><Relationship Id="rId377" Type="http://schemas.openxmlformats.org/officeDocument/2006/relationships/hyperlink" Target="https://media.fisheries.noaa.gov/2022-08/2021-HARBOR%20PORPOISE%20-Northern%20CaliforniaSouthern%20Oregon%20Stock.pdf" TargetMode="External"/><Relationship Id="rId376" Type="http://schemas.openxmlformats.org/officeDocument/2006/relationships/hyperlink" Target="https://media.fisheries.noaa.gov/2022-08/2021-HARBOR%20PORPOISE%20-Northern%20CaliforniaSouthern%20Oregon%20Stock.pdf" TargetMode="External"/><Relationship Id="rId375" Type="http://schemas.openxmlformats.org/officeDocument/2006/relationships/hyperlink" Target="https://media.fisheries.noaa.gov/2022-08/2021-HARBOR%20PORPOISE%20-Northern%20CaliforniaSouthern%20Oregon%20Stock.pdf" TargetMode="External"/><Relationship Id="rId396" Type="http://schemas.openxmlformats.org/officeDocument/2006/relationships/hyperlink" Target="https://media.fisheries.noaa.gov/dam-migration/2019_sars_alaska_harbor_seal.pdf" TargetMode="External"/><Relationship Id="rId395" Type="http://schemas.openxmlformats.org/officeDocument/2006/relationships/hyperlink" Target="https://media.fisheries.noaa.gov/dam-migration/2019_sars_alaska_harbor_seal.pdf" TargetMode="External"/><Relationship Id="rId394" Type="http://schemas.openxmlformats.org/officeDocument/2006/relationships/hyperlink" Target="https://media.fisheries.noaa.gov/dam-migration/2019_sars_alaska_harbor_seal.pdf" TargetMode="External"/><Relationship Id="rId393" Type="http://schemas.openxmlformats.org/officeDocument/2006/relationships/hyperlink" Target="https://media.fisheries.noaa.gov/dam-migration/2019_sars_alaska_harbor_seal.pdf" TargetMode="External"/><Relationship Id="rId399" Type="http://schemas.openxmlformats.org/officeDocument/2006/relationships/hyperlink" Target="https://media.fisheries.noaa.gov/dam-migration/2019_sars_alaska_harbor_seal.pdf" TargetMode="External"/><Relationship Id="rId398" Type="http://schemas.openxmlformats.org/officeDocument/2006/relationships/hyperlink" Target="https://media.fisheries.noaa.gov/dam-migration/2019_sars_alaska_harbor_seal.pdf" TargetMode="External"/><Relationship Id="rId397" Type="http://schemas.openxmlformats.org/officeDocument/2006/relationships/hyperlink" Target="https://media.fisheries.noaa.gov/dam-migration/2019_sars_alaska_harbor_seal.pdf" TargetMode="External"/><Relationship Id="rId1730" Type="http://schemas.openxmlformats.org/officeDocument/2006/relationships/hyperlink" Target="https://www.fisheries.noaa.gov/s3/2023-06/STELLERSEALIONEumetopiasjubatusWesternU.S.Stock-.pdf" TargetMode="External"/><Relationship Id="rId1731" Type="http://schemas.openxmlformats.org/officeDocument/2006/relationships/hyperlink" Target="https://www.fisheries.noaa.gov/s3/2023-06/STELLERSEALIONEumetopiasjubatusWesternU.S.Stock-.pdf" TargetMode="External"/><Relationship Id="rId1732" Type="http://schemas.openxmlformats.org/officeDocument/2006/relationships/hyperlink" Target="https://www.fisheries.noaa.gov/s3/2023-06/STELLERSEALIONEumetopiasjubatusWesternU.S.Stock-.pdf" TargetMode="External"/><Relationship Id="rId1733" Type="http://schemas.openxmlformats.org/officeDocument/2006/relationships/hyperlink" Target="https://www.fisheries.noaa.gov/s3/2023-06/STELLERSEALIONEumetopiasjubatusWesternU.S.Stock-.pdf" TargetMode="External"/><Relationship Id="rId1734" Type="http://schemas.openxmlformats.org/officeDocument/2006/relationships/hyperlink" Target="https://www.fisheries.noaa.gov/s3/2023-06/STELLERSEALIONEumetopiasjubatusWesternU.S.Stock-.pdf" TargetMode="External"/><Relationship Id="rId1735" Type="http://schemas.openxmlformats.org/officeDocument/2006/relationships/hyperlink" Target="https://www.fisheries.noaa.gov/s3/2023-06/STELLERSEALIONEumetopiasjubatusWesternU.S.Stock-.pdf" TargetMode="External"/><Relationship Id="rId1736" Type="http://schemas.openxmlformats.org/officeDocument/2006/relationships/hyperlink" Target="https://www.fisheries.noaa.gov/s3/2023-06/STELLERSEALIONEumetopiasjubatusWesternU.S.Stock-.pdf" TargetMode="External"/><Relationship Id="rId1737" Type="http://schemas.openxmlformats.org/officeDocument/2006/relationships/hyperlink" Target="https://www.fisheries.noaa.gov/s3/2023-06/STELLERSEALIONEumetopiasjubatusWesternU.S.Stock-.pdf" TargetMode="External"/><Relationship Id="rId1738" Type="http://schemas.openxmlformats.org/officeDocument/2006/relationships/hyperlink" Target="https://www.fisheries.noaa.gov/s3/2023-06/STELLERSEALIONEumetopiasjubatusWesternU.S.Stock-.pdf" TargetMode="External"/><Relationship Id="rId1739" Type="http://schemas.openxmlformats.org/officeDocument/2006/relationships/hyperlink" Target="https://www.fisheries.noaa.gov/s3/2023-06/STELLERSEALIONEumetopiasjubatusWesternU.S.Stock-.pdf" TargetMode="External"/><Relationship Id="rId1720" Type="http://schemas.openxmlformats.org/officeDocument/2006/relationships/hyperlink" Target="https://www.fisheries.noaa.gov/s3/2023-06/STELLERSEALIONEumetopiasjubatusWesternU.S.Stock-.pdf" TargetMode="External"/><Relationship Id="rId1721" Type="http://schemas.openxmlformats.org/officeDocument/2006/relationships/hyperlink" Target="https://www.fisheries.noaa.gov/s3/2023-06/STELLERSEALIONEumetopiasjubatusWesternU.S.Stock-.pdf" TargetMode="External"/><Relationship Id="rId1722" Type="http://schemas.openxmlformats.org/officeDocument/2006/relationships/hyperlink" Target="https://www.fisheries.noaa.gov/s3/2023-06/STELLERSEALIONEumetopiasjubatusWesternU.S.Stock-.pdf" TargetMode="External"/><Relationship Id="rId1723" Type="http://schemas.openxmlformats.org/officeDocument/2006/relationships/hyperlink" Target="https://www.fisheries.noaa.gov/s3/2023-06/STELLERSEALIONEumetopiasjubatusWesternU.S.Stock-.pdf" TargetMode="External"/><Relationship Id="rId1724" Type="http://schemas.openxmlformats.org/officeDocument/2006/relationships/hyperlink" Target="https://www.fisheries.noaa.gov/s3/2023-06/STELLERSEALIONEumetopiasjubatusWesternU.S.Stock-.pdf" TargetMode="External"/><Relationship Id="rId1725" Type="http://schemas.openxmlformats.org/officeDocument/2006/relationships/hyperlink" Target="https://www.fisheries.noaa.gov/s3/2023-06/STELLERSEALIONEumetopiasjubatusWesternU.S.Stock-.pdf" TargetMode="External"/><Relationship Id="rId1726" Type="http://schemas.openxmlformats.org/officeDocument/2006/relationships/hyperlink" Target="https://www.fisheries.noaa.gov/s3/2023-06/STELLERSEALIONEumetopiasjubatusWesternU.S.Stock-.pdf" TargetMode="External"/><Relationship Id="rId1727" Type="http://schemas.openxmlformats.org/officeDocument/2006/relationships/hyperlink" Target="https://www.fisheries.noaa.gov/s3/2023-06/STELLERSEALIONEumetopiasjubatusWesternU.S.Stock-.pdf" TargetMode="External"/><Relationship Id="rId1728" Type="http://schemas.openxmlformats.org/officeDocument/2006/relationships/hyperlink" Target="https://www.fisheries.noaa.gov/s3/2023-06/STELLERSEALIONEumetopiasjubatusWesternU.S.Stock-.pdf" TargetMode="External"/><Relationship Id="rId1729" Type="http://schemas.openxmlformats.org/officeDocument/2006/relationships/hyperlink" Target="https://www.fisheries.noaa.gov/s3/2023-06/STELLERSEALIONEumetopiasjubatusWesternU.S.Stock-.pdf" TargetMode="External"/><Relationship Id="rId1752" Type="http://schemas.openxmlformats.org/officeDocument/2006/relationships/hyperlink" Target="https://www.fisheries.noaa.gov/s3/2023-06/STELLERSEALIONEumetopiasjubatusWesternU.S.Stock-.pdf" TargetMode="External"/><Relationship Id="rId1753" Type="http://schemas.openxmlformats.org/officeDocument/2006/relationships/hyperlink" Target="https://www.fisheries.noaa.gov/s3/2023-06/STELLERSEALIONEumetopiasjubatusWesternU.S.Stock-.pdf" TargetMode="External"/><Relationship Id="rId1754" Type="http://schemas.openxmlformats.org/officeDocument/2006/relationships/hyperlink" Target="https://www.fisheries.noaa.gov/s3/2023-06/STELLERSEALIONEumetopiasjubatusWesternU.S.Stock-.pdf" TargetMode="External"/><Relationship Id="rId1755" Type="http://schemas.openxmlformats.org/officeDocument/2006/relationships/hyperlink" Target="https://www.fisheries.noaa.gov/s3/2023-06/STELLERSEALIONEumetopiasjubatusWesternU.S.Stock-.pdf" TargetMode="External"/><Relationship Id="rId1756" Type="http://schemas.openxmlformats.org/officeDocument/2006/relationships/hyperlink" Target="https://www.fisheries.noaa.gov/s3/2023-06/STELLERSEALIONEumetopiasjubatusWesternU.S.Stock-.pdf" TargetMode="External"/><Relationship Id="rId1757" Type="http://schemas.openxmlformats.org/officeDocument/2006/relationships/hyperlink" Target="https://www.fisheries.noaa.gov/s3/2023-06/STELLERSEALIONEumetopiasjubatusWesternU.S.Stock-.pdf" TargetMode="External"/><Relationship Id="rId1758" Type="http://schemas.openxmlformats.org/officeDocument/2006/relationships/hyperlink" Target="https://www.fisheries.noaa.gov/s3/2023-06/STELLERSEALIONEumetopiasjubatusWesternU.S.Stock-.pdf" TargetMode="External"/><Relationship Id="rId1759" Type="http://schemas.openxmlformats.org/officeDocument/2006/relationships/hyperlink" Target="https://www.fisheries.noaa.gov/s3/2023-06/STELLERSEALIONEumetopiasjubatusWesternU.S.Stock-.pdf" TargetMode="External"/><Relationship Id="rId808" Type="http://schemas.openxmlformats.org/officeDocument/2006/relationships/hyperlink" Target="https://s3.amazonaws.com/media.fisheries.noaa.gov/2020-10/2019%20humpback%20whale%20gulf%20of%20Maine%20508.pdf?null" TargetMode="External"/><Relationship Id="rId807" Type="http://schemas.openxmlformats.org/officeDocument/2006/relationships/hyperlink" Target="https://s3.amazonaws.com/media.fisheries.noaa.gov/2020-10/2019%20humpback%20whale%20gulf%20of%20Maine%20508.pdf?null" TargetMode="External"/><Relationship Id="rId806" Type="http://schemas.openxmlformats.org/officeDocument/2006/relationships/hyperlink" Target="https://s3.amazonaws.com/media.fisheries.noaa.gov/2020-10/2019%20humpback%20whale%20gulf%20of%20Maine%20508.pdf?null" TargetMode="External"/><Relationship Id="rId805" Type="http://schemas.openxmlformats.org/officeDocument/2006/relationships/hyperlink" Target="https://s3.amazonaws.com/media.fisheries.noaa.gov/2020-10/2019%20humpback%20whale%20gulf%20of%20Maine%20508.pdf?null" TargetMode="External"/><Relationship Id="rId809" Type="http://schemas.openxmlformats.org/officeDocument/2006/relationships/hyperlink" Target="https://s3.amazonaws.com/media.fisheries.noaa.gov/2020-10/2019%20humpback%20whale%20gulf%20of%20Maine%20508.pdf?null" TargetMode="External"/><Relationship Id="rId800" Type="http://schemas.openxmlformats.org/officeDocument/2006/relationships/hyperlink" Target="https://s3.amazonaws.com/media.fisheries.noaa.gov/2020-10/2019%20humpback%20whale%20gulf%20of%20Maine%20508.pdf?null" TargetMode="External"/><Relationship Id="rId804" Type="http://schemas.openxmlformats.org/officeDocument/2006/relationships/hyperlink" Target="https://s3.amazonaws.com/media.fisheries.noaa.gov/2020-10/2019%20humpback%20whale%20gulf%20of%20Maine%20508.pdf?null" TargetMode="External"/><Relationship Id="rId803" Type="http://schemas.openxmlformats.org/officeDocument/2006/relationships/hyperlink" Target="https://s3.amazonaws.com/media.fisheries.noaa.gov/2020-10/2019%20humpback%20whale%20gulf%20of%20Maine%20508.pdf?null" TargetMode="External"/><Relationship Id="rId802" Type="http://schemas.openxmlformats.org/officeDocument/2006/relationships/hyperlink" Target="https://s3.amazonaws.com/media.fisheries.noaa.gov/2020-10/2019%20humpback%20whale%20gulf%20of%20Maine%20508.pdf?null" TargetMode="External"/><Relationship Id="rId801" Type="http://schemas.openxmlformats.org/officeDocument/2006/relationships/hyperlink" Target="https://s3.amazonaws.com/media.fisheries.noaa.gov/2020-10/2019%20humpback%20whale%20gulf%20of%20Maine%20508.pdf?null" TargetMode="External"/><Relationship Id="rId1750" Type="http://schemas.openxmlformats.org/officeDocument/2006/relationships/hyperlink" Target="https://www.fisheries.noaa.gov/s3/2023-06/STELLERSEALIONEumetopiasjubatusWesternU.S.Stock-.pdf" TargetMode="External"/><Relationship Id="rId1751" Type="http://schemas.openxmlformats.org/officeDocument/2006/relationships/hyperlink" Target="https://www.fisheries.noaa.gov/s3/2023-06/STELLERSEALIONEumetopiasjubatusWesternU.S.Stock-.pdf" TargetMode="External"/><Relationship Id="rId1741" Type="http://schemas.openxmlformats.org/officeDocument/2006/relationships/hyperlink" Target="https://www.fisheries.noaa.gov/s3/2023-06/STELLERSEALIONEumetopiasjubatusWesternU.S.Stock-.pdf" TargetMode="External"/><Relationship Id="rId1742" Type="http://schemas.openxmlformats.org/officeDocument/2006/relationships/hyperlink" Target="https://www.fisheries.noaa.gov/s3/2023-06/STELLERSEALIONEumetopiasjubatusWesternU.S.Stock-.pdf" TargetMode="External"/><Relationship Id="rId1743" Type="http://schemas.openxmlformats.org/officeDocument/2006/relationships/hyperlink" Target="https://www.fisheries.noaa.gov/s3/2023-06/STELLERSEALIONEumetopiasjubatusWesternU.S.Stock-.pdf" TargetMode="External"/><Relationship Id="rId1744" Type="http://schemas.openxmlformats.org/officeDocument/2006/relationships/hyperlink" Target="https://www.fisheries.noaa.gov/s3/2023-06/STELLERSEALIONEumetopiasjubatusWesternU.S.Stock-.pdf" TargetMode="External"/><Relationship Id="rId1745" Type="http://schemas.openxmlformats.org/officeDocument/2006/relationships/hyperlink" Target="https://www.fisheries.noaa.gov/s3/2023-06/STELLERSEALIONEumetopiasjubatusWesternU.S.Stock-.pdf" TargetMode="External"/><Relationship Id="rId1746" Type="http://schemas.openxmlformats.org/officeDocument/2006/relationships/hyperlink" Target="https://www.fisheries.noaa.gov/s3/2023-06/STELLERSEALIONEumetopiasjubatusWesternU.S.Stock-.pdf" TargetMode="External"/><Relationship Id="rId1747" Type="http://schemas.openxmlformats.org/officeDocument/2006/relationships/hyperlink" Target="https://www.fisheries.noaa.gov/s3/2023-06/STELLERSEALIONEumetopiasjubatusWesternU.S.Stock-.pdf" TargetMode="External"/><Relationship Id="rId1748" Type="http://schemas.openxmlformats.org/officeDocument/2006/relationships/hyperlink" Target="https://www.fisheries.noaa.gov/s3/2023-06/STELLERSEALIONEumetopiasjubatusWesternU.S.Stock-.pdf" TargetMode="External"/><Relationship Id="rId1749" Type="http://schemas.openxmlformats.org/officeDocument/2006/relationships/hyperlink" Target="https://www.fisheries.noaa.gov/s3/2023-06/STELLERSEALIONEumetopiasjubatusWesternU.S.Stock-.pdf" TargetMode="External"/><Relationship Id="rId1740" Type="http://schemas.openxmlformats.org/officeDocument/2006/relationships/hyperlink" Target="https://www.fisheries.noaa.gov/s3/2023-06/STELLERSEALIONEumetopiasjubatusWesternU.S.Stock-.pdf" TargetMode="External"/><Relationship Id="rId1710" Type="http://schemas.openxmlformats.org/officeDocument/2006/relationships/hyperlink" Target="https://www.fisheries.noaa.gov/s3/2023-06/STELLERSEALIONEumetopiasjubatusWesternU.S.Stock-.pdf" TargetMode="External"/><Relationship Id="rId1711" Type="http://schemas.openxmlformats.org/officeDocument/2006/relationships/hyperlink" Target="https://www.fisheries.noaa.gov/s3/2023-06/STELLERSEALIONEumetopiasjubatusWesternU.S.Stock-.pdf" TargetMode="External"/><Relationship Id="rId1712" Type="http://schemas.openxmlformats.org/officeDocument/2006/relationships/hyperlink" Target="https://www.fisheries.noaa.gov/s3/2023-06/STELLERSEALIONEumetopiasjubatusWesternU.S.Stock-.pdf" TargetMode="External"/><Relationship Id="rId1713" Type="http://schemas.openxmlformats.org/officeDocument/2006/relationships/hyperlink" Target="https://www.fisheries.noaa.gov/s3/2023-06/STELLERSEALIONEumetopiasjubatusWesternU.S.Stock-.pdf" TargetMode="External"/><Relationship Id="rId1714" Type="http://schemas.openxmlformats.org/officeDocument/2006/relationships/hyperlink" Target="https://www.fisheries.noaa.gov/s3/2023-06/STELLERSEALIONEumetopiasjubatusWesternU.S.Stock-.pdf" TargetMode="External"/><Relationship Id="rId1715" Type="http://schemas.openxmlformats.org/officeDocument/2006/relationships/hyperlink" Target="https://www.fisheries.noaa.gov/s3/2023-06/STELLERSEALIONEumetopiasjubatusWesternU.S.Stock-.pdf" TargetMode="External"/><Relationship Id="rId1716" Type="http://schemas.openxmlformats.org/officeDocument/2006/relationships/hyperlink" Target="https://www.fisheries.noaa.gov/s3/2023-06/STELLERSEALIONEumetopiasjubatusWesternU.S.Stock-.pdf" TargetMode="External"/><Relationship Id="rId1717" Type="http://schemas.openxmlformats.org/officeDocument/2006/relationships/hyperlink" Target="https://www.fisheries.noaa.gov/s3/2023-06/STELLERSEALIONEumetopiasjubatusWesternU.S.Stock-.pdf" TargetMode="External"/><Relationship Id="rId1718" Type="http://schemas.openxmlformats.org/officeDocument/2006/relationships/hyperlink" Target="https://www.fisheries.noaa.gov/s3/2023-06/STELLERSEALIONEumetopiasjubatusWesternU.S.Stock-.pdf" TargetMode="External"/><Relationship Id="rId1719" Type="http://schemas.openxmlformats.org/officeDocument/2006/relationships/hyperlink" Target="https://www.fisheries.noaa.gov/s3/2023-06/STELLERSEALIONEumetopiasjubatusWesternU.S.Stock-.pdf" TargetMode="External"/><Relationship Id="rId1700" Type="http://schemas.openxmlformats.org/officeDocument/2006/relationships/hyperlink" Target="https://www.fisheries.noaa.gov/s3/2023-06/STELLERSEALIONEumetopiasjubatusWesternU.S.Stock-.pdf" TargetMode="External"/><Relationship Id="rId1701" Type="http://schemas.openxmlformats.org/officeDocument/2006/relationships/hyperlink" Target="https://www.fisheries.noaa.gov/s3/2023-06/STELLERSEALIONEumetopiasjubatusWesternU.S.Stock-.pdf" TargetMode="External"/><Relationship Id="rId1702" Type="http://schemas.openxmlformats.org/officeDocument/2006/relationships/hyperlink" Target="https://www.fisheries.noaa.gov/s3/2023-06/STELLERSEALIONEumetopiasjubatusWesternU.S.Stock-.pdf" TargetMode="External"/><Relationship Id="rId1703" Type="http://schemas.openxmlformats.org/officeDocument/2006/relationships/hyperlink" Target="https://www.fisheries.noaa.gov/s3/2023-06/STELLERSEALIONEumetopiasjubatusWesternU.S.Stock-.pdf" TargetMode="External"/><Relationship Id="rId1704" Type="http://schemas.openxmlformats.org/officeDocument/2006/relationships/hyperlink" Target="https://www.fisheries.noaa.gov/s3/2023-06/STELLERSEALIONEumetopiasjubatusWesternU.S.Stock-.pdf" TargetMode="External"/><Relationship Id="rId1705" Type="http://schemas.openxmlformats.org/officeDocument/2006/relationships/hyperlink" Target="https://www.fisheries.noaa.gov/s3/2023-06/STELLERSEALIONEumetopiasjubatusWesternU.S.Stock-.pdf" TargetMode="External"/><Relationship Id="rId1706" Type="http://schemas.openxmlformats.org/officeDocument/2006/relationships/hyperlink" Target="https://www.fisheries.noaa.gov/s3/2023-06/STELLERSEALIONEumetopiasjubatusWesternU.S.Stock-.pdf" TargetMode="External"/><Relationship Id="rId1707" Type="http://schemas.openxmlformats.org/officeDocument/2006/relationships/hyperlink" Target="https://www.fisheries.noaa.gov/s3/2023-06/STELLERSEALIONEumetopiasjubatusWesternU.S.Stock-.pdf" TargetMode="External"/><Relationship Id="rId1708" Type="http://schemas.openxmlformats.org/officeDocument/2006/relationships/hyperlink" Target="https://www.fisheries.noaa.gov/s3/2023-06/STELLERSEALIONEumetopiasjubatusWesternU.S.Stock-.pdf" TargetMode="External"/><Relationship Id="rId1709" Type="http://schemas.openxmlformats.org/officeDocument/2006/relationships/hyperlink" Target="https://www.fisheries.noaa.gov/s3/2023-06/STELLERSEALIONEumetopiasjubatusWesternU.S.Stock-.pdf" TargetMode="External"/><Relationship Id="rId40" Type="http://schemas.openxmlformats.org/officeDocument/2006/relationships/hyperlink" Target="https://www.fisheries.noaa.gov/s3/2023-05/2021BELUGA-WHALE-Delphinapterus-leucas-Cook-Inlet-Stock.pdf" TargetMode="External"/><Relationship Id="rId1334" Type="http://schemas.openxmlformats.org/officeDocument/2006/relationships/hyperlink" Target="https://www.fws.gov/sites/default/files/documents/southern-sea-otter-stock-assessment-report.pdf" TargetMode="External"/><Relationship Id="rId1335" Type="http://schemas.openxmlformats.org/officeDocument/2006/relationships/hyperlink" Target="https://www.fws.gov/sites/default/files/documents/southern-sea-otter-stock-assessment-report.pdf" TargetMode="External"/><Relationship Id="rId42" Type="http://schemas.openxmlformats.org/officeDocument/2006/relationships/hyperlink" Target="https://www.fisheries.noaa.gov/s3/2023-05/2021BELUGA-WHALE-Delphinapterus-leucas-Cook-Inlet-Stock.pdf" TargetMode="External"/><Relationship Id="rId1336" Type="http://schemas.openxmlformats.org/officeDocument/2006/relationships/hyperlink" Target="https://www.fws.gov/sites/default/files/documents/southern-sea-otter-stock-assessment-report.pdf" TargetMode="External"/><Relationship Id="rId41" Type="http://schemas.openxmlformats.org/officeDocument/2006/relationships/hyperlink" Target="https://www.fisheries.noaa.gov/s3/2023-05/2021BELUGA-WHALE-Delphinapterus-leucas-Cook-Inlet-Stock.pdf" TargetMode="External"/><Relationship Id="rId1337" Type="http://schemas.openxmlformats.org/officeDocument/2006/relationships/hyperlink" Target="https://www.fws.gov/sites/default/files/documents/southern-sea-otter-stock-assessment-report.pdf" TargetMode="External"/><Relationship Id="rId44" Type="http://schemas.openxmlformats.org/officeDocument/2006/relationships/hyperlink" Target="https://www.fisheries.noaa.gov/s3/2023-05/2021BELUGA-WHALE-Delphinapterus-leucas-Cook-Inlet-Stock.pdf" TargetMode="External"/><Relationship Id="rId1338" Type="http://schemas.openxmlformats.org/officeDocument/2006/relationships/hyperlink" Target="https://www.fws.gov/sites/default/files/documents/southern-sea-otter-stock-assessment-report.pdf" TargetMode="External"/><Relationship Id="rId43" Type="http://schemas.openxmlformats.org/officeDocument/2006/relationships/hyperlink" Target="https://www.fisheries.noaa.gov/s3/2023-05/2021BELUGA-WHALE-Delphinapterus-leucas-Cook-Inlet-Stock.pdf" TargetMode="External"/><Relationship Id="rId1339" Type="http://schemas.openxmlformats.org/officeDocument/2006/relationships/hyperlink" Target="https://www.fws.gov/sites/default/files/documents/southern-sea-otter-stock-assessment-report.pdf" TargetMode="External"/><Relationship Id="rId46" Type="http://schemas.openxmlformats.org/officeDocument/2006/relationships/hyperlink" Target="https://www.fisheries.noaa.gov/s3/2023-05/2021BELUGA-WHALE-Delphinapterus-leucas-Cook-Inlet-Stock.pdf" TargetMode="External"/><Relationship Id="rId45" Type="http://schemas.openxmlformats.org/officeDocument/2006/relationships/hyperlink" Target="https://www.fisheries.noaa.gov/s3/2023-05/2021BELUGA-WHALE-Delphinapterus-leucas-Cook-Inlet-Stock.pdf" TargetMode="External"/><Relationship Id="rId745" Type="http://schemas.openxmlformats.org/officeDocument/2006/relationships/hyperlink" Target="https://www.fisheries.noaa.gov/s3/2023-08/Monk-Seal-2022.pdf" TargetMode="External"/><Relationship Id="rId744" Type="http://schemas.openxmlformats.org/officeDocument/2006/relationships/hyperlink" Target="https://www.fisheries.noaa.gov/s3/2023-08/Monk-Seal-2022.pdf" TargetMode="External"/><Relationship Id="rId743" Type="http://schemas.openxmlformats.org/officeDocument/2006/relationships/hyperlink" Target="https://www.fisheries.noaa.gov/s3/2023-08/Monk-Seal-2022.pdf" TargetMode="External"/><Relationship Id="rId742" Type="http://schemas.openxmlformats.org/officeDocument/2006/relationships/hyperlink" Target="https://www.fisheries.noaa.gov/s3/2023-08/Monk-Seal-2022.pdf" TargetMode="External"/><Relationship Id="rId749" Type="http://schemas.openxmlformats.org/officeDocument/2006/relationships/hyperlink" Target="https://media.fisheries.noaa.gov/2022-08/2021-HumpbackWhale-CaliforniaOregonWashington%20Stock.pdf" TargetMode="External"/><Relationship Id="rId748" Type="http://schemas.openxmlformats.org/officeDocument/2006/relationships/hyperlink" Target="https://media.fisheries.noaa.gov/2022-08/2021-HumpbackWhale-CaliforniaOregonWashington%20Stock.pdf" TargetMode="External"/><Relationship Id="rId747" Type="http://schemas.openxmlformats.org/officeDocument/2006/relationships/hyperlink" Target="https://media.fisheries.noaa.gov/2022-08/2021-HumpbackWhale-CaliforniaOregonWashington%20Stock.pdf" TargetMode="External"/><Relationship Id="rId746" Type="http://schemas.openxmlformats.org/officeDocument/2006/relationships/hyperlink" Target="https://media.fisheries.noaa.gov/2022-08/2021-HumpbackWhale-CaliforniaOregonWashington%20Stock.pdf" TargetMode="External"/><Relationship Id="rId48" Type="http://schemas.openxmlformats.org/officeDocument/2006/relationships/hyperlink" Target="https://www.fisheries.noaa.gov/s3/2023-05/2021BELUGA-WHALE-Delphinapterus-leucas-Cook-Inlet-Stock.pdf" TargetMode="External"/><Relationship Id="rId47" Type="http://schemas.openxmlformats.org/officeDocument/2006/relationships/hyperlink" Target="https://www.fisheries.noaa.gov/s3/2023-05/2021BELUGA-WHALE-Delphinapterus-leucas-Cook-Inlet-Stock.pdf" TargetMode="External"/><Relationship Id="rId49" Type="http://schemas.openxmlformats.org/officeDocument/2006/relationships/hyperlink" Target="https://www.fisheries.noaa.gov/s3/2023-05/2021BELUGA-WHALE-Delphinapterus-leucas-Cook-Inlet-Stock.pdf" TargetMode="External"/><Relationship Id="rId741" Type="http://schemas.openxmlformats.org/officeDocument/2006/relationships/hyperlink" Target="https://www.fisheries.noaa.gov/s3/2023-08/Monk-Seal-2022.pdf" TargetMode="External"/><Relationship Id="rId1330" Type="http://schemas.openxmlformats.org/officeDocument/2006/relationships/hyperlink" Target="https://www.fws.gov/sites/default/files/documents/southern-sea-otter-stock-assessment-report.pdf" TargetMode="External"/><Relationship Id="rId740" Type="http://schemas.openxmlformats.org/officeDocument/2006/relationships/hyperlink" Target="https://www.fisheries.noaa.gov/s3/2023-08/Monk-Seal-2022.pdf" TargetMode="External"/><Relationship Id="rId1331" Type="http://schemas.openxmlformats.org/officeDocument/2006/relationships/hyperlink" Target="https://www.fws.gov/sites/default/files/documents/southern-sea-otter-stock-assessment-report.pdf" TargetMode="External"/><Relationship Id="rId1332" Type="http://schemas.openxmlformats.org/officeDocument/2006/relationships/hyperlink" Target="https://www.fws.gov/sites/default/files/documents/southern-sea-otter-stock-assessment-report.pdf" TargetMode="External"/><Relationship Id="rId1333" Type="http://schemas.openxmlformats.org/officeDocument/2006/relationships/hyperlink" Target="https://www.fws.gov/sites/default/files/documents/southern-sea-otter-stock-assessment-report.pdf" TargetMode="External"/><Relationship Id="rId1323" Type="http://schemas.openxmlformats.org/officeDocument/2006/relationships/hyperlink" Target="https://www.fws.gov/sites/default/files/documents/southern-sea-otter-stock-assessment-report.pdf" TargetMode="External"/><Relationship Id="rId1324" Type="http://schemas.openxmlformats.org/officeDocument/2006/relationships/hyperlink" Target="https://www.fws.gov/sites/default/files/documents/southern-sea-otter-stock-assessment-report.pdf" TargetMode="External"/><Relationship Id="rId31" Type="http://schemas.openxmlformats.org/officeDocument/2006/relationships/hyperlink" Target="https://www.fisheries.noaa.gov/s3/2023-05/2021BELUGA-WHALE-Delphinapterus-leucas-Cook-Inlet-Stock.pdf" TargetMode="External"/><Relationship Id="rId1325" Type="http://schemas.openxmlformats.org/officeDocument/2006/relationships/hyperlink" Target="https://www.fws.gov/sites/default/files/documents/southern-sea-otter-stock-assessment-report.pdf" TargetMode="External"/><Relationship Id="rId30" Type="http://schemas.openxmlformats.org/officeDocument/2006/relationships/hyperlink" Target="https://www.fisheries.noaa.gov/s3/2023-05/2021BELUGA-WHALE-Delphinapterus-leucas-Cook-Inlet-Stock.pdf" TargetMode="External"/><Relationship Id="rId1326" Type="http://schemas.openxmlformats.org/officeDocument/2006/relationships/hyperlink" Target="https://www.fws.gov/sites/default/files/documents/southern-sea-otter-stock-assessment-report.pdf" TargetMode="External"/><Relationship Id="rId33" Type="http://schemas.openxmlformats.org/officeDocument/2006/relationships/hyperlink" Target="https://www.fisheries.noaa.gov/s3/2023-05/2021BELUGA-WHALE-Delphinapterus-leucas-Cook-Inlet-Stock.pdf" TargetMode="External"/><Relationship Id="rId1327" Type="http://schemas.openxmlformats.org/officeDocument/2006/relationships/hyperlink" Target="https://www.fws.gov/sites/default/files/documents/southern-sea-otter-stock-assessment-report.pdf" TargetMode="External"/><Relationship Id="rId32" Type="http://schemas.openxmlformats.org/officeDocument/2006/relationships/hyperlink" Target="https://www.fisheries.noaa.gov/s3/2023-05/2021BELUGA-WHALE-Delphinapterus-leucas-Cook-Inlet-Stock.pdf" TargetMode="External"/><Relationship Id="rId1328" Type="http://schemas.openxmlformats.org/officeDocument/2006/relationships/hyperlink" Target="https://www.fws.gov/sites/default/files/documents/southern-sea-otter-stock-assessment-report.pdf" TargetMode="External"/><Relationship Id="rId35" Type="http://schemas.openxmlformats.org/officeDocument/2006/relationships/hyperlink" Target="https://www.fisheries.noaa.gov/s3/2023-05/2021BELUGA-WHALE-Delphinapterus-leucas-Cook-Inlet-Stock.pdf" TargetMode="External"/><Relationship Id="rId1329" Type="http://schemas.openxmlformats.org/officeDocument/2006/relationships/hyperlink" Target="https://www.fws.gov/sites/default/files/documents/southern-sea-otter-stock-assessment-report.pdf" TargetMode="External"/><Relationship Id="rId34" Type="http://schemas.openxmlformats.org/officeDocument/2006/relationships/hyperlink" Target="https://www.fisheries.noaa.gov/s3/2023-05/2021BELUGA-WHALE-Delphinapterus-leucas-Cook-Inlet-Stock.pdf" TargetMode="External"/><Relationship Id="rId739" Type="http://schemas.openxmlformats.org/officeDocument/2006/relationships/hyperlink" Target="https://www.fisheries.noaa.gov/s3/2023-08/Monk-Seal-2022.pdf" TargetMode="External"/><Relationship Id="rId734" Type="http://schemas.openxmlformats.org/officeDocument/2006/relationships/hyperlink" Target="https://media.fisheries.noaa.gov/dam-migration/po2013sehr-owco_508.pdf" TargetMode="External"/><Relationship Id="rId733" Type="http://schemas.openxmlformats.org/officeDocument/2006/relationships/hyperlink" Target="https://media.fisheries.noaa.gov/dam-migration/po2013sehr-owco_508.pdf" TargetMode="External"/><Relationship Id="rId732" Type="http://schemas.openxmlformats.org/officeDocument/2006/relationships/hyperlink" Target="https://media.fisheries.noaa.gov/dam-migration/po2013sehr-owco_508.pdf" TargetMode="External"/><Relationship Id="rId731" Type="http://schemas.openxmlformats.org/officeDocument/2006/relationships/hyperlink" Target="https://media.fisheries.noaa.gov/dam-migration/po2013sehr-owco_508.pdf" TargetMode="External"/><Relationship Id="rId738" Type="http://schemas.openxmlformats.org/officeDocument/2006/relationships/hyperlink" Target="https://www.fisheries.noaa.gov/s3/2023-08/Monk-Seal-2022.pdf" TargetMode="External"/><Relationship Id="rId737" Type="http://schemas.openxmlformats.org/officeDocument/2006/relationships/hyperlink" Target="https://media.fisheries.noaa.gov/dam-migration/po2013sehr-owco_508.pdf" TargetMode="External"/><Relationship Id="rId736" Type="http://schemas.openxmlformats.org/officeDocument/2006/relationships/hyperlink" Target="https://media.fisheries.noaa.gov/dam-migration/po2013sehr-owco_508.pdf" TargetMode="External"/><Relationship Id="rId735" Type="http://schemas.openxmlformats.org/officeDocument/2006/relationships/hyperlink" Target="https://media.fisheries.noaa.gov/dam-migration/po2013sehr-owco_508.pdf" TargetMode="External"/><Relationship Id="rId37" Type="http://schemas.openxmlformats.org/officeDocument/2006/relationships/hyperlink" Target="https://www.fisheries.noaa.gov/s3/2023-05/2021BELUGA-WHALE-Delphinapterus-leucas-Cook-Inlet-Stock.pdf" TargetMode="External"/><Relationship Id="rId36" Type="http://schemas.openxmlformats.org/officeDocument/2006/relationships/hyperlink" Target="https://www.fisheries.noaa.gov/s3/2023-05/2021BELUGA-WHALE-Delphinapterus-leucas-Cook-Inlet-Stock.pdf" TargetMode="External"/><Relationship Id="rId39" Type="http://schemas.openxmlformats.org/officeDocument/2006/relationships/hyperlink" Target="https://www.fisheries.noaa.gov/s3/2023-05/2021BELUGA-WHALE-Delphinapterus-leucas-Cook-Inlet-Stock.pdf" TargetMode="External"/><Relationship Id="rId38" Type="http://schemas.openxmlformats.org/officeDocument/2006/relationships/hyperlink" Target="https://www.fisheries.noaa.gov/s3/2023-05/2021BELUGA-WHALE-Delphinapterus-leucas-Cook-Inlet-Stock.pdf" TargetMode="External"/><Relationship Id="rId730" Type="http://schemas.openxmlformats.org/officeDocument/2006/relationships/hyperlink" Target="https://media.fisheries.noaa.gov/dam-migration/po2013sehr-owco_508.pdf" TargetMode="External"/><Relationship Id="rId1320" Type="http://schemas.openxmlformats.org/officeDocument/2006/relationships/hyperlink" Target="https://www.fws.gov/sites/default/files/documents/southern-sea-otter-stock-assessment-report.pdf" TargetMode="External"/><Relationship Id="rId1321" Type="http://schemas.openxmlformats.org/officeDocument/2006/relationships/hyperlink" Target="https://www.fws.gov/sites/default/files/documents/southern-sea-otter-stock-assessment-report.pdf" TargetMode="External"/><Relationship Id="rId1322" Type="http://schemas.openxmlformats.org/officeDocument/2006/relationships/hyperlink" Target="https://www.fws.gov/sites/default/files/documents/southern-sea-otter-stock-assessment-report.pdf" TargetMode="External"/><Relationship Id="rId1356" Type="http://schemas.openxmlformats.org/officeDocument/2006/relationships/hyperlink" Target="https://media.fisheries.noaa.gov/dam-migration/2019_sars_alaska_steller_sea_lion_-_eastern_us.pdf" TargetMode="External"/><Relationship Id="rId1357" Type="http://schemas.openxmlformats.org/officeDocument/2006/relationships/hyperlink" Target="https://media.fisheries.noaa.gov/dam-migration/2019_sars_alaska_steller_sea_lion_-_eastern_us.pdf" TargetMode="External"/><Relationship Id="rId20" Type="http://schemas.openxmlformats.org/officeDocument/2006/relationships/hyperlink" Target="https://media.fisheries.noaa.gov/2022-08/pacific-2021-beaked-whale-mesoplodont.pdf" TargetMode="External"/><Relationship Id="rId1358" Type="http://schemas.openxmlformats.org/officeDocument/2006/relationships/hyperlink" Target="https://media.fisheries.noaa.gov/dam-migration/2019_sars_alaska_steller_sea_lion_-_eastern_us.pdf" TargetMode="External"/><Relationship Id="rId1359" Type="http://schemas.openxmlformats.org/officeDocument/2006/relationships/hyperlink" Target="https://media.fisheries.noaa.gov/dam-migration/2019_sars_alaska_steller_sea_lion_-_eastern_us.pdf" TargetMode="External"/><Relationship Id="rId22" Type="http://schemas.openxmlformats.org/officeDocument/2006/relationships/hyperlink" Target="https://media.fisheries.noaa.gov/2022-08/pacific-2021-beaked-whale-mesoplodont.pdf" TargetMode="External"/><Relationship Id="rId21" Type="http://schemas.openxmlformats.org/officeDocument/2006/relationships/hyperlink" Target="https://media.fisheries.noaa.gov/2022-08/pacific-2021-beaked-whale-mesoplodont.pdf" TargetMode="External"/><Relationship Id="rId24" Type="http://schemas.openxmlformats.org/officeDocument/2006/relationships/hyperlink" Target="https://media.fisheries.noaa.gov/2022-08/pacific-2021-beaked-whale-mesoplodont.pdf" TargetMode="External"/><Relationship Id="rId23" Type="http://schemas.openxmlformats.org/officeDocument/2006/relationships/hyperlink" Target="https://media.fisheries.noaa.gov/2022-08/pacific-2021-beaked-whale-mesoplodont.pdf" TargetMode="External"/><Relationship Id="rId767" Type="http://schemas.openxmlformats.org/officeDocument/2006/relationships/hyperlink" Target="https://media.fisheries.noaa.gov/2022-08/2021-HumpbackWhale-CaliforniaOregonWashington%20Stock.pdf" TargetMode="External"/><Relationship Id="rId766" Type="http://schemas.openxmlformats.org/officeDocument/2006/relationships/hyperlink" Target="https://media.fisheries.noaa.gov/2022-08/2021-HumpbackWhale-CaliforniaOregonWashington%20Stock.pdf" TargetMode="External"/><Relationship Id="rId765" Type="http://schemas.openxmlformats.org/officeDocument/2006/relationships/hyperlink" Target="https://media.fisheries.noaa.gov/2022-08/2021-HumpbackWhale-CaliforniaOregonWashington%20Stock.pdf" TargetMode="External"/><Relationship Id="rId764" Type="http://schemas.openxmlformats.org/officeDocument/2006/relationships/hyperlink" Target="https://media.fisheries.noaa.gov/2022-08/2021-HumpbackWhale-CaliforniaOregonWashington%20Stock.pdf" TargetMode="External"/><Relationship Id="rId769" Type="http://schemas.openxmlformats.org/officeDocument/2006/relationships/hyperlink" Target="https://media.fisheries.noaa.gov/2022-08/2021-HumpbackWhale-CaliforniaOregonWashington%20Stock.pdf" TargetMode="External"/><Relationship Id="rId768" Type="http://schemas.openxmlformats.org/officeDocument/2006/relationships/hyperlink" Target="https://media.fisheries.noaa.gov/2022-08/2021-HumpbackWhale-CaliforniaOregonWashington%20Stock.pdf" TargetMode="External"/><Relationship Id="rId26" Type="http://schemas.openxmlformats.org/officeDocument/2006/relationships/hyperlink" Target="https://media.fisheries.noaa.gov/2022-08/pacific-2021-beaked-whale-mesoplodont.pdf" TargetMode="External"/><Relationship Id="rId25" Type="http://schemas.openxmlformats.org/officeDocument/2006/relationships/hyperlink" Target="https://media.fisheries.noaa.gov/2022-08/pacific-2021-beaked-whale-mesoplodont.pdf" TargetMode="External"/><Relationship Id="rId28" Type="http://schemas.openxmlformats.org/officeDocument/2006/relationships/hyperlink" Target="https://media.fisheries.noaa.gov/2022-08/pacific-2021-beaked-whale-mesoplodont.pdf" TargetMode="External"/><Relationship Id="rId1350" Type="http://schemas.openxmlformats.org/officeDocument/2006/relationships/hyperlink" Target="https://media.fisheries.noaa.gov/dam-migration/2019_sars_spermwhale_caorwa.pdf" TargetMode="External"/><Relationship Id="rId27" Type="http://schemas.openxmlformats.org/officeDocument/2006/relationships/hyperlink" Target="https://media.fisheries.noaa.gov/2022-08/pacific-2021-beaked-whale-mesoplodont.pdf" TargetMode="External"/><Relationship Id="rId1351" Type="http://schemas.openxmlformats.org/officeDocument/2006/relationships/hyperlink" Target="https://media.fisheries.noaa.gov/dam-migration/2019_sars_spermwhale_caorwa.pdf" TargetMode="External"/><Relationship Id="rId763" Type="http://schemas.openxmlformats.org/officeDocument/2006/relationships/hyperlink" Target="https://media.fisheries.noaa.gov/2022-08/2021-HumpbackWhale-CaliforniaOregonWashington%20Stock.pdf" TargetMode="External"/><Relationship Id="rId1352" Type="http://schemas.openxmlformats.org/officeDocument/2006/relationships/hyperlink" Target="https://media.fisheries.noaa.gov/dam-migration/2019_sars_spermwhale_caorwa.pdf" TargetMode="External"/><Relationship Id="rId29" Type="http://schemas.openxmlformats.org/officeDocument/2006/relationships/hyperlink" Target="https://media.fisheries.noaa.gov/2022-08/pacific-2021-beaked-whale-mesoplodont.pdf" TargetMode="External"/><Relationship Id="rId762" Type="http://schemas.openxmlformats.org/officeDocument/2006/relationships/hyperlink" Target="https://media.fisheries.noaa.gov/2022-08/2021-HumpbackWhale-CaliforniaOregonWashington%20Stock.pdf" TargetMode="External"/><Relationship Id="rId1353" Type="http://schemas.openxmlformats.org/officeDocument/2006/relationships/hyperlink" Target="https://media.fisheries.noaa.gov/dam-migration/2019_sars_spermwhale_caorwa.pdf" TargetMode="External"/><Relationship Id="rId761" Type="http://schemas.openxmlformats.org/officeDocument/2006/relationships/hyperlink" Target="https://media.fisheries.noaa.gov/2022-08/2021-HumpbackWhale-CaliforniaOregonWashington%20Stock.pdf" TargetMode="External"/><Relationship Id="rId1354" Type="http://schemas.openxmlformats.org/officeDocument/2006/relationships/hyperlink" Target="https://media.fisheries.noaa.gov/dam-migration/2019_sars_spermwhale_caorwa.pdf" TargetMode="External"/><Relationship Id="rId760" Type="http://schemas.openxmlformats.org/officeDocument/2006/relationships/hyperlink" Target="https://media.fisheries.noaa.gov/2022-08/2021-HumpbackWhale-CaliforniaOregonWashington%20Stock.pdf" TargetMode="External"/><Relationship Id="rId1355" Type="http://schemas.openxmlformats.org/officeDocument/2006/relationships/hyperlink" Target="https://media.fisheries.noaa.gov/dam-migration/2019_sars_alaska_steller_sea_lion_-_eastern_us.pdf" TargetMode="External"/><Relationship Id="rId1345" Type="http://schemas.openxmlformats.org/officeDocument/2006/relationships/hyperlink" Target="https://www.fws.gov/sites/default/files/documents/southern-sea-otter-stock-assessment-report.pdf" TargetMode="External"/><Relationship Id="rId1346" Type="http://schemas.openxmlformats.org/officeDocument/2006/relationships/hyperlink" Target="https://www.fws.gov/sites/default/files/documents/southern-sea-otter-stock-assessment-report.pdf" TargetMode="External"/><Relationship Id="rId1347" Type="http://schemas.openxmlformats.org/officeDocument/2006/relationships/hyperlink" Target="https://www.fws.gov/sites/default/files/documents/southern-sea-otter-stock-assessment-report.pdf" TargetMode="External"/><Relationship Id="rId1348" Type="http://schemas.openxmlformats.org/officeDocument/2006/relationships/hyperlink" Target="https://media.fisheries.noaa.gov/dam-migration/2019_sars_spermwhale_caorwa.pdf" TargetMode="External"/><Relationship Id="rId11" Type="http://schemas.openxmlformats.org/officeDocument/2006/relationships/hyperlink" Target="https://media.fisheries.noaa.gov/2022-08/pacific-2021-beaked-whale-mesoplodont.pdf" TargetMode="External"/><Relationship Id="rId1349" Type="http://schemas.openxmlformats.org/officeDocument/2006/relationships/hyperlink" Target="https://media.fisheries.noaa.gov/dam-migration/2019_sars_spermwhale_caorwa.pdf" TargetMode="External"/><Relationship Id="rId10" Type="http://schemas.openxmlformats.org/officeDocument/2006/relationships/hyperlink" Target="https://media.fisheries.noaa.gov/2022-08/pacific-2021-beaked-whale-mesoplodont.pdf" TargetMode="External"/><Relationship Id="rId13" Type="http://schemas.openxmlformats.org/officeDocument/2006/relationships/hyperlink" Target="https://media.fisheries.noaa.gov/2022-08/pacific-2021-beaked-whale-mesoplodont.pdf" TargetMode="External"/><Relationship Id="rId12" Type="http://schemas.openxmlformats.org/officeDocument/2006/relationships/hyperlink" Target="https://media.fisheries.noaa.gov/2022-08/pacific-2021-beaked-whale-mesoplodont.pdf" TargetMode="External"/><Relationship Id="rId756" Type="http://schemas.openxmlformats.org/officeDocument/2006/relationships/hyperlink" Target="https://media.fisheries.noaa.gov/2022-08/2021-HumpbackWhale-CaliforniaOregonWashington%20Stock.pdf" TargetMode="External"/><Relationship Id="rId755" Type="http://schemas.openxmlformats.org/officeDocument/2006/relationships/hyperlink" Target="https://media.fisheries.noaa.gov/2022-08/2021-HumpbackWhale-CaliforniaOregonWashington%20Stock.pdf" TargetMode="External"/><Relationship Id="rId754" Type="http://schemas.openxmlformats.org/officeDocument/2006/relationships/hyperlink" Target="https://media.fisheries.noaa.gov/2022-08/2021-HumpbackWhale-CaliforniaOregonWashington%20Stock.pdf" TargetMode="External"/><Relationship Id="rId753" Type="http://schemas.openxmlformats.org/officeDocument/2006/relationships/hyperlink" Target="https://media.fisheries.noaa.gov/2022-08/2021-HumpbackWhale-CaliforniaOregonWashington%20Stock.pdf" TargetMode="External"/><Relationship Id="rId759" Type="http://schemas.openxmlformats.org/officeDocument/2006/relationships/hyperlink" Target="https://media.fisheries.noaa.gov/2022-08/2021-HumpbackWhale-CaliforniaOregonWashington%20Stock.pdf" TargetMode="External"/><Relationship Id="rId758" Type="http://schemas.openxmlformats.org/officeDocument/2006/relationships/hyperlink" Target="https://media.fisheries.noaa.gov/2022-08/2021-HumpbackWhale-CaliforniaOregonWashington%20Stock.pdf" TargetMode="External"/><Relationship Id="rId757" Type="http://schemas.openxmlformats.org/officeDocument/2006/relationships/hyperlink" Target="https://media.fisheries.noaa.gov/2022-08/2021-HumpbackWhale-CaliforniaOregonWashington%20Stock.pdf" TargetMode="External"/><Relationship Id="rId15" Type="http://schemas.openxmlformats.org/officeDocument/2006/relationships/hyperlink" Target="https://media.fisheries.noaa.gov/2022-08/pacific-2021-beaked-whale-mesoplodont.pdf" TargetMode="External"/><Relationship Id="rId14" Type="http://schemas.openxmlformats.org/officeDocument/2006/relationships/hyperlink" Target="https://media.fisheries.noaa.gov/2022-08/pacific-2021-beaked-whale-mesoplodont.pdf" TargetMode="External"/><Relationship Id="rId17" Type="http://schemas.openxmlformats.org/officeDocument/2006/relationships/hyperlink" Target="https://media.fisheries.noaa.gov/2022-08/pacific-2021-beaked-whale-mesoplodont.pdf" TargetMode="External"/><Relationship Id="rId16" Type="http://schemas.openxmlformats.org/officeDocument/2006/relationships/hyperlink" Target="https://media.fisheries.noaa.gov/2022-08/pacific-2021-beaked-whale-mesoplodont.pdf" TargetMode="External"/><Relationship Id="rId1340" Type="http://schemas.openxmlformats.org/officeDocument/2006/relationships/hyperlink" Target="https://www.fws.gov/sites/default/files/documents/southern-sea-otter-stock-assessment-report.pdf" TargetMode="External"/><Relationship Id="rId19" Type="http://schemas.openxmlformats.org/officeDocument/2006/relationships/hyperlink" Target="https://media.fisheries.noaa.gov/2022-08/pacific-2021-beaked-whale-mesoplodont.pdf" TargetMode="External"/><Relationship Id="rId752" Type="http://schemas.openxmlformats.org/officeDocument/2006/relationships/hyperlink" Target="https://media.fisheries.noaa.gov/2022-08/2021-HumpbackWhale-CaliforniaOregonWashington%20Stock.pdf" TargetMode="External"/><Relationship Id="rId1341" Type="http://schemas.openxmlformats.org/officeDocument/2006/relationships/hyperlink" Target="https://www.fws.gov/sites/default/files/documents/southern-sea-otter-stock-assessment-report.pdf" TargetMode="External"/><Relationship Id="rId18" Type="http://schemas.openxmlformats.org/officeDocument/2006/relationships/hyperlink" Target="https://media.fisheries.noaa.gov/2022-08/pacific-2021-beaked-whale-mesoplodont.pdf" TargetMode="External"/><Relationship Id="rId751" Type="http://schemas.openxmlformats.org/officeDocument/2006/relationships/hyperlink" Target="https://media.fisheries.noaa.gov/2022-08/2021-HumpbackWhale-CaliforniaOregonWashington%20Stock.pdf" TargetMode="External"/><Relationship Id="rId1342" Type="http://schemas.openxmlformats.org/officeDocument/2006/relationships/hyperlink" Target="https://www.fws.gov/sites/default/files/documents/southern-sea-otter-stock-assessment-report.pdf" TargetMode="External"/><Relationship Id="rId750" Type="http://schemas.openxmlformats.org/officeDocument/2006/relationships/hyperlink" Target="https://media.fisheries.noaa.gov/2022-08/2021-HumpbackWhale-CaliforniaOregonWashington%20Stock.pdf" TargetMode="External"/><Relationship Id="rId1343" Type="http://schemas.openxmlformats.org/officeDocument/2006/relationships/hyperlink" Target="https://www.fws.gov/sites/default/files/documents/southern-sea-otter-stock-assessment-report.pdf" TargetMode="External"/><Relationship Id="rId1344" Type="http://schemas.openxmlformats.org/officeDocument/2006/relationships/hyperlink" Target="https://www.fws.gov/sites/default/files/documents/southern-sea-otter-stock-assessment-report.pdf" TargetMode="External"/><Relationship Id="rId84" Type="http://schemas.openxmlformats.org/officeDocument/2006/relationships/hyperlink" Target="https://media.fisheries.noaa.gov/2022-08/2021-PacBluewhale-Eastern%20North%20Pacific%20Stock.pdf" TargetMode="External"/><Relationship Id="rId1774" Type="http://schemas.openxmlformats.org/officeDocument/2006/relationships/hyperlink" Target="https://www.fisheries.noaa.gov/s3/2023-06/STELLERSEALIONEumetopiasjubatusWesternU.S.Stock-.pdf" TargetMode="External"/><Relationship Id="rId83" Type="http://schemas.openxmlformats.org/officeDocument/2006/relationships/hyperlink" Target="https://media.fisheries.noaa.gov/2022-08/2021-PacBluewhale-Eastern%20North%20Pacific%20Stock.pdf" TargetMode="External"/><Relationship Id="rId1775" Type="http://schemas.openxmlformats.org/officeDocument/2006/relationships/hyperlink" Target="https://www.fisheries.noaa.gov/s3/2023-06/STELLERSEALIONEumetopiasjubatusWesternU.S.Stock-.pdf" TargetMode="External"/><Relationship Id="rId86" Type="http://schemas.openxmlformats.org/officeDocument/2006/relationships/hyperlink" Target="https://media.fisheries.noaa.gov/2022-08/2021-PacBluewhale-Eastern%20North%20Pacific%20Stock.pdf" TargetMode="External"/><Relationship Id="rId1776" Type="http://schemas.openxmlformats.org/officeDocument/2006/relationships/hyperlink" Target="https://www.fisheries.noaa.gov/s3/2023-06/STELLERSEALIONEumetopiasjubatusWesternU.S.Stock-.pdf" TargetMode="External"/><Relationship Id="rId85" Type="http://schemas.openxmlformats.org/officeDocument/2006/relationships/hyperlink" Target="https://media.fisheries.noaa.gov/2022-08/2021-PacBluewhale-Eastern%20North%20Pacific%20Stock.pdf" TargetMode="External"/><Relationship Id="rId1777" Type="http://schemas.openxmlformats.org/officeDocument/2006/relationships/hyperlink" Target="https://www.fisheries.noaa.gov/s3/2023-06/STELLERSEALIONEumetopiasjubatusWesternU.S.Stock-.pdf" TargetMode="External"/><Relationship Id="rId88" Type="http://schemas.openxmlformats.org/officeDocument/2006/relationships/hyperlink" Target="https://media.fisheries.noaa.gov/2022-08/2021-PacBluewhale-Eastern%20North%20Pacific%20Stock.pdf" TargetMode="External"/><Relationship Id="rId1778" Type="http://schemas.openxmlformats.org/officeDocument/2006/relationships/hyperlink" Target="https://www.fisheries.noaa.gov/s3/2023-06/STELLERSEALIONEumetopiasjubatusWesternU.S.Stock-.pdf" TargetMode="External"/><Relationship Id="rId87" Type="http://schemas.openxmlformats.org/officeDocument/2006/relationships/hyperlink" Target="https://media.fisheries.noaa.gov/2022-08/2021-PacBluewhale-Eastern%20North%20Pacific%20Stock.pdf" TargetMode="External"/><Relationship Id="rId1779" Type="http://schemas.openxmlformats.org/officeDocument/2006/relationships/hyperlink" Target="https://www.fisheries.noaa.gov/s3/2023-06/STELLERSEALIONEumetopiasjubatusWesternU.S.Stock-.pdf" TargetMode="External"/><Relationship Id="rId89" Type="http://schemas.openxmlformats.org/officeDocument/2006/relationships/hyperlink" Target="https://media.fisheries.noaa.gov/2022-08/2021-PacBluewhale-Eastern%20North%20Pacific%20Stock.pdf" TargetMode="External"/><Relationship Id="rId709" Type="http://schemas.openxmlformats.org/officeDocument/2006/relationships/hyperlink" Target="https://media.fisheries.noaa.gov/dam-migration/po2013sehr-wain_508.pdf" TargetMode="External"/><Relationship Id="rId708" Type="http://schemas.openxmlformats.org/officeDocument/2006/relationships/hyperlink" Target="https://media.fisheries.noaa.gov/dam-migration/po2013sehr-owco_508.pdf" TargetMode="External"/><Relationship Id="rId707" Type="http://schemas.openxmlformats.org/officeDocument/2006/relationships/hyperlink" Target="https://media.fisheries.noaa.gov/dam-migration/po2013sehr-owco_508.pdf" TargetMode="External"/><Relationship Id="rId706" Type="http://schemas.openxmlformats.org/officeDocument/2006/relationships/hyperlink" Target="https://media.fisheries.noaa.gov/dam-migration/po2013sehr-owco_508.pdf" TargetMode="External"/><Relationship Id="rId80" Type="http://schemas.openxmlformats.org/officeDocument/2006/relationships/hyperlink" Target="https://media.fisheries.noaa.gov/2022-08/2021-PacBluewhale-Eastern%20North%20Pacific%20Stock.pdf" TargetMode="External"/><Relationship Id="rId82" Type="http://schemas.openxmlformats.org/officeDocument/2006/relationships/hyperlink" Target="https://media.fisheries.noaa.gov/2022-08/2021-PacBluewhale-Eastern%20North%20Pacific%20Stock.pdf" TargetMode="External"/><Relationship Id="rId81" Type="http://schemas.openxmlformats.org/officeDocument/2006/relationships/hyperlink" Target="https://media.fisheries.noaa.gov/2022-08/2021-PacBluewhale-Eastern%20North%20Pacific%20Stock.pdf" TargetMode="External"/><Relationship Id="rId701" Type="http://schemas.openxmlformats.org/officeDocument/2006/relationships/hyperlink" Target="https://media.fisheries.noaa.gov/dam-migration/po2013sehr-owco_508.pdf" TargetMode="External"/><Relationship Id="rId700" Type="http://schemas.openxmlformats.org/officeDocument/2006/relationships/hyperlink" Target="https://media.fisheries.noaa.gov/dam-migration/po2013sehr-owco_508.pdf" TargetMode="External"/><Relationship Id="rId705" Type="http://schemas.openxmlformats.org/officeDocument/2006/relationships/hyperlink" Target="https://media.fisheries.noaa.gov/dam-migration/po2013sehr-owco_508.pdf" TargetMode="External"/><Relationship Id="rId704" Type="http://schemas.openxmlformats.org/officeDocument/2006/relationships/hyperlink" Target="https://media.fisheries.noaa.gov/dam-migration/po2013sehr-owco_508.pdf" TargetMode="External"/><Relationship Id="rId703" Type="http://schemas.openxmlformats.org/officeDocument/2006/relationships/hyperlink" Target="https://media.fisheries.noaa.gov/dam-migration/po2013sehr-owco_508.pdf" TargetMode="External"/><Relationship Id="rId702" Type="http://schemas.openxmlformats.org/officeDocument/2006/relationships/hyperlink" Target="https://media.fisheries.noaa.gov/dam-migration/po2013sehr-owco_508.pdf" TargetMode="External"/><Relationship Id="rId1770" Type="http://schemas.openxmlformats.org/officeDocument/2006/relationships/hyperlink" Target="https://www.fisheries.noaa.gov/s3/2023-06/STELLERSEALIONEumetopiasjubatusWesternU.S.Stock-.pdf" TargetMode="External"/><Relationship Id="rId1771" Type="http://schemas.openxmlformats.org/officeDocument/2006/relationships/hyperlink" Target="https://www.fisheries.noaa.gov/s3/2023-06/STELLERSEALIONEumetopiasjubatusWesternU.S.Stock-.pdf" TargetMode="External"/><Relationship Id="rId1772" Type="http://schemas.openxmlformats.org/officeDocument/2006/relationships/hyperlink" Target="https://www.fisheries.noaa.gov/s3/2023-06/STELLERSEALIONEumetopiasjubatusWesternU.S.Stock-.pdf" TargetMode="External"/><Relationship Id="rId1773" Type="http://schemas.openxmlformats.org/officeDocument/2006/relationships/hyperlink" Target="https://www.fisheries.noaa.gov/s3/2023-06/STELLERSEALIONEumetopiasjubatusWesternU.S.Stock-.pdf" TargetMode="External"/><Relationship Id="rId73" Type="http://schemas.openxmlformats.org/officeDocument/2006/relationships/hyperlink" Target="https://media.fisheries.noaa.gov/2022-08/2021-PacBluewhale-Eastern%20North%20Pacific%20Stock.pdf" TargetMode="External"/><Relationship Id="rId1763" Type="http://schemas.openxmlformats.org/officeDocument/2006/relationships/hyperlink" Target="https://www.fisheries.noaa.gov/s3/2023-06/STELLERSEALIONEumetopiasjubatusWesternU.S.Stock-.pdf" TargetMode="External"/><Relationship Id="rId72" Type="http://schemas.openxmlformats.org/officeDocument/2006/relationships/hyperlink" Target="https://media.fisheries.noaa.gov/2022-08/2021-PacBluewhale-Eastern%20North%20Pacific%20Stock.pdf" TargetMode="External"/><Relationship Id="rId1764" Type="http://schemas.openxmlformats.org/officeDocument/2006/relationships/hyperlink" Target="https://www.fisheries.noaa.gov/s3/2023-06/STELLERSEALIONEumetopiasjubatusWesternU.S.Stock-.pdf" TargetMode="External"/><Relationship Id="rId75" Type="http://schemas.openxmlformats.org/officeDocument/2006/relationships/hyperlink" Target="https://media.fisheries.noaa.gov/2022-08/2021-PacBluewhale-Eastern%20North%20Pacific%20Stock.pdf" TargetMode="External"/><Relationship Id="rId1765" Type="http://schemas.openxmlformats.org/officeDocument/2006/relationships/hyperlink" Target="https://www.fisheries.noaa.gov/s3/2023-06/STELLERSEALIONEumetopiasjubatusWesternU.S.Stock-.pdf" TargetMode="External"/><Relationship Id="rId74" Type="http://schemas.openxmlformats.org/officeDocument/2006/relationships/hyperlink" Target="https://media.fisheries.noaa.gov/2022-08/2021-PacBluewhale-Eastern%20North%20Pacific%20Stock.pdf" TargetMode="External"/><Relationship Id="rId1766" Type="http://schemas.openxmlformats.org/officeDocument/2006/relationships/hyperlink" Target="https://www.fisheries.noaa.gov/s3/2023-06/STELLERSEALIONEumetopiasjubatusWesternU.S.Stock-.pdf" TargetMode="External"/><Relationship Id="rId77" Type="http://schemas.openxmlformats.org/officeDocument/2006/relationships/hyperlink" Target="https://media.fisheries.noaa.gov/2022-08/2021-PacBluewhale-Eastern%20North%20Pacific%20Stock.pdf" TargetMode="External"/><Relationship Id="rId1767" Type="http://schemas.openxmlformats.org/officeDocument/2006/relationships/hyperlink" Target="https://www.fisheries.noaa.gov/s3/2023-06/STELLERSEALIONEumetopiasjubatusWesternU.S.Stock-.pdf" TargetMode="External"/><Relationship Id="rId76" Type="http://schemas.openxmlformats.org/officeDocument/2006/relationships/hyperlink" Target="https://media.fisheries.noaa.gov/2022-08/2021-PacBluewhale-Eastern%20North%20Pacific%20Stock.pdf" TargetMode="External"/><Relationship Id="rId1768" Type="http://schemas.openxmlformats.org/officeDocument/2006/relationships/hyperlink" Target="https://www.fisheries.noaa.gov/s3/2023-06/STELLERSEALIONEumetopiasjubatusWesternU.S.Stock-.pdf" TargetMode="External"/><Relationship Id="rId79" Type="http://schemas.openxmlformats.org/officeDocument/2006/relationships/hyperlink" Target="https://media.fisheries.noaa.gov/2022-08/2021-PacBluewhale-Eastern%20North%20Pacific%20Stock.pdf" TargetMode="External"/><Relationship Id="rId1769" Type="http://schemas.openxmlformats.org/officeDocument/2006/relationships/hyperlink" Target="https://www.fisheries.noaa.gov/s3/2023-06/STELLERSEALIONEumetopiasjubatusWesternU.S.Stock-.pdf" TargetMode="External"/><Relationship Id="rId78" Type="http://schemas.openxmlformats.org/officeDocument/2006/relationships/hyperlink" Target="https://media.fisheries.noaa.gov/2022-08/2021-PacBluewhale-Eastern%20North%20Pacific%20Stock.pdf" TargetMode="External"/><Relationship Id="rId71" Type="http://schemas.openxmlformats.org/officeDocument/2006/relationships/hyperlink" Target="https://media.fisheries.noaa.gov/2022-08/2021-PacBluewhale-Eastern%20North%20Pacific%20Stock.pdf" TargetMode="External"/><Relationship Id="rId70" Type="http://schemas.openxmlformats.org/officeDocument/2006/relationships/hyperlink" Target="https://media.fisheries.noaa.gov/2022-08/2021-PacBluewhale-Eastern%20North%20Pacific%20Stock.pdf" TargetMode="External"/><Relationship Id="rId1760" Type="http://schemas.openxmlformats.org/officeDocument/2006/relationships/hyperlink" Target="https://www.fisheries.noaa.gov/s3/2023-06/STELLERSEALIONEumetopiasjubatusWesternU.S.Stock-.pdf" TargetMode="External"/><Relationship Id="rId1761" Type="http://schemas.openxmlformats.org/officeDocument/2006/relationships/hyperlink" Target="https://www.fisheries.noaa.gov/s3/2023-06/STELLERSEALIONEumetopiasjubatusWesternU.S.Stock-.pdf" TargetMode="External"/><Relationship Id="rId1762" Type="http://schemas.openxmlformats.org/officeDocument/2006/relationships/hyperlink" Target="https://www.fisheries.noaa.gov/s3/2023-06/STELLERSEALIONEumetopiasjubatusWesternU.S.Stock-.pdf" TargetMode="External"/><Relationship Id="rId62" Type="http://schemas.openxmlformats.org/officeDocument/2006/relationships/hyperlink" Target="https://media.fisheries.noaa.gov/2022-08/2021-PacBluewhale-Eastern%20North%20Pacific%20Stock.pdf" TargetMode="External"/><Relationship Id="rId1312" Type="http://schemas.openxmlformats.org/officeDocument/2006/relationships/hyperlink" Target="https://www.fws.gov/sites/default/files/documents/southern-sea-otter-stock-assessment-report.pdf" TargetMode="External"/><Relationship Id="rId1796" Type="http://schemas.openxmlformats.org/officeDocument/2006/relationships/hyperlink" Target="https://www.fisheries.noaa.gov/s3/2023-06/STELLERSEALIONEumetopiasjubatusWesternU.S.Stock-.pdf" TargetMode="External"/><Relationship Id="rId61" Type="http://schemas.openxmlformats.org/officeDocument/2006/relationships/hyperlink" Target="https://media.fisheries.noaa.gov/2022-08/2021-PacBluewhale-Eastern%20North%20Pacific%20Stock.pdf" TargetMode="External"/><Relationship Id="rId1313" Type="http://schemas.openxmlformats.org/officeDocument/2006/relationships/hyperlink" Target="https://www.fws.gov/sites/default/files/documents/southern-sea-otter-stock-assessment-report.pdf" TargetMode="External"/><Relationship Id="rId1797" Type="http://schemas.openxmlformats.org/officeDocument/2006/relationships/hyperlink" Target="https://www.fisheries.noaa.gov/s3/2023-06/STELLERSEALIONEumetopiasjubatusWesternU.S.Stock-.pdf" TargetMode="External"/><Relationship Id="rId64" Type="http://schemas.openxmlformats.org/officeDocument/2006/relationships/hyperlink" Target="https://media.fisheries.noaa.gov/2022-08/2021-PacBluewhale-Eastern%20North%20Pacific%20Stock.pdf" TargetMode="External"/><Relationship Id="rId1314" Type="http://schemas.openxmlformats.org/officeDocument/2006/relationships/hyperlink" Target="https://www.fws.gov/sites/default/files/documents/southern-sea-otter-stock-assessment-report.pdf" TargetMode="External"/><Relationship Id="rId1798" Type="http://schemas.openxmlformats.org/officeDocument/2006/relationships/hyperlink" Target="https://www.fisheries.noaa.gov/s3/2023-06/STELLERSEALIONEumetopiasjubatusWesternU.S.Stock-.pdf" TargetMode="External"/><Relationship Id="rId63" Type="http://schemas.openxmlformats.org/officeDocument/2006/relationships/hyperlink" Target="https://media.fisheries.noaa.gov/2022-08/2021-PacBluewhale-Eastern%20North%20Pacific%20Stock.pdf" TargetMode="External"/><Relationship Id="rId1315" Type="http://schemas.openxmlformats.org/officeDocument/2006/relationships/hyperlink" Target="https://www.fws.gov/sites/default/files/documents/southern-sea-otter-stock-assessment-report.pdf" TargetMode="External"/><Relationship Id="rId1799" Type="http://schemas.openxmlformats.org/officeDocument/2006/relationships/hyperlink" Target="https://www.fisheries.noaa.gov/s3/2023-06/STELLERSEALIONEumetopiasjubatusWesternU.S.Stock-.pdf" TargetMode="External"/><Relationship Id="rId66" Type="http://schemas.openxmlformats.org/officeDocument/2006/relationships/hyperlink" Target="https://media.fisheries.noaa.gov/2022-08/2021-PacBluewhale-Eastern%20North%20Pacific%20Stock.pdf" TargetMode="External"/><Relationship Id="rId1316" Type="http://schemas.openxmlformats.org/officeDocument/2006/relationships/hyperlink" Target="https://www.fws.gov/sites/default/files/documents/southern-sea-otter-stock-assessment-report.pdf" TargetMode="External"/><Relationship Id="rId65" Type="http://schemas.openxmlformats.org/officeDocument/2006/relationships/hyperlink" Target="https://media.fisheries.noaa.gov/2022-08/2021-PacBluewhale-Eastern%20North%20Pacific%20Stock.pdf" TargetMode="External"/><Relationship Id="rId1317" Type="http://schemas.openxmlformats.org/officeDocument/2006/relationships/hyperlink" Target="https://www.fws.gov/sites/default/files/documents/southern-sea-otter-stock-assessment-report.pdf" TargetMode="External"/><Relationship Id="rId68" Type="http://schemas.openxmlformats.org/officeDocument/2006/relationships/hyperlink" Target="https://media.fisheries.noaa.gov/2022-08/2021-PacBluewhale-Eastern%20North%20Pacific%20Stock.pdf" TargetMode="External"/><Relationship Id="rId1318" Type="http://schemas.openxmlformats.org/officeDocument/2006/relationships/hyperlink" Target="https://www.fws.gov/sites/default/files/documents/southern-sea-otter-stock-assessment-report.pdf" TargetMode="External"/><Relationship Id="rId67" Type="http://schemas.openxmlformats.org/officeDocument/2006/relationships/hyperlink" Target="https://media.fisheries.noaa.gov/2022-08/2021-PacBluewhale-Eastern%20North%20Pacific%20Stock.pdf" TargetMode="External"/><Relationship Id="rId1319" Type="http://schemas.openxmlformats.org/officeDocument/2006/relationships/hyperlink" Target="https://www.fws.gov/sites/default/files/documents/southern-sea-otter-stock-assessment-report.pdf" TargetMode="External"/><Relationship Id="rId729" Type="http://schemas.openxmlformats.org/officeDocument/2006/relationships/hyperlink" Target="https://media.fisheries.noaa.gov/dam-migration/po2013sehr-owco_508.pdf" TargetMode="External"/><Relationship Id="rId728" Type="http://schemas.openxmlformats.org/officeDocument/2006/relationships/hyperlink" Target="https://media.fisheries.noaa.gov/dam-migration/po2013sehr-owco_508.pdf" TargetMode="External"/><Relationship Id="rId60" Type="http://schemas.openxmlformats.org/officeDocument/2006/relationships/hyperlink" Target="https://media.fisheries.noaa.gov/2022-08/2021-PacBluewhale-Eastern%20North%20Pacific%20Stock.pdf" TargetMode="External"/><Relationship Id="rId723" Type="http://schemas.openxmlformats.org/officeDocument/2006/relationships/hyperlink" Target="https://media.fisheries.noaa.gov/dam-migration/po2013sehr-owco_508.pdf" TargetMode="External"/><Relationship Id="rId722" Type="http://schemas.openxmlformats.org/officeDocument/2006/relationships/hyperlink" Target="https://media.fisheries.noaa.gov/dam-migration/po2013sehr-owco_508.pdf" TargetMode="External"/><Relationship Id="rId721" Type="http://schemas.openxmlformats.org/officeDocument/2006/relationships/hyperlink" Target="https://media.fisheries.noaa.gov/dam-migration/po2013sehr-owco_508.pdf" TargetMode="External"/><Relationship Id="rId720" Type="http://schemas.openxmlformats.org/officeDocument/2006/relationships/hyperlink" Target="https://media.fisheries.noaa.gov/dam-migration/po2013sehr-owco_508.pdf" TargetMode="External"/><Relationship Id="rId727" Type="http://schemas.openxmlformats.org/officeDocument/2006/relationships/hyperlink" Target="https://media.fisheries.noaa.gov/dam-migration/po2013sehr-owco_508.pdf" TargetMode="External"/><Relationship Id="rId726" Type="http://schemas.openxmlformats.org/officeDocument/2006/relationships/hyperlink" Target="https://media.fisheries.noaa.gov/dam-migration/po2013sehr-owco_508.pdf" TargetMode="External"/><Relationship Id="rId725" Type="http://schemas.openxmlformats.org/officeDocument/2006/relationships/hyperlink" Target="https://media.fisheries.noaa.gov/dam-migration/po2013sehr-owco_508.pdf" TargetMode="External"/><Relationship Id="rId724" Type="http://schemas.openxmlformats.org/officeDocument/2006/relationships/hyperlink" Target="https://media.fisheries.noaa.gov/dam-migration/po2013sehr-owco_508.pdf" TargetMode="External"/><Relationship Id="rId69" Type="http://schemas.openxmlformats.org/officeDocument/2006/relationships/hyperlink" Target="https://media.fisheries.noaa.gov/2022-08/2021-PacBluewhale-Eastern%20North%20Pacific%20Stock.pdf" TargetMode="External"/><Relationship Id="rId1790" Type="http://schemas.openxmlformats.org/officeDocument/2006/relationships/hyperlink" Target="https://www.fisheries.noaa.gov/s3/2023-06/STELLERSEALIONEumetopiasjubatusWesternU.S.Stock-.pdf" TargetMode="External"/><Relationship Id="rId1791" Type="http://schemas.openxmlformats.org/officeDocument/2006/relationships/hyperlink" Target="https://www.fisheries.noaa.gov/s3/2023-06/STELLERSEALIONEumetopiasjubatusWesternU.S.Stock-.pdf" TargetMode="External"/><Relationship Id="rId1792" Type="http://schemas.openxmlformats.org/officeDocument/2006/relationships/hyperlink" Target="https://www.fisheries.noaa.gov/s3/2023-06/STELLERSEALIONEumetopiasjubatusWesternU.S.Stock-.pdf" TargetMode="External"/><Relationship Id="rId1793" Type="http://schemas.openxmlformats.org/officeDocument/2006/relationships/hyperlink" Target="https://www.fisheries.noaa.gov/s3/2023-06/STELLERSEALIONEumetopiasjubatusWesternU.S.Stock-.pdf" TargetMode="External"/><Relationship Id="rId1310" Type="http://schemas.openxmlformats.org/officeDocument/2006/relationships/hyperlink" Target="https://media.fisheries.noaa.gov/2021-08/2020-Pacific-SARS-ShortFinPWHI.pdf" TargetMode="External"/><Relationship Id="rId1794" Type="http://schemas.openxmlformats.org/officeDocument/2006/relationships/hyperlink" Target="https://www.fisheries.noaa.gov/s3/2023-06/STELLERSEALIONEumetopiasjubatusWesternU.S.Stock-.pdf" TargetMode="External"/><Relationship Id="rId1311" Type="http://schemas.openxmlformats.org/officeDocument/2006/relationships/hyperlink" Target="https://media.fisheries.noaa.gov/2021-08/2020-Pacific-SARS-ShortFinPWHI.pdf" TargetMode="External"/><Relationship Id="rId1795" Type="http://schemas.openxmlformats.org/officeDocument/2006/relationships/hyperlink" Target="https://www.fisheries.noaa.gov/s3/2023-06/STELLERSEALIONEumetopiasjubatusWesternU.S.Stock-.pdf" TargetMode="External"/><Relationship Id="rId51" Type="http://schemas.openxmlformats.org/officeDocument/2006/relationships/hyperlink" Target="https://www.fisheries.noaa.gov/s3/2023-05/2021BELUGA-WHALE-Delphinapterus-leucas-Cook-Inlet-Stock.pdf" TargetMode="External"/><Relationship Id="rId1301" Type="http://schemas.openxmlformats.org/officeDocument/2006/relationships/hyperlink" Target="https://media.fisheries.noaa.gov/2022-08/2021-shortbeak-common-dolphin-CaliforniaOregonWashington%20Stock.pdf" TargetMode="External"/><Relationship Id="rId1785" Type="http://schemas.openxmlformats.org/officeDocument/2006/relationships/hyperlink" Target="https://www.fisheries.noaa.gov/s3/2023-06/STELLERSEALIONEumetopiasjubatusWesternU.S.Stock-.pdf" TargetMode="External"/><Relationship Id="rId50" Type="http://schemas.openxmlformats.org/officeDocument/2006/relationships/hyperlink" Target="https://www.fisheries.noaa.gov/s3/2023-05/2021BELUGA-WHALE-Delphinapterus-leucas-Cook-Inlet-Stock.pdf" TargetMode="External"/><Relationship Id="rId1302" Type="http://schemas.openxmlformats.org/officeDocument/2006/relationships/hyperlink" Target="https://media.fisheries.noaa.gov/2022-08/2021-shortbeak-common-dolphin-CaliforniaOregonWashington%20Stock.pdf" TargetMode="External"/><Relationship Id="rId1786" Type="http://schemas.openxmlformats.org/officeDocument/2006/relationships/hyperlink" Target="https://www.fisheries.noaa.gov/s3/2023-06/STELLERSEALIONEumetopiasjubatusWesternU.S.Stock-.pdf" TargetMode="External"/><Relationship Id="rId53" Type="http://schemas.openxmlformats.org/officeDocument/2006/relationships/hyperlink" Target="https://www.fisheries.noaa.gov/s3/2023-05/2021BELUGA-WHALE-Delphinapterus-leucas-Cook-Inlet-Stock.pdf" TargetMode="External"/><Relationship Id="rId1303" Type="http://schemas.openxmlformats.org/officeDocument/2006/relationships/hyperlink" Target="https://media.fisheries.noaa.gov/2022-08/2021-shortbeak-common-dolphin-CaliforniaOregonWashington%20Stock.pdf" TargetMode="External"/><Relationship Id="rId1787" Type="http://schemas.openxmlformats.org/officeDocument/2006/relationships/hyperlink" Target="https://www.fisheries.noaa.gov/s3/2023-06/STELLERSEALIONEumetopiasjubatusWesternU.S.Stock-.pdf" TargetMode="External"/><Relationship Id="rId52" Type="http://schemas.openxmlformats.org/officeDocument/2006/relationships/hyperlink" Target="https://www.fisheries.noaa.gov/s3/2023-05/2021BELUGA-WHALE-Delphinapterus-leucas-Cook-Inlet-Stock.pdf" TargetMode="External"/><Relationship Id="rId1304" Type="http://schemas.openxmlformats.org/officeDocument/2006/relationships/hyperlink" Target="https://media.fisheries.noaa.gov/2022-08/2021-shortbeak-common-dolphin-CaliforniaOregonWashington%20Stock.pdf" TargetMode="External"/><Relationship Id="rId1788" Type="http://schemas.openxmlformats.org/officeDocument/2006/relationships/hyperlink" Target="https://www.fisheries.noaa.gov/s3/2023-06/STELLERSEALIONEumetopiasjubatusWesternU.S.Stock-.pdf" TargetMode="External"/><Relationship Id="rId55" Type="http://schemas.openxmlformats.org/officeDocument/2006/relationships/hyperlink" Target="https://media.fisheries.noaa.gov/2022-08/2021-PacBluewhale-Eastern%20North%20Pacific%20Stock.pdf" TargetMode="External"/><Relationship Id="rId1305" Type="http://schemas.openxmlformats.org/officeDocument/2006/relationships/hyperlink" Target="https://media.fisheries.noaa.gov/2022-08/2021-shortbeak-common-dolphin-CaliforniaOregonWashington%20Stock.pdf" TargetMode="External"/><Relationship Id="rId1789" Type="http://schemas.openxmlformats.org/officeDocument/2006/relationships/hyperlink" Target="https://www.fisheries.noaa.gov/s3/2023-06/STELLERSEALIONEumetopiasjubatusWesternU.S.Stock-.pdf" TargetMode="External"/><Relationship Id="rId54" Type="http://schemas.openxmlformats.org/officeDocument/2006/relationships/hyperlink" Target="https://media.fisheries.noaa.gov/2022-08/2021-PacBluewhale-Eastern%20North%20Pacific%20Stock.pdf" TargetMode="External"/><Relationship Id="rId1306" Type="http://schemas.openxmlformats.org/officeDocument/2006/relationships/hyperlink" Target="https://media.fisheries.noaa.gov/2021-08/2020-Pacific-SARS-ShortFinPWHI.pdf" TargetMode="External"/><Relationship Id="rId57" Type="http://schemas.openxmlformats.org/officeDocument/2006/relationships/hyperlink" Target="https://media.fisheries.noaa.gov/2022-08/2021-PacBluewhale-Eastern%20North%20Pacific%20Stock.pdf" TargetMode="External"/><Relationship Id="rId1307" Type="http://schemas.openxmlformats.org/officeDocument/2006/relationships/hyperlink" Target="https://media.fisheries.noaa.gov/2021-08/2020-Pacific-SARS-ShortFinPWHI.pdf" TargetMode="External"/><Relationship Id="rId56" Type="http://schemas.openxmlformats.org/officeDocument/2006/relationships/hyperlink" Target="https://media.fisheries.noaa.gov/2022-08/2021-PacBluewhale-Eastern%20North%20Pacific%20Stock.pdf" TargetMode="External"/><Relationship Id="rId1308" Type="http://schemas.openxmlformats.org/officeDocument/2006/relationships/hyperlink" Target="https://media.fisheries.noaa.gov/2021-08/2020-Pacific-SARS-ShortFinPWHI.pdf" TargetMode="External"/><Relationship Id="rId1309" Type="http://schemas.openxmlformats.org/officeDocument/2006/relationships/hyperlink" Target="https://media.fisheries.noaa.gov/2021-08/2020-Pacific-SARS-ShortFinPWHI.pdf" TargetMode="External"/><Relationship Id="rId719" Type="http://schemas.openxmlformats.org/officeDocument/2006/relationships/hyperlink" Target="https://media.fisheries.noaa.gov/dam-migration/po2013sehr-owco_508.pdf" TargetMode="External"/><Relationship Id="rId718" Type="http://schemas.openxmlformats.org/officeDocument/2006/relationships/hyperlink" Target="https://media.fisheries.noaa.gov/dam-migration/po2013sehr-wain_508.pdf" TargetMode="External"/><Relationship Id="rId717" Type="http://schemas.openxmlformats.org/officeDocument/2006/relationships/hyperlink" Target="https://media.fisheries.noaa.gov/dam-migration/po2013sehr-wain_508.pdf" TargetMode="External"/><Relationship Id="rId712" Type="http://schemas.openxmlformats.org/officeDocument/2006/relationships/hyperlink" Target="https://media.fisheries.noaa.gov/dam-migration/po2013sehr-wain_508.pdf" TargetMode="External"/><Relationship Id="rId711" Type="http://schemas.openxmlformats.org/officeDocument/2006/relationships/hyperlink" Target="https://media.fisheries.noaa.gov/dam-migration/po2013sehr-wain_508.pdf" TargetMode="External"/><Relationship Id="rId710" Type="http://schemas.openxmlformats.org/officeDocument/2006/relationships/hyperlink" Target="https://media.fisheries.noaa.gov/dam-migration/po2013sehr-wain_508.pdf" TargetMode="External"/><Relationship Id="rId716" Type="http://schemas.openxmlformats.org/officeDocument/2006/relationships/hyperlink" Target="https://media.fisheries.noaa.gov/dam-migration/po2013sehr-wain_508.pdf" TargetMode="External"/><Relationship Id="rId715" Type="http://schemas.openxmlformats.org/officeDocument/2006/relationships/hyperlink" Target="https://media.fisheries.noaa.gov/dam-migration/po2013sehr-wain_508.pdf" TargetMode="External"/><Relationship Id="rId714" Type="http://schemas.openxmlformats.org/officeDocument/2006/relationships/hyperlink" Target="https://media.fisheries.noaa.gov/dam-migration/po2013sehr-wain_508.pdf" TargetMode="External"/><Relationship Id="rId713" Type="http://schemas.openxmlformats.org/officeDocument/2006/relationships/hyperlink" Target="https://media.fisheries.noaa.gov/dam-migration/po2013sehr-wain_508.pdf" TargetMode="External"/><Relationship Id="rId59" Type="http://schemas.openxmlformats.org/officeDocument/2006/relationships/hyperlink" Target="https://media.fisheries.noaa.gov/2022-08/2021-PacBluewhale-Eastern%20North%20Pacific%20Stock.pdf" TargetMode="External"/><Relationship Id="rId58" Type="http://schemas.openxmlformats.org/officeDocument/2006/relationships/hyperlink" Target="https://media.fisheries.noaa.gov/2022-08/2021-PacBluewhale-Eastern%20North%20Pacific%20Stock.pdf" TargetMode="External"/><Relationship Id="rId1780" Type="http://schemas.openxmlformats.org/officeDocument/2006/relationships/hyperlink" Target="https://www.fisheries.noaa.gov/s3/2023-06/STELLERSEALIONEumetopiasjubatusWesternU.S.Stock-.pdf" TargetMode="External"/><Relationship Id="rId1781" Type="http://schemas.openxmlformats.org/officeDocument/2006/relationships/hyperlink" Target="https://www.fisheries.noaa.gov/s3/2023-06/STELLERSEALIONEumetopiasjubatusWesternU.S.Stock-.pdf" TargetMode="External"/><Relationship Id="rId1782" Type="http://schemas.openxmlformats.org/officeDocument/2006/relationships/hyperlink" Target="https://www.fisheries.noaa.gov/s3/2023-06/STELLERSEALIONEumetopiasjubatusWesternU.S.Stock-.pdf" TargetMode="External"/><Relationship Id="rId1783" Type="http://schemas.openxmlformats.org/officeDocument/2006/relationships/hyperlink" Target="https://www.fisheries.noaa.gov/s3/2023-06/STELLERSEALIONEumetopiasjubatusWesternU.S.Stock-.pdf" TargetMode="External"/><Relationship Id="rId1300" Type="http://schemas.openxmlformats.org/officeDocument/2006/relationships/hyperlink" Target="https://media.fisheries.noaa.gov/2022-08/2021-shortbeak-common-dolphin-CaliforniaOregonWashington%20Stock.pdf" TargetMode="External"/><Relationship Id="rId1784" Type="http://schemas.openxmlformats.org/officeDocument/2006/relationships/hyperlink" Target="https://www.fisheries.noaa.gov/s3/2023-06/STELLERSEALIONEumetopiasjubatusWesternU.S.Stock-.pdf" TargetMode="External"/><Relationship Id="rId349" Type="http://schemas.openxmlformats.org/officeDocument/2006/relationships/hyperlink" Target="https://media.fisheries.noaa.gov/2022-08/2021-HARBOR%20PORPOISE-Monterey%20Bay%20Stock.pdf" TargetMode="External"/><Relationship Id="rId348" Type="http://schemas.openxmlformats.org/officeDocument/2006/relationships/hyperlink" Target="https://media.fisheries.noaa.gov/2022-08/2021-HARBOR%20PORPOISE-Monterey%20Bay%20Stock.pdf" TargetMode="External"/><Relationship Id="rId347" Type="http://schemas.openxmlformats.org/officeDocument/2006/relationships/hyperlink" Target="https://media.fisheries.noaa.gov/2022-08/2021-HARBOR%20PORPOISE-Monterey%20Bay%20Stock.pdf" TargetMode="External"/><Relationship Id="rId346" Type="http://schemas.openxmlformats.org/officeDocument/2006/relationships/hyperlink" Target="https://media.fisheries.noaa.gov/2022-08/2021-HARBOR%20PORPOISE-Monterey%20Bay%20Stock.pdf" TargetMode="External"/><Relationship Id="rId341" Type="http://schemas.openxmlformats.org/officeDocument/2006/relationships/hyperlink" Target="https://media.fisheries.noaa.gov/2022-08/2021-HARBOR%20PORPOISE-Monterey%20Bay%20Stock.pdf" TargetMode="External"/><Relationship Id="rId340" Type="http://schemas.openxmlformats.org/officeDocument/2006/relationships/hyperlink" Target="https://media.fisheries.noaa.gov/2022-08/2021-HARBOR%20PORPOISE-Monterey%20Bay%20Stock.pdf" TargetMode="External"/><Relationship Id="rId345" Type="http://schemas.openxmlformats.org/officeDocument/2006/relationships/hyperlink" Target="https://media.fisheries.noaa.gov/2022-08/2021-HARBOR%20PORPOISE-Monterey%20Bay%20Stock.pdf" TargetMode="External"/><Relationship Id="rId344" Type="http://schemas.openxmlformats.org/officeDocument/2006/relationships/hyperlink" Target="https://media.fisheries.noaa.gov/2022-08/2021-HARBOR%20PORPOISE-Monterey%20Bay%20Stock.pdf" TargetMode="External"/><Relationship Id="rId343" Type="http://schemas.openxmlformats.org/officeDocument/2006/relationships/hyperlink" Target="https://media.fisheries.noaa.gov/2022-08/2021-HARBOR%20PORPOISE-Monterey%20Bay%20Stock.pdf" TargetMode="External"/><Relationship Id="rId342" Type="http://schemas.openxmlformats.org/officeDocument/2006/relationships/hyperlink" Target="https://media.fisheries.noaa.gov/2022-08/2021-HARBOR%20PORPOISE-Monterey%20Bay%20Stock.pdf" TargetMode="External"/><Relationship Id="rId338" Type="http://schemas.openxmlformats.org/officeDocument/2006/relationships/hyperlink" Target="https://media.fisheries.noaa.gov/2022-08/2021-HARBOR%20PORPOISE-Monterey%20Bay%20Stock.pdf" TargetMode="External"/><Relationship Id="rId337" Type="http://schemas.openxmlformats.org/officeDocument/2006/relationships/hyperlink" Target="https://media.fisheries.noaa.gov/2022-08/2021-HARBOR%20PORPOISE-Monterey%20Bay%20Stock.pdf" TargetMode="External"/><Relationship Id="rId336" Type="http://schemas.openxmlformats.org/officeDocument/2006/relationships/hyperlink" Target="https://media.fisheries.noaa.gov/2022-08/2021-HARBOR%20PORPOISE-Monterey%20Bay%20Stock.pdf" TargetMode="External"/><Relationship Id="rId335" Type="http://schemas.openxmlformats.org/officeDocument/2006/relationships/hyperlink" Target="https://media.fisheries.noaa.gov/2022-08/2021-HARBOR%20PORPOISE-Monterey%20Bay%20Stock.pdf" TargetMode="External"/><Relationship Id="rId339" Type="http://schemas.openxmlformats.org/officeDocument/2006/relationships/hyperlink" Target="https://media.fisheries.noaa.gov/2022-08/2021-HARBOR%20PORPOISE-Monterey%20Bay%20Stock.pdf" TargetMode="External"/><Relationship Id="rId330" Type="http://schemas.openxmlformats.org/officeDocument/2006/relationships/hyperlink" Target="https://media.fisheries.noaa.gov/2022-08/2021-HARBOR%20PORPOISE-Morro%20Bay%20Stock.pdf" TargetMode="External"/><Relationship Id="rId334" Type="http://schemas.openxmlformats.org/officeDocument/2006/relationships/hyperlink" Target="https://media.fisheries.noaa.gov/2022-08/2021-HARBOR%20PORPOISE-Monterey%20Bay%20Stock.pdf" TargetMode="External"/><Relationship Id="rId333" Type="http://schemas.openxmlformats.org/officeDocument/2006/relationships/hyperlink" Target="https://media.fisheries.noaa.gov/2022-08/2021-HARBOR%20PORPOISE-Morro%20Bay%20Stock.pdf" TargetMode="External"/><Relationship Id="rId332" Type="http://schemas.openxmlformats.org/officeDocument/2006/relationships/hyperlink" Target="https://media.fisheries.noaa.gov/2022-08/2021-HARBOR%20PORPOISE-Morro%20Bay%20Stock.pdf" TargetMode="External"/><Relationship Id="rId331" Type="http://schemas.openxmlformats.org/officeDocument/2006/relationships/hyperlink" Target="https://media.fisheries.noaa.gov/2022-08/2021-HARBOR%20PORPOISE-Morro%20Bay%20Stock.pdf" TargetMode="External"/><Relationship Id="rId370" Type="http://schemas.openxmlformats.org/officeDocument/2006/relationships/hyperlink" Target="https://media.fisheries.noaa.gov/2022-08/2021-HARBOR%20PORPOISE%20-Northern%20CaliforniaSouthern%20Oregon%20Stock.pdf" TargetMode="External"/><Relationship Id="rId369" Type="http://schemas.openxmlformats.org/officeDocument/2006/relationships/hyperlink" Target="https://media.fisheries.noaa.gov/2022-08/2021-HARBOR%20PORPOISE%20-Northern%20CaliforniaSouthern%20Oregon%20Stock.pdf" TargetMode="External"/><Relationship Id="rId368" Type="http://schemas.openxmlformats.org/officeDocument/2006/relationships/hyperlink" Target="https://media.fisheries.noaa.gov/2022-08/2021-HARBOR%20PORPOISE%20-Northern%20CaliforniaSouthern%20Oregon%20Stock.pdf" TargetMode="External"/><Relationship Id="rId363" Type="http://schemas.openxmlformats.org/officeDocument/2006/relationships/hyperlink" Target="https://media.fisheries.noaa.gov/2022-08/2021-HARBOR%20PORPOISE%20-Northern%20CaliforniaSouthern%20Oregon%20Stock.pdf" TargetMode="External"/><Relationship Id="rId362" Type="http://schemas.openxmlformats.org/officeDocument/2006/relationships/hyperlink" Target="https://media.fisheries.noaa.gov/2022-08/2021-HARBOR%20PORPOISE%20-Northern%20CaliforniaSouthern%20Oregon%20Stock.pdf" TargetMode="External"/><Relationship Id="rId361" Type="http://schemas.openxmlformats.org/officeDocument/2006/relationships/hyperlink" Target="https://media.fisheries.noaa.gov/2022-08/2021-HARBOR%20PORPOISE-Monterey%20Bay%20Stock.pdf" TargetMode="External"/><Relationship Id="rId360" Type="http://schemas.openxmlformats.org/officeDocument/2006/relationships/hyperlink" Target="https://media.fisheries.noaa.gov/2022-08/2021-HARBOR%20PORPOISE-Monterey%20Bay%20Stock.pdf" TargetMode="External"/><Relationship Id="rId367" Type="http://schemas.openxmlformats.org/officeDocument/2006/relationships/hyperlink" Target="https://media.fisheries.noaa.gov/2022-08/2021-HARBOR%20PORPOISE%20-Northern%20CaliforniaSouthern%20Oregon%20Stock.pdf" TargetMode="External"/><Relationship Id="rId366" Type="http://schemas.openxmlformats.org/officeDocument/2006/relationships/hyperlink" Target="https://media.fisheries.noaa.gov/2022-08/2021-HARBOR%20PORPOISE%20-Northern%20CaliforniaSouthern%20Oregon%20Stock.pdf" TargetMode="External"/><Relationship Id="rId365" Type="http://schemas.openxmlformats.org/officeDocument/2006/relationships/hyperlink" Target="https://media.fisheries.noaa.gov/2022-08/2021-HARBOR%20PORPOISE%20-Northern%20CaliforniaSouthern%20Oregon%20Stock.pdf" TargetMode="External"/><Relationship Id="rId364" Type="http://schemas.openxmlformats.org/officeDocument/2006/relationships/hyperlink" Target="https://media.fisheries.noaa.gov/2022-08/2021-HARBOR%20PORPOISE%20-Northern%20CaliforniaSouthern%20Oregon%20Stock.pdf" TargetMode="External"/><Relationship Id="rId95" Type="http://schemas.openxmlformats.org/officeDocument/2006/relationships/hyperlink" Target="https://media.fisheries.noaa.gov/2022-08/2021-PacBluewhale-Eastern%20North%20Pacific%20Stock.pdf" TargetMode="External"/><Relationship Id="rId94" Type="http://schemas.openxmlformats.org/officeDocument/2006/relationships/hyperlink" Target="https://media.fisheries.noaa.gov/2022-08/2021-PacBluewhale-Eastern%20North%20Pacific%20Stock.pdf" TargetMode="External"/><Relationship Id="rId97" Type="http://schemas.openxmlformats.org/officeDocument/2006/relationships/hyperlink" Target="https://media.fisheries.noaa.gov/2022-08/2021-PacBluewhale-Eastern%20North%20Pacific%20Stock.pdf" TargetMode="External"/><Relationship Id="rId96" Type="http://schemas.openxmlformats.org/officeDocument/2006/relationships/hyperlink" Target="https://media.fisheries.noaa.gov/2022-08/2021-PacBluewhale-Eastern%20North%20Pacific%20Stock.pdf" TargetMode="External"/><Relationship Id="rId99" Type="http://schemas.openxmlformats.org/officeDocument/2006/relationships/hyperlink" Target="https://media.fisheries.noaa.gov/2022-08/2021-PacBluewhale-Eastern%20North%20Pacific%20Stock.pdf" TargetMode="External"/><Relationship Id="rId98" Type="http://schemas.openxmlformats.org/officeDocument/2006/relationships/hyperlink" Target="https://media.fisheries.noaa.gov/2022-08/2021-PacBluewhale-Eastern%20North%20Pacific%20Stock.pdf" TargetMode="External"/><Relationship Id="rId91" Type="http://schemas.openxmlformats.org/officeDocument/2006/relationships/hyperlink" Target="https://media.fisheries.noaa.gov/2022-08/2021-PacBluewhale-Eastern%20North%20Pacific%20Stock.pdf" TargetMode="External"/><Relationship Id="rId90" Type="http://schemas.openxmlformats.org/officeDocument/2006/relationships/hyperlink" Target="https://media.fisheries.noaa.gov/2022-08/2021-PacBluewhale-Eastern%20North%20Pacific%20Stock.pdf" TargetMode="External"/><Relationship Id="rId93" Type="http://schemas.openxmlformats.org/officeDocument/2006/relationships/hyperlink" Target="https://media.fisheries.noaa.gov/2022-08/2021-PacBluewhale-Eastern%20North%20Pacific%20Stock.pdf" TargetMode="External"/><Relationship Id="rId92" Type="http://schemas.openxmlformats.org/officeDocument/2006/relationships/hyperlink" Target="https://media.fisheries.noaa.gov/2022-08/2021-PacBluewhale-Eastern%20North%20Pacific%20Stock.pdf" TargetMode="External"/><Relationship Id="rId359" Type="http://schemas.openxmlformats.org/officeDocument/2006/relationships/hyperlink" Target="https://media.fisheries.noaa.gov/2022-08/2021-HARBOR%20PORPOISE-Monterey%20Bay%20Stock.pdf" TargetMode="External"/><Relationship Id="rId358" Type="http://schemas.openxmlformats.org/officeDocument/2006/relationships/hyperlink" Target="https://media.fisheries.noaa.gov/2022-08/2021-HARBOR%20PORPOISE-Monterey%20Bay%20Stock.pdf" TargetMode="External"/><Relationship Id="rId357" Type="http://schemas.openxmlformats.org/officeDocument/2006/relationships/hyperlink" Target="https://media.fisheries.noaa.gov/2022-08/2021-HARBOR%20PORPOISE-Monterey%20Bay%20Stock.pdf" TargetMode="External"/><Relationship Id="rId352" Type="http://schemas.openxmlformats.org/officeDocument/2006/relationships/hyperlink" Target="https://media.fisheries.noaa.gov/2022-08/2021-HARBOR%20PORPOISE-Monterey%20Bay%20Stock.pdf" TargetMode="External"/><Relationship Id="rId351" Type="http://schemas.openxmlformats.org/officeDocument/2006/relationships/hyperlink" Target="https://media.fisheries.noaa.gov/2022-08/2021-HARBOR%20PORPOISE-Monterey%20Bay%20Stock.pdf" TargetMode="External"/><Relationship Id="rId350" Type="http://schemas.openxmlformats.org/officeDocument/2006/relationships/hyperlink" Target="https://media.fisheries.noaa.gov/2022-08/2021-HARBOR%20PORPOISE-Monterey%20Bay%20Stock.pdf" TargetMode="External"/><Relationship Id="rId356" Type="http://schemas.openxmlformats.org/officeDocument/2006/relationships/hyperlink" Target="https://media.fisheries.noaa.gov/2022-08/2021-HARBOR%20PORPOISE-Monterey%20Bay%20Stock.pdf" TargetMode="External"/><Relationship Id="rId355" Type="http://schemas.openxmlformats.org/officeDocument/2006/relationships/hyperlink" Target="https://media.fisheries.noaa.gov/2022-08/2021-HARBOR%20PORPOISE-Monterey%20Bay%20Stock.pdf" TargetMode="External"/><Relationship Id="rId354" Type="http://schemas.openxmlformats.org/officeDocument/2006/relationships/hyperlink" Target="https://media.fisheries.noaa.gov/2022-08/2021-HARBOR%20PORPOISE-Monterey%20Bay%20Stock.pdf" TargetMode="External"/><Relationship Id="rId353" Type="http://schemas.openxmlformats.org/officeDocument/2006/relationships/hyperlink" Target="https://media.fisheries.noaa.gov/2022-08/2021-HARBOR%20PORPOISE-Monterey%20Bay%20Stock.pdf" TargetMode="External"/><Relationship Id="rId1378" Type="http://schemas.openxmlformats.org/officeDocument/2006/relationships/hyperlink" Target="https://media.fisheries.noaa.gov/dam-migration/2019_sars_alaska_steller_sea_lion_-_eastern_us.pdf" TargetMode="External"/><Relationship Id="rId1379" Type="http://schemas.openxmlformats.org/officeDocument/2006/relationships/hyperlink" Target="https://media.fisheries.noaa.gov/dam-migration/2019_sars_alaska_steller_sea_lion_-_eastern_us.pdf" TargetMode="External"/><Relationship Id="rId305" Type="http://schemas.openxmlformats.org/officeDocument/2006/relationships/hyperlink" Target="https://media.fisheries.noaa.gov/2022-08/2021-HARBOR%20PORPOISE-San%20Francisco-Russian%20River%20Stock.pdf" TargetMode="External"/><Relationship Id="rId789" Type="http://schemas.openxmlformats.org/officeDocument/2006/relationships/hyperlink" Target="https://s3.amazonaws.com/media.fisheries.noaa.gov/2020-10/2019%20humpback%20whale%20gulf%20of%20Maine%20508.pdf?null" TargetMode="External"/><Relationship Id="rId304" Type="http://schemas.openxmlformats.org/officeDocument/2006/relationships/hyperlink" Target="https://media.fisheries.noaa.gov/2022-08/2021-HARBOR%20PORPOISE-San%20Francisco-Russian%20River%20Stock.pdf" TargetMode="External"/><Relationship Id="rId788" Type="http://schemas.openxmlformats.org/officeDocument/2006/relationships/hyperlink" Target="https://s3.amazonaws.com/media.fisheries.noaa.gov/2020-10/2019%20humpback%20whale%20gulf%20of%20Maine%20508.pdf?null" TargetMode="External"/><Relationship Id="rId303" Type="http://schemas.openxmlformats.org/officeDocument/2006/relationships/hyperlink" Target="https://media.fisheries.noaa.gov/2022-08/2021-HARBOR%20PORPOISE-San%20Francisco-Russian%20River%20Stock.pdf" TargetMode="External"/><Relationship Id="rId787" Type="http://schemas.openxmlformats.org/officeDocument/2006/relationships/hyperlink" Target="https://s3.amazonaws.com/media.fisheries.noaa.gov/2020-10/2019%20humpback%20whale%20gulf%20of%20Maine%20508.pdf?null" TargetMode="External"/><Relationship Id="rId302" Type="http://schemas.openxmlformats.org/officeDocument/2006/relationships/hyperlink" Target="https://media.fisheries.noaa.gov/2022-08/2021-HARBOR%20PORPOISE-San%20Francisco-Russian%20River%20Stock.pdf" TargetMode="External"/><Relationship Id="rId786" Type="http://schemas.openxmlformats.org/officeDocument/2006/relationships/hyperlink" Target="https://s3.amazonaws.com/media.fisheries.noaa.gov/2020-10/2019%20humpback%20whale%20gulf%20of%20Maine%20508.pdf?null" TargetMode="External"/><Relationship Id="rId309" Type="http://schemas.openxmlformats.org/officeDocument/2006/relationships/hyperlink" Target="https://media.fisheries.noaa.gov/2022-08/2021-HARBOR%20PORPOISE-Morro%20Bay%20Stock.pdf" TargetMode="External"/><Relationship Id="rId308" Type="http://schemas.openxmlformats.org/officeDocument/2006/relationships/hyperlink" Target="https://media.fisheries.noaa.gov/2022-08/2021-HARBOR%20PORPOISE-Morro%20Bay%20Stock.pdf" TargetMode="External"/><Relationship Id="rId307" Type="http://schemas.openxmlformats.org/officeDocument/2006/relationships/hyperlink" Target="https://media.fisheries.noaa.gov/2022-08/2021-HARBOR%20PORPOISE-San%20Francisco-Russian%20River%20Stock.pdf" TargetMode="External"/><Relationship Id="rId306" Type="http://schemas.openxmlformats.org/officeDocument/2006/relationships/hyperlink" Target="https://media.fisheries.noaa.gov/2022-08/2021-HARBOR%20PORPOISE-San%20Francisco-Russian%20River%20Stock.pdf" TargetMode="External"/><Relationship Id="rId781" Type="http://schemas.openxmlformats.org/officeDocument/2006/relationships/hyperlink" Target="https://media.fisheries.noaa.gov/2022-08/2021-HumpbackWhale-CaliforniaOregonWashington%20Stock.pdf" TargetMode="External"/><Relationship Id="rId1370" Type="http://schemas.openxmlformats.org/officeDocument/2006/relationships/hyperlink" Target="https://media.fisheries.noaa.gov/dam-migration/2019_sars_alaska_steller_sea_lion_-_eastern_us.pdf" TargetMode="External"/><Relationship Id="rId780" Type="http://schemas.openxmlformats.org/officeDocument/2006/relationships/hyperlink" Target="https://media.fisheries.noaa.gov/2022-08/2021-HumpbackWhale-CaliforniaOregonWashington%20Stock.pdf" TargetMode="External"/><Relationship Id="rId1371" Type="http://schemas.openxmlformats.org/officeDocument/2006/relationships/hyperlink" Target="https://media.fisheries.noaa.gov/dam-migration/2019_sars_alaska_steller_sea_lion_-_eastern_us.pdf" TargetMode="External"/><Relationship Id="rId1372" Type="http://schemas.openxmlformats.org/officeDocument/2006/relationships/hyperlink" Target="https://media.fisheries.noaa.gov/dam-migration/2019_sars_alaska_steller_sea_lion_-_eastern_us.pdf" TargetMode="External"/><Relationship Id="rId1373" Type="http://schemas.openxmlformats.org/officeDocument/2006/relationships/hyperlink" Target="https://media.fisheries.noaa.gov/dam-migration/2019_sars_alaska_steller_sea_lion_-_eastern_us.pdf" TargetMode="External"/><Relationship Id="rId301" Type="http://schemas.openxmlformats.org/officeDocument/2006/relationships/hyperlink" Target="https://media.fisheries.noaa.gov/2022-08/2021-HARBOR%20PORPOISE-San%20Francisco-Russian%20River%20Stock.pdf" TargetMode="External"/><Relationship Id="rId785" Type="http://schemas.openxmlformats.org/officeDocument/2006/relationships/hyperlink" Target="https://s3.amazonaws.com/media.fisheries.noaa.gov/2020-10/2019%20humpback%20whale%20gulf%20of%20Maine%20508.pdf?null" TargetMode="External"/><Relationship Id="rId1374" Type="http://schemas.openxmlformats.org/officeDocument/2006/relationships/hyperlink" Target="https://media.fisheries.noaa.gov/dam-migration/2019_sars_alaska_steller_sea_lion_-_eastern_us.pdf" TargetMode="External"/><Relationship Id="rId300" Type="http://schemas.openxmlformats.org/officeDocument/2006/relationships/hyperlink" Target="https://media.fisheries.noaa.gov/2022-08/2021-HARBOR%20PORPOISE-San%20Francisco-Russian%20River%20Stock.pdf" TargetMode="External"/><Relationship Id="rId784" Type="http://schemas.openxmlformats.org/officeDocument/2006/relationships/hyperlink" Target="https://s3.amazonaws.com/media.fisheries.noaa.gov/2020-10/2019%20humpback%20whale%20gulf%20of%20Maine%20508.pdf?null" TargetMode="External"/><Relationship Id="rId1375" Type="http://schemas.openxmlformats.org/officeDocument/2006/relationships/hyperlink" Target="https://media.fisheries.noaa.gov/dam-migration/2019_sars_alaska_steller_sea_lion_-_eastern_us.pdf" TargetMode="External"/><Relationship Id="rId783" Type="http://schemas.openxmlformats.org/officeDocument/2006/relationships/hyperlink" Target="https://s3.amazonaws.com/media.fisheries.noaa.gov/2020-10/2019%20humpback%20whale%20gulf%20of%20Maine%20508.pdf?null" TargetMode="External"/><Relationship Id="rId1376" Type="http://schemas.openxmlformats.org/officeDocument/2006/relationships/hyperlink" Target="https://media.fisheries.noaa.gov/dam-migration/2019_sars_alaska_steller_sea_lion_-_eastern_us.pdf" TargetMode="External"/><Relationship Id="rId782" Type="http://schemas.openxmlformats.org/officeDocument/2006/relationships/hyperlink" Target="https://media.fisheries.noaa.gov/2022-08/2021-HumpbackWhale-CaliforniaOregonWashington%20Stock.pdf" TargetMode="External"/><Relationship Id="rId1377" Type="http://schemas.openxmlformats.org/officeDocument/2006/relationships/hyperlink" Target="https://media.fisheries.noaa.gov/dam-migration/2019_sars_alaska_steller_sea_lion_-_eastern_us.pdf" TargetMode="External"/><Relationship Id="rId1367" Type="http://schemas.openxmlformats.org/officeDocument/2006/relationships/hyperlink" Target="https://media.fisheries.noaa.gov/dam-migration/2019_sars_alaska_steller_sea_lion_-_eastern_us.pdf" TargetMode="External"/><Relationship Id="rId1368" Type="http://schemas.openxmlformats.org/officeDocument/2006/relationships/hyperlink" Target="https://media.fisheries.noaa.gov/dam-migration/2019_sars_alaska_steller_sea_lion_-_eastern_us.pdf" TargetMode="External"/><Relationship Id="rId1369" Type="http://schemas.openxmlformats.org/officeDocument/2006/relationships/hyperlink" Target="https://media.fisheries.noaa.gov/dam-migration/2019_sars_alaska_steller_sea_lion_-_eastern_us.pdf" TargetMode="External"/><Relationship Id="rId778" Type="http://schemas.openxmlformats.org/officeDocument/2006/relationships/hyperlink" Target="https://media.fisheries.noaa.gov/2022-08/2021-HumpbackWhale-CaliforniaOregonWashington%20Stock.pdf" TargetMode="External"/><Relationship Id="rId777" Type="http://schemas.openxmlformats.org/officeDocument/2006/relationships/hyperlink" Target="https://media.fisheries.noaa.gov/2022-08/2021-HumpbackWhale-CaliforniaOregonWashington%20Stock.pdf" TargetMode="External"/><Relationship Id="rId776" Type="http://schemas.openxmlformats.org/officeDocument/2006/relationships/hyperlink" Target="https://media.fisheries.noaa.gov/2022-08/2021-HumpbackWhale-CaliforniaOregonWashington%20Stock.pdf" TargetMode="External"/><Relationship Id="rId775" Type="http://schemas.openxmlformats.org/officeDocument/2006/relationships/hyperlink" Target="https://media.fisheries.noaa.gov/2022-08/2021-HumpbackWhale-CaliforniaOregonWashington%20Stock.pdf" TargetMode="External"/><Relationship Id="rId779" Type="http://schemas.openxmlformats.org/officeDocument/2006/relationships/hyperlink" Target="https://media.fisheries.noaa.gov/2022-08/2021-HumpbackWhale-CaliforniaOregonWashington%20Stock.pdf" TargetMode="External"/><Relationship Id="rId770" Type="http://schemas.openxmlformats.org/officeDocument/2006/relationships/hyperlink" Target="https://media.fisheries.noaa.gov/2022-08/2021-HumpbackWhale-CaliforniaOregonWashington%20Stock.pdf" TargetMode="External"/><Relationship Id="rId1360" Type="http://schemas.openxmlformats.org/officeDocument/2006/relationships/hyperlink" Target="https://media.fisheries.noaa.gov/dam-migration/2019_sars_alaska_steller_sea_lion_-_eastern_us.pdf" TargetMode="External"/><Relationship Id="rId1361" Type="http://schemas.openxmlformats.org/officeDocument/2006/relationships/hyperlink" Target="https://media.fisheries.noaa.gov/dam-migration/2019_sars_alaska_steller_sea_lion_-_eastern_us.pdf" TargetMode="External"/><Relationship Id="rId1362" Type="http://schemas.openxmlformats.org/officeDocument/2006/relationships/hyperlink" Target="https://media.fisheries.noaa.gov/dam-migration/2019_sars_alaska_steller_sea_lion_-_eastern_us.pdf" TargetMode="External"/><Relationship Id="rId774" Type="http://schemas.openxmlformats.org/officeDocument/2006/relationships/hyperlink" Target="https://media.fisheries.noaa.gov/2022-08/2021-HumpbackWhale-CaliforniaOregonWashington%20Stock.pdf" TargetMode="External"/><Relationship Id="rId1363" Type="http://schemas.openxmlformats.org/officeDocument/2006/relationships/hyperlink" Target="https://media.fisheries.noaa.gov/dam-migration/2019_sars_alaska_steller_sea_lion_-_eastern_us.pdf" TargetMode="External"/><Relationship Id="rId773" Type="http://schemas.openxmlformats.org/officeDocument/2006/relationships/hyperlink" Target="https://media.fisheries.noaa.gov/2022-08/2021-HumpbackWhale-CaliforniaOregonWashington%20Stock.pdf" TargetMode="External"/><Relationship Id="rId1364" Type="http://schemas.openxmlformats.org/officeDocument/2006/relationships/hyperlink" Target="https://media.fisheries.noaa.gov/dam-migration/2019_sars_alaska_steller_sea_lion_-_eastern_us.pdf" TargetMode="External"/><Relationship Id="rId772" Type="http://schemas.openxmlformats.org/officeDocument/2006/relationships/hyperlink" Target="https://media.fisheries.noaa.gov/2022-08/2021-HumpbackWhale-CaliforniaOregonWashington%20Stock.pdf" TargetMode="External"/><Relationship Id="rId1365" Type="http://schemas.openxmlformats.org/officeDocument/2006/relationships/hyperlink" Target="https://media.fisheries.noaa.gov/dam-migration/2019_sars_alaska_steller_sea_lion_-_eastern_us.pdf" TargetMode="External"/><Relationship Id="rId771" Type="http://schemas.openxmlformats.org/officeDocument/2006/relationships/hyperlink" Target="https://media.fisheries.noaa.gov/2022-08/2021-HumpbackWhale-CaliforniaOregonWashington%20Stock.pdf" TargetMode="External"/><Relationship Id="rId1366" Type="http://schemas.openxmlformats.org/officeDocument/2006/relationships/hyperlink" Target="https://media.fisheries.noaa.gov/dam-migration/2019_sars_alaska_steller_sea_lion_-_eastern_us.pdf" TargetMode="External"/><Relationship Id="rId327" Type="http://schemas.openxmlformats.org/officeDocument/2006/relationships/hyperlink" Target="https://media.fisheries.noaa.gov/2022-08/2021-HARBOR%20PORPOISE-Morro%20Bay%20Stock.pdf" TargetMode="External"/><Relationship Id="rId326" Type="http://schemas.openxmlformats.org/officeDocument/2006/relationships/hyperlink" Target="https://media.fisheries.noaa.gov/2022-08/2021-HARBOR%20PORPOISE-Morro%20Bay%20Stock.pdf" TargetMode="External"/><Relationship Id="rId325" Type="http://schemas.openxmlformats.org/officeDocument/2006/relationships/hyperlink" Target="https://media.fisheries.noaa.gov/2022-08/2021-HARBOR%20PORPOISE-Morro%20Bay%20Stock.pdf" TargetMode="External"/><Relationship Id="rId324" Type="http://schemas.openxmlformats.org/officeDocument/2006/relationships/hyperlink" Target="https://media.fisheries.noaa.gov/2022-08/2021-HARBOR%20PORPOISE-Morro%20Bay%20Stock.pdf" TargetMode="External"/><Relationship Id="rId329" Type="http://schemas.openxmlformats.org/officeDocument/2006/relationships/hyperlink" Target="https://media.fisheries.noaa.gov/2022-08/2021-HARBOR%20PORPOISE-Morro%20Bay%20Stock.pdf" TargetMode="External"/><Relationship Id="rId1390" Type="http://schemas.openxmlformats.org/officeDocument/2006/relationships/hyperlink" Target="https://media.fisheries.noaa.gov/dam-migration/2019_sars_alaska_steller_sea_lion_-_eastern_us.pdf" TargetMode="External"/><Relationship Id="rId328" Type="http://schemas.openxmlformats.org/officeDocument/2006/relationships/hyperlink" Target="https://media.fisheries.noaa.gov/2022-08/2021-HARBOR%20PORPOISE-Morro%20Bay%20Stock.pdf" TargetMode="External"/><Relationship Id="rId1391" Type="http://schemas.openxmlformats.org/officeDocument/2006/relationships/hyperlink" Target="https://media.fisheries.noaa.gov/dam-migration/2019_sars_alaska_steller_sea_lion_-_eastern_us.pdf" TargetMode="External"/><Relationship Id="rId1392" Type="http://schemas.openxmlformats.org/officeDocument/2006/relationships/hyperlink" Target="https://media.fisheries.noaa.gov/dam-migration/2019_sars_alaska_steller_sea_lion_-_eastern_us.pdf" TargetMode="External"/><Relationship Id="rId1393" Type="http://schemas.openxmlformats.org/officeDocument/2006/relationships/hyperlink" Target="https://media.fisheries.noaa.gov/dam-migration/2019_sars_alaska_steller_sea_lion_-_eastern_us.pdf" TargetMode="External"/><Relationship Id="rId1394" Type="http://schemas.openxmlformats.org/officeDocument/2006/relationships/hyperlink" Target="https://media.fisheries.noaa.gov/dam-migration/2019_sars_alaska_steller_sea_lion_-_eastern_us.pdf" TargetMode="External"/><Relationship Id="rId1395" Type="http://schemas.openxmlformats.org/officeDocument/2006/relationships/hyperlink" Target="https://media.fisheries.noaa.gov/dam-migration/2019_sars_alaska_steller_sea_lion_-_eastern_us.pdf" TargetMode="External"/><Relationship Id="rId323" Type="http://schemas.openxmlformats.org/officeDocument/2006/relationships/hyperlink" Target="https://media.fisheries.noaa.gov/2022-08/2021-HARBOR%20PORPOISE-Morro%20Bay%20Stock.pdf" TargetMode="External"/><Relationship Id="rId1396" Type="http://schemas.openxmlformats.org/officeDocument/2006/relationships/hyperlink" Target="https://media.fisheries.noaa.gov/dam-migration/2019_sars_alaska_steller_sea_lion_-_eastern_us.pdf" TargetMode="External"/><Relationship Id="rId322" Type="http://schemas.openxmlformats.org/officeDocument/2006/relationships/hyperlink" Target="https://media.fisheries.noaa.gov/2022-08/2021-HARBOR%20PORPOISE-Morro%20Bay%20Stock.pdf" TargetMode="External"/><Relationship Id="rId1397" Type="http://schemas.openxmlformats.org/officeDocument/2006/relationships/hyperlink" Target="https://media.fisheries.noaa.gov/dam-migration/2019_sars_alaska_steller_sea_lion_-_eastern_us.pdf" TargetMode="External"/><Relationship Id="rId321" Type="http://schemas.openxmlformats.org/officeDocument/2006/relationships/hyperlink" Target="https://media.fisheries.noaa.gov/2022-08/2021-HARBOR%20PORPOISE-Morro%20Bay%20Stock.pdf" TargetMode="External"/><Relationship Id="rId1398" Type="http://schemas.openxmlformats.org/officeDocument/2006/relationships/hyperlink" Target="https://media.fisheries.noaa.gov/dam-migration/2019_sars_alaska_steller_sea_lion_-_eastern_us.pdf" TargetMode="External"/><Relationship Id="rId320" Type="http://schemas.openxmlformats.org/officeDocument/2006/relationships/hyperlink" Target="https://media.fisheries.noaa.gov/2022-08/2021-HARBOR%20PORPOISE-Morro%20Bay%20Stock.pdf" TargetMode="External"/><Relationship Id="rId1399" Type="http://schemas.openxmlformats.org/officeDocument/2006/relationships/hyperlink" Target="https://media.fisheries.noaa.gov/dam-migration/2019_sars_alaska_steller_sea_lion_-_eastern_us.pdf" TargetMode="External"/><Relationship Id="rId1389" Type="http://schemas.openxmlformats.org/officeDocument/2006/relationships/hyperlink" Target="https://media.fisheries.noaa.gov/dam-migration/2019_sars_alaska_steller_sea_lion_-_eastern_us.pdf" TargetMode="External"/><Relationship Id="rId316" Type="http://schemas.openxmlformats.org/officeDocument/2006/relationships/hyperlink" Target="https://media.fisheries.noaa.gov/2022-08/2021-HARBOR%20PORPOISE-Morro%20Bay%20Stock.pdf" TargetMode="External"/><Relationship Id="rId315" Type="http://schemas.openxmlformats.org/officeDocument/2006/relationships/hyperlink" Target="https://media.fisheries.noaa.gov/2022-08/2021-HARBOR%20PORPOISE-Morro%20Bay%20Stock.pdf" TargetMode="External"/><Relationship Id="rId799" Type="http://schemas.openxmlformats.org/officeDocument/2006/relationships/hyperlink" Target="https://s3.amazonaws.com/media.fisheries.noaa.gov/2020-10/2019%20humpback%20whale%20gulf%20of%20Maine%20508.pdf?null" TargetMode="External"/><Relationship Id="rId314" Type="http://schemas.openxmlformats.org/officeDocument/2006/relationships/hyperlink" Target="https://media.fisheries.noaa.gov/2022-08/2021-HARBOR%20PORPOISE-Morro%20Bay%20Stock.pdf" TargetMode="External"/><Relationship Id="rId798" Type="http://schemas.openxmlformats.org/officeDocument/2006/relationships/hyperlink" Target="https://s3.amazonaws.com/media.fisheries.noaa.gov/2020-10/2019%20humpback%20whale%20gulf%20of%20Maine%20508.pdf?null" TargetMode="External"/><Relationship Id="rId313" Type="http://schemas.openxmlformats.org/officeDocument/2006/relationships/hyperlink" Target="https://media.fisheries.noaa.gov/2022-08/2021-HARBOR%20PORPOISE-Morro%20Bay%20Stock.pdf" TargetMode="External"/><Relationship Id="rId797" Type="http://schemas.openxmlformats.org/officeDocument/2006/relationships/hyperlink" Target="https://s3.amazonaws.com/media.fisheries.noaa.gov/2020-10/2019%20humpback%20whale%20gulf%20of%20Maine%20508.pdf?null" TargetMode="External"/><Relationship Id="rId319" Type="http://schemas.openxmlformats.org/officeDocument/2006/relationships/hyperlink" Target="https://media.fisheries.noaa.gov/2022-08/2021-HARBOR%20PORPOISE-Morro%20Bay%20Stock.pdf" TargetMode="External"/><Relationship Id="rId318" Type="http://schemas.openxmlformats.org/officeDocument/2006/relationships/hyperlink" Target="https://media.fisheries.noaa.gov/2022-08/2021-HARBOR%20PORPOISE-Morro%20Bay%20Stock.pdf" TargetMode="External"/><Relationship Id="rId317" Type="http://schemas.openxmlformats.org/officeDocument/2006/relationships/hyperlink" Target="https://media.fisheries.noaa.gov/2022-08/2021-HARBOR%20PORPOISE-Morro%20Bay%20Stock.pdf" TargetMode="External"/><Relationship Id="rId1380" Type="http://schemas.openxmlformats.org/officeDocument/2006/relationships/hyperlink" Target="https://media.fisheries.noaa.gov/dam-migration/2019_sars_alaska_steller_sea_lion_-_eastern_us.pdf" TargetMode="External"/><Relationship Id="rId792" Type="http://schemas.openxmlformats.org/officeDocument/2006/relationships/hyperlink" Target="https://s3.amazonaws.com/media.fisheries.noaa.gov/2020-10/2019%20humpback%20whale%20gulf%20of%20Maine%20508.pdf?null" TargetMode="External"/><Relationship Id="rId1381" Type="http://schemas.openxmlformats.org/officeDocument/2006/relationships/hyperlink" Target="https://media.fisheries.noaa.gov/dam-migration/2019_sars_alaska_steller_sea_lion_-_eastern_us.pdf" TargetMode="External"/><Relationship Id="rId791" Type="http://schemas.openxmlformats.org/officeDocument/2006/relationships/hyperlink" Target="https://s3.amazonaws.com/media.fisheries.noaa.gov/2020-10/2019%20humpback%20whale%20gulf%20of%20Maine%20508.pdf?null" TargetMode="External"/><Relationship Id="rId1382" Type="http://schemas.openxmlformats.org/officeDocument/2006/relationships/hyperlink" Target="https://media.fisheries.noaa.gov/dam-migration/2019_sars_alaska_steller_sea_lion_-_eastern_us.pdf" TargetMode="External"/><Relationship Id="rId790" Type="http://schemas.openxmlformats.org/officeDocument/2006/relationships/hyperlink" Target="https://s3.amazonaws.com/media.fisheries.noaa.gov/2020-10/2019%20humpback%20whale%20gulf%20of%20Maine%20508.pdf?null" TargetMode="External"/><Relationship Id="rId1383" Type="http://schemas.openxmlformats.org/officeDocument/2006/relationships/hyperlink" Target="https://media.fisheries.noaa.gov/dam-migration/2019_sars_alaska_steller_sea_lion_-_eastern_us.pdf" TargetMode="External"/><Relationship Id="rId1384" Type="http://schemas.openxmlformats.org/officeDocument/2006/relationships/hyperlink" Target="https://media.fisheries.noaa.gov/dam-migration/2019_sars_alaska_steller_sea_lion_-_eastern_us.pdf" TargetMode="External"/><Relationship Id="rId312" Type="http://schemas.openxmlformats.org/officeDocument/2006/relationships/hyperlink" Target="https://media.fisheries.noaa.gov/2022-08/2021-HARBOR%20PORPOISE-Morro%20Bay%20Stock.pdf" TargetMode="External"/><Relationship Id="rId796" Type="http://schemas.openxmlformats.org/officeDocument/2006/relationships/hyperlink" Target="https://s3.amazonaws.com/media.fisheries.noaa.gov/2020-10/2019%20humpback%20whale%20gulf%20of%20Maine%20508.pdf?null" TargetMode="External"/><Relationship Id="rId1385" Type="http://schemas.openxmlformats.org/officeDocument/2006/relationships/hyperlink" Target="https://media.fisheries.noaa.gov/dam-migration/2019_sars_alaska_steller_sea_lion_-_eastern_us.pdf" TargetMode="External"/><Relationship Id="rId311" Type="http://schemas.openxmlformats.org/officeDocument/2006/relationships/hyperlink" Target="https://media.fisheries.noaa.gov/2022-08/2021-HARBOR%20PORPOISE-Morro%20Bay%20Stock.pdf" TargetMode="External"/><Relationship Id="rId795" Type="http://schemas.openxmlformats.org/officeDocument/2006/relationships/hyperlink" Target="https://s3.amazonaws.com/media.fisheries.noaa.gov/2020-10/2019%20humpback%20whale%20gulf%20of%20Maine%20508.pdf?null" TargetMode="External"/><Relationship Id="rId1386" Type="http://schemas.openxmlformats.org/officeDocument/2006/relationships/hyperlink" Target="https://media.fisheries.noaa.gov/dam-migration/2019_sars_alaska_steller_sea_lion_-_eastern_us.pdf" TargetMode="External"/><Relationship Id="rId310" Type="http://schemas.openxmlformats.org/officeDocument/2006/relationships/hyperlink" Target="https://media.fisheries.noaa.gov/2022-08/2021-HARBOR%20PORPOISE-Morro%20Bay%20Stock.pdf" TargetMode="External"/><Relationship Id="rId794" Type="http://schemas.openxmlformats.org/officeDocument/2006/relationships/hyperlink" Target="https://s3.amazonaws.com/media.fisheries.noaa.gov/2020-10/2019%20humpback%20whale%20gulf%20of%20Maine%20508.pdf?null" TargetMode="External"/><Relationship Id="rId1387" Type="http://schemas.openxmlformats.org/officeDocument/2006/relationships/hyperlink" Target="https://media.fisheries.noaa.gov/dam-migration/2019_sars_alaska_steller_sea_lion_-_eastern_us.pdf" TargetMode="External"/><Relationship Id="rId793" Type="http://schemas.openxmlformats.org/officeDocument/2006/relationships/hyperlink" Target="https://s3.amazonaws.com/media.fisheries.noaa.gov/2020-10/2019%20humpback%20whale%20gulf%20of%20Maine%20508.pdf?null" TargetMode="External"/><Relationship Id="rId1388" Type="http://schemas.openxmlformats.org/officeDocument/2006/relationships/hyperlink" Target="https://media.fisheries.noaa.gov/dam-migration/2019_sars_alaska_steller_sea_lion_-_eastern_us.pdf" TargetMode="External"/><Relationship Id="rId297" Type="http://schemas.openxmlformats.org/officeDocument/2006/relationships/hyperlink" Target="https://media.fisheries.noaa.gov/2022-08/2021-HARBOR%20PORPOISE-San%20Francisco-Russian%20River%20Stock.pdf" TargetMode="External"/><Relationship Id="rId296" Type="http://schemas.openxmlformats.org/officeDocument/2006/relationships/hyperlink" Target="https://media.fisheries.noaa.gov/2022-08/2021-HARBOR%20PORPOISE-San%20Francisco-Russian%20River%20Stock.pdf" TargetMode="External"/><Relationship Id="rId295" Type="http://schemas.openxmlformats.org/officeDocument/2006/relationships/hyperlink" Target="https://media.fisheries.noaa.gov/2022-08/2021-HARBOR%20PORPOISE-San%20Francisco-Russian%20River%20Stock.pdf" TargetMode="External"/><Relationship Id="rId294" Type="http://schemas.openxmlformats.org/officeDocument/2006/relationships/hyperlink" Target="https://media.fisheries.noaa.gov/2022-08/2021-HARBOR%20PORPOISE-San%20Francisco-Russian%20River%20Stock.pdf" TargetMode="External"/><Relationship Id="rId299" Type="http://schemas.openxmlformats.org/officeDocument/2006/relationships/hyperlink" Target="https://media.fisheries.noaa.gov/2022-08/2021-HARBOR%20PORPOISE-San%20Francisco-Russian%20River%20Stock.pdf" TargetMode="External"/><Relationship Id="rId298" Type="http://schemas.openxmlformats.org/officeDocument/2006/relationships/hyperlink" Target="https://media.fisheries.noaa.gov/2022-08/2021-HARBOR%20PORPOISE-San%20Francisco-Russian%20River%20Stock.pdf" TargetMode="External"/><Relationship Id="rId271" Type="http://schemas.openxmlformats.org/officeDocument/2006/relationships/hyperlink" Target="https://www.fisheries.noaa.gov/s3/2021-08/2020-Pacific-SARS-Eastern-GrayWhale-dragged-.pdf" TargetMode="External"/><Relationship Id="rId270" Type="http://schemas.openxmlformats.org/officeDocument/2006/relationships/hyperlink" Target="https://www.fisheries.noaa.gov/s3/2021-08/2020-Pacific-SARS-Eastern-GrayWhale-dragged-.pdf" TargetMode="External"/><Relationship Id="rId269" Type="http://schemas.openxmlformats.org/officeDocument/2006/relationships/hyperlink" Target="https://www.fisheries.noaa.gov/s3/2021-08/2020-Pacific-SARS-Eastern-GrayWhale-dragged-.pdf" TargetMode="External"/><Relationship Id="rId264" Type="http://schemas.openxmlformats.org/officeDocument/2006/relationships/hyperlink" Target="https://www.fisheries.noaa.gov/s3/2021-08/2020-Pacific-SARS-Eastern-GrayWhale-dragged-.pdf" TargetMode="External"/><Relationship Id="rId263" Type="http://schemas.openxmlformats.org/officeDocument/2006/relationships/hyperlink" Target="https://www.fisheries.noaa.gov/s3/2021-08/2020-Pacific-SARS-Eastern-GrayWhale-dragged-.pdf" TargetMode="External"/><Relationship Id="rId262" Type="http://schemas.openxmlformats.org/officeDocument/2006/relationships/hyperlink" Target="https://www.fisheries.noaa.gov/s3/2021-08/2020-Pacific-SARS-Eastern-GrayWhale-dragged-.pdf" TargetMode="External"/><Relationship Id="rId261" Type="http://schemas.openxmlformats.org/officeDocument/2006/relationships/hyperlink" Target="https://www.fisheries.noaa.gov/s3/2021-08/2020-Pacific-SARS-Eastern-GrayWhale-dragged-.pdf" TargetMode="External"/><Relationship Id="rId268" Type="http://schemas.openxmlformats.org/officeDocument/2006/relationships/hyperlink" Target="https://www.fisheries.noaa.gov/s3/2021-08/2020-Pacific-SARS-Eastern-GrayWhale-dragged-.pdf" TargetMode="External"/><Relationship Id="rId267" Type="http://schemas.openxmlformats.org/officeDocument/2006/relationships/hyperlink" Target="https://www.fisheries.noaa.gov/s3/2021-08/2020-Pacific-SARS-Eastern-GrayWhale-dragged-.pdf" TargetMode="External"/><Relationship Id="rId266" Type="http://schemas.openxmlformats.org/officeDocument/2006/relationships/hyperlink" Target="https://www.fisheries.noaa.gov/s3/2021-08/2020-Pacific-SARS-Eastern-GrayWhale-dragged-.pdf" TargetMode="External"/><Relationship Id="rId265" Type="http://schemas.openxmlformats.org/officeDocument/2006/relationships/hyperlink" Target="https://www.fisheries.noaa.gov/s3/2021-08/2020-Pacific-SARS-Eastern-GrayWhale-dragged-.pdf" TargetMode="External"/><Relationship Id="rId260" Type="http://schemas.openxmlformats.org/officeDocument/2006/relationships/hyperlink" Target="https://www.fisheries.noaa.gov/s3/2021-08/2020-Pacific-SARS-Eastern-GrayWhale-dragged-.pdf" TargetMode="External"/><Relationship Id="rId259" Type="http://schemas.openxmlformats.org/officeDocument/2006/relationships/hyperlink" Target="https://www.fisheries.noaa.gov/s3/2021-08/2020-Pacific-SARS-Eastern-GrayWhale-dragged-.pdf" TargetMode="External"/><Relationship Id="rId258" Type="http://schemas.openxmlformats.org/officeDocument/2006/relationships/hyperlink" Target="https://www.fisheries.noaa.gov/s3/2021-08/2020-Pacific-SARS-Eastern-GrayWhale-dragged-.pdf" TargetMode="External"/><Relationship Id="rId253" Type="http://schemas.openxmlformats.org/officeDocument/2006/relationships/hyperlink" Target="https://www.fisheries.noaa.gov/s3/2021-08/2020-Pacific-SARS-Eastern-GrayWhale-dragged-.pdf" TargetMode="External"/><Relationship Id="rId252" Type="http://schemas.openxmlformats.org/officeDocument/2006/relationships/hyperlink" Target="https://www.fisheries.noaa.gov/s3/2021-08/2020-Pacific-SARS-Eastern-GrayWhale-dragged-.pdf" TargetMode="External"/><Relationship Id="rId251" Type="http://schemas.openxmlformats.org/officeDocument/2006/relationships/hyperlink" Target="https://www.fisheries.noaa.gov/s3/2021-08/2020-Pacific-SARS-Eastern-GrayWhale-dragged-.pdf" TargetMode="External"/><Relationship Id="rId250" Type="http://schemas.openxmlformats.org/officeDocument/2006/relationships/hyperlink" Target="https://www.fisheries.noaa.gov/s3/2021-08/2020-Pacific-SARS-Eastern-GrayWhale-dragged-.pdf" TargetMode="External"/><Relationship Id="rId257" Type="http://schemas.openxmlformats.org/officeDocument/2006/relationships/hyperlink" Target="https://www.fisheries.noaa.gov/s3/2021-08/2020-Pacific-SARS-Eastern-GrayWhale-dragged-.pdf" TargetMode="External"/><Relationship Id="rId256" Type="http://schemas.openxmlformats.org/officeDocument/2006/relationships/hyperlink" Target="https://www.fisheries.noaa.gov/s3/2021-08/2020-Pacific-SARS-Eastern-GrayWhale-dragged-.pdf" TargetMode="External"/><Relationship Id="rId255" Type="http://schemas.openxmlformats.org/officeDocument/2006/relationships/hyperlink" Target="https://www.fisheries.noaa.gov/s3/2021-08/2020-Pacific-SARS-Eastern-GrayWhale-dragged-.pdf" TargetMode="External"/><Relationship Id="rId254" Type="http://schemas.openxmlformats.org/officeDocument/2006/relationships/hyperlink" Target="https://www.fisheries.noaa.gov/s3/2021-08/2020-Pacific-SARS-Eastern-GrayWhale-dragged-.pdf" TargetMode="External"/><Relationship Id="rId293" Type="http://schemas.openxmlformats.org/officeDocument/2006/relationships/hyperlink" Target="https://media.fisheries.noaa.gov/2022-08/2021-HARBOR%20PORPOISE-San%20Francisco-Russian%20River%20Stock.pdf" TargetMode="External"/><Relationship Id="rId292" Type="http://schemas.openxmlformats.org/officeDocument/2006/relationships/hyperlink" Target="https://media.fisheries.noaa.gov/2022-08/2021-HARBOR%20PORPOISE-San%20Francisco-Russian%20River%20Stock.pdf" TargetMode="External"/><Relationship Id="rId291" Type="http://schemas.openxmlformats.org/officeDocument/2006/relationships/hyperlink" Target="https://media.fisheries.noaa.gov/2022-08/2021-HARBOR%20PORPOISE-San%20Francisco-Russian%20River%20Stock.pdf" TargetMode="External"/><Relationship Id="rId290" Type="http://schemas.openxmlformats.org/officeDocument/2006/relationships/hyperlink" Target="https://media.fisheries.noaa.gov/2022-08/2021-HARBOR%20PORPOISE-San%20Francisco-Russian%20River%20Stock.pdf" TargetMode="External"/><Relationship Id="rId286" Type="http://schemas.openxmlformats.org/officeDocument/2006/relationships/hyperlink" Target="https://media.fisheries.noaa.gov/2022-08/2021-HARBOR%20PORPOISE-San%20Francisco-Russian%20River%20Stock.pdf" TargetMode="External"/><Relationship Id="rId285" Type="http://schemas.openxmlformats.org/officeDocument/2006/relationships/hyperlink" Target="https://media.fisheries.noaa.gov/2022-08/2021-HARBOR%20PORPOISE-San%20Francisco-Russian%20River%20Stock.pdf" TargetMode="External"/><Relationship Id="rId284" Type="http://schemas.openxmlformats.org/officeDocument/2006/relationships/hyperlink" Target="https://media.fisheries.noaa.gov/2022-08/2021-HARBOR%20PORPOISE-San%20Francisco-Russian%20River%20Stock.pdf" TargetMode="External"/><Relationship Id="rId283" Type="http://schemas.openxmlformats.org/officeDocument/2006/relationships/hyperlink" Target="https://media.fisheries.noaa.gov/2022-08/2021-HARBOR%20PORPOISE-San%20Francisco-Russian%20River%20Stock.pdf" TargetMode="External"/><Relationship Id="rId289" Type="http://schemas.openxmlformats.org/officeDocument/2006/relationships/hyperlink" Target="https://media.fisheries.noaa.gov/2022-08/2021-HARBOR%20PORPOISE-San%20Francisco-Russian%20River%20Stock.pdf" TargetMode="External"/><Relationship Id="rId288" Type="http://schemas.openxmlformats.org/officeDocument/2006/relationships/hyperlink" Target="https://media.fisheries.noaa.gov/2022-08/2021-HARBOR%20PORPOISE-San%20Francisco-Russian%20River%20Stock.pdf" TargetMode="External"/><Relationship Id="rId287" Type="http://schemas.openxmlformats.org/officeDocument/2006/relationships/hyperlink" Target="https://media.fisheries.noaa.gov/2022-08/2021-HARBOR%20PORPOISE-San%20Francisco-Russian%20River%20Stock.pdf" TargetMode="External"/><Relationship Id="rId282" Type="http://schemas.openxmlformats.org/officeDocument/2006/relationships/hyperlink" Target="https://media.fisheries.noaa.gov/2022-08/2021-HARBOR%20PORPOISE-San%20Francisco-Russian%20River%20Stock.pdf" TargetMode="External"/><Relationship Id="rId281" Type="http://schemas.openxmlformats.org/officeDocument/2006/relationships/hyperlink" Target="https://media.fisheries.noaa.gov/2022-08/2021-HARBOR%20PORPOISE-San%20Francisco-Russian%20River%20Stock.pdf" TargetMode="External"/><Relationship Id="rId280" Type="http://schemas.openxmlformats.org/officeDocument/2006/relationships/hyperlink" Target="https://media.fisheries.noaa.gov/2022-08/2021-HARBOR%20PORPOISE-San%20Francisco-Russian%20River%20Stock.pdf" TargetMode="External"/><Relationship Id="rId275" Type="http://schemas.openxmlformats.org/officeDocument/2006/relationships/hyperlink" Target="https://www.fisheries.noaa.gov/s3/2021-08/2020-Pacific-SARS-Eastern-GrayWhale-dragged-.pdf" TargetMode="External"/><Relationship Id="rId274" Type="http://schemas.openxmlformats.org/officeDocument/2006/relationships/hyperlink" Target="https://www.fisheries.noaa.gov/s3/2021-08/2020-Pacific-SARS-Eastern-GrayWhale-dragged-.pdf" TargetMode="External"/><Relationship Id="rId273" Type="http://schemas.openxmlformats.org/officeDocument/2006/relationships/hyperlink" Target="https://www.fisheries.noaa.gov/s3/2021-08/2020-Pacific-SARS-Eastern-GrayWhale-dragged-.pdf" TargetMode="External"/><Relationship Id="rId272" Type="http://schemas.openxmlformats.org/officeDocument/2006/relationships/hyperlink" Target="https://www.fisheries.noaa.gov/s3/2021-08/2020-Pacific-SARS-Eastern-GrayWhale-dragged-.pdf" TargetMode="External"/><Relationship Id="rId279" Type="http://schemas.openxmlformats.org/officeDocument/2006/relationships/hyperlink" Target="https://media.fisheries.noaa.gov/2022-08/2021-HARBOR%20PORPOISE-San%20Francisco-Russian%20River%20Stock.pdf" TargetMode="External"/><Relationship Id="rId278" Type="http://schemas.openxmlformats.org/officeDocument/2006/relationships/hyperlink" Target="https://media.fisheries.noaa.gov/2022-08/2021-HARBOR%20PORPOISE-San%20Francisco-Russian%20River%20Stock.pdf" TargetMode="External"/><Relationship Id="rId277" Type="http://schemas.openxmlformats.org/officeDocument/2006/relationships/hyperlink" Target="https://media.fisheries.noaa.gov/2022-08/2021-HARBOR%20PORPOISE-San%20Francisco-Russian%20River%20Stock.pdf" TargetMode="External"/><Relationship Id="rId276" Type="http://schemas.openxmlformats.org/officeDocument/2006/relationships/hyperlink" Target="https://media.fisheries.noaa.gov/2022-08/2021-HARBOR%20PORPOISE-San%20Francisco-Russian%20River%20Stock.pdf" TargetMode="External"/><Relationship Id="rId1851" Type="http://schemas.openxmlformats.org/officeDocument/2006/relationships/hyperlink" Target="https://www.fisheries.noaa.gov/s3/2023-06/STELLERSEALIONEumetopiasjubatusWesternU.S.Stock-.pdf" TargetMode="External"/><Relationship Id="rId1852" Type="http://schemas.openxmlformats.org/officeDocument/2006/relationships/hyperlink" Target="https://www.fisheries.noaa.gov/s3/2023-06/STELLERSEALIONEumetopiasjubatusWesternU.S.Stock-.pdf" TargetMode="External"/><Relationship Id="rId1853" Type="http://schemas.openxmlformats.org/officeDocument/2006/relationships/hyperlink" Target="https://www.fisheries.noaa.gov/s3/2023-06/STELLERSEALIONEumetopiasjubatusWesternU.S.Stock-.pdf" TargetMode="External"/><Relationship Id="rId1854" Type="http://schemas.openxmlformats.org/officeDocument/2006/relationships/hyperlink" Target="https://www.fisheries.noaa.gov/s3/2023-06/STELLERSEALIONEumetopiasjubatusWesternU.S.Stock-.pdf" TargetMode="External"/><Relationship Id="rId1855" Type="http://schemas.openxmlformats.org/officeDocument/2006/relationships/hyperlink" Target="https://www.fisheries.noaa.gov/s3/2023-06/STELLERSEALIONEumetopiasjubatusWesternU.S.Stock-.pdf" TargetMode="External"/><Relationship Id="rId1856" Type="http://schemas.openxmlformats.org/officeDocument/2006/relationships/hyperlink" Target="https://www.fisheries.noaa.gov/s3/2023-06/STELLERSEALIONEumetopiasjubatusWesternU.S.Stock-.pdf" TargetMode="External"/><Relationship Id="rId1857" Type="http://schemas.openxmlformats.org/officeDocument/2006/relationships/hyperlink" Target="https://www.fisheries.noaa.gov/s3/2023-06/STELLERSEALIONEumetopiasjubatusWesternU.S.Stock-.pdf" TargetMode="External"/><Relationship Id="rId1858" Type="http://schemas.openxmlformats.org/officeDocument/2006/relationships/hyperlink" Target="https://www.fisheries.noaa.gov/s3/2023-06/STELLERSEALIONEumetopiasjubatusWesternU.S.Stock-.pdf" TargetMode="External"/><Relationship Id="rId1859" Type="http://schemas.openxmlformats.org/officeDocument/2006/relationships/hyperlink" Target="https://www.fisheries.noaa.gov/s3/2023-06/STELLERSEALIONEumetopiasjubatusWesternU.S.Stock-.pdf" TargetMode="External"/><Relationship Id="rId1850" Type="http://schemas.openxmlformats.org/officeDocument/2006/relationships/hyperlink" Target="https://www.fisheries.noaa.gov/s3/2023-06/STELLERSEALIONEumetopiasjubatusWesternU.S.Stock-.pdf" TargetMode="External"/><Relationship Id="rId1840" Type="http://schemas.openxmlformats.org/officeDocument/2006/relationships/hyperlink" Target="https://www.fisheries.noaa.gov/s3/2023-06/STELLERSEALIONEumetopiasjubatusWesternU.S.Stock-.pdf" TargetMode="External"/><Relationship Id="rId1841" Type="http://schemas.openxmlformats.org/officeDocument/2006/relationships/hyperlink" Target="https://www.fisheries.noaa.gov/s3/2023-06/STELLERSEALIONEumetopiasjubatusWesternU.S.Stock-.pdf" TargetMode="External"/><Relationship Id="rId1842" Type="http://schemas.openxmlformats.org/officeDocument/2006/relationships/hyperlink" Target="https://www.fisheries.noaa.gov/s3/2023-06/STELLERSEALIONEumetopiasjubatusWesternU.S.Stock-.pdf" TargetMode="External"/><Relationship Id="rId1843" Type="http://schemas.openxmlformats.org/officeDocument/2006/relationships/hyperlink" Target="https://www.fisheries.noaa.gov/s3/2023-06/STELLERSEALIONEumetopiasjubatusWesternU.S.Stock-.pdf" TargetMode="External"/><Relationship Id="rId1844" Type="http://schemas.openxmlformats.org/officeDocument/2006/relationships/hyperlink" Target="https://www.fisheries.noaa.gov/s3/2023-06/STELLERSEALIONEumetopiasjubatusWesternU.S.Stock-.pdf" TargetMode="External"/><Relationship Id="rId1845" Type="http://schemas.openxmlformats.org/officeDocument/2006/relationships/hyperlink" Target="https://www.fisheries.noaa.gov/s3/2023-06/STELLERSEALIONEumetopiasjubatusWesternU.S.Stock-.pdf" TargetMode="External"/><Relationship Id="rId1846" Type="http://schemas.openxmlformats.org/officeDocument/2006/relationships/hyperlink" Target="https://www.fisheries.noaa.gov/s3/2023-06/STELLERSEALIONEumetopiasjubatusWesternU.S.Stock-.pdf" TargetMode="External"/><Relationship Id="rId1847" Type="http://schemas.openxmlformats.org/officeDocument/2006/relationships/hyperlink" Target="https://www.fisheries.noaa.gov/s3/2023-06/STELLERSEALIONEumetopiasjubatusWesternU.S.Stock-.pdf" TargetMode="External"/><Relationship Id="rId1848" Type="http://schemas.openxmlformats.org/officeDocument/2006/relationships/hyperlink" Target="https://www.fisheries.noaa.gov/s3/2023-06/STELLERSEALIONEumetopiasjubatusWesternU.S.Stock-.pdf" TargetMode="External"/><Relationship Id="rId1849" Type="http://schemas.openxmlformats.org/officeDocument/2006/relationships/hyperlink" Target="https://www.fisheries.noaa.gov/s3/2023-06/STELLERSEALIONEumetopiasjubatusWesternU.S.Stock-.pdf" TargetMode="External"/><Relationship Id="rId1873" Type="http://schemas.openxmlformats.org/officeDocument/2006/relationships/hyperlink" Target="https://www.fisheries.noaa.gov/s3/2023-06/STELLERSEALIONEumetopiasjubatusWesternU.S.Stock-.pdf" TargetMode="External"/><Relationship Id="rId1874" Type="http://schemas.openxmlformats.org/officeDocument/2006/relationships/hyperlink" Target="https://www.fisheries.noaa.gov/s3/2023-06/STELLERSEALIONEumetopiasjubatusWesternU.S.Stock-.pdf" TargetMode="External"/><Relationship Id="rId1875" Type="http://schemas.openxmlformats.org/officeDocument/2006/relationships/hyperlink" Target="https://www.fisheries.noaa.gov/s3/2023-06/STELLERSEALIONEumetopiasjubatusWesternU.S.Stock-.pdf" TargetMode="External"/><Relationship Id="rId1876" Type="http://schemas.openxmlformats.org/officeDocument/2006/relationships/hyperlink" Target="https://www.fisheries.noaa.gov/s3/2023-06/STELLERSEALIONEumetopiasjubatusWesternU.S.Stock-.pdf" TargetMode="External"/><Relationship Id="rId1877" Type="http://schemas.openxmlformats.org/officeDocument/2006/relationships/hyperlink" Target="https://www.fisheries.noaa.gov/s3/2023-06/STELLERSEALIONEumetopiasjubatusWesternU.S.Stock-.pdf" TargetMode="External"/><Relationship Id="rId1878" Type="http://schemas.openxmlformats.org/officeDocument/2006/relationships/hyperlink" Target="https://www.fisheries.noaa.gov/s3/2023-06/STELLERSEALIONEumetopiasjubatusWesternU.S.Stock-.pdf" TargetMode="External"/><Relationship Id="rId1879" Type="http://schemas.openxmlformats.org/officeDocument/2006/relationships/hyperlink" Target="https://www.fisheries.noaa.gov/s3/2023-06/STELLERSEALIONEumetopiasjubatusWesternU.S.Stock-.pdf" TargetMode="External"/><Relationship Id="rId1870" Type="http://schemas.openxmlformats.org/officeDocument/2006/relationships/hyperlink" Target="https://www.fisheries.noaa.gov/s3/2023-06/STELLERSEALIONEumetopiasjubatusWesternU.S.Stock-.pdf" TargetMode="External"/><Relationship Id="rId1871" Type="http://schemas.openxmlformats.org/officeDocument/2006/relationships/hyperlink" Target="https://www.fisheries.noaa.gov/s3/2023-06/STELLERSEALIONEumetopiasjubatusWesternU.S.Stock-.pdf" TargetMode="External"/><Relationship Id="rId1872" Type="http://schemas.openxmlformats.org/officeDocument/2006/relationships/hyperlink" Target="https://www.fisheries.noaa.gov/s3/2023-06/STELLERSEALIONEumetopiasjubatusWesternU.S.Stock-.pdf" TargetMode="External"/><Relationship Id="rId1862" Type="http://schemas.openxmlformats.org/officeDocument/2006/relationships/hyperlink" Target="https://www.fisheries.noaa.gov/s3/2023-06/STELLERSEALIONEumetopiasjubatusWesternU.S.Stock-.pdf" TargetMode="External"/><Relationship Id="rId1863" Type="http://schemas.openxmlformats.org/officeDocument/2006/relationships/hyperlink" Target="https://www.fisheries.noaa.gov/s3/2023-06/STELLERSEALIONEumetopiasjubatusWesternU.S.Stock-.pdf" TargetMode="External"/><Relationship Id="rId1864" Type="http://schemas.openxmlformats.org/officeDocument/2006/relationships/hyperlink" Target="https://www.fisheries.noaa.gov/s3/2023-06/STELLERSEALIONEumetopiasjubatusWesternU.S.Stock-.pdf" TargetMode="External"/><Relationship Id="rId1865" Type="http://schemas.openxmlformats.org/officeDocument/2006/relationships/hyperlink" Target="https://www.fisheries.noaa.gov/s3/2023-06/STELLERSEALIONEumetopiasjubatusWesternU.S.Stock-.pdf" TargetMode="External"/><Relationship Id="rId1866" Type="http://schemas.openxmlformats.org/officeDocument/2006/relationships/hyperlink" Target="https://www.fisheries.noaa.gov/s3/2023-06/STELLERSEALIONEumetopiasjubatusWesternU.S.Stock-.pdf" TargetMode="External"/><Relationship Id="rId1867" Type="http://schemas.openxmlformats.org/officeDocument/2006/relationships/hyperlink" Target="https://www.fisheries.noaa.gov/s3/2023-06/STELLERSEALIONEumetopiasjubatusWesternU.S.Stock-.pdf" TargetMode="External"/><Relationship Id="rId1868" Type="http://schemas.openxmlformats.org/officeDocument/2006/relationships/hyperlink" Target="https://www.fisheries.noaa.gov/s3/2023-06/STELLERSEALIONEumetopiasjubatusWesternU.S.Stock-.pdf" TargetMode="External"/><Relationship Id="rId1869" Type="http://schemas.openxmlformats.org/officeDocument/2006/relationships/hyperlink" Target="https://www.fisheries.noaa.gov/s3/2023-06/STELLERSEALIONEumetopiasjubatusWesternU.S.Stock-.pdf" TargetMode="External"/><Relationship Id="rId1860" Type="http://schemas.openxmlformats.org/officeDocument/2006/relationships/hyperlink" Target="https://www.fisheries.noaa.gov/s3/2023-06/STELLERSEALIONEumetopiasjubatusWesternU.S.Stock-.pdf" TargetMode="External"/><Relationship Id="rId1861" Type="http://schemas.openxmlformats.org/officeDocument/2006/relationships/hyperlink" Target="https://www.fisheries.noaa.gov/s3/2023-06/STELLERSEALIONEumetopiasjubatusWesternU.S.Stock-.pdf" TargetMode="External"/><Relationship Id="rId1810" Type="http://schemas.openxmlformats.org/officeDocument/2006/relationships/hyperlink" Target="https://www.fisheries.noaa.gov/s3/2023-06/STELLERSEALIONEumetopiasjubatusWesternU.S.Stock-.pdf" TargetMode="External"/><Relationship Id="rId1811" Type="http://schemas.openxmlformats.org/officeDocument/2006/relationships/hyperlink" Target="https://www.fisheries.noaa.gov/s3/2023-06/STELLERSEALIONEumetopiasjubatusWesternU.S.Stock-.pdf" TargetMode="External"/><Relationship Id="rId1812" Type="http://schemas.openxmlformats.org/officeDocument/2006/relationships/hyperlink" Target="https://www.fisheries.noaa.gov/s3/2023-06/STELLERSEALIONEumetopiasjubatusWesternU.S.Stock-.pdf" TargetMode="External"/><Relationship Id="rId1813" Type="http://schemas.openxmlformats.org/officeDocument/2006/relationships/hyperlink" Target="https://www.fisheries.noaa.gov/s3/2023-06/STELLERSEALIONEumetopiasjubatusWesternU.S.Stock-.pdf" TargetMode="External"/><Relationship Id="rId1814" Type="http://schemas.openxmlformats.org/officeDocument/2006/relationships/hyperlink" Target="https://www.fisheries.noaa.gov/s3/2023-06/STELLERSEALIONEumetopiasjubatusWesternU.S.Stock-.pdf" TargetMode="External"/><Relationship Id="rId1815" Type="http://schemas.openxmlformats.org/officeDocument/2006/relationships/hyperlink" Target="https://www.fisheries.noaa.gov/s3/2023-06/STELLERSEALIONEumetopiasjubatusWesternU.S.Stock-.pdf" TargetMode="External"/><Relationship Id="rId1816" Type="http://schemas.openxmlformats.org/officeDocument/2006/relationships/hyperlink" Target="https://www.fisheries.noaa.gov/s3/2023-06/STELLERSEALIONEumetopiasjubatusWesternU.S.Stock-.pdf" TargetMode="External"/><Relationship Id="rId1817" Type="http://schemas.openxmlformats.org/officeDocument/2006/relationships/hyperlink" Target="https://www.fisheries.noaa.gov/s3/2023-06/STELLERSEALIONEumetopiasjubatusWesternU.S.Stock-.pdf" TargetMode="External"/><Relationship Id="rId1818" Type="http://schemas.openxmlformats.org/officeDocument/2006/relationships/hyperlink" Target="https://www.fisheries.noaa.gov/s3/2023-06/STELLERSEALIONEumetopiasjubatusWesternU.S.Stock-.pdf" TargetMode="External"/><Relationship Id="rId1819" Type="http://schemas.openxmlformats.org/officeDocument/2006/relationships/hyperlink" Target="https://www.fisheries.noaa.gov/s3/2023-06/STELLERSEALIONEumetopiasjubatusWesternU.S.Stock-.pdf" TargetMode="External"/><Relationship Id="rId1800" Type="http://schemas.openxmlformats.org/officeDocument/2006/relationships/hyperlink" Target="https://www.fisheries.noaa.gov/s3/2023-06/STELLERSEALIONEumetopiasjubatusWesternU.S.Stock-.pdf" TargetMode="External"/><Relationship Id="rId1801" Type="http://schemas.openxmlformats.org/officeDocument/2006/relationships/hyperlink" Target="https://www.fisheries.noaa.gov/s3/2023-06/STELLERSEALIONEumetopiasjubatusWesternU.S.Stock-.pdf" TargetMode="External"/><Relationship Id="rId1802" Type="http://schemas.openxmlformats.org/officeDocument/2006/relationships/hyperlink" Target="https://www.fisheries.noaa.gov/s3/2023-06/STELLERSEALIONEumetopiasjubatusWesternU.S.Stock-.pdf" TargetMode="External"/><Relationship Id="rId1803" Type="http://schemas.openxmlformats.org/officeDocument/2006/relationships/hyperlink" Target="https://www.fisheries.noaa.gov/s3/2023-06/STELLERSEALIONEumetopiasjubatusWesternU.S.Stock-.pdf" TargetMode="External"/><Relationship Id="rId1804" Type="http://schemas.openxmlformats.org/officeDocument/2006/relationships/hyperlink" Target="https://www.fisheries.noaa.gov/s3/2023-06/STELLERSEALIONEumetopiasjubatusWesternU.S.Stock-.pdf" TargetMode="External"/><Relationship Id="rId1805" Type="http://schemas.openxmlformats.org/officeDocument/2006/relationships/hyperlink" Target="https://www.fisheries.noaa.gov/s3/2023-06/STELLERSEALIONEumetopiasjubatusWesternU.S.Stock-.pdf" TargetMode="External"/><Relationship Id="rId1806" Type="http://schemas.openxmlformats.org/officeDocument/2006/relationships/hyperlink" Target="https://www.fisheries.noaa.gov/s3/2023-06/STELLERSEALIONEumetopiasjubatusWesternU.S.Stock-.pdf" TargetMode="External"/><Relationship Id="rId1807" Type="http://schemas.openxmlformats.org/officeDocument/2006/relationships/hyperlink" Target="https://www.fisheries.noaa.gov/s3/2023-06/STELLERSEALIONEumetopiasjubatusWesternU.S.Stock-.pdf" TargetMode="External"/><Relationship Id="rId1808" Type="http://schemas.openxmlformats.org/officeDocument/2006/relationships/hyperlink" Target="https://www.fisheries.noaa.gov/s3/2023-06/STELLERSEALIONEumetopiasjubatusWesternU.S.Stock-.pdf" TargetMode="External"/><Relationship Id="rId1809" Type="http://schemas.openxmlformats.org/officeDocument/2006/relationships/hyperlink" Target="https://www.fisheries.noaa.gov/s3/2023-06/STELLERSEALIONEumetopiasjubatusWesternU.S.Stock-.pdf" TargetMode="External"/><Relationship Id="rId1830" Type="http://schemas.openxmlformats.org/officeDocument/2006/relationships/hyperlink" Target="https://www.fisheries.noaa.gov/s3/2023-06/STELLERSEALIONEumetopiasjubatusWesternU.S.Stock-.pdf" TargetMode="External"/><Relationship Id="rId1831" Type="http://schemas.openxmlformats.org/officeDocument/2006/relationships/hyperlink" Target="https://www.fisheries.noaa.gov/s3/2023-06/STELLERSEALIONEumetopiasjubatusWesternU.S.Stock-.pdf" TargetMode="External"/><Relationship Id="rId1832" Type="http://schemas.openxmlformats.org/officeDocument/2006/relationships/hyperlink" Target="https://www.fisheries.noaa.gov/s3/2023-06/STELLERSEALIONEumetopiasjubatusWesternU.S.Stock-.pdf" TargetMode="External"/><Relationship Id="rId1833" Type="http://schemas.openxmlformats.org/officeDocument/2006/relationships/hyperlink" Target="https://www.fisheries.noaa.gov/s3/2023-06/STELLERSEALIONEumetopiasjubatusWesternU.S.Stock-.pdf" TargetMode="External"/><Relationship Id="rId1834" Type="http://schemas.openxmlformats.org/officeDocument/2006/relationships/hyperlink" Target="https://www.fisheries.noaa.gov/s3/2023-06/STELLERSEALIONEumetopiasjubatusWesternU.S.Stock-.pdf" TargetMode="External"/><Relationship Id="rId1835" Type="http://schemas.openxmlformats.org/officeDocument/2006/relationships/hyperlink" Target="https://www.fisheries.noaa.gov/s3/2023-06/STELLERSEALIONEumetopiasjubatusWesternU.S.Stock-.pdf" TargetMode="External"/><Relationship Id="rId1836" Type="http://schemas.openxmlformats.org/officeDocument/2006/relationships/hyperlink" Target="https://www.fisheries.noaa.gov/s3/2023-06/STELLERSEALIONEumetopiasjubatusWesternU.S.Stock-.pdf" TargetMode="External"/><Relationship Id="rId1837" Type="http://schemas.openxmlformats.org/officeDocument/2006/relationships/hyperlink" Target="https://www.fisheries.noaa.gov/s3/2023-06/STELLERSEALIONEumetopiasjubatusWesternU.S.Stock-.pdf" TargetMode="External"/><Relationship Id="rId1838" Type="http://schemas.openxmlformats.org/officeDocument/2006/relationships/hyperlink" Target="https://www.fisheries.noaa.gov/s3/2023-06/STELLERSEALIONEumetopiasjubatusWesternU.S.Stock-.pdf" TargetMode="External"/><Relationship Id="rId1839" Type="http://schemas.openxmlformats.org/officeDocument/2006/relationships/hyperlink" Target="https://www.fisheries.noaa.gov/s3/2023-06/STELLERSEALIONEumetopiasjubatusWesternU.S.Stock-.pdf" TargetMode="External"/><Relationship Id="rId1820" Type="http://schemas.openxmlformats.org/officeDocument/2006/relationships/hyperlink" Target="https://www.fisheries.noaa.gov/s3/2023-06/STELLERSEALIONEumetopiasjubatusWesternU.S.Stock-.pdf" TargetMode="External"/><Relationship Id="rId1821" Type="http://schemas.openxmlformats.org/officeDocument/2006/relationships/hyperlink" Target="https://www.fisheries.noaa.gov/s3/2023-06/STELLERSEALIONEumetopiasjubatusWesternU.S.Stock-.pdf" TargetMode="External"/><Relationship Id="rId1822" Type="http://schemas.openxmlformats.org/officeDocument/2006/relationships/hyperlink" Target="https://www.fisheries.noaa.gov/s3/2023-06/STELLERSEALIONEumetopiasjubatusWesternU.S.Stock-.pdf" TargetMode="External"/><Relationship Id="rId1823" Type="http://schemas.openxmlformats.org/officeDocument/2006/relationships/hyperlink" Target="https://www.fisheries.noaa.gov/s3/2023-06/STELLERSEALIONEumetopiasjubatusWesternU.S.Stock-.pdf" TargetMode="External"/><Relationship Id="rId1824" Type="http://schemas.openxmlformats.org/officeDocument/2006/relationships/hyperlink" Target="https://www.fisheries.noaa.gov/s3/2023-06/STELLERSEALIONEumetopiasjubatusWesternU.S.Stock-.pdf" TargetMode="External"/><Relationship Id="rId1825" Type="http://schemas.openxmlformats.org/officeDocument/2006/relationships/hyperlink" Target="https://www.fisheries.noaa.gov/s3/2023-06/STELLERSEALIONEumetopiasjubatusWesternU.S.Stock-.pdf" TargetMode="External"/><Relationship Id="rId1826" Type="http://schemas.openxmlformats.org/officeDocument/2006/relationships/hyperlink" Target="https://www.fisheries.noaa.gov/s3/2023-06/STELLERSEALIONEumetopiasjubatusWesternU.S.Stock-.pdf" TargetMode="External"/><Relationship Id="rId1827" Type="http://schemas.openxmlformats.org/officeDocument/2006/relationships/hyperlink" Target="https://www.fisheries.noaa.gov/s3/2023-06/STELLERSEALIONEumetopiasjubatusWesternU.S.Stock-.pdf" TargetMode="External"/><Relationship Id="rId1828" Type="http://schemas.openxmlformats.org/officeDocument/2006/relationships/hyperlink" Target="https://www.fisheries.noaa.gov/s3/2023-06/STELLERSEALIONEumetopiasjubatusWesternU.S.Stock-.pdf" TargetMode="External"/><Relationship Id="rId1829" Type="http://schemas.openxmlformats.org/officeDocument/2006/relationships/hyperlink" Target="https://www.fisheries.noaa.gov/s3/2023-06/STELLERSEALIONEumetopiasjubatusWesternU.S.Stock-.pdf" TargetMode="External"/><Relationship Id="rId1455" Type="http://schemas.openxmlformats.org/officeDocument/2006/relationships/hyperlink" Target="https://media.fisheries.noaa.gov/dam-migration/2019_sars_alaska_steller_sea_lion_-_eastern_us.pdf" TargetMode="External"/><Relationship Id="rId1456" Type="http://schemas.openxmlformats.org/officeDocument/2006/relationships/hyperlink" Target="https://media.fisheries.noaa.gov/dam-migration/2019_sars_alaska_steller_sea_lion_-_eastern_us.pdf" TargetMode="External"/><Relationship Id="rId1457" Type="http://schemas.openxmlformats.org/officeDocument/2006/relationships/hyperlink" Target="https://media.fisheries.noaa.gov/dam-migration/2019_sars_alaska_steller_sea_lion_-_eastern_us.pdf" TargetMode="External"/><Relationship Id="rId1458" Type="http://schemas.openxmlformats.org/officeDocument/2006/relationships/hyperlink" Target="https://media.fisheries.noaa.gov/dam-migration/2019_sars_alaska_steller_sea_lion_-_eastern_us.pdf" TargetMode="External"/><Relationship Id="rId1459" Type="http://schemas.openxmlformats.org/officeDocument/2006/relationships/hyperlink" Target="https://media.fisheries.noaa.gov/dam-migration/2019_sars_alaska_steller_sea_lion_-_eastern_us.pdf" TargetMode="External"/><Relationship Id="rId629" Type="http://schemas.openxmlformats.org/officeDocument/2006/relationships/hyperlink" Target="https://media.fisheries.noaa.gov/dam-migration/2019_sars_alaska_harbor_seal.pdf" TargetMode="External"/><Relationship Id="rId624" Type="http://schemas.openxmlformats.org/officeDocument/2006/relationships/hyperlink" Target="https://media.fisheries.noaa.gov/dam-migration/2019_sars_alaska_harbor_seal.pdf" TargetMode="External"/><Relationship Id="rId623" Type="http://schemas.openxmlformats.org/officeDocument/2006/relationships/hyperlink" Target="https://media.fisheries.noaa.gov/dam-migration/2019_sars_alaska_harbor_seal.pdf" TargetMode="External"/><Relationship Id="rId622" Type="http://schemas.openxmlformats.org/officeDocument/2006/relationships/hyperlink" Target="https://media.fisheries.noaa.gov/dam-migration/2019_sars_alaska_harbor_seal.pdf" TargetMode="External"/><Relationship Id="rId621" Type="http://schemas.openxmlformats.org/officeDocument/2006/relationships/hyperlink" Target="https://media.fisheries.noaa.gov/dam-migration/2019_sars_alaska_harbor_seal.pdf" TargetMode="External"/><Relationship Id="rId628" Type="http://schemas.openxmlformats.org/officeDocument/2006/relationships/hyperlink" Target="https://media.fisheries.noaa.gov/dam-migration/2019_sars_alaska_harbor_seal.pdf" TargetMode="External"/><Relationship Id="rId627" Type="http://schemas.openxmlformats.org/officeDocument/2006/relationships/hyperlink" Target="https://media.fisheries.noaa.gov/dam-migration/2019_sars_alaska_harbor_seal.pdf" TargetMode="External"/><Relationship Id="rId626" Type="http://schemas.openxmlformats.org/officeDocument/2006/relationships/hyperlink" Target="https://media.fisheries.noaa.gov/dam-migration/2019_sars_alaska_harbor_seal.pdf" TargetMode="External"/><Relationship Id="rId625" Type="http://schemas.openxmlformats.org/officeDocument/2006/relationships/hyperlink" Target="https://media.fisheries.noaa.gov/dam-migration/2019_sars_alaska_harbor_seal.pdf" TargetMode="External"/><Relationship Id="rId1450" Type="http://schemas.openxmlformats.org/officeDocument/2006/relationships/hyperlink" Target="https://media.fisheries.noaa.gov/dam-migration/2019_sars_alaska_steller_sea_lion_-_eastern_us.pdf" TargetMode="External"/><Relationship Id="rId620" Type="http://schemas.openxmlformats.org/officeDocument/2006/relationships/hyperlink" Target="https://media.fisheries.noaa.gov/dam-migration/2019_sars_alaska_harbor_seal.pdf" TargetMode="External"/><Relationship Id="rId1451" Type="http://schemas.openxmlformats.org/officeDocument/2006/relationships/hyperlink" Target="https://media.fisheries.noaa.gov/dam-migration/2019_sars_alaska_steller_sea_lion_-_eastern_us.pdf" TargetMode="External"/><Relationship Id="rId1452" Type="http://schemas.openxmlformats.org/officeDocument/2006/relationships/hyperlink" Target="https://media.fisheries.noaa.gov/dam-migration/2019_sars_alaska_steller_sea_lion_-_eastern_us.pdf" TargetMode="External"/><Relationship Id="rId1453" Type="http://schemas.openxmlformats.org/officeDocument/2006/relationships/hyperlink" Target="https://media.fisheries.noaa.gov/dam-migration/2019_sars_alaska_steller_sea_lion_-_eastern_us.pdf" TargetMode="External"/><Relationship Id="rId1454" Type="http://schemas.openxmlformats.org/officeDocument/2006/relationships/hyperlink" Target="https://media.fisheries.noaa.gov/dam-migration/2019_sars_alaska_steller_sea_lion_-_eastern_us.pdf" TargetMode="External"/><Relationship Id="rId1444" Type="http://schemas.openxmlformats.org/officeDocument/2006/relationships/hyperlink" Target="https://media.fisheries.noaa.gov/dam-migration/2019_sars_alaska_steller_sea_lion_-_eastern_us.pdf" TargetMode="External"/><Relationship Id="rId1445" Type="http://schemas.openxmlformats.org/officeDocument/2006/relationships/hyperlink" Target="https://media.fisheries.noaa.gov/dam-migration/2019_sars_alaska_steller_sea_lion_-_eastern_us.pdf" TargetMode="External"/><Relationship Id="rId1446" Type="http://schemas.openxmlformats.org/officeDocument/2006/relationships/hyperlink" Target="https://media.fisheries.noaa.gov/dam-migration/2019_sars_alaska_steller_sea_lion_-_eastern_us.pdf" TargetMode="External"/><Relationship Id="rId1447" Type="http://schemas.openxmlformats.org/officeDocument/2006/relationships/hyperlink" Target="https://media.fisheries.noaa.gov/dam-migration/2019_sars_alaska_steller_sea_lion_-_eastern_us.pdf" TargetMode="External"/><Relationship Id="rId1448" Type="http://schemas.openxmlformats.org/officeDocument/2006/relationships/hyperlink" Target="https://media.fisheries.noaa.gov/dam-migration/2019_sars_alaska_steller_sea_lion_-_eastern_us.pdf" TargetMode="External"/><Relationship Id="rId1449" Type="http://schemas.openxmlformats.org/officeDocument/2006/relationships/hyperlink" Target="https://media.fisheries.noaa.gov/dam-migration/2019_sars_alaska_steller_sea_lion_-_eastern_us.pdf" TargetMode="External"/><Relationship Id="rId619" Type="http://schemas.openxmlformats.org/officeDocument/2006/relationships/hyperlink" Target="https://media.fisheries.noaa.gov/dam-migration/2019_sars_alaska_harbor_seal.pdf" TargetMode="External"/><Relationship Id="rId618" Type="http://schemas.openxmlformats.org/officeDocument/2006/relationships/hyperlink" Target="https://media.fisheries.noaa.gov/dam-migration/2019_sars_alaska_harbor_seal.pdf" TargetMode="External"/><Relationship Id="rId613" Type="http://schemas.openxmlformats.org/officeDocument/2006/relationships/hyperlink" Target="https://media.fisheries.noaa.gov/dam-migration/2019_sars_alaska_harbor_seal.pdf" TargetMode="External"/><Relationship Id="rId612" Type="http://schemas.openxmlformats.org/officeDocument/2006/relationships/hyperlink" Target="https://media.fisheries.noaa.gov/dam-migration/2019_sars_alaska_harbor_seal.pdf" TargetMode="External"/><Relationship Id="rId611" Type="http://schemas.openxmlformats.org/officeDocument/2006/relationships/hyperlink" Target="https://media.fisheries.noaa.gov/dam-migration/2019_sars_alaska_harbor_seal.pdf" TargetMode="External"/><Relationship Id="rId610" Type="http://schemas.openxmlformats.org/officeDocument/2006/relationships/hyperlink" Target="https://media.fisheries.noaa.gov/dam-migration/2019_sars_alaska_harbor_seal.pdf" TargetMode="External"/><Relationship Id="rId617" Type="http://schemas.openxmlformats.org/officeDocument/2006/relationships/hyperlink" Target="https://media.fisheries.noaa.gov/dam-migration/2019_sars_alaska_harbor_seal.pdf" TargetMode="External"/><Relationship Id="rId616" Type="http://schemas.openxmlformats.org/officeDocument/2006/relationships/hyperlink" Target="https://media.fisheries.noaa.gov/dam-migration/2019_sars_alaska_harbor_seal.pdf" TargetMode="External"/><Relationship Id="rId615" Type="http://schemas.openxmlformats.org/officeDocument/2006/relationships/hyperlink" Target="https://media.fisheries.noaa.gov/dam-migration/2019_sars_alaska_harbor_seal.pdf" TargetMode="External"/><Relationship Id="rId614" Type="http://schemas.openxmlformats.org/officeDocument/2006/relationships/hyperlink" Target="https://media.fisheries.noaa.gov/dam-migration/2019_sars_alaska_harbor_seal.pdf" TargetMode="External"/><Relationship Id="rId1440" Type="http://schemas.openxmlformats.org/officeDocument/2006/relationships/hyperlink" Target="https://media.fisheries.noaa.gov/dam-migration/2019_sars_alaska_steller_sea_lion_-_eastern_us.pdf" TargetMode="External"/><Relationship Id="rId1441" Type="http://schemas.openxmlformats.org/officeDocument/2006/relationships/hyperlink" Target="https://media.fisheries.noaa.gov/dam-migration/2019_sars_alaska_steller_sea_lion_-_eastern_us.pdf" TargetMode="External"/><Relationship Id="rId1442" Type="http://schemas.openxmlformats.org/officeDocument/2006/relationships/hyperlink" Target="https://media.fisheries.noaa.gov/dam-migration/2019_sars_alaska_steller_sea_lion_-_eastern_us.pdf" TargetMode="External"/><Relationship Id="rId1443" Type="http://schemas.openxmlformats.org/officeDocument/2006/relationships/hyperlink" Target="https://media.fisheries.noaa.gov/dam-migration/2019_sars_alaska_steller_sea_lion_-_eastern_us.pdf" TargetMode="External"/><Relationship Id="rId1477" Type="http://schemas.openxmlformats.org/officeDocument/2006/relationships/hyperlink" Target="https://www.fisheries.noaa.gov/s3/2023-06/STELLERSEALIONEumetopiasjubatusWesternU.S.Stock-.pdf" TargetMode="External"/><Relationship Id="rId1478" Type="http://schemas.openxmlformats.org/officeDocument/2006/relationships/hyperlink" Target="https://www.fisheries.noaa.gov/s3/2023-06/STELLERSEALIONEumetopiasjubatusWesternU.S.Stock-.pdf" TargetMode="External"/><Relationship Id="rId1479" Type="http://schemas.openxmlformats.org/officeDocument/2006/relationships/hyperlink" Target="https://www.fisheries.noaa.gov/s3/2023-06/STELLERSEALIONEumetopiasjubatusWesternU.S.Stock-.pdf" TargetMode="External"/><Relationship Id="rId646" Type="http://schemas.openxmlformats.org/officeDocument/2006/relationships/hyperlink" Target="https://media.fisheries.noaa.gov/dam-migration/po2014sehr-ca_508.pdf" TargetMode="External"/><Relationship Id="rId645" Type="http://schemas.openxmlformats.org/officeDocument/2006/relationships/hyperlink" Target="https://media.fisheries.noaa.gov/dam-migration/po2014sehr-ca_508.pdf" TargetMode="External"/><Relationship Id="rId644" Type="http://schemas.openxmlformats.org/officeDocument/2006/relationships/hyperlink" Target="https://media.fisheries.noaa.gov/dam-migration/po2014sehr-ca_508.pdf" TargetMode="External"/><Relationship Id="rId643" Type="http://schemas.openxmlformats.org/officeDocument/2006/relationships/hyperlink" Target="https://media.fisheries.noaa.gov/dam-migration/po2014sehr-ca_508.pdf" TargetMode="External"/><Relationship Id="rId649" Type="http://schemas.openxmlformats.org/officeDocument/2006/relationships/hyperlink" Target="https://media.fisheries.noaa.gov/dam-migration/po2014sehr-ca_508.pdf" TargetMode="External"/><Relationship Id="rId648" Type="http://schemas.openxmlformats.org/officeDocument/2006/relationships/hyperlink" Target="https://media.fisheries.noaa.gov/dam-migration/po2014sehr-ca_508.pdf" TargetMode="External"/><Relationship Id="rId647" Type="http://schemas.openxmlformats.org/officeDocument/2006/relationships/hyperlink" Target="https://media.fisheries.noaa.gov/dam-migration/po2014sehr-ca_508.pdf" TargetMode="External"/><Relationship Id="rId1470" Type="http://schemas.openxmlformats.org/officeDocument/2006/relationships/hyperlink" Target="https://media.fisheries.noaa.gov/dam-migration/2019_sars_alaska_steller_sea_lion_-_eastern_us.pdf" TargetMode="External"/><Relationship Id="rId1471" Type="http://schemas.openxmlformats.org/officeDocument/2006/relationships/hyperlink" Target="https://media.fisheries.noaa.gov/dam-migration/2019_sars_alaska_steller_sea_lion_-_eastern_us.pdf" TargetMode="External"/><Relationship Id="rId1472" Type="http://schemas.openxmlformats.org/officeDocument/2006/relationships/hyperlink" Target="https://media.fisheries.noaa.gov/dam-migration/2019_sars_alaska_steller_sea_lion_-_eastern_us.pdf" TargetMode="External"/><Relationship Id="rId642" Type="http://schemas.openxmlformats.org/officeDocument/2006/relationships/hyperlink" Target="https://media.fisheries.noaa.gov/dam-migration/2019_sars_alaska_harbor_seal.pdf" TargetMode="External"/><Relationship Id="rId1473" Type="http://schemas.openxmlformats.org/officeDocument/2006/relationships/hyperlink" Target="https://media.fisheries.noaa.gov/dam-migration/2019_sars_alaska_steller_sea_lion_-_eastern_us.pdf" TargetMode="External"/><Relationship Id="rId641" Type="http://schemas.openxmlformats.org/officeDocument/2006/relationships/hyperlink" Target="https://media.fisheries.noaa.gov/dam-migration/2019_sars_alaska_harbor_seal.pdf" TargetMode="External"/><Relationship Id="rId1474" Type="http://schemas.openxmlformats.org/officeDocument/2006/relationships/hyperlink" Target="https://www.fisheries.noaa.gov/s3/2023-06/STELLERSEALIONEumetopiasjubatusWesternU.S.Stock-.pdf" TargetMode="External"/><Relationship Id="rId640" Type="http://schemas.openxmlformats.org/officeDocument/2006/relationships/hyperlink" Target="https://media.fisheries.noaa.gov/dam-migration/2019_sars_alaska_harbor_seal.pdf" TargetMode="External"/><Relationship Id="rId1475" Type="http://schemas.openxmlformats.org/officeDocument/2006/relationships/hyperlink" Target="https://www.fisheries.noaa.gov/s3/2023-06/STELLERSEALIONEumetopiasjubatusWesternU.S.Stock-.pdf" TargetMode="External"/><Relationship Id="rId1476" Type="http://schemas.openxmlformats.org/officeDocument/2006/relationships/hyperlink" Target="https://www.fisheries.noaa.gov/s3/2023-06/STELLERSEALIONEumetopiasjubatusWesternU.S.Stock-.pdf" TargetMode="External"/><Relationship Id="rId1466" Type="http://schemas.openxmlformats.org/officeDocument/2006/relationships/hyperlink" Target="https://media.fisheries.noaa.gov/dam-migration/2019_sars_alaska_steller_sea_lion_-_eastern_us.pdf" TargetMode="External"/><Relationship Id="rId1467" Type="http://schemas.openxmlformats.org/officeDocument/2006/relationships/hyperlink" Target="https://media.fisheries.noaa.gov/dam-migration/2019_sars_alaska_steller_sea_lion_-_eastern_us.pdf" TargetMode="External"/><Relationship Id="rId1468" Type="http://schemas.openxmlformats.org/officeDocument/2006/relationships/hyperlink" Target="https://media.fisheries.noaa.gov/dam-migration/2019_sars_alaska_steller_sea_lion_-_eastern_us.pdf" TargetMode="External"/><Relationship Id="rId1469" Type="http://schemas.openxmlformats.org/officeDocument/2006/relationships/hyperlink" Target="https://media.fisheries.noaa.gov/dam-migration/2019_sars_alaska_steller_sea_lion_-_eastern_us.pdf" TargetMode="External"/><Relationship Id="rId635" Type="http://schemas.openxmlformats.org/officeDocument/2006/relationships/hyperlink" Target="https://media.fisheries.noaa.gov/dam-migration/2019_sars_alaska_harbor_seal.pdf" TargetMode="External"/><Relationship Id="rId634" Type="http://schemas.openxmlformats.org/officeDocument/2006/relationships/hyperlink" Target="https://media.fisheries.noaa.gov/dam-migration/2019_sars_alaska_harbor_seal.pdf" TargetMode="External"/><Relationship Id="rId633" Type="http://schemas.openxmlformats.org/officeDocument/2006/relationships/hyperlink" Target="https://media.fisheries.noaa.gov/dam-migration/2019_sars_alaska_harbor_seal.pdf" TargetMode="External"/><Relationship Id="rId632" Type="http://schemas.openxmlformats.org/officeDocument/2006/relationships/hyperlink" Target="https://media.fisheries.noaa.gov/dam-migration/2019_sars_alaska_harbor_seal.pdf" TargetMode="External"/><Relationship Id="rId639" Type="http://schemas.openxmlformats.org/officeDocument/2006/relationships/hyperlink" Target="https://media.fisheries.noaa.gov/dam-migration/2019_sars_alaska_harbor_seal.pdf" TargetMode="External"/><Relationship Id="rId638" Type="http://schemas.openxmlformats.org/officeDocument/2006/relationships/hyperlink" Target="https://media.fisheries.noaa.gov/dam-migration/2019_sars_alaska_harbor_seal.pdf" TargetMode="External"/><Relationship Id="rId637" Type="http://schemas.openxmlformats.org/officeDocument/2006/relationships/hyperlink" Target="https://media.fisheries.noaa.gov/dam-migration/2019_sars_alaska_harbor_seal.pdf" TargetMode="External"/><Relationship Id="rId636" Type="http://schemas.openxmlformats.org/officeDocument/2006/relationships/hyperlink" Target="https://media.fisheries.noaa.gov/dam-migration/2019_sars_alaska_harbor_seal.pdf" TargetMode="External"/><Relationship Id="rId1460" Type="http://schemas.openxmlformats.org/officeDocument/2006/relationships/hyperlink" Target="https://media.fisheries.noaa.gov/dam-migration/2019_sars_alaska_steller_sea_lion_-_eastern_us.pdf" TargetMode="External"/><Relationship Id="rId1461" Type="http://schemas.openxmlformats.org/officeDocument/2006/relationships/hyperlink" Target="https://media.fisheries.noaa.gov/dam-migration/2019_sars_alaska_steller_sea_lion_-_eastern_us.pdf" TargetMode="External"/><Relationship Id="rId631" Type="http://schemas.openxmlformats.org/officeDocument/2006/relationships/hyperlink" Target="https://media.fisheries.noaa.gov/dam-migration/2019_sars_alaska_harbor_seal.pdf" TargetMode="External"/><Relationship Id="rId1462" Type="http://schemas.openxmlformats.org/officeDocument/2006/relationships/hyperlink" Target="https://media.fisheries.noaa.gov/dam-migration/2019_sars_alaska_steller_sea_lion_-_eastern_us.pdf" TargetMode="External"/><Relationship Id="rId630" Type="http://schemas.openxmlformats.org/officeDocument/2006/relationships/hyperlink" Target="https://media.fisheries.noaa.gov/dam-migration/2019_sars_alaska_harbor_seal.pdf" TargetMode="External"/><Relationship Id="rId1463" Type="http://schemas.openxmlformats.org/officeDocument/2006/relationships/hyperlink" Target="https://media.fisheries.noaa.gov/dam-migration/2019_sars_alaska_steller_sea_lion_-_eastern_us.pdf" TargetMode="External"/><Relationship Id="rId1464" Type="http://schemas.openxmlformats.org/officeDocument/2006/relationships/hyperlink" Target="https://media.fisheries.noaa.gov/dam-migration/2019_sars_alaska_steller_sea_lion_-_eastern_us.pdf" TargetMode="External"/><Relationship Id="rId1465" Type="http://schemas.openxmlformats.org/officeDocument/2006/relationships/hyperlink" Target="https://media.fisheries.noaa.gov/dam-migration/2019_sars_alaska_steller_sea_lion_-_eastern_us.pdf" TargetMode="External"/><Relationship Id="rId1411" Type="http://schemas.openxmlformats.org/officeDocument/2006/relationships/hyperlink" Target="https://media.fisheries.noaa.gov/dam-migration/2019_sars_alaska_steller_sea_lion_-_eastern_us.pdf" TargetMode="External"/><Relationship Id="rId1895" Type="http://schemas.openxmlformats.org/officeDocument/2006/relationships/vmlDrawing" Target="../drawings/vmlDrawing2.vml"/><Relationship Id="rId1412" Type="http://schemas.openxmlformats.org/officeDocument/2006/relationships/hyperlink" Target="https://media.fisheries.noaa.gov/dam-migration/2019_sars_alaska_steller_sea_lion_-_eastern_us.pdf" TargetMode="External"/><Relationship Id="rId1413" Type="http://schemas.openxmlformats.org/officeDocument/2006/relationships/hyperlink" Target="https://media.fisheries.noaa.gov/dam-migration/2019_sars_alaska_steller_sea_lion_-_eastern_us.pdf" TargetMode="External"/><Relationship Id="rId1414" Type="http://schemas.openxmlformats.org/officeDocument/2006/relationships/hyperlink" Target="https://media.fisheries.noaa.gov/dam-migration/2019_sars_alaska_steller_sea_lion_-_eastern_us.pdf" TargetMode="External"/><Relationship Id="rId1415" Type="http://schemas.openxmlformats.org/officeDocument/2006/relationships/hyperlink" Target="https://media.fisheries.noaa.gov/dam-migration/2019_sars_alaska_steller_sea_lion_-_eastern_us.pdf" TargetMode="External"/><Relationship Id="rId1416" Type="http://schemas.openxmlformats.org/officeDocument/2006/relationships/hyperlink" Target="https://media.fisheries.noaa.gov/dam-migration/2019_sars_alaska_steller_sea_lion_-_eastern_us.pdf" TargetMode="External"/><Relationship Id="rId1417" Type="http://schemas.openxmlformats.org/officeDocument/2006/relationships/hyperlink" Target="https://media.fisheries.noaa.gov/dam-migration/2019_sars_alaska_steller_sea_lion_-_eastern_us.pdf" TargetMode="External"/><Relationship Id="rId1418" Type="http://schemas.openxmlformats.org/officeDocument/2006/relationships/hyperlink" Target="https://media.fisheries.noaa.gov/dam-migration/2019_sars_alaska_steller_sea_lion_-_eastern_us.pdf" TargetMode="External"/><Relationship Id="rId1419" Type="http://schemas.openxmlformats.org/officeDocument/2006/relationships/hyperlink" Target="https://media.fisheries.noaa.gov/dam-migration/2019_sars_alaska_steller_sea_lion_-_eastern_us.pdf" TargetMode="External"/><Relationship Id="rId1890" Type="http://schemas.openxmlformats.org/officeDocument/2006/relationships/hyperlink" Target="https://media.fisheries.noaa.gov/2021-08/2020-Pacific-SARS-stripeddolphin_hawaii.pdf" TargetMode="External"/><Relationship Id="rId1891" Type="http://schemas.openxmlformats.org/officeDocument/2006/relationships/hyperlink" Target="https://media.fisheries.noaa.gov/2021-08/2020-Pacific-SARS-stripeddolphin_hawaii.pdf" TargetMode="External"/><Relationship Id="rId1892" Type="http://schemas.openxmlformats.org/officeDocument/2006/relationships/hyperlink" Target="https://media.fisheries.noaa.gov/2021-08/2020-Pacific-SARS-stripeddolphin_hawaii.pdf" TargetMode="External"/><Relationship Id="rId1893" Type="http://schemas.openxmlformats.org/officeDocument/2006/relationships/hyperlink" Target="https://media.fisheries.noaa.gov/2021-08/2020-Pacific-SARS-stripeddolphin_hawaii.pdf" TargetMode="External"/><Relationship Id="rId1410" Type="http://schemas.openxmlformats.org/officeDocument/2006/relationships/hyperlink" Target="https://media.fisheries.noaa.gov/dam-migration/2019_sars_alaska_steller_sea_lion_-_eastern_us.pdf" TargetMode="External"/><Relationship Id="rId1894" Type="http://schemas.openxmlformats.org/officeDocument/2006/relationships/drawing" Target="../drawings/drawing4.xml"/><Relationship Id="rId1400" Type="http://schemas.openxmlformats.org/officeDocument/2006/relationships/hyperlink" Target="https://media.fisheries.noaa.gov/dam-migration/2019_sars_alaska_steller_sea_lion_-_eastern_us.pdf" TargetMode="External"/><Relationship Id="rId1884" Type="http://schemas.openxmlformats.org/officeDocument/2006/relationships/hyperlink" Target="https://media.fisheries.noaa.gov/2022-08/2021-STRIPED%20DOLPHIN-CaliforniaOregonWashington-Stock.pdf" TargetMode="External"/><Relationship Id="rId1401" Type="http://schemas.openxmlformats.org/officeDocument/2006/relationships/hyperlink" Target="https://media.fisheries.noaa.gov/dam-migration/2019_sars_alaska_steller_sea_lion_-_eastern_us.pdf" TargetMode="External"/><Relationship Id="rId1885" Type="http://schemas.openxmlformats.org/officeDocument/2006/relationships/hyperlink" Target="https://media.fisheries.noaa.gov/2022-08/2021-STRIPED%20DOLPHIN-CaliforniaOregonWashington-Stock.pdf" TargetMode="External"/><Relationship Id="rId1402" Type="http://schemas.openxmlformats.org/officeDocument/2006/relationships/hyperlink" Target="https://media.fisheries.noaa.gov/dam-migration/2019_sars_alaska_steller_sea_lion_-_eastern_us.pdf" TargetMode="External"/><Relationship Id="rId1886" Type="http://schemas.openxmlformats.org/officeDocument/2006/relationships/hyperlink" Target="https://media.fisheries.noaa.gov/2022-08/2021-STRIPED%20DOLPHIN-CaliforniaOregonWashington-Stock.pdf" TargetMode="External"/><Relationship Id="rId1403" Type="http://schemas.openxmlformats.org/officeDocument/2006/relationships/hyperlink" Target="https://media.fisheries.noaa.gov/dam-migration/2019_sars_alaska_steller_sea_lion_-_eastern_us.pdf" TargetMode="External"/><Relationship Id="rId1887" Type="http://schemas.openxmlformats.org/officeDocument/2006/relationships/hyperlink" Target="https://media.fisheries.noaa.gov/2022-08/2021-STRIPED%20DOLPHIN-CaliforniaOregonWashington-Stock.pdf" TargetMode="External"/><Relationship Id="rId1404" Type="http://schemas.openxmlformats.org/officeDocument/2006/relationships/hyperlink" Target="https://media.fisheries.noaa.gov/dam-migration/2019_sars_alaska_steller_sea_lion_-_eastern_us.pdf" TargetMode="External"/><Relationship Id="rId1888" Type="http://schemas.openxmlformats.org/officeDocument/2006/relationships/hyperlink" Target="https://media.fisheries.noaa.gov/2021-08/2020-Pacific-SARS-stripeddolphin_hawaii.pdf" TargetMode="External"/><Relationship Id="rId1405" Type="http://schemas.openxmlformats.org/officeDocument/2006/relationships/hyperlink" Target="https://media.fisheries.noaa.gov/dam-migration/2019_sars_alaska_steller_sea_lion_-_eastern_us.pdf" TargetMode="External"/><Relationship Id="rId1889" Type="http://schemas.openxmlformats.org/officeDocument/2006/relationships/hyperlink" Target="https://media.fisheries.noaa.gov/2021-08/2020-Pacific-SARS-stripeddolphin_hawaii.pdf" TargetMode="External"/><Relationship Id="rId1406" Type="http://schemas.openxmlformats.org/officeDocument/2006/relationships/hyperlink" Target="https://media.fisheries.noaa.gov/dam-migration/2019_sars_alaska_steller_sea_lion_-_eastern_us.pdf" TargetMode="External"/><Relationship Id="rId1407" Type="http://schemas.openxmlformats.org/officeDocument/2006/relationships/hyperlink" Target="https://media.fisheries.noaa.gov/dam-migration/2019_sars_alaska_steller_sea_lion_-_eastern_us.pdf" TargetMode="External"/><Relationship Id="rId1408" Type="http://schemas.openxmlformats.org/officeDocument/2006/relationships/hyperlink" Target="https://media.fisheries.noaa.gov/dam-migration/2019_sars_alaska_steller_sea_lion_-_eastern_us.pdf" TargetMode="External"/><Relationship Id="rId1409" Type="http://schemas.openxmlformats.org/officeDocument/2006/relationships/hyperlink" Target="https://media.fisheries.noaa.gov/dam-migration/2019_sars_alaska_steller_sea_lion_-_eastern_us.pdf" TargetMode="External"/><Relationship Id="rId1880" Type="http://schemas.openxmlformats.org/officeDocument/2006/relationships/hyperlink" Target="https://www.fisheries.noaa.gov/s3/2023-06/STELLERSEALIONEumetopiasjubatusWesternU.S.Stock-.pdf" TargetMode="External"/><Relationship Id="rId1881" Type="http://schemas.openxmlformats.org/officeDocument/2006/relationships/hyperlink" Target="https://media.fisheries.noaa.gov/2022-08/2021-STRIPED%20DOLPHIN-CaliforniaOregonWashington-Stock.pdf" TargetMode="External"/><Relationship Id="rId1882" Type="http://schemas.openxmlformats.org/officeDocument/2006/relationships/hyperlink" Target="https://media.fisheries.noaa.gov/2022-08/2021-STRIPED%20DOLPHIN-CaliforniaOregonWashington-Stock.pdf" TargetMode="External"/><Relationship Id="rId1883" Type="http://schemas.openxmlformats.org/officeDocument/2006/relationships/hyperlink" Target="https://media.fisheries.noaa.gov/2022-08/2021-STRIPED%20DOLPHIN-CaliforniaOregonWashington-Stock.pdf" TargetMode="External"/><Relationship Id="rId1433" Type="http://schemas.openxmlformats.org/officeDocument/2006/relationships/hyperlink" Target="https://media.fisheries.noaa.gov/dam-migration/2019_sars_alaska_steller_sea_lion_-_eastern_us.pdf" TargetMode="External"/><Relationship Id="rId1434" Type="http://schemas.openxmlformats.org/officeDocument/2006/relationships/hyperlink" Target="https://media.fisheries.noaa.gov/dam-migration/2019_sars_alaska_steller_sea_lion_-_eastern_us.pdf" TargetMode="External"/><Relationship Id="rId1435" Type="http://schemas.openxmlformats.org/officeDocument/2006/relationships/hyperlink" Target="https://media.fisheries.noaa.gov/dam-migration/2019_sars_alaska_steller_sea_lion_-_eastern_us.pdf" TargetMode="External"/><Relationship Id="rId1436" Type="http://schemas.openxmlformats.org/officeDocument/2006/relationships/hyperlink" Target="https://media.fisheries.noaa.gov/dam-migration/2019_sars_alaska_steller_sea_lion_-_eastern_us.pdf" TargetMode="External"/><Relationship Id="rId1437" Type="http://schemas.openxmlformats.org/officeDocument/2006/relationships/hyperlink" Target="https://media.fisheries.noaa.gov/dam-migration/2019_sars_alaska_steller_sea_lion_-_eastern_us.pdf" TargetMode="External"/><Relationship Id="rId1438" Type="http://schemas.openxmlformats.org/officeDocument/2006/relationships/hyperlink" Target="https://media.fisheries.noaa.gov/dam-migration/2019_sars_alaska_steller_sea_lion_-_eastern_us.pdf" TargetMode="External"/><Relationship Id="rId1439" Type="http://schemas.openxmlformats.org/officeDocument/2006/relationships/hyperlink" Target="https://media.fisheries.noaa.gov/dam-migration/2019_sars_alaska_steller_sea_lion_-_eastern_us.pdf" TargetMode="External"/><Relationship Id="rId609" Type="http://schemas.openxmlformats.org/officeDocument/2006/relationships/hyperlink" Target="https://media.fisheries.noaa.gov/dam-migration/2019_sars_alaska_harbor_seal.pdf" TargetMode="External"/><Relationship Id="rId608" Type="http://schemas.openxmlformats.org/officeDocument/2006/relationships/hyperlink" Target="https://media.fisheries.noaa.gov/dam-migration/2019_sars_alaska_harbor_seal.pdf" TargetMode="External"/><Relationship Id="rId607" Type="http://schemas.openxmlformats.org/officeDocument/2006/relationships/hyperlink" Target="https://media.fisheries.noaa.gov/dam-migration/2019_sars_alaska_harbor_seal.pdf" TargetMode="External"/><Relationship Id="rId602" Type="http://schemas.openxmlformats.org/officeDocument/2006/relationships/hyperlink" Target="https://media.fisheries.noaa.gov/dam-migration/2019_sars_alaska_harbor_seal.pdf" TargetMode="External"/><Relationship Id="rId601" Type="http://schemas.openxmlformats.org/officeDocument/2006/relationships/hyperlink" Target="https://media.fisheries.noaa.gov/dam-migration/2019_sars_alaska_harbor_seal.pdf" TargetMode="External"/><Relationship Id="rId600" Type="http://schemas.openxmlformats.org/officeDocument/2006/relationships/hyperlink" Target="https://media.fisheries.noaa.gov/dam-migration/2019_sars_alaska_harbor_seal.pdf" TargetMode="External"/><Relationship Id="rId606" Type="http://schemas.openxmlformats.org/officeDocument/2006/relationships/hyperlink" Target="https://media.fisheries.noaa.gov/dam-migration/2019_sars_alaska_harbor_seal.pdf" TargetMode="External"/><Relationship Id="rId605" Type="http://schemas.openxmlformats.org/officeDocument/2006/relationships/hyperlink" Target="https://media.fisheries.noaa.gov/dam-migration/2019_sars_alaska_harbor_seal.pdf" TargetMode="External"/><Relationship Id="rId604" Type="http://schemas.openxmlformats.org/officeDocument/2006/relationships/hyperlink" Target="https://media.fisheries.noaa.gov/dam-migration/2019_sars_alaska_harbor_seal.pdf" TargetMode="External"/><Relationship Id="rId603" Type="http://schemas.openxmlformats.org/officeDocument/2006/relationships/hyperlink" Target="https://media.fisheries.noaa.gov/dam-migration/2019_sars_alaska_harbor_seal.pdf" TargetMode="External"/><Relationship Id="rId1430" Type="http://schemas.openxmlformats.org/officeDocument/2006/relationships/hyperlink" Target="https://media.fisheries.noaa.gov/dam-migration/2019_sars_alaska_steller_sea_lion_-_eastern_us.pdf" TargetMode="External"/><Relationship Id="rId1431" Type="http://schemas.openxmlformats.org/officeDocument/2006/relationships/hyperlink" Target="https://media.fisheries.noaa.gov/dam-migration/2019_sars_alaska_steller_sea_lion_-_eastern_us.pdf" TargetMode="External"/><Relationship Id="rId1432" Type="http://schemas.openxmlformats.org/officeDocument/2006/relationships/hyperlink" Target="https://media.fisheries.noaa.gov/dam-migration/2019_sars_alaska_steller_sea_lion_-_eastern_us.pdf" TargetMode="External"/><Relationship Id="rId1422" Type="http://schemas.openxmlformats.org/officeDocument/2006/relationships/hyperlink" Target="https://media.fisheries.noaa.gov/dam-migration/2019_sars_alaska_steller_sea_lion_-_eastern_us.pdf" TargetMode="External"/><Relationship Id="rId1423" Type="http://schemas.openxmlformats.org/officeDocument/2006/relationships/hyperlink" Target="https://media.fisheries.noaa.gov/dam-migration/2019_sars_alaska_steller_sea_lion_-_eastern_us.pdf" TargetMode="External"/><Relationship Id="rId1424" Type="http://schemas.openxmlformats.org/officeDocument/2006/relationships/hyperlink" Target="https://media.fisheries.noaa.gov/dam-migration/2019_sars_alaska_steller_sea_lion_-_eastern_us.pdf" TargetMode="External"/><Relationship Id="rId1425" Type="http://schemas.openxmlformats.org/officeDocument/2006/relationships/hyperlink" Target="https://media.fisheries.noaa.gov/dam-migration/2019_sars_alaska_steller_sea_lion_-_eastern_us.pdf" TargetMode="External"/><Relationship Id="rId1426" Type="http://schemas.openxmlformats.org/officeDocument/2006/relationships/hyperlink" Target="https://media.fisheries.noaa.gov/dam-migration/2019_sars_alaska_steller_sea_lion_-_eastern_us.pdf" TargetMode="External"/><Relationship Id="rId1427" Type="http://schemas.openxmlformats.org/officeDocument/2006/relationships/hyperlink" Target="https://media.fisheries.noaa.gov/dam-migration/2019_sars_alaska_steller_sea_lion_-_eastern_us.pdf" TargetMode="External"/><Relationship Id="rId1428" Type="http://schemas.openxmlformats.org/officeDocument/2006/relationships/hyperlink" Target="https://media.fisheries.noaa.gov/dam-migration/2019_sars_alaska_steller_sea_lion_-_eastern_us.pdf" TargetMode="External"/><Relationship Id="rId1429" Type="http://schemas.openxmlformats.org/officeDocument/2006/relationships/hyperlink" Target="https://media.fisheries.noaa.gov/dam-migration/2019_sars_alaska_steller_sea_lion_-_eastern_us.pdf" TargetMode="External"/><Relationship Id="rId1420" Type="http://schemas.openxmlformats.org/officeDocument/2006/relationships/hyperlink" Target="https://media.fisheries.noaa.gov/dam-migration/2019_sars_alaska_steller_sea_lion_-_eastern_us.pdf" TargetMode="External"/><Relationship Id="rId1421" Type="http://schemas.openxmlformats.org/officeDocument/2006/relationships/hyperlink" Target="https://media.fisheries.noaa.gov/dam-migration/2019_sars_alaska_steller_sea_lion_-_eastern_us.pdf" TargetMode="External"/><Relationship Id="rId1059" Type="http://schemas.openxmlformats.org/officeDocument/2006/relationships/hyperlink" Target="https://media.fisheries.noaa.gov/2022-08/2021-NorthernElephant-California%20Breeding%20Stock.pdf" TargetMode="External"/><Relationship Id="rId228" Type="http://schemas.openxmlformats.org/officeDocument/2006/relationships/hyperlink" Target="https://media.fisheries.noaa.gov/2022-08/2021-PACfinwhale-CaliforniaOregonWashington%20Stock.pdf" TargetMode="External"/><Relationship Id="rId227" Type="http://schemas.openxmlformats.org/officeDocument/2006/relationships/hyperlink" Target="https://media.fisheries.noaa.gov/2022-08/2021-FALSE%20KILLER%20WHALE-Hawaiian%20Islands%20Stock%20Complex.pdf" TargetMode="External"/><Relationship Id="rId226" Type="http://schemas.openxmlformats.org/officeDocument/2006/relationships/hyperlink" Target="https://media.fisheries.noaa.gov/2022-08/2021-FALSE%20KILLER%20WHALE-Hawaiian%20Islands%20Stock%20Complex.pdf" TargetMode="External"/><Relationship Id="rId225" Type="http://schemas.openxmlformats.org/officeDocument/2006/relationships/hyperlink" Target="https://media.fisheries.noaa.gov/2022-08/2021-FALSE%20KILLER%20WHALE-Hawaiian%20Islands%20Stock%20Complex.pdf" TargetMode="External"/><Relationship Id="rId229" Type="http://schemas.openxmlformats.org/officeDocument/2006/relationships/hyperlink" Target="https://media.fisheries.noaa.gov/2022-08/2021-PACfinwhale-CaliforniaOregonWashington%20Stock.pdf" TargetMode="External"/><Relationship Id="rId1050" Type="http://schemas.openxmlformats.org/officeDocument/2006/relationships/hyperlink" Target="https://media.fisheries.noaa.gov/2022-08/2021-NorthernElephant-California%20Breeding%20Stock.pdf" TargetMode="External"/><Relationship Id="rId220" Type="http://schemas.openxmlformats.org/officeDocument/2006/relationships/hyperlink" Target="https://media.fisheries.noaa.gov/2022-08/2021-DALL'S%20PORPOISE%20-%20CaliforniaOregonWashington%20Stock.pdf" TargetMode="External"/><Relationship Id="rId1051" Type="http://schemas.openxmlformats.org/officeDocument/2006/relationships/hyperlink" Target="https://media.fisheries.noaa.gov/2022-08/2021-NorthernElephant-California%20Breeding%20Stock.pdf" TargetMode="External"/><Relationship Id="rId1052" Type="http://schemas.openxmlformats.org/officeDocument/2006/relationships/hyperlink" Target="https://media.fisheries.noaa.gov/2022-08/2021-NorthernElephant-California%20Breeding%20Stock.pdf" TargetMode="External"/><Relationship Id="rId1053" Type="http://schemas.openxmlformats.org/officeDocument/2006/relationships/hyperlink" Target="https://media.fisheries.noaa.gov/2022-08/2021-NorthernElephant-California%20Breeding%20Stock.pdf" TargetMode="External"/><Relationship Id="rId1054" Type="http://schemas.openxmlformats.org/officeDocument/2006/relationships/hyperlink" Target="https://media.fisheries.noaa.gov/2022-08/2021-NorthernElephant-California%20Breeding%20Stock.pdf" TargetMode="External"/><Relationship Id="rId224" Type="http://schemas.openxmlformats.org/officeDocument/2006/relationships/hyperlink" Target="https://media.fisheries.noaa.gov/2022-08/2021-FALSE%20KILLER%20WHALE-Hawaiian%20Islands%20Stock%20Complex.pdf" TargetMode="External"/><Relationship Id="rId1055" Type="http://schemas.openxmlformats.org/officeDocument/2006/relationships/hyperlink" Target="https://media.fisheries.noaa.gov/2022-08/2021-NorthernElephant-California%20Breeding%20Stock.pdf" TargetMode="External"/><Relationship Id="rId223" Type="http://schemas.openxmlformats.org/officeDocument/2006/relationships/hyperlink" Target="https://media.fisheries.noaa.gov/2022-08/2021-FALSE%20KILLER%20WHALE-Hawaiian%20Islands%20Stock%20Complex.pdf" TargetMode="External"/><Relationship Id="rId1056" Type="http://schemas.openxmlformats.org/officeDocument/2006/relationships/hyperlink" Target="https://media.fisheries.noaa.gov/2022-08/2021-NorthernElephant-California%20Breeding%20Stock.pdf" TargetMode="External"/><Relationship Id="rId222" Type="http://schemas.openxmlformats.org/officeDocument/2006/relationships/hyperlink" Target="https://media.fisheries.noaa.gov/2022-08/2021-FALSE%20KILLER%20WHALE-Hawaiian%20Islands%20Stock%20Complex.pdf" TargetMode="External"/><Relationship Id="rId1057" Type="http://schemas.openxmlformats.org/officeDocument/2006/relationships/hyperlink" Target="https://media.fisheries.noaa.gov/2022-08/2021-NorthernElephant-California%20Breeding%20Stock.pdf" TargetMode="External"/><Relationship Id="rId221" Type="http://schemas.openxmlformats.org/officeDocument/2006/relationships/hyperlink" Target="https://media.fisheries.noaa.gov/2022-08/2021-DALL'S%20PORPOISE%20-%20CaliforniaOregonWashington%20Stock.pdf" TargetMode="External"/><Relationship Id="rId1058" Type="http://schemas.openxmlformats.org/officeDocument/2006/relationships/hyperlink" Target="https://media.fisheries.noaa.gov/2022-08/2021-NorthernElephant-California%20Breeding%20Stock.pdf" TargetMode="External"/><Relationship Id="rId1048" Type="http://schemas.openxmlformats.org/officeDocument/2006/relationships/hyperlink" Target="https://media.fisheries.noaa.gov/2022-08/2021-NorthernElephant-California%20Breeding%20Stock.pdf" TargetMode="External"/><Relationship Id="rId1049" Type="http://schemas.openxmlformats.org/officeDocument/2006/relationships/hyperlink" Target="https://media.fisheries.noaa.gov/2022-08/2021-NorthernElephant-California%20Breeding%20Stock.pdf" TargetMode="External"/><Relationship Id="rId217" Type="http://schemas.openxmlformats.org/officeDocument/2006/relationships/hyperlink" Target="https://media.fisheries.noaa.gov/2022-08/2021-DALL'S%20PORPOISE%20-%20CaliforniaOregonWashington%20Stock.pdf" TargetMode="External"/><Relationship Id="rId216" Type="http://schemas.openxmlformats.org/officeDocument/2006/relationships/hyperlink" Target="https://media.fisheries.noaa.gov/2022-08/2021-DALL'S%20PORPOISE%20-%20CaliforniaOregonWashington%20Stock.pdf" TargetMode="External"/><Relationship Id="rId215" Type="http://schemas.openxmlformats.org/officeDocument/2006/relationships/hyperlink" Target="https://media.fisheries.noaa.gov/2022-08/2021-DALL'S%20PORPOISE%20-%20CaliforniaOregonWashington%20Stock.pdf" TargetMode="External"/><Relationship Id="rId699" Type="http://schemas.openxmlformats.org/officeDocument/2006/relationships/hyperlink" Target="https://media.fisheries.noaa.gov/dam-migration/po2013sehr-owco_508.pdf" TargetMode="External"/><Relationship Id="rId214" Type="http://schemas.openxmlformats.org/officeDocument/2006/relationships/hyperlink" Target="https://media.fisheries.noaa.gov/2022-08/2021-DALL'S%20PORPOISE%20-%20CaliforniaOregonWashington%20Stock.pdf" TargetMode="External"/><Relationship Id="rId698" Type="http://schemas.openxmlformats.org/officeDocument/2006/relationships/hyperlink" Target="https://media.fisheries.noaa.gov/dam-migration/po2013sehr-owco_508.pdf" TargetMode="External"/><Relationship Id="rId219" Type="http://schemas.openxmlformats.org/officeDocument/2006/relationships/hyperlink" Target="https://media.fisheries.noaa.gov/2022-08/2021-DALL'S%20PORPOISE%20-%20CaliforniaOregonWashington%20Stock.pdf" TargetMode="External"/><Relationship Id="rId218" Type="http://schemas.openxmlformats.org/officeDocument/2006/relationships/hyperlink" Target="https://media.fisheries.noaa.gov/2022-08/2021-DALL'S%20PORPOISE%20-%20CaliforniaOregonWashington%20Stock.pdf" TargetMode="External"/><Relationship Id="rId693" Type="http://schemas.openxmlformats.org/officeDocument/2006/relationships/hyperlink" Target="https://media.fisheries.noaa.gov/dam-migration/po2014sehr-ca_508.pdf" TargetMode="External"/><Relationship Id="rId1040" Type="http://schemas.openxmlformats.org/officeDocument/2006/relationships/hyperlink" Target="https://media.fisheries.noaa.gov/2022-08/2021-NorthernElephant-California%20Breeding%20Stock.pdf" TargetMode="External"/><Relationship Id="rId692" Type="http://schemas.openxmlformats.org/officeDocument/2006/relationships/hyperlink" Target="https://media.fisheries.noaa.gov/dam-migration/po2014sehr-ca_508.pdf" TargetMode="External"/><Relationship Id="rId1041" Type="http://schemas.openxmlformats.org/officeDocument/2006/relationships/hyperlink" Target="https://media.fisheries.noaa.gov/2022-08/2021-NorthernElephant-California%20Breeding%20Stock.pdf" TargetMode="External"/><Relationship Id="rId691" Type="http://schemas.openxmlformats.org/officeDocument/2006/relationships/hyperlink" Target="https://media.fisheries.noaa.gov/dam-migration/po2014sehr-ca_508.pdf" TargetMode="External"/><Relationship Id="rId1042" Type="http://schemas.openxmlformats.org/officeDocument/2006/relationships/hyperlink" Target="https://media.fisheries.noaa.gov/2022-08/2021-NorthernElephant-California%20Breeding%20Stock.pdf" TargetMode="External"/><Relationship Id="rId690" Type="http://schemas.openxmlformats.org/officeDocument/2006/relationships/hyperlink" Target="https://media.fisheries.noaa.gov/dam-migration/po2014sehr-ca_508.pdf" TargetMode="External"/><Relationship Id="rId1043" Type="http://schemas.openxmlformats.org/officeDocument/2006/relationships/hyperlink" Target="https://media.fisheries.noaa.gov/2022-08/2021-NorthernElephant-California%20Breeding%20Stock.pdf" TargetMode="External"/><Relationship Id="rId213" Type="http://schemas.openxmlformats.org/officeDocument/2006/relationships/hyperlink" Target="https://media.fisheries.noaa.gov/2022-08/2021-DALL'S%20PORPOISE%20-%20CaliforniaOregonWashington%20Stock.pdf" TargetMode="External"/><Relationship Id="rId697" Type="http://schemas.openxmlformats.org/officeDocument/2006/relationships/hyperlink" Target="https://media.fisheries.noaa.gov/dam-migration/po2013sehr-owco_508.pdf" TargetMode="External"/><Relationship Id="rId1044" Type="http://schemas.openxmlformats.org/officeDocument/2006/relationships/hyperlink" Target="https://media.fisheries.noaa.gov/2022-08/2021-NorthernElephant-California%20Breeding%20Stock.pdf" TargetMode="External"/><Relationship Id="rId212" Type="http://schemas.openxmlformats.org/officeDocument/2006/relationships/hyperlink" Target="https://media.fisheries.noaa.gov/2022-08/2021-DALL'S%20PORPOISE%20-%20CaliforniaOregonWashington%20Stock.pdf" TargetMode="External"/><Relationship Id="rId696" Type="http://schemas.openxmlformats.org/officeDocument/2006/relationships/hyperlink" Target="https://media.fisheries.noaa.gov/dam-migration/po2013sehr-owco_508.pdf" TargetMode="External"/><Relationship Id="rId1045" Type="http://schemas.openxmlformats.org/officeDocument/2006/relationships/hyperlink" Target="https://media.fisheries.noaa.gov/2022-08/2021-NorthernElephant-California%20Breeding%20Stock.pdf" TargetMode="External"/><Relationship Id="rId211" Type="http://schemas.openxmlformats.org/officeDocument/2006/relationships/hyperlink" Target="https://media.fisheries.noaa.gov/2022-08/2021-DALL'S%20PORPOISE%20-%20CaliforniaOregonWashington%20Stock.pdf" TargetMode="External"/><Relationship Id="rId695" Type="http://schemas.openxmlformats.org/officeDocument/2006/relationships/hyperlink" Target="https://media.fisheries.noaa.gov/dam-migration/po2013sehr-owco_508.pdf" TargetMode="External"/><Relationship Id="rId1046" Type="http://schemas.openxmlformats.org/officeDocument/2006/relationships/hyperlink" Target="https://media.fisheries.noaa.gov/2022-08/2021-NorthernElephant-California%20Breeding%20Stock.pdf" TargetMode="External"/><Relationship Id="rId210" Type="http://schemas.openxmlformats.org/officeDocument/2006/relationships/hyperlink" Target="https://media.fisheries.noaa.gov/2022-08/2021-DALL'S%20PORPOISE%20-%20CaliforniaOregonWashington%20Stock.pdf" TargetMode="External"/><Relationship Id="rId694" Type="http://schemas.openxmlformats.org/officeDocument/2006/relationships/hyperlink" Target="https://media.fisheries.noaa.gov/dam-migration/po2014sehr-ca_508.pdf" TargetMode="External"/><Relationship Id="rId1047" Type="http://schemas.openxmlformats.org/officeDocument/2006/relationships/hyperlink" Target="https://media.fisheries.noaa.gov/2022-08/2021-NorthernElephant-California%20Breeding%20Stock.pdf" TargetMode="External"/><Relationship Id="rId249" Type="http://schemas.openxmlformats.org/officeDocument/2006/relationships/hyperlink" Target="https://www.fisheries.noaa.gov/s3/2021-08/2020-Pacific-SARS-Eastern-GrayWhale-dragged-.pdf" TargetMode="External"/><Relationship Id="rId248" Type="http://schemas.openxmlformats.org/officeDocument/2006/relationships/hyperlink" Target="https://www.fisheries.noaa.gov/s3/2021-08/2020-Pacific-SARS-Eastern-GrayWhale-dragged-.pdf" TargetMode="External"/><Relationship Id="rId247" Type="http://schemas.openxmlformats.org/officeDocument/2006/relationships/hyperlink" Target="https://media.fisheries.noaa.gov/2022-08/2021-PACfinwhale-CaliforniaOregonWashington%20Stock.pdf" TargetMode="External"/><Relationship Id="rId1070" Type="http://schemas.openxmlformats.org/officeDocument/2006/relationships/hyperlink" Target="https://media.fisheries.noaa.gov/2022-08/2021-NorthernElephant-California%20Breeding%20Stock.pdf" TargetMode="External"/><Relationship Id="rId1071" Type="http://schemas.openxmlformats.org/officeDocument/2006/relationships/hyperlink" Target="https://media.fisheries.noaa.gov/2022-08/2021-NorthernElephant-California%20Breeding%20Stock.pdf" TargetMode="External"/><Relationship Id="rId1072" Type="http://schemas.openxmlformats.org/officeDocument/2006/relationships/hyperlink" Target="https://media.fisheries.noaa.gov/2022-08/2021-NorthernElephant-California%20Breeding%20Stock.pdf" TargetMode="External"/><Relationship Id="rId242" Type="http://schemas.openxmlformats.org/officeDocument/2006/relationships/hyperlink" Target="https://media.fisheries.noaa.gov/2022-08/2021-PACfinwhale-CaliforniaOregonWashington%20Stock.pdf" TargetMode="External"/><Relationship Id="rId1073" Type="http://schemas.openxmlformats.org/officeDocument/2006/relationships/hyperlink" Target="https://media.fisheries.noaa.gov/2022-08/2021-NorthernElephant-California%20Breeding%20Stock.pdf" TargetMode="External"/><Relationship Id="rId241" Type="http://schemas.openxmlformats.org/officeDocument/2006/relationships/hyperlink" Target="https://media.fisheries.noaa.gov/2022-08/2021-PACfinwhale-CaliforniaOregonWashington%20Stock.pdf" TargetMode="External"/><Relationship Id="rId1074" Type="http://schemas.openxmlformats.org/officeDocument/2006/relationships/hyperlink" Target="https://media.fisheries.noaa.gov/2022-08/2021-NorthernElephant-California%20Breeding%20Stock.pdf" TargetMode="External"/><Relationship Id="rId240" Type="http://schemas.openxmlformats.org/officeDocument/2006/relationships/hyperlink" Target="https://media.fisheries.noaa.gov/2022-08/2021-PACfinwhale-CaliforniaOregonWashington%20Stock.pdf" TargetMode="External"/><Relationship Id="rId1075" Type="http://schemas.openxmlformats.org/officeDocument/2006/relationships/hyperlink" Target="https://media.fisheries.noaa.gov/2022-08/2021-NorthernElephant-California%20Breeding%20Stock.pdf" TargetMode="External"/><Relationship Id="rId1076" Type="http://schemas.openxmlformats.org/officeDocument/2006/relationships/hyperlink" Target="https://media.fisheries.noaa.gov/2022-08/2021-NorthernElephant-California%20Breeding%20Stock.pdf" TargetMode="External"/><Relationship Id="rId246" Type="http://schemas.openxmlformats.org/officeDocument/2006/relationships/hyperlink" Target="https://media.fisheries.noaa.gov/2022-08/2021-PACfinwhale-CaliforniaOregonWashington%20Stock.pdf" TargetMode="External"/><Relationship Id="rId1077" Type="http://schemas.openxmlformats.org/officeDocument/2006/relationships/hyperlink" Target="https://media.fisheries.noaa.gov/2022-08/2021-NorthernElephant-California%20Breeding%20Stock.pdf" TargetMode="External"/><Relationship Id="rId245" Type="http://schemas.openxmlformats.org/officeDocument/2006/relationships/hyperlink" Target="https://media.fisheries.noaa.gov/2022-08/2021-PACfinwhale-CaliforniaOregonWashington%20Stock.pdf" TargetMode="External"/><Relationship Id="rId1078" Type="http://schemas.openxmlformats.org/officeDocument/2006/relationships/hyperlink" Target="https://media.fisheries.noaa.gov/2022-08/2021-NorthernElephant-California%20Breeding%20Stock.pdf" TargetMode="External"/><Relationship Id="rId244" Type="http://schemas.openxmlformats.org/officeDocument/2006/relationships/hyperlink" Target="https://media.fisheries.noaa.gov/2022-08/2021-PACfinwhale-CaliforniaOregonWashington%20Stock.pdf" TargetMode="External"/><Relationship Id="rId1079" Type="http://schemas.openxmlformats.org/officeDocument/2006/relationships/hyperlink" Target="https://media.fisheries.noaa.gov/2022-08/2021-NorthernElephant-California%20Breeding%20Stock.pdf" TargetMode="External"/><Relationship Id="rId243" Type="http://schemas.openxmlformats.org/officeDocument/2006/relationships/hyperlink" Target="https://media.fisheries.noaa.gov/2022-08/2021-PACfinwhale-CaliforniaOregonWashington%20Stock.pdf" TargetMode="External"/><Relationship Id="rId239" Type="http://schemas.openxmlformats.org/officeDocument/2006/relationships/hyperlink" Target="https://media.fisheries.noaa.gov/2022-08/2021-PACfinwhale-CaliforniaOregonWashington%20Stock.pdf" TargetMode="External"/><Relationship Id="rId238" Type="http://schemas.openxmlformats.org/officeDocument/2006/relationships/hyperlink" Target="https://media.fisheries.noaa.gov/2022-08/2021-PACfinwhale-CaliforniaOregonWashington%20Stock.pdf" TargetMode="External"/><Relationship Id="rId237" Type="http://schemas.openxmlformats.org/officeDocument/2006/relationships/hyperlink" Target="https://media.fisheries.noaa.gov/2022-08/2021-PACfinwhale-CaliforniaOregonWashington%20Stock.pdf" TargetMode="External"/><Relationship Id="rId236" Type="http://schemas.openxmlformats.org/officeDocument/2006/relationships/hyperlink" Target="https://media.fisheries.noaa.gov/2022-08/2021-PACfinwhale-CaliforniaOregonWashington%20Stock.pdf" TargetMode="External"/><Relationship Id="rId1060" Type="http://schemas.openxmlformats.org/officeDocument/2006/relationships/hyperlink" Target="https://media.fisheries.noaa.gov/2022-08/2021-NorthernElephant-California%20Breeding%20Stock.pdf" TargetMode="External"/><Relationship Id="rId1061" Type="http://schemas.openxmlformats.org/officeDocument/2006/relationships/hyperlink" Target="https://media.fisheries.noaa.gov/2022-08/2021-NorthernElephant-California%20Breeding%20Stock.pdf" TargetMode="External"/><Relationship Id="rId231" Type="http://schemas.openxmlformats.org/officeDocument/2006/relationships/hyperlink" Target="https://media.fisheries.noaa.gov/2022-08/2021-PACfinwhale-CaliforniaOregonWashington%20Stock.pdf" TargetMode="External"/><Relationship Id="rId1062" Type="http://schemas.openxmlformats.org/officeDocument/2006/relationships/hyperlink" Target="https://media.fisheries.noaa.gov/2022-08/2021-NorthernElephant-California%20Breeding%20Stock.pdf" TargetMode="External"/><Relationship Id="rId230" Type="http://schemas.openxmlformats.org/officeDocument/2006/relationships/hyperlink" Target="https://media.fisheries.noaa.gov/2022-08/2021-PACfinwhale-CaliforniaOregonWashington%20Stock.pdf" TargetMode="External"/><Relationship Id="rId1063" Type="http://schemas.openxmlformats.org/officeDocument/2006/relationships/hyperlink" Target="https://media.fisheries.noaa.gov/2022-08/2021-NorthernElephant-California%20Breeding%20Stock.pdf" TargetMode="External"/><Relationship Id="rId1064" Type="http://schemas.openxmlformats.org/officeDocument/2006/relationships/hyperlink" Target="https://media.fisheries.noaa.gov/2022-08/2021-NorthernElephant-California%20Breeding%20Stock.pdf" TargetMode="External"/><Relationship Id="rId1065" Type="http://schemas.openxmlformats.org/officeDocument/2006/relationships/hyperlink" Target="https://media.fisheries.noaa.gov/2022-08/2021-NorthernElephant-California%20Breeding%20Stock.pdf" TargetMode="External"/><Relationship Id="rId235" Type="http://schemas.openxmlformats.org/officeDocument/2006/relationships/hyperlink" Target="https://media.fisheries.noaa.gov/2022-08/2021-PACfinwhale-CaliforniaOregonWashington%20Stock.pdf" TargetMode="External"/><Relationship Id="rId1066" Type="http://schemas.openxmlformats.org/officeDocument/2006/relationships/hyperlink" Target="https://media.fisheries.noaa.gov/2022-08/2021-NorthernElephant-California%20Breeding%20Stock.pdf" TargetMode="External"/><Relationship Id="rId234" Type="http://schemas.openxmlformats.org/officeDocument/2006/relationships/hyperlink" Target="https://media.fisheries.noaa.gov/2022-08/2021-PACfinwhale-CaliforniaOregonWashington%20Stock.pdf" TargetMode="External"/><Relationship Id="rId1067" Type="http://schemas.openxmlformats.org/officeDocument/2006/relationships/hyperlink" Target="https://media.fisheries.noaa.gov/2022-08/2021-NorthernElephant-California%20Breeding%20Stock.pdf" TargetMode="External"/><Relationship Id="rId233" Type="http://schemas.openxmlformats.org/officeDocument/2006/relationships/hyperlink" Target="https://media.fisheries.noaa.gov/2022-08/2021-PACfinwhale-CaliforniaOregonWashington%20Stock.pdf" TargetMode="External"/><Relationship Id="rId1068" Type="http://schemas.openxmlformats.org/officeDocument/2006/relationships/hyperlink" Target="https://media.fisheries.noaa.gov/2022-08/2021-NorthernElephant-California%20Breeding%20Stock.pdf" TargetMode="External"/><Relationship Id="rId232" Type="http://schemas.openxmlformats.org/officeDocument/2006/relationships/hyperlink" Target="https://media.fisheries.noaa.gov/2022-08/2021-PACfinwhale-CaliforniaOregonWashington%20Stock.pdf" TargetMode="External"/><Relationship Id="rId1069" Type="http://schemas.openxmlformats.org/officeDocument/2006/relationships/hyperlink" Target="https://media.fisheries.noaa.gov/2022-08/2021-NorthernElephant-California%20Breeding%20Stock.pdf" TargetMode="External"/><Relationship Id="rId1015" Type="http://schemas.openxmlformats.org/officeDocument/2006/relationships/hyperlink" Target="https://media.fisheries.noaa.gov/2022-08/2021-NorthernElephant-California%20Breeding%20Stock.pdf" TargetMode="External"/><Relationship Id="rId1499" Type="http://schemas.openxmlformats.org/officeDocument/2006/relationships/hyperlink" Target="https://www.fisheries.noaa.gov/s3/2023-06/STELLERSEALIONEumetopiasjubatusWesternU.S.Stock-.pdf" TargetMode="External"/><Relationship Id="rId1016" Type="http://schemas.openxmlformats.org/officeDocument/2006/relationships/hyperlink" Target="https://media.fisheries.noaa.gov/2022-08/2021-NorthernElephant-California%20Breeding%20Stock.pdf" TargetMode="External"/><Relationship Id="rId1017" Type="http://schemas.openxmlformats.org/officeDocument/2006/relationships/hyperlink" Target="https://media.fisheries.noaa.gov/2022-08/2021-NorthernElephant-California%20Breeding%20Stock.pdf" TargetMode="External"/><Relationship Id="rId1018" Type="http://schemas.openxmlformats.org/officeDocument/2006/relationships/hyperlink" Target="https://media.fisheries.noaa.gov/2022-08/2021-NorthernElephant-California%20Breeding%20Stock.pdf" TargetMode="External"/><Relationship Id="rId1019" Type="http://schemas.openxmlformats.org/officeDocument/2006/relationships/hyperlink" Target="https://media.fisheries.noaa.gov/2022-08/2021-NorthernElephant-California%20Breeding%20Stock.pdf" TargetMode="External"/><Relationship Id="rId668" Type="http://schemas.openxmlformats.org/officeDocument/2006/relationships/hyperlink" Target="https://media.fisheries.noaa.gov/dam-migration/po2014sehr-ca_508.pdf" TargetMode="External"/><Relationship Id="rId667" Type="http://schemas.openxmlformats.org/officeDocument/2006/relationships/hyperlink" Target="https://media.fisheries.noaa.gov/dam-migration/po2014sehr-ca_508.pdf" TargetMode="External"/><Relationship Id="rId666" Type="http://schemas.openxmlformats.org/officeDocument/2006/relationships/hyperlink" Target="https://media.fisheries.noaa.gov/dam-migration/po2014sehr-ca_508.pdf" TargetMode="External"/><Relationship Id="rId665" Type="http://schemas.openxmlformats.org/officeDocument/2006/relationships/hyperlink" Target="https://media.fisheries.noaa.gov/dam-migration/po2014sehr-ca_508.pdf" TargetMode="External"/><Relationship Id="rId669" Type="http://schemas.openxmlformats.org/officeDocument/2006/relationships/hyperlink" Target="https://media.fisheries.noaa.gov/dam-migration/po2014sehr-ca_508.pdf" TargetMode="External"/><Relationship Id="rId1490" Type="http://schemas.openxmlformats.org/officeDocument/2006/relationships/hyperlink" Target="https://www.fisheries.noaa.gov/s3/2023-06/STELLERSEALIONEumetopiasjubatusWesternU.S.Stock-.pdf" TargetMode="External"/><Relationship Id="rId660" Type="http://schemas.openxmlformats.org/officeDocument/2006/relationships/hyperlink" Target="https://media.fisheries.noaa.gov/dam-migration/po2014sehr-ca_508.pdf" TargetMode="External"/><Relationship Id="rId1491" Type="http://schemas.openxmlformats.org/officeDocument/2006/relationships/hyperlink" Target="https://www.fisheries.noaa.gov/s3/2023-06/STELLERSEALIONEumetopiasjubatusWesternU.S.Stock-.pdf" TargetMode="External"/><Relationship Id="rId1492" Type="http://schemas.openxmlformats.org/officeDocument/2006/relationships/hyperlink" Target="https://www.fisheries.noaa.gov/s3/2023-06/STELLERSEALIONEumetopiasjubatusWesternU.S.Stock-.pdf" TargetMode="External"/><Relationship Id="rId1493" Type="http://schemas.openxmlformats.org/officeDocument/2006/relationships/hyperlink" Target="https://www.fisheries.noaa.gov/s3/2023-06/STELLERSEALIONEumetopiasjubatusWesternU.S.Stock-.pdf" TargetMode="External"/><Relationship Id="rId1010" Type="http://schemas.openxmlformats.org/officeDocument/2006/relationships/hyperlink" Target="https://www.fisheries.noaa.gov/s3/2023-08/North-Atlantic-Right-Whale-Western-Atlantic-2022.pdf" TargetMode="External"/><Relationship Id="rId1494" Type="http://schemas.openxmlformats.org/officeDocument/2006/relationships/hyperlink" Target="https://www.fisheries.noaa.gov/s3/2023-06/STELLERSEALIONEumetopiasjubatusWesternU.S.Stock-.pdf" TargetMode="External"/><Relationship Id="rId664" Type="http://schemas.openxmlformats.org/officeDocument/2006/relationships/hyperlink" Target="https://media.fisheries.noaa.gov/dam-migration/po2014sehr-ca_508.pdf" TargetMode="External"/><Relationship Id="rId1011" Type="http://schemas.openxmlformats.org/officeDocument/2006/relationships/hyperlink" Target="https://www.fisheries.noaa.gov/s3/2023-08/North-Atlantic-Right-Whale-Western-Atlantic-2022.pdf" TargetMode="External"/><Relationship Id="rId1495" Type="http://schemas.openxmlformats.org/officeDocument/2006/relationships/hyperlink" Target="https://www.fisheries.noaa.gov/s3/2023-06/STELLERSEALIONEumetopiasjubatusWesternU.S.Stock-.pdf" TargetMode="External"/><Relationship Id="rId663" Type="http://schemas.openxmlformats.org/officeDocument/2006/relationships/hyperlink" Target="https://media.fisheries.noaa.gov/dam-migration/po2014sehr-ca_508.pdf" TargetMode="External"/><Relationship Id="rId1012" Type="http://schemas.openxmlformats.org/officeDocument/2006/relationships/hyperlink" Target="https://www.fisheries.noaa.gov/s3/2023-08/North-Atlantic-Right-Whale-Western-Atlantic-2022.pdf" TargetMode="External"/><Relationship Id="rId1496" Type="http://schemas.openxmlformats.org/officeDocument/2006/relationships/hyperlink" Target="https://www.fisheries.noaa.gov/s3/2023-06/STELLERSEALIONEumetopiasjubatusWesternU.S.Stock-.pdf" TargetMode="External"/><Relationship Id="rId662" Type="http://schemas.openxmlformats.org/officeDocument/2006/relationships/hyperlink" Target="https://media.fisheries.noaa.gov/dam-migration/po2014sehr-ca_508.pdf" TargetMode="External"/><Relationship Id="rId1013" Type="http://schemas.openxmlformats.org/officeDocument/2006/relationships/hyperlink" Target="https://www.fisheries.noaa.gov/s3/2023-08/North-Atlantic-Right-Whale-Western-Atlantic-2022.pdf" TargetMode="External"/><Relationship Id="rId1497" Type="http://schemas.openxmlformats.org/officeDocument/2006/relationships/hyperlink" Target="https://www.fisheries.noaa.gov/s3/2023-06/STELLERSEALIONEumetopiasjubatusWesternU.S.Stock-.pdf" TargetMode="External"/><Relationship Id="rId661" Type="http://schemas.openxmlformats.org/officeDocument/2006/relationships/hyperlink" Target="https://media.fisheries.noaa.gov/dam-migration/po2014sehr-ca_508.pdf" TargetMode="External"/><Relationship Id="rId1014" Type="http://schemas.openxmlformats.org/officeDocument/2006/relationships/hyperlink" Target="https://media.fisheries.noaa.gov/2022-08/2021-NorthernElephant-California%20Breeding%20Stock.pdf" TargetMode="External"/><Relationship Id="rId1498" Type="http://schemas.openxmlformats.org/officeDocument/2006/relationships/hyperlink" Target="https://www.fisheries.noaa.gov/s3/2023-06/STELLERSEALIONEumetopiasjubatusWesternU.S.Stock-.pdf" TargetMode="External"/><Relationship Id="rId1004" Type="http://schemas.openxmlformats.org/officeDocument/2006/relationships/hyperlink" Target="https://www.fisheries.noaa.gov/s3/2023-08/North-Atlantic-Right-Whale-Western-Atlantic-2022.pdf" TargetMode="External"/><Relationship Id="rId1488" Type="http://schemas.openxmlformats.org/officeDocument/2006/relationships/hyperlink" Target="https://www.fisheries.noaa.gov/s3/2023-06/STELLERSEALIONEumetopiasjubatusWesternU.S.Stock-.pdf" TargetMode="External"/><Relationship Id="rId1005" Type="http://schemas.openxmlformats.org/officeDocument/2006/relationships/hyperlink" Target="https://www.fisheries.noaa.gov/s3/2023-08/North-Atlantic-Right-Whale-Western-Atlantic-2022.pdf" TargetMode="External"/><Relationship Id="rId1489" Type="http://schemas.openxmlformats.org/officeDocument/2006/relationships/hyperlink" Target="https://www.fisheries.noaa.gov/s3/2023-06/STELLERSEALIONEumetopiasjubatusWesternU.S.Stock-.pdf" TargetMode="External"/><Relationship Id="rId1006" Type="http://schemas.openxmlformats.org/officeDocument/2006/relationships/hyperlink" Target="https://www.fisheries.noaa.gov/s3/2023-08/North-Atlantic-Right-Whale-Western-Atlantic-2022.pdf" TargetMode="External"/><Relationship Id="rId1007" Type="http://schemas.openxmlformats.org/officeDocument/2006/relationships/hyperlink" Target="https://www.fisheries.noaa.gov/s3/2023-08/North-Atlantic-Right-Whale-Western-Atlantic-2022.pdf" TargetMode="External"/><Relationship Id="rId1008" Type="http://schemas.openxmlformats.org/officeDocument/2006/relationships/hyperlink" Target="https://www.fisheries.noaa.gov/s3/2023-08/North-Atlantic-Right-Whale-Western-Atlantic-2022.pdf" TargetMode="External"/><Relationship Id="rId1009" Type="http://schemas.openxmlformats.org/officeDocument/2006/relationships/hyperlink" Target="https://www.fisheries.noaa.gov/s3/2023-08/North-Atlantic-Right-Whale-Western-Atlantic-2022.pdf" TargetMode="External"/><Relationship Id="rId657" Type="http://schemas.openxmlformats.org/officeDocument/2006/relationships/hyperlink" Target="https://media.fisheries.noaa.gov/dam-migration/po2014sehr-ca_508.pdf" TargetMode="External"/><Relationship Id="rId656" Type="http://schemas.openxmlformats.org/officeDocument/2006/relationships/hyperlink" Target="https://media.fisheries.noaa.gov/dam-migration/po2014sehr-ca_508.pdf" TargetMode="External"/><Relationship Id="rId655" Type="http://schemas.openxmlformats.org/officeDocument/2006/relationships/hyperlink" Target="https://media.fisheries.noaa.gov/dam-migration/po2014sehr-ca_508.pdf" TargetMode="External"/><Relationship Id="rId654" Type="http://schemas.openxmlformats.org/officeDocument/2006/relationships/hyperlink" Target="https://media.fisheries.noaa.gov/dam-migration/po2014sehr-ca_508.pdf" TargetMode="External"/><Relationship Id="rId659" Type="http://schemas.openxmlformats.org/officeDocument/2006/relationships/hyperlink" Target="https://media.fisheries.noaa.gov/dam-migration/po2014sehr-ca_508.pdf" TargetMode="External"/><Relationship Id="rId658" Type="http://schemas.openxmlformats.org/officeDocument/2006/relationships/hyperlink" Target="https://media.fisheries.noaa.gov/dam-migration/po2014sehr-ca_508.pdf" TargetMode="External"/><Relationship Id="rId1480" Type="http://schemas.openxmlformats.org/officeDocument/2006/relationships/hyperlink" Target="https://www.fisheries.noaa.gov/s3/2023-06/STELLERSEALIONEumetopiasjubatusWesternU.S.Stock-.pdf" TargetMode="External"/><Relationship Id="rId1481" Type="http://schemas.openxmlformats.org/officeDocument/2006/relationships/hyperlink" Target="https://www.fisheries.noaa.gov/s3/2023-06/STELLERSEALIONEumetopiasjubatusWesternU.S.Stock-.pdf" TargetMode="External"/><Relationship Id="rId1482" Type="http://schemas.openxmlformats.org/officeDocument/2006/relationships/hyperlink" Target="https://www.fisheries.noaa.gov/s3/2023-06/STELLERSEALIONEumetopiasjubatusWesternU.S.Stock-.pdf" TargetMode="External"/><Relationship Id="rId1483" Type="http://schemas.openxmlformats.org/officeDocument/2006/relationships/hyperlink" Target="https://www.fisheries.noaa.gov/s3/2023-06/STELLERSEALIONEumetopiasjubatusWesternU.S.Stock-.pdf" TargetMode="External"/><Relationship Id="rId653" Type="http://schemas.openxmlformats.org/officeDocument/2006/relationships/hyperlink" Target="https://media.fisheries.noaa.gov/dam-migration/po2014sehr-ca_508.pdf" TargetMode="External"/><Relationship Id="rId1000" Type="http://schemas.openxmlformats.org/officeDocument/2006/relationships/hyperlink" Target="https://www.fisheries.noaa.gov/s3/2023-08/North-Atlantic-Right-Whale-Western-Atlantic-2022.pdf" TargetMode="External"/><Relationship Id="rId1484" Type="http://schemas.openxmlformats.org/officeDocument/2006/relationships/hyperlink" Target="https://www.fisheries.noaa.gov/s3/2023-06/STELLERSEALIONEumetopiasjubatusWesternU.S.Stock-.pdf" TargetMode="External"/><Relationship Id="rId652" Type="http://schemas.openxmlformats.org/officeDocument/2006/relationships/hyperlink" Target="https://media.fisheries.noaa.gov/dam-migration/po2014sehr-ca_508.pdf" TargetMode="External"/><Relationship Id="rId1001" Type="http://schemas.openxmlformats.org/officeDocument/2006/relationships/hyperlink" Target="https://www.fisheries.noaa.gov/s3/2023-08/North-Atlantic-Right-Whale-Western-Atlantic-2022.pdf" TargetMode="External"/><Relationship Id="rId1485" Type="http://schemas.openxmlformats.org/officeDocument/2006/relationships/hyperlink" Target="https://www.fisheries.noaa.gov/s3/2023-06/STELLERSEALIONEumetopiasjubatusWesternU.S.Stock-.pdf" TargetMode="External"/><Relationship Id="rId651" Type="http://schemas.openxmlformats.org/officeDocument/2006/relationships/hyperlink" Target="https://media.fisheries.noaa.gov/dam-migration/po2014sehr-ca_508.pdf" TargetMode="External"/><Relationship Id="rId1002" Type="http://schemas.openxmlformats.org/officeDocument/2006/relationships/hyperlink" Target="https://www.fisheries.noaa.gov/s3/2023-08/North-Atlantic-Right-Whale-Western-Atlantic-2022.pdf" TargetMode="External"/><Relationship Id="rId1486" Type="http://schemas.openxmlformats.org/officeDocument/2006/relationships/hyperlink" Target="https://www.fisheries.noaa.gov/s3/2023-06/STELLERSEALIONEumetopiasjubatusWesternU.S.Stock-.pdf" TargetMode="External"/><Relationship Id="rId650" Type="http://schemas.openxmlformats.org/officeDocument/2006/relationships/hyperlink" Target="https://media.fisheries.noaa.gov/dam-migration/po2014sehr-ca_508.pdf" TargetMode="External"/><Relationship Id="rId1003" Type="http://schemas.openxmlformats.org/officeDocument/2006/relationships/hyperlink" Target="https://www.fisheries.noaa.gov/s3/2023-08/North-Atlantic-Right-Whale-Western-Atlantic-2022.pdf" TargetMode="External"/><Relationship Id="rId1487" Type="http://schemas.openxmlformats.org/officeDocument/2006/relationships/hyperlink" Target="https://www.fisheries.noaa.gov/s3/2023-06/STELLERSEALIONEumetopiasjubatusWesternU.S.Stock-.pdf" TargetMode="External"/><Relationship Id="rId1037" Type="http://schemas.openxmlformats.org/officeDocument/2006/relationships/hyperlink" Target="https://media.fisheries.noaa.gov/2022-08/2021-NorthernElephant-California%20Breeding%20Stock.pdf" TargetMode="External"/><Relationship Id="rId1038" Type="http://schemas.openxmlformats.org/officeDocument/2006/relationships/hyperlink" Target="https://media.fisheries.noaa.gov/2022-08/2021-NorthernElephant-California%20Breeding%20Stock.pdf" TargetMode="External"/><Relationship Id="rId1039" Type="http://schemas.openxmlformats.org/officeDocument/2006/relationships/hyperlink" Target="https://media.fisheries.noaa.gov/2022-08/2021-NorthernElephant-California%20Breeding%20Stock.pdf" TargetMode="External"/><Relationship Id="rId206" Type="http://schemas.openxmlformats.org/officeDocument/2006/relationships/hyperlink" Target="https://media.fisheries.noaa.gov/2022-08/2021-DALL'S%20PORPOISE%20-%20CaliforniaOregonWashington%20Stock.pdf" TargetMode="External"/><Relationship Id="rId205" Type="http://schemas.openxmlformats.org/officeDocument/2006/relationships/hyperlink" Target="https://media.fisheries.noaa.gov/2022-08/2021-DALL'S%20PORPOISE%20-%20CaliforniaOregonWashington%20Stock.pdf" TargetMode="External"/><Relationship Id="rId689" Type="http://schemas.openxmlformats.org/officeDocument/2006/relationships/hyperlink" Target="https://media.fisheries.noaa.gov/dam-migration/po2014sehr-ca_508.pdf" TargetMode="External"/><Relationship Id="rId204" Type="http://schemas.openxmlformats.org/officeDocument/2006/relationships/hyperlink" Target="https://www.fisheries.noaa.gov/s3/2023-08/Cuviers-CAORWA-2022.pdf" TargetMode="External"/><Relationship Id="rId688" Type="http://schemas.openxmlformats.org/officeDocument/2006/relationships/hyperlink" Target="https://media.fisheries.noaa.gov/dam-migration/po2014sehr-ca_508.pdf" TargetMode="External"/><Relationship Id="rId203" Type="http://schemas.openxmlformats.org/officeDocument/2006/relationships/hyperlink" Target="https://www.fisheries.noaa.gov/s3/2023-08/Cuviers-CAORWA-2022.pdf" TargetMode="External"/><Relationship Id="rId687" Type="http://schemas.openxmlformats.org/officeDocument/2006/relationships/hyperlink" Target="https://media.fisheries.noaa.gov/dam-migration/po2014sehr-ca_508.pdf" TargetMode="External"/><Relationship Id="rId209" Type="http://schemas.openxmlformats.org/officeDocument/2006/relationships/hyperlink" Target="https://media.fisheries.noaa.gov/2022-08/2021-DALL'S%20PORPOISE%20-%20CaliforniaOregonWashington%20Stock.pdf" TargetMode="External"/><Relationship Id="rId208" Type="http://schemas.openxmlformats.org/officeDocument/2006/relationships/hyperlink" Target="https://media.fisheries.noaa.gov/2022-08/2021-DALL'S%20PORPOISE%20-%20CaliforniaOregonWashington%20Stock.pdf" TargetMode="External"/><Relationship Id="rId207" Type="http://schemas.openxmlformats.org/officeDocument/2006/relationships/hyperlink" Target="https://media.fisheries.noaa.gov/2022-08/2021-DALL'S%20PORPOISE%20-%20CaliforniaOregonWashington%20Stock.pdf" TargetMode="External"/><Relationship Id="rId682" Type="http://schemas.openxmlformats.org/officeDocument/2006/relationships/hyperlink" Target="https://media.fisheries.noaa.gov/dam-migration/po2014sehr-ca_508.pdf" TargetMode="External"/><Relationship Id="rId681" Type="http://schemas.openxmlformats.org/officeDocument/2006/relationships/hyperlink" Target="https://media.fisheries.noaa.gov/dam-migration/po2014sehr-ca_508.pdf" TargetMode="External"/><Relationship Id="rId1030" Type="http://schemas.openxmlformats.org/officeDocument/2006/relationships/hyperlink" Target="https://media.fisheries.noaa.gov/2022-08/2021-NorthernElephant-California%20Breeding%20Stock.pdf" TargetMode="External"/><Relationship Id="rId680" Type="http://schemas.openxmlformats.org/officeDocument/2006/relationships/hyperlink" Target="https://media.fisheries.noaa.gov/dam-migration/po2014sehr-ca_508.pdf" TargetMode="External"/><Relationship Id="rId1031" Type="http://schemas.openxmlformats.org/officeDocument/2006/relationships/hyperlink" Target="https://media.fisheries.noaa.gov/2022-08/2021-NorthernElephant-California%20Breeding%20Stock.pdf" TargetMode="External"/><Relationship Id="rId1032" Type="http://schemas.openxmlformats.org/officeDocument/2006/relationships/hyperlink" Target="https://media.fisheries.noaa.gov/2022-08/2021-NorthernElephant-California%20Breeding%20Stock.pdf" TargetMode="External"/><Relationship Id="rId202" Type="http://schemas.openxmlformats.org/officeDocument/2006/relationships/hyperlink" Target="https://www.fisheries.noaa.gov/s3/2023-08/Cuviers-CAORWA-2022.pdf" TargetMode="External"/><Relationship Id="rId686" Type="http://schemas.openxmlformats.org/officeDocument/2006/relationships/hyperlink" Target="https://media.fisheries.noaa.gov/dam-migration/po2014sehr-ca_508.pdf" TargetMode="External"/><Relationship Id="rId1033" Type="http://schemas.openxmlformats.org/officeDocument/2006/relationships/hyperlink" Target="https://media.fisheries.noaa.gov/2022-08/2021-NorthernElephant-California%20Breeding%20Stock.pdf" TargetMode="External"/><Relationship Id="rId201" Type="http://schemas.openxmlformats.org/officeDocument/2006/relationships/hyperlink" Target="https://www.fisheries.noaa.gov/s3/2023-08/Cuviers-CAORWA-2022.pdf" TargetMode="External"/><Relationship Id="rId685" Type="http://schemas.openxmlformats.org/officeDocument/2006/relationships/hyperlink" Target="https://media.fisheries.noaa.gov/dam-migration/po2014sehr-ca_508.pdf" TargetMode="External"/><Relationship Id="rId1034" Type="http://schemas.openxmlformats.org/officeDocument/2006/relationships/hyperlink" Target="https://media.fisheries.noaa.gov/2022-08/2021-NorthernElephant-California%20Breeding%20Stock.pdf" TargetMode="External"/><Relationship Id="rId200" Type="http://schemas.openxmlformats.org/officeDocument/2006/relationships/hyperlink" Target="https://www.fisheries.noaa.gov/s3/2023-08/Cuviers-CAORWA-2022.pdf" TargetMode="External"/><Relationship Id="rId684" Type="http://schemas.openxmlformats.org/officeDocument/2006/relationships/hyperlink" Target="https://media.fisheries.noaa.gov/dam-migration/po2014sehr-ca_508.pdf" TargetMode="External"/><Relationship Id="rId1035" Type="http://schemas.openxmlformats.org/officeDocument/2006/relationships/hyperlink" Target="https://media.fisheries.noaa.gov/2022-08/2021-NorthernElephant-California%20Breeding%20Stock.pdf" TargetMode="External"/><Relationship Id="rId683" Type="http://schemas.openxmlformats.org/officeDocument/2006/relationships/hyperlink" Target="https://media.fisheries.noaa.gov/dam-migration/po2014sehr-ca_508.pdf" TargetMode="External"/><Relationship Id="rId1036" Type="http://schemas.openxmlformats.org/officeDocument/2006/relationships/hyperlink" Target="https://media.fisheries.noaa.gov/2022-08/2021-NorthernElephant-California%20Breeding%20Stock.pdf" TargetMode="External"/><Relationship Id="rId1026" Type="http://schemas.openxmlformats.org/officeDocument/2006/relationships/hyperlink" Target="https://media.fisheries.noaa.gov/2022-08/2021-NorthernElephant-California%20Breeding%20Stock.pdf" TargetMode="External"/><Relationship Id="rId1027" Type="http://schemas.openxmlformats.org/officeDocument/2006/relationships/hyperlink" Target="https://media.fisheries.noaa.gov/2022-08/2021-NorthernElephant-California%20Breeding%20Stock.pdf" TargetMode="External"/><Relationship Id="rId1028" Type="http://schemas.openxmlformats.org/officeDocument/2006/relationships/hyperlink" Target="https://media.fisheries.noaa.gov/2022-08/2021-NorthernElephant-California%20Breeding%20Stock.pdf" TargetMode="External"/><Relationship Id="rId1029" Type="http://schemas.openxmlformats.org/officeDocument/2006/relationships/hyperlink" Target="https://media.fisheries.noaa.gov/2022-08/2021-NorthernElephant-California%20Breeding%20Stock.pdf" TargetMode="External"/><Relationship Id="rId679" Type="http://schemas.openxmlformats.org/officeDocument/2006/relationships/hyperlink" Target="https://media.fisheries.noaa.gov/dam-migration/po2014sehr-ca_508.pdf" TargetMode="External"/><Relationship Id="rId678" Type="http://schemas.openxmlformats.org/officeDocument/2006/relationships/hyperlink" Target="https://media.fisheries.noaa.gov/dam-migration/po2014sehr-ca_508.pdf" TargetMode="External"/><Relationship Id="rId677" Type="http://schemas.openxmlformats.org/officeDocument/2006/relationships/hyperlink" Target="https://media.fisheries.noaa.gov/dam-migration/po2014sehr-ca_508.pdf" TargetMode="External"/><Relationship Id="rId676" Type="http://schemas.openxmlformats.org/officeDocument/2006/relationships/hyperlink" Target="https://media.fisheries.noaa.gov/dam-migration/po2014sehr-ca_508.pdf" TargetMode="External"/><Relationship Id="rId671" Type="http://schemas.openxmlformats.org/officeDocument/2006/relationships/hyperlink" Target="https://media.fisheries.noaa.gov/dam-migration/po2014sehr-ca_508.pdf" TargetMode="External"/><Relationship Id="rId670" Type="http://schemas.openxmlformats.org/officeDocument/2006/relationships/hyperlink" Target="https://media.fisheries.noaa.gov/dam-migration/po2014sehr-ca_508.pdf" TargetMode="External"/><Relationship Id="rId1020" Type="http://schemas.openxmlformats.org/officeDocument/2006/relationships/hyperlink" Target="https://media.fisheries.noaa.gov/2022-08/2021-NorthernElephant-California%20Breeding%20Stock.pdf" TargetMode="External"/><Relationship Id="rId1021" Type="http://schemas.openxmlformats.org/officeDocument/2006/relationships/hyperlink" Target="https://media.fisheries.noaa.gov/2022-08/2021-NorthernElephant-California%20Breeding%20Stock.pdf" TargetMode="External"/><Relationship Id="rId675" Type="http://schemas.openxmlformats.org/officeDocument/2006/relationships/hyperlink" Target="https://media.fisheries.noaa.gov/dam-migration/po2014sehr-ca_508.pdf" TargetMode="External"/><Relationship Id="rId1022" Type="http://schemas.openxmlformats.org/officeDocument/2006/relationships/hyperlink" Target="https://media.fisheries.noaa.gov/2022-08/2021-NorthernElephant-California%20Breeding%20Stock.pdf" TargetMode="External"/><Relationship Id="rId674" Type="http://schemas.openxmlformats.org/officeDocument/2006/relationships/hyperlink" Target="https://media.fisheries.noaa.gov/dam-migration/po2014sehr-ca_508.pdf" TargetMode="External"/><Relationship Id="rId1023" Type="http://schemas.openxmlformats.org/officeDocument/2006/relationships/hyperlink" Target="https://media.fisheries.noaa.gov/2022-08/2021-NorthernElephant-California%20Breeding%20Stock.pdf" TargetMode="External"/><Relationship Id="rId673" Type="http://schemas.openxmlformats.org/officeDocument/2006/relationships/hyperlink" Target="https://media.fisheries.noaa.gov/dam-migration/po2014sehr-ca_508.pdf" TargetMode="External"/><Relationship Id="rId1024" Type="http://schemas.openxmlformats.org/officeDocument/2006/relationships/hyperlink" Target="https://media.fisheries.noaa.gov/2022-08/2021-NorthernElephant-California%20Breeding%20Stock.pdf" TargetMode="External"/><Relationship Id="rId672" Type="http://schemas.openxmlformats.org/officeDocument/2006/relationships/hyperlink" Target="https://media.fisheries.noaa.gov/dam-migration/po2014sehr-ca_508.pdf" TargetMode="External"/><Relationship Id="rId1025" Type="http://schemas.openxmlformats.org/officeDocument/2006/relationships/hyperlink" Target="https://media.fisheries.noaa.gov/2022-08/2021-NorthernElephant-California%20Breeding%20Stock.pdf" TargetMode="External"/><Relationship Id="rId190" Type="http://schemas.openxmlformats.org/officeDocument/2006/relationships/hyperlink" Target="https://media.fisheries.noaa.gov/dam-migration/ca_sea_lion_final_2018_sar.pdf" TargetMode="External"/><Relationship Id="rId194" Type="http://schemas.openxmlformats.org/officeDocument/2006/relationships/hyperlink" Target="https://media.fisheries.noaa.gov/dam-migration/ca_sea_lion_final_2018_sar.pdf" TargetMode="External"/><Relationship Id="rId193" Type="http://schemas.openxmlformats.org/officeDocument/2006/relationships/hyperlink" Target="https://media.fisheries.noaa.gov/dam-migration/ca_sea_lion_final_2018_sar.pdf" TargetMode="External"/><Relationship Id="rId192" Type="http://schemas.openxmlformats.org/officeDocument/2006/relationships/hyperlink" Target="https://media.fisheries.noaa.gov/dam-migration/ca_sea_lion_final_2018_sar.pdf" TargetMode="External"/><Relationship Id="rId191" Type="http://schemas.openxmlformats.org/officeDocument/2006/relationships/hyperlink" Target="https://media.fisheries.noaa.gov/dam-migration/ca_sea_lion_final_2018_sar.pdf" TargetMode="External"/><Relationship Id="rId187" Type="http://schemas.openxmlformats.org/officeDocument/2006/relationships/hyperlink" Target="https://media.fisheries.noaa.gov/dam-migration/ca_sea_lion_final_2018_sar.pdf" TargetMode="External"/><Relationship Id="rId186" Type="http://schemas.openxmlformats.org/officeDocument/2006/relationships/hyperlink" Target="https://media.fisheries.noaa.gov/dam-migration/ca_sea_lion_final_2018_sar.pdf" TargetMode="External"/><Relationship Id="rId185" Type="http://schemas.openxmlformats.org/officeDocument/2006/relationships/hyperlink" Target="https://media.fisheries.noaa.gov/dam-migration/ca_sea_lion_final_2018_sar.pdf" TargetMode="External"/><Relationship Id="rId184" Type="http://schemas.openxmlformats.org/officeDocument/2006/relationships/hyperlink" Target="https://media.fisheries.noaa.gov/dam-migration/ca_sea_lion_final_2018_sar.pdf" TargetMode="External"/><Relationship Id="rId189" Type="http://schemas.openxmlformats.org/officeDocument/2006/relationships/hyperlink" Target="https://media.fisheries.noaa.gov/dam-migration/ca_sea_lion_final_2018_sar.pdf" TargetMode="External"/><Relationship Id="rId188" Type="http://schemas.openxmlformats.org/officeDocument/2006/relationships/hyperlink" Target="https://media.fisheries.noaa.gov/dam-migration/ca_sea_lion_final_2018_sar.pdf" TargetMode="External"/><Relationship Id="rId183" Type="http://schemas.openxmlformats.org/officeDocument/2006/relationships/hyperlink" Target="https://media.fisheries.noaa.gov/dam-migration/ca_sea_lion_final_2018_sar.pdf" TargetMode="External"/><Relationship Id="rId182" Type="http://schemas.openxmlformats.org/officeDocument/2006/relationships/hyperlink" Target="https://media.fisheries.noaa.gov/dam-migration/ca_sea_lion_final_2018_sar.pdf" TargetMode="External"/><Relationship Id="rId181" Type="http://schemas.openxmlformats.org/officeDocument/2006/relationships/hyperlink" Target="https://media.fisheries.noaa.gov/dam-migration/ca_sea_lion_final_2018_sar.pdf" TargetMode="External"/><Relationship Id="rId180" Type="http://schemas.openxmlformats.org/officeDocument/2006/relationships/hyperlink" Target="https://media.fisheries.noaa.gov/dam-migration/ca_sea_lion_final_2018_sar.pdf" TargetMode="External"/><Relationship Id="rId176" Type="http://schemas.openxmlformats.org/officeDocument/2006/relationships/hyperlink" Target="https://media.fisheries.noaa.gov/dam-migration/ca_sea_lion_final_2018_sar.pdf" TargetMode="External"/><Relationship Id="rId175" Type="http://schemas.openxmlformats.org/officeDocument/2006/relationships/hyperlink" Target="https://media.fisheries.noaa.gov/dam-migration/ca_sea_lion_final_2018_sar.pdf" TargetMode="External"/><Relationship Id="rId174" Type="http://schemas.openxmlformats.org/officeDocument/2006/relationships/hyperlink" Target="https://media.fisheries.noaa.gov/dam-migration/ca_sea_lion_final_2018_sar.pdf" TargetMode="External"/><Relationship Id="rId173" Type="http://schemas.openxmlformats.org/officeDocument/2006/relationships/hyperlink" Target="https://media.fisheries.noaa.gov/dam-migration/ca_sea_lion_final_2018_sar.pdf" TargetMode="External"/><Relationship Id="rId179" Type="http://schemas.openxmlformats.org/officeDocument/2006/relationships/hyperlink" Target="https://media.fisheries.noaa.gov/dam-migration/ca_sea_lion_final_2018_sar.pdf" TargetMode="External"/><Relationship Id="rId178" Type="http://schemas.openxmlformats.org/officeDocument/2006/relationships/hyperlink" Target="https://media.fisheries.noaa.gov/dam-migration/ca_sea_lion_final_2018_sar.pdf" TargetMode="External"/><Relationship Id="rId177" Type="http://schemas.openxmlformats.org/officeDocument/2006/relationships/hyperlink" Target="https://media.fisheries.noaa.gov/dam-migration/ca_sea_lion_final_2018_sar.pdf" TargetMode="External"/><Relationship Id="rId198" Type="http://schemas.openxmlformats.org/officeDocument/2006/relationships/hyperlink" Target="https://www.fisheries.noaa.gov/s3/2023-08/Cuviers-CAORWA-2022.pdf" TargetMode="External"/><Relationship Id="rId197" Type="http://schemas.openxmlformats.org/officeDocument/2006/relationships/hyperlink" Target="https://www.fisheries.noaa.gov/s3/2023-08/Cuviers-CAORWA-2022.pdf" TargetMode="External"/><Relationship Id="rId196" Type="http://schemas.openxmlformats.org/officeDocument/2006/relationships/hyperlink" Target="https://www.fisheries.noaa.gov/s3/2023-08/Cuviers-CAORWA-2022.pdf" TargetMode="External"/><Relationship Id="rId195" Type="http://schemas.openxmlformats.org/officeDocument/2006/relationships/hyperlink" Target="https://www.fisheries.noaa.gov/s3/2023-08/Cuviers-CAORWA-2022.pdf" TargetMode="External"/><Relationship Id="rId199" Type="http://schemas.openxmlformats.org/officeDocument/2006/relationships/hyperlink" Target="https://www.fisheries.noaa.gov/s3/2023-08/Cuviers-CAORWA-2022.pdf" TargetMode="External"/><Relationship Id="rId150" Type="http://schemas.openxmlformats.org/officeDocument/2006/relationships/hyperlink" Target="https://media.fisheries.noaa.gov/dam-migration/ca_sea_lion_final_2018_sar.pdf" TargetMode="External"/><Relationship Id="rId149" Type="http://schemas.openxmlformats.org/officeDocument/2006/relationships/hyperlink" Target="https://media.fisheries.noaa.gov/dam-migration/ca_sea_lion_final_2018_sar.pdf" TargetMode="External"/><Relationship Id="rId148" Type="http://schemas.openxmlformats.org/officeDocument/2006/relationships/hyperlink" Target="https://media.fisheries.noaa.gov/dam-migration/ca_sea_lion_final_2018_sar.pdf" TargetMode="External"/><Relationship Id="rId1090" Type="http://schemas.openxmlformats.org/officeDocument/2006/relationships/hyperlink" Target="https://media.fisheries.noaa.gov/2022-08/2021-NorthernElephant-California%20Breeding%20Stock.pdf" TargetMode="External"/><Relationship Id="rId1091" Type="http://schemas.openxmlformats.org/officeDocument/2006/relationships/hyperlink" Target="https://media.fisheries.noaa.gov/2022-08/2021-NorthernElephant-California%20Breeding%20Stock.pdf" TargetMode="External"/><Relationship Id="rId1092" Type="http://schemas.openxmlformats.org/officeDocument/2006/relationships/hyperlink" Target="https://media.fisheries.noaa.gov/2022-08/2021-NorthernElephant-California%20Breeding%20Stock.pdf" TargetMode="External"/><Relationship Id="rId1093" Type="http://schemas.openxmlformats.org/officeDocument/2006/relationships/hyperlink" Target="https://media.fisheries.noaa.gov/2022-08/2021-NorthernElephant-California%20Breeding%20Stock.pdf" TargetMode="External"/><Relationship Id="rId1094" Type="http://schemas.openxmlformats.org/officeDocument/2006/relationships/hyperlink" Target="https://media.fisheries.noaa.gov/2022-08/2021-NorthernElephant-California%20Breeding%20Stock.pdf" TargetMode="External"/><Relationship Id="rId143" Type="http://schemas.openxmlformats.org/officeDocument/2006/relationships/hyperlink" Target="https://media.fisheries.noaa.gov/dam-migration/ca_sea_lion_final_2018_sar.pdf" TargetMode="External"/><Relationship Id="rId1095" Type="http://schemas.openxmlformats.org/officeDocument/2006/relationships/hyperlink" Target="https://media.fisheries.noaa.gov/2022-08/2021-NorthernElephant-California%20Breeding%20Stock.pdf" TargetMode="External"/><Relationship Id="rId142" Type="http://schemas.openxmlformats.org/officeDocument/2006/relationships/hyperlink" Target="https://media.fisheries.noaa.gov/dam-migration/ca_sea_lion_final_2018_sar.pdf" TargetMode="External"/><Relationship Id="rId1096" Type="http://schemas.openxmlformats.org/officeDocument/2006/relationships/hyperlink" Target="https://media.fisheries.noaa.gov/2022-08/2021-NorthernElephant-California%20Breeding%20Stock.pdf" TargetMode="External"/><Relationship Id="rId141" Type="http://schemas.openxmlformats.org/officeDocument/2006/relationships/hyperlink" Target="https://media.fisheries.noaa.gov/dam-migration/ca_sea_lion_final_2018_sar.pdf" TargetMode="External"/><Relationship Id="rId1097" Type="http://schemas.openxmlformats.org/officeDocument/2006/relationships/hyperlink" Target="https://media.fisheries.noaa.gov/2022-08/2021-NorthernElephant-California%20Breeding%20Stock.pdf" TargetMode="External"/><Relationship Id="rId140" Type="http://schemas.openxmlformats.org/officeDocument/2006/relationships/hyperlink" Target="https://media.fisheries.noaa.gov/dam-migration/ca_sea_lion_final_2018_sar.pdf" TargetMode="External"/><Relationship Id="rId1098" Type="http://schemas.openxmlformats.org/officeDocument/2006/relationships/hyperlink" Target="https://media.fisheries.noaa.gov/2022-08/2021-NorthernElephant-California%20Breeding%20Stock.pdf" TargetMode="External"/><Relationship Id="rId147" Type="http://schemas.openxmlformats.org/officeDocument/2006/relationships/hyperlink" Target="https://media.fisheries.noaa.gov/dam-migration/ca_sea_lion_final_2018_sar.pdf" TargetMode="External"/><Relationship Id="rId1099" Type="http://schemas.openxmlformats.org/officeDocument/2006/relationships/hyperlink" Target="https://media.fisheries.noaa.gov/2022-08/2021-NorthernElephant-California%20Breeding%20Stock.pdf" TargetMode="External"/><Relationship Id="rId146" Type="http://schemas.openxmlformats.org/officeDocument/2006/relationships/hyperlink" Target="https://media.fisheries.noaa.gov/dam-migration/ca_sea_lion_final_2018_sar.pdf" TargetMode="External"/><Relationship Id="rId145" Type="http://schemas.openxmlformats.org/officeDocument/2006/relationships/hyperlink" Target="https://media.fisheries.noaa.gov/dam-migration/ca_sea_lion_final_2018_sar.pdf" TargetMode="External"/><Relationship Id="rId144" Type="http://schemas.openxmlformats.org/officeDocument/2006/relationships/hyperlink" Target="https://media.fisheries.noaa.gov/dam-migration/ca_sea_lion_final_2018_sar.pdf" TargetMode="External"/><Relationship Id="rId139" Type="http://schemas.openxmlformats.org/officeDocument/2006/relationships/hyperlink" Target="https://media.fisheries.noaa.gov/dam-migration/ca_sea_lion_final_2018_sar.pdf" TargetMode="External"/><Relationship Id="rId138" Type="http://schemas.openxmlformats.org/officeDocument/2006/relationships/hyperlink" Target="https://media.fisheries.noaa.gov/dam-migration/ca_sea_lion_final_2018_sar.pdf" TargetMode="External"/><Relationship Id="rId137" Type="http://schemas.openxmlformats.org/officeDocument/2006/relationships/hyperlink" Target="https://media.fisheries.noaa.gov/dam-migration/ca_sea_lion_final_2018_sar.pdf" TargetMode="External"/><Relationship Id="rId1080" Type="http://schemas.openxmlformats.org/officeDocument/2006/relationships/hyperlink" Target="https://media.fisheries.noaa.gov/2022-08/2021-NorthernElephant-California%20Breeding%20Stock.pdf" TargetMode="External"/><Relationship Id="rId1081" Type="http://schemas.openxmlformats.org/officeDocument/2006/relationships/hyperlink" Target="https://media.fisheries.noaa.gov/2022-08/2021-NorthernElephant-California%20Breeding%20Stock.pdf" TargetMode="External"/><Relationship Id="rId1082" Type="http://schemas.openxmlformats.org/officeDocument/2006/relationships/hyperlink" Target="https://media.fisheries.noaa.gov/2022-08/2021-NorthernElephant-California%20Breeding%20Stock.pdf" TargetMode="External"/><Relationship Id="rId1083" Type="http://schemas.openxmlformats.org/officeDocument/2006/relationships/hyperlink" Target="https://media.fisheries.noaa.gov/2022-08/2021-NorthernElephant-California%20Breeding%20Stock.pdf" TargetMode="External"/><Relationship Id="rId132" Type="http://schemas.openxmlformats.org/officeDocument/2006/relationships/hyperlink" Target="https://media.fisheries.noaa.gov/dam-migration/ca_sea_lion_final_2018_sar.pdf" TargetMode="External"/><Relationship Id="rId1084" Type="http://schemas.openxmlformats.org/officeDocument/2006/relationships/hyperlink" Target="https://media.fisheries.noaa.gov/2022-08/2021-NorthernElephant-California%20Breeding%20Stock.pdf" TargetMode="External"/><Relationship Id="rId131" Type="http://schemas.openxmlformats.org/officeDocument/2006/relationships/hyperlink" Target="https://media.fisheries.noaa.gov/dam-migration/ca_sea_lion_final_2018_sar.pdf" TargetMode="External"/><Relationship Id="rId1085" Type="http://schemas.openxmlformats.org/officeDocument/2006/relationships/hyperlink" Target="https://media.fisheries.noaa.gov/2022-08/2021-NorthernElephant-California%20Breeding%20Stock.pdf" TargetMode="External"/><Relationship Id="rId130" Type="http://schemas.openxmlformats.org/officeDocument/2006/relationships/hyperlink" Target="https://media.fisheries.noaa.gov/dam-migration/ca_sea_lion_final_2018_sar.pdf" TargetMode="External"/><Relationship Id="rId1086" Type="http://schemas.openxmlformats.org/officeDocument/2006/relationships/hyperlink" Target="https://media.fisheries.noaa.gov/2022-08/2021-NorthernElephant-California%20Breeding%20Stock.pdf" TargetMode="External"/><Relationship Id="rId1087" Type="http://schemas.openxmlformats.org/officeDocument/2006/relationships/hyperlink" Target="https://media.fisheries.noaa.gov/2022-08/2021-NorthernElephant-California%20Breeding%20Stock.pdf" TargetMode="External"/><Relationship Id="rId136" Type="http://schemas.openxmlformats.org/officeDocument/2006/relationships/hyperlink" Target="https://media.fisheries.noaa.gov/dam-migration/ca_sea_lion_final_2018_sar.pdf" TargetMode="External"/><Relationship Id="rId1088" Type="http://schemas.openxmlformats.org/officeDocument/2006/relationships/hyperlink" Target="https://media.fisheries.noaa.gov/2022-08/2021-NorthernElephant-California%20Breeding%20Stock.pdf" TargetMode="External"/><Relationship Id="rId135" Type="http://schemas.openxmlformats.org/officeDocument/2006/relationships/hyperlink" Target="https://media.fisheries.noaa.gov/dam-migration/ca_sea_lion_final_2018_sar.pdf" TargetMode="External"/><Relationship Id="rId1089" Type="http://schemas.openxmlformats.org/officeDocument/2006/relationships/hyperlink" Target="https://media.fisheries.noaa.gov/2022-08/2021-NorthernElephant-California%20Breeding%20Stock.pdf" TargetMode="External"/><Relationship Id="rId134" Type="http://schemas.openxmlformats.org/officeDocument/2006/relationships/hyperlink" Target="https://media.fisheries.noaa.gov/dam-migration/ca_sea_lion_final_2018_sar.pdf" TargetMode="External"/><Relationship Id="rId133" Type="http://schemas.openxmlformats.org/officeDocument/2006/relationships/hyperlink" Target="https://media.fisheries.noaa.gov/dam-migration/ca_sea_lion_final_2018_sar.pdf" TargetMode="External"/><Relationship Id="rId172" Type="http://schemas.openxmlformats.org/officeDocument/2006/relationships/hyperlink" Target="https://media.fisheries.noaa.gov/dam-migration/ca_sea_lion_final_2018_sar.pdf" TargetMode="External"/><Relationship Id="rId171" Type="http://schemas.openxmlformats.org/officeDocument/2006/relationships/hyperlink" Target="https://media.fisheries.noaa.gov/dam-migration/ca_sea_lion_final_2018_sar.pdf" TargetMode="External"/><Relationship Id="rId170" Type="http://schemas.openxmlformats.org/officeDocument/2006/relationships/hyperlink" Target="https://media.fisheries.noaa.gov/dam-migration/ca_sea_lion_final_2018_sar.pdf" TargetMode="External"/><Relationship Id="rId165" Type="http://schemas.openxmlformats.org/officeDocument/2006/relationships/hyperlink" Target="https://media.fisheries.noaa.gov/dam-migration/ca_sea_lion_final_2018_sar.pdf" TargetMode="External"/><Relationship Id="rId164" Type="http://schemas.openxmlformats.org/officeDocument/2006/relationships/hyperlink" Target="https://media.fisheries.noaa.gov/dam-migration/ca_sea_lion_final_2018_sar.pdf" TargetMode="External"/><Relationship Id="rId163" Type="http://schemas.openxmlformats.org/officeDocument/2006/relationships/hyperlink" Target="https://media.fisheries.noaa.gov/dam-migration/ca_sea_lion_final_2018_sar.pdf" TargetMode="External"/><Relationship Id="rId162" Type="http://schemas.openxmlformats.org/officeDocument/2006/relationships/hyperlink" Target="https://media.fisheries.noaa.gov/dam-migration/ca_sea_lion_final_2018_sar.pdf" TargetMode="External"/><Relationship Id="rId169" Type="http://schemas.openxmlformats.org/officeDocument/2006/relationships/hyperlink" Target="https://media.fisheries.noaa.gov/dam-migration/ca_sea_lion_final_2018_sar.pdf" TargetMode="External"/><Relationship Id="rId168" Type="http://schemas.openxmlformats.org/officeDocument/2006/relationships/hyperlink" Target="https://media.fisheries.noaa.gov/dam-migration/ca_sea_lion_final_2018_sar.pdf" TargetMode="External"/><Relationship Id="rId167" Type="http://schemas.openxmlformats.org/officeDocument/2006/relationships/hyperlink" Target="https://media.fisheries.noaa.gov/dam-migration/ca_sea_lion_final_2018_sar.pdf" TargetMode="External"/><Relationship Id="rId166" Type="http://schemas.openxmlformats.org/officeDocument/2006/relationships/hyperlink" Target="https://media.fisheries.noaa.gov/dam-migration/ca_sea_lion_final_2018_sar.pdf" TargetMode="External"/><Relationship Id="rId161" Type="http://schemas.openxmlformats.org/officeDocument/2006/relationships/hyperlink" Target="https://media.fisheries.noaa.gov/dam-migration/ca_sea_lion_final_2018_sar.pdf" TargetMode="External"/><Relationship Id="rId160" Type="http://schemas.openxmlformats.org/officeDocument/2006/relationships/hyperlink" Target="https://media.fisheries.noaa.gov/dam-migration/ca_sea_lion_final_2018_sar.pdf" TargetMode="External"/><Relationship Id="rId159" Type="http://schemas.openxmlformats.org/officeDocument/2006/relationships/hyperlink" Target="https://media.fisheries.noaa.gov/dam-migration/ca_sea_lion_final_2018_sar.pdf" TargetMode="External"/><Relationship Id="rId154" Type="http://schemas.openxmlformats.org/officeDocument/2006/relationships/hyperlink" Target="https://media.fisheries.noaa.gov/dam-migration/ca_sea_lion_final_2018_sar.pdf" TargetMode="External"/><Relationship Id="rId153" Type="http://schemas.openxmlformats.org/officeDocument/2006/relationships/hyperlink" Target="https://media.fisheries.noaa.gov/dam-migration/ca_sea_lion_final_2018_sar.pdf" TargetMode="External"/><Relationship Id="rId152" Type="http://schemas.openxmlformats.org/officeDocument/2006/relationships/hyperlink" Target="https://media.fisheries.noaa.gov/dam-migration/ca_sea_lion_final_2018_sar.pdf" TargetMode="External"/><Relationship Id="rId151" Type="http://schemas.openxmlformats.org/officeDocument/2006/relationships/hyperlink" Target="https://media.fisheries.noaa.gov/dam-migration/ca_sea_lion_final_2018_sar.pdf" TargetMode="External"/><Relationship Id="rId158" Type="http://schemas.openxmlformats.org/officeDocument/2006/relationships/hyperlink" Target="https://media.fisheries.noaa.gov/dam-migration/ca_sea_lion_final_2018_sar.pdf" TargetMode="External"/><Relationship Id="rId157" Type="http://schemas.openxmlformats.org/officeDocument/2006/relationships/hyperlink" Target="https://media.fisheries.noaa.gov/dam-migration/ca_sea_lion_final_2018_sar.pdf" TargetMode="External"/><Relationship Id="rId156" Type="http://schemas.openxmlformats.org/officeDocument/2006/relationships/hyperlink" Target="https://media.fisheries.noaa.gov/dam-migration/ca_sea_lion_final_2018_sar.pdf" TargetMode="External"/><Relationship Id="rId155" Type="http://schemas.openxmlformats.org/officeDocument/2006/relationships/hyperlink" Target="https://media.fisheries.noaa.gov/dam-migration/ca_sea_lion_final_2018_sar.pdf" TargetMode="External"/><Relationship Id="rId1510" Type="http://schemas.openxmlformats.org/officeDocument/2006/relationships/hyperlink" Target="https://www.fisheries.noaa.gov/s3/2023-06/STELLERSEALIONEumetopiasjubatusWesternU.S.Stock-.pdf" TargetMode="External"/><Relationship Id="rId1511" Type="http://schemas.openxmlformats.org/officeDocument/2006/relationships/hyperlink" Target="https://www.fisheries.noaa.gov/s3/2023-06/STELLERSEALIONEumetopiasjubatusWesternU.S.Stock-.pdf" TargetMode="External"/><Relationship Id="rId1512" Type="http://schemas.openxmlformats.org/officeDocument/2006/relationships/hyperlink" Target="https://www.fisheries.noaa.gov/s3/2023-06/STELLERSEALIONEumetopiasjubatusWesternU.S.Stock-.pdf" TargetMode="External"/><Relationship Id="rId1513" Type="http://schemas.openxmlformats.org/officeDocument/2006/relationships/hyperlink" Target="https://www.fisheries.noaa.gov/s3/2023-06/STELLERSEALIONEumetopiasjubatusWesternU.S.Stock-.pdf" TargetMode="External"/><Relationship Id="rId1514" Type="http://schemas.openxmlformats.org/officeDocument/2006/relationships/hyperlink" Target="https://www.fisheries.noaa.gov/s3/2023-06/STELLERSEALIONEumetopiasjubatusWesternU.S.Stock-.pdf" TargetMode="External"/><Relationship Id="rId1515" Type="http://schemas.openxmlformats.org/officeDocument/2006/relationships/hyperlink" Target="https://www.fisheries.noaa.gov/s3/2023-06/STELLERSEALIONEumetopiasjubatusWesternU.S.Stock-.pdf" TargetMode="External"/><Relationship Id="rId1516" Type="http://schemas.openxmlformats.org/officeDocument/2006/relationships/hyperlink" Target="https://www.fisheries.noaa.gov/s3/2023-06/STELLERSEALIONEumetopiasjubatusWesternU.S.Stock-.pdf" TargetMode="External"/><Relationship Id="rId1517" Type="http://schemas.openxmlformats.org/officeDocument/2006/relationships/hyperlink" Target="https://www.fisheries.noaa.gov/s3/2023-06/STELLERSEALIONEumetopiasjubatusWesternU.S.Stock-.pdf" TargetMode="External"/><Relationship Id="rId1518" Type="http://schemas.openxmlformats.org/officeDocument/2006/relationships/hyperlink" Target="https://www.fisheries.noaa.gov/s3/2023-06/STELLERSEALIONEumetopiasjubatusWesternU.S.Stock-.pdf" TargetMode="External"/><Relationship Id="rId1519" Type="http://schemas.openxmlformats.org/officeDocument/2006/relationships/hyperlink" Target="https://www.fisheries.noaa.gov/s3/2023-06/STELLERSEALIONEumetopiasjubatusWesternU.S.Stock-.pdf" TargetMode="External"/><Relationship Id="rId1500" Type="http://schemas.openxmlformats.org/officeDocument/2006/relationships/hyperlink" Target="https://www.fisheries.noaa.gov/s3/2023-06/STELLERSEALIONEumetopiasjubatusWesternU.S.Stock-.pdf" TargetMode="External"/><Relationship Id="rId1501" Type="http://schemas.openxmlformats.org/officeDocument/2006/relationships/hyperlink" Target="https://www.fisheries.noaa.gov/s3/2023-06/STELLERSEALIONEumetopiasjubatusWesternU.S.Stock-.pdf" TargetMode="External"/><Relationship Id="rId1502" Type="http://schemas.openxmlformats.org/officeDocument/2006/relationships/hyperlink" Target="https://www.fisheries.noaa.gov/s3/2023-06/STELLERSEALIONEumetopiasjubatusWesternU.S.Stock-.pdf" TargetMode="External"/><Relationship Id="rId1503" Type="http://schemas.openxmlformats.org/officeDocument/2006/relationships/hyperlink" Target="https://www.fisheries.noaa.gov/s3/2023-06/STELLERSEALIONEumetopiasjubatusWesternU.S.Stock-.pdf" TargetMode="External"/><Relationship Id="rId1504" Type="http://schemas.openxmlformats.org/officeDocument/2006/relationships/hyperlink" Target="https://www.fisheries.noaa.gov/s3/2023-06/STELLERSEALIONEumetopiasjubatusWesternU.S.Stock-.pdf" TargetMode="External"/><Relationship Id="rId1505" Type="http://schemas.openxmlformats.org/officeDocument/2006/relationships/hyperlink" Target="https://www.fisheries.noaa.gov/s3/2023-06/STELLERSEALIONEumetopiasjubatusWesternU.S.Stock-.pdf" TargetMode="External"/><Relationship Id="rId1506" Type="http://schemas.openxmlformats.org/officeDocument/2006/relationships/hyperlink" Target="https://www.fisheries.noaa.gov/s3/2023-06/STELLERSEALIONEumetopiasjubatusWesternU.S.Stock-.pdf" TargetMode="External"/><Relationship Id="rId1507" Type="http://schemas.openxmlformats.org/officeDocument/2006/relationships/hyperlink" Target="https://www.fisheries.noaa.gov/s3/2023-06/STELLERSEALIONEumetopiasjubatusWesternU.S.Stock-.pdf" TargetMode="External"/><Relationship Id="rId1508" Type="http://schemas.openxmlformats.org/officeDocument/2006/relationships/hyperlink" Target="https://www.fisheries.noaa.gov/s3/2023-06/STELLERSEALIONEumetopiasjubatusWesternU.S.Stock-.pdf" TargetMode="External"/><Relationship Id="rId1509" Type="http://schemas.openxmlformats.org/officeDocument/2006/relationships/hyperlink" Target="https://www.fisheries.noaa.gov/s3/2023-06/STELLERSEALIONEumetopiasjubatusWesternU.S.Stock-.pdf" TargetMode="External"/><Relationship Id="rId1576" Type="http://schemas.openxmlformats.org/officeDocument/2006/relationships/hyperlink" Target="https://www.fisheries.noaa.gov/s3/2023-06/STELLERSEALIONEumetopiasjubatusWesternU.S.Stock-.pdf" TargetMode="External"/><Relationship Id="rId1577" Type="http://schemas.openxmlformats.org/officeDocument/2006/relationships/hyperlink" Target="https://www.fisheries.noaa.gov/s3/2023-06/STELLERSEALIONEumetopiasjubatusWesternU.S.Stock-.pdf" TargetMode="External"/><Relationship Id="rId1578" Type="http://schemas.openxmlformats.org/officeDocument/2006/relationships/hyperlink" Target="https://www.fisheries.noaa.gov/s3/2023-06/STELLERSEALIONEumetopiasjubatusWesternU.S.Stock-.pdf" TargetMode="External"/><Relationship Id="rId1579" Type="http://schemas.openxmlformats.org/officeDocument/2006/relationships/hyperlink" Target="https://www.fisheries.noaa.gov/s3/2023-06/STELLERSEALIONEumetopiasjubatusWesternU.S.Stock-.pdf" TargetMode="External"/><Relationship Id="rId509" Type="http://schemas.openxmlformats.org/officeDocument/2006/relationships/hyperlink" Target="https://media.fisheries.noaa.gov/dam-migration/2019_sars_alaska_harbor_seal.pdf" TargetMode="External"/><Relationship Id="rId508" Type="http://schemas.openxmlformats.org/officeDocument/2006/relationships/hyperlink" Target="https://media.fisheries.noaa.gov/dam-migration/2019_sars_alaska_harbor_seal.pdf" TargetMode="External"/><Relationship Id="rId503" Type="http://schemas.openxmlformats.org/officeDocument/2006/relationships/hyperlink" Target="https://media.fisheries.noaa.gov/dam-migration/2019_sars_alaska_harbor_seal.pdf" TargetMode="External"/><Relationship Id="rId987" Type="http://schemas.openxmlformats.org/officeDocument/2006/relationships/hyperlink" Target="https://www.fisheries.noaa.gov/s3/2023-08/North-Atlantic-Right-Whale-Western-Atlantic-2022.pdf" TargetMode="External"/><Relationship Id="rId502" Type="http://schemas.openxmlformats.org/officeDocument/2006/relationships/hyperlink" Target="https://media.fisheries.noaa.gov/dam-migration/2019_sars_alaska_harbor_seal.pdf" TargetMode="External"/><Relationship Id="rId986" Type="http://schemas.openxmlformats.org/officeDocument/2006/relationships/hyperlink" Target="https://www.fisheries.noaa.gov/s3/2023-08/North-Atlantic-Right-Whale-Western-Atlantic-2022.pdf" TargetMode="External"/><Relationship Id="rId501" Type="http://schemas.openxmlformats.org/officeDocument/2006/relationships/hyperlink" Target="https://media.fisheries.noaa.gov/dam-migration/2019_sars_alaska_harbor_seal.pdf" TargetMode="External"/><Relationship Id="rId985" Type="http://schemas.openxmlformats.org/officeDocument/2006/relationships/hyperlink" Target="https://www.fisheries.noaa.gov/s3/2023-08/North-Atlantic-Right-Whale-Western-Atlantic-2022.pdf" TargetMode="External"/><Relationship Id="rId500" Type="http://schemas.openxmlformats.org/officeDocument/2006/relationships/hyperlink" Target="https://media.fisheries.noaa.gov/dam-migration/2019_sars_alaska_harbor_seal.pdf" TargetMode="External"/><Relationship Id="rId984" Type="http://schemas.openxmlformats.org/officeDocument/2006/relationships/hyperlink" Target="https://www.fisheries.noaa.gov/s3/2023-08/North-Atlantic-Right-Whale-Western-Atlantic-2022.pdf" TargetMode="External"/><Relationship Id="rId507" Type="http://schemas.openxmlformats.org/officeDocument/2006/relationships/hyperlink" Target="https://media.fisheries.noaa.gov/dam-migration/2019_sars_alaska_harbor_seal.pdf" TargetMode="External"/><Relationship Id="rId506" Type="http://schemas.openxmlformats.org/officeDocument/2006/relationships/hyperlink" Target="https://media.fisheries.noaa.gov/dam-migration/2019_sars_alaska_harbor_seal.pdf" TargetMode="External"/><Relationship Id="rId505" Type="http://schemas.openxmlformats.org/officeDocument/2006/relationships/hyperlink" Target="https://media.fisheries.noaa.gov/dam-migration/2019_sars_alaska_harbor_seal.pdf" TargetMode="External"/><Relationship Id="rId989" Type="http://schemas.openxmlformats.org/officeDocument/2006/relationships/hyperlink" Target="https://www.fisheries.noaa.gov/s3/2023-08/North-Atlantic-Right-Whale-Western-Atlantic-2022.pdf" TargetMode="External"/><Relationship Id="rId504" Type="http://schemas.openxmlformats.org/officeDocument/2006/relationships/hyperlink" Target="https://media.fisheries.noaa.gov/dam-migration/2019_sars_alaska_harbor_seal.pdf" TargetMode="External"/><Relationship Id="rId988" Type="http://schemas.openxmlformats.org/officeDocument/2006/relationships/hyperlink" Target="https://www.fisheries.noaa.gov/s3/2023-08/North-Atlantic-Right-Whale-Western-Atlantic-2022.pdf" TargetMode="External"/><Relationship Id="rId1570" Type="http://schemas.openxmlformats.org/officeDocument/2006/relationships/hyperlink" Target="https://www.fisheries.noaa.gov/s3/2023-06/STELLERSEALIONEumetopiasjubatusWesternU.S.Stock-.pdf" TargetMode="External"/><Relationship Id="rId1571" Type="http://schemas.openxmlformats.org/officeDocument/2006/relationships/hyperlink" Target="https://www.fisheries.noaa.gov/s3/2023-06/STELLERSEALIONEumetopiasjubatusWesternU.S.Stock-.pdf" TargetMode="External"/><Relationship Id="rId983" Type="http://schemas.openxmlformats.org/officeDocument/2006/relationships/hyperlink" Target="https://www.fisheries.noaa.gov/s3/2023-08/North-Atlantic-Right-Whale-Western-Atlantic-2022.pdf" TargetMode="External"/><Relationship Id="rId1572" Type="http://schemas.openxmlformats.org/officeDocument/2006/relationships/hyperlink" Target="https://www.fisheries.noaa.gov/s3/2023-06/STELLERSEALIONEumetopiasjubatusWesternU.S.Stock-.pdf" TargetMode="External"/><Relationship Id="rId982" Type="http://schemas.openxmlformats.org/officeDocument/2006/relationships/hyperlink" Target="https://www.fisheries.noaa.gov/s3/2023-08/North-Atlantic-Right-Whale-Western-Atlantic-2022.pdf" TargetMode="External"/><Relationship Id="rId1573" Type="http://schemas.openxmlformats.org/officeDocument/2006/relationships/hyperlink" Target="https://www.fisheries.noaa.gov/s3/2023-06/STELLERSEALIONEumetopiasjubatusWesternU.S.Stock-.pdf" TargetMode="External"/><Relationship Id="rId981" Type="http://schemas.openxmlformats.org/officeDocument/2006/relationships/hyperlink" Target="https://www.fisheries.noaa.gov/s3/2023-08/North-Atlantic-Right-Whale-Western-Atlantic-2022.pdf" TargetMode="External"/><Relationship Id="rId1574" Type="http://schemas.openxmlformats.org/officeDocument/2006/relationships/hyperlink" Target="https://www.fisheries.noaa.gov/s3/2023-06/STELLERSEALIONEumetopiasjubatusWesternU.S.Stock-.pdf" TargetMode="External"/><Relationship Id="rId980" Type="http://schemas.openxmlformats.org/officeDocument/2006/relationships/hyperlink" Target="https://www.fisheries.noaa.gov/s3/2023-08/North-Atlantic-Right-Whale-Western-Atlantic-2022.pdf" TargetMode="External"/><Relationship Id="rId1575" Type="http://schemas.openxmlformats.org/officeDocument/2006/relationships/hyperlink" Target="https://www.fisheries.noaa.gov/s3/2023-06/STELLERSEALIONEumetopiasjubatusWesternU.S.Stock-.pdf" TargetMode="External"/><Relationship Id="rId1565" Type="http://schemas.openxmlformats.org/officeDocument/2006/relationships/hyperlink" Target="https://www.fisheries.noaa.gov/s3/2023-06/STELLERSEALIONEumetopiasjubatusWesternU.S.Stock-.pdf" TargetMode="External"/><Relationship Id="rId1566" Type="http://schemas.openxmlformats.org/officeDocument/2006/relationships/hyperlink" Target="https://www.fisheries.noaa.gov/s3/2023-06/STELLERSEALIONEumetopiasjubatusWesternU.S.Stock-.pdf" TargetMode="External"/><Relationship Id="rId1567" Type="http://schemas.openxmlformats.org/officeDocument/2006/relationships/hyperlink" Target="https://www.fisheries.noaa.gov/s3/2023-06/STELLERSEALIONEumetopiasjubatusWesternU.S.Stock-.pdf" TargetMode="External"/><Relationship Id="rId1568" Type="http://schemas.openxmlformats.org/officeDocument/2006/relationships/hyperlink" Target="https://www.fisheries.noaa.gov/s3/2023-06/STELLERSEALIONEumetopiasjubatusWesternU.S.Stock-.pdf" TargetMode="External"/><Relationship Id="rId1569" Type="http://schemas.openxmlformats.org/officeDocument/2006/relationships/hyperlink" Target="https://www.fisheries.noaa.gov/s3/2023-06/STELLERSEALIONEumetopiasjubatusWesternU.S.Stock-.pdf" TargetMode="External"/><Relationship Id="rId976" Type="http://schemas.openxmlformats.org/officeDocument/2006/relationships/hyperlink" Target="https://www.fisheries.noaa.gov/s3/2023-08/North-Atlantic-Right-Whale-Western-Atlantic-2022.pdf" TargetMode="External"/><Relationship Id="rId975" Type="http://schemas.openxmlformats.org/officeDocument/2006/relationships/hyperlink" Target="https://www.fisheries.noaa.gov/s3/2023-08/North-Atlantic-Right-Whale-Western-Atlantic-2022.pdf" TargetMode="External"/><Relationship Id="rId974" Type="http://schemas.openxmlformats.org/officeDocument/2006/relationships/hyperlink" Target="https://www.fisheries.noaa.gov/s3/2023-08/North-Atlantic-Right-Whale-Western-Atlantic-2022.pdf" TargetMode="External"/><Relationship Id="rId973" Type="http://schemas.openxmlformats.org/officeDocument/2006/relationships/hyperlink" Target="https://www.fisheries.noaa.gov/s3/2023-08/North-Atlantic-Right-Whale-Western-Atlantic-2022.pdf" TargetMode="External"/><Relationship Id="rId979" Type="http://schemas.openxmlformats.org/officeDocument/2006/relationships/hyperlink" Target="https://www.fisheries.noaa.gov/s3/2023-08/North-Atlantic-Right-Whale-Western-Atlantic-2022.pdf" TargetMode="External"/><Relationship Id="rId978" Type="http://schemas.openxmlformats.org/officeDocument/2006/relationships/hyperlink" Target="https://www.fisheries.noaa.gov/s3/2023-08/North-Atlantic-Right-Whale-Western-Atlantic-2022.pdf" TargetMode="External"/><Relationship Id="rId977" Type="http://schemas.openxmlformats.org/officeDocument/2006/relationships/hyperlink" Target="https://www.fisheries.noaa.gov/s3/2023-08/North-Atlantic-Right-Whale-Western-Atlantic-2022.pdf" TargetMode="External"/><Relationship Id="rId1560" Type="http://schemas.openxmlformats.org/officeDocument/2006/relationships/hyperlink" Target="https://www.fisheries.noaa.gov/s3/2023-06/STELLERSEALIONEumetopiasjubatusWesternU.S.Stock-.pdf" TargetMode="External"/><Relationship Id="rId972" Type="http://schemas.openxmlformats.org/officeDocument/2006/relationships/hyperlink" Target="https://www.fisheries.noaa.gov/s3/2023-08/North-Atlantic-Right-Whale-Western-Atlantic-2022.pdf" TargetMode="External"/><Relationship Id="rId1561" Type="http://schemas.openxmlformats.org/officeDocument/2006/relationships/hyperlink" Target="https://www.fisheries.noaa.gov/s3/2023-06/STELLERSEALIONEumetopiasjubatusWesternU.S.Stock-.pdf" TargetMode="External"/><Relationship Id="rId971" Type="http://schemas.openxmlformats.org/officeDocument/2006/relationships/hyperlink" Target="https://www.fisheries.noaa.gov/s3/2023-08/North-Atlantic-Right-Whale-Western-Atlantic-2022.pdf" TargetMode="External"/><Relationship Id="rId1562" Type="http://schemas.openxmlformats.org/officeDocument/2006/relationships/hyperlink" Target="https://www.fisheries.noaa.gov/s3/2023-06/STELLERSEALIONEumetopiasjubatusWesternU.S.Stock-.pdf" TargetMode="External"/><Relationship Id="rId970" Type="http://schemas.openxmlformats.org/officeDocument/2006/relationships/hyperlink" Target="https://www.fisheries.noaa.gov/s3/2023-08/North-Atlantic-Right-Whale-Western-Atlantic-2022.pdf" TargetMode="External"/><Relationship Id="rId1563" Type="http://schemas.openxmlformats.org/officeDocument/2006/relationships/hyperlink" Target="https://www.fisheries.noaa.gov/s3/2023-06/STELLERSEALIONEumetopiasjubatusWesternU.S.Stock-.pdf" TargetMode="External"/><Relationship Id="rId1564" Type="http://schemas.openxmlformats.org/officeDocument/2006/relationships/hyperlink" Target="https://www.fisheries.noaa.gov/s3/2023-06/STELLERSEALIONEumetopiasjubatusWesternU.S.Stock-.pdf" TargetMode="External"/><Relationship Id="rId1114" Type="http://schemas.openxmlformats.org/officeDocument/2006/relationships/hyperlink" Target="https://media.fisheries.noaa.gov/2022-08/2021-NorthernElephant-California%20Breeding%20Stock.pdf" TargetMode="External"/><Relationship Id="rId1598" Type="http://schemas.openxmlformats.org/officeDocument/2006/relationships/hyperlink" Target="https://www.fisheries.noaa.gov/s3/2023-06/STELLERSEALIONEumetopiasjubatusWesternU.S.Stock-.pdf" TargetMode="External"/><Relationship Id="rId1115" Type="http://schemas.openxmlformats.org/officeDocument/2006/relationships/hyperlink" Target="https://media.fisheries.noaa.gov/2022-08/2021-NorthernElephant-California%20Breeding%20Stock.pdf" TargetMode="External"/><Relationship Id="rId1599" Type="http://schemas.openxmlformats.org/officeDocument/2006/relationships/hyperlink" Target="https://www.fisheries.noaa.gov/s3/2023-06/STELLERSEALIONEumetopiasjubatusWesternU.S.Stock-.pdf" TargetMode="External"/><Relationship Id="rId1116" Type="http://schemas.openxmlformats.org/officeDocument/2006/relationships/hyperlink" Target="https://media.fisheries.noaa.gov/2022-08/2021-NorthernElephant-California%20Breeding%20Stock.pdf" TargetMode="External"/><Relationship Id="rId1117" Type="http://schemas.openxmlformats.org/officeDocument/2006/relationships/hyperlink" Target="https://media.fisheries.noaa.gov/2022-08/2021-NorthernElephant-California%20Breeding%20Stock.pdf" TargetMode="External"/><Relationship Id="rId1118" Type="http://schemas.openxmlformats.org/officeDocument/2006/relationships/hyperlink" Target="https://media.fisheries.noaa.gov/2022-08/2021-NorthernElephant-California%20Breeding%20Stock.pdf" TargetMode="External"/><Relationship Id="rId1119" Type="http://schemas.openxmlformats.org/officeDocument/2006/relationships/hyperlink" Target="https://media.fisheries.noaa.gov/2022-08/2021-NorthernElephant-California%20Breeding%20Stock.pdf" TargetMode="External"/><Relationship Id="rId525" Type="http://schemas.openxmlformats.org/officeDocument/2006/relationships/hyperlink" Target="https://media.fisheries.noaa.gov/dam-migration/2019_sars_alaska_harbor_seal.pdf" TargetMode="External"/><Relationship Id="rId524" Type="http://schemas.openxmlformats.org/officeDocument/2006/relationships/hyperlink" Target="https://media.fisheries.noaa.gov/dam-migration/2019_sars_alaska_harbor_seal.pdf" TargetMode="External"/><Relationship Id="rId523" Type="http://schemas.openxmlformats.org/officeDocument/2006/relationships/hyperlink" Target="https://media.fisheries.noaa.gov/dam-migration/2019_sars_alaska_harbor_seal.pdf" TargetMode="External"/><Relationship Id="rId522" Type="http://schemas.openxmlformats.org/officeDocument/2006/relationships/hyperlink" Target="https://media.fisheries.noaa.gov/dam-migration/2019_sars_alaska_harbor_seal.pdf" TargetMode="External"/><Relationship Id="rId529" Type="http://schemas.openxmlformats.org/officeDocument/2006/relationships/hyperlink" Target="https://media.fisheries.noaa.gov/dam-migration/2019_sars_alaska_harbor_seal.pdf" TargetMode="External"/><Relationship Id="rId528" Type="http://schemas.openxmlformats.org/officeDocument/2006/relationships/hyperlink" Target="https://media.fisheries.noaa.gov/dam-migration/2019_sars_alaska_harbor_seal.pdf" TargetMode="External"/><Relationship Id="rId527" Type="http://schemas.openxmlformats.org/officeDocument/2006/relationships/hyperlink" Target="https://media.fisheries.noaa.gov/dam-migration/2019_sars_alaska_harbor_seal.pdf" TargetMode="External"/><Relationship Id="rId526" Type="http://schemas.openxmlformats.org/officeDocument/2006/relationships/hyperlink" Target="https://media.fisheries.noaa.gov/dam-migration/2019_sars_alaska_harbor_seal.pdf" TargetMode="External"/><Relationship Id="rId1590" Type="http://schemas.openxmlformats.org/officeDocument/2006/relationships/hyperlink" Target="https://www.fisheries.noaa.gov/s3/2023-06/STELLERSEALIONEumetopiasjubatusWesternU.S.Stock-.pdf" TargetMode="External"/><Relationship Id="rId1591" Type="http://schemas.openxmlformats.org/officeDocument/2006/relationships/hyperlink" Target="https://www.fisheries.noaa.gov/s3/2023-06/STELLERSEALIONEumetopiasjubatusWesternU.S.Stock-.pdf" TargetMode="External"/><Relationship Id="rId1592" Type="http://schemas.openxmlformats.org/officeDocument/2006/relationships/hyperlink" Target="https://www.fisheries.noaa.gov/s3/2023-06/STELLERSEALIONEumetopiasjubatusWesternU.S.Stock-.pdf" TargetMode="External"/><Relationship Id="rId1593" Type="http://schemas.openxmlformats.org/officeDocument/2006/relationships/hyperlink" Target="https://www.fisheries.noaa.gov/s3/2023-06/STELLERSEALIONEumetopiasjubatusWesternU.S.Stock-.pdf" TargetMode="External"/><Relationship Id="rId521" Type="http://schemas.openxmlformats.org/officeDocument/2006/relationships/hyperlink" Target="https://media.fisheries.noaa.gov/dam-migration/2019_sars_alaska_harbor_seal.pdf" TargetMode="External"/><Relationship Id="rId1110" Type="http://schemas.openxmlformats.org/officeDocument/2006/relationships/hyperlink" Target="https://media.fisheries.noaa.gov/2022-08/2021-NorthernElephant-California%20Breeding%20Stock.pdf" TargetMode="External"/><Relationship Id="rId1594" Type="http://schemas.openxmlformats.org/officeDocument/2006/relationships/hyperlink" Target="https://www.fisheries.noaa.gov/s3/2023-06/STELLERSEALIONEumetopiasjubatusWesternU.S.Stock-.pdf" TargetMode="External"/><Relationship Id="rId520" Type="http://schemas.openxmlformats.org/officeDocument/2006/relationships/hyperlink" Target="https://media.fisheries.noaa.gov/dam-migration/2019_sars_alaska_harbor_seal.pdf" TargetMode="External"/><Relationship Id="rId1111" Type="http://schemas.openxmlformats.org/officeDocument/2006/relationships/hyperlink" Target="https://media.fisheries.noaa.gov/2022-08/2021-NorthernElephant-California%20Breeding%20Stock.pdf" TargetMode="External"/><Relationship Id="rId1595" Type="http://schemas.openxmlformats.org/officeDocument/2006/relationships/hyperlink" Target="https://www.fisheries.noaa.gov/s3/2023-06/STELLERSEALIONEumetopiasjubatusWesternU.S.Stock-.pdf" TargetMode="External"/><Relationship Id="rId1112" Type="http://schemas.openxmlformats.org/officeDocument/2006/relationships/hyperlink" Target="https://media.fisheries.noaa.gov/2022-08/2021-NorthernElephant-California%20Breeding%20Stock.pdf" TargetMode="External"/><Relationship Id="rId1596" Type="http://schemas.openxmlformats.org/officeDocument/2006/relationships/hyperlink" Target="https://www.fisheries.noaa.gov/s3/2023-06/STELLERSEALIONEumetopiasjubatusWesternU.S.Stock-.pdf" TargetMode="External"/><Relationship Id="rId1113" Type="http://schemas.openxmlformats.org/officeDocument/2006/relationships/hyperlink" Target="https://media.fisheries.noaa.gov/2022-08/2021-NorthernElephant-California%20Breeding%20Stock.pdf" TargetMode="External"/><Relationship Id="rId1597" Type="http://schemas.openxmlformats.org/officeDocument/2006/relationships/hyperlink" Target="https://www.fisheries.noaa.gov/s3/2023-06/STELLERSEALIONEumetopiasjubatusWesternU.S.Stock-.pdf" TargetMode="External"/><Relationship Id="rId1103" Type="http://schemas.openxmlformats.org/officeDocument/2006/relationships/hyperlink" Target="https://media.fisheries.noaa.gov/2022-08/2021-NorthernElephant-California%20Breeding%20Stock.pdf" TargetMode="External"/><Relationship Id="rId1587" Type="http://schemas.openxmlformats.org/officeDocument/2006/relationships/hyperlink" Target="https://www.fisheries.noaa.gov/s3/2023-06/STELLERSEALIONEumetopiasjubatusWesternU.S.Stock-.pdf" TargetMode="External"/><Relationship Id="rId1104" Type="http://schemas.openxmlformats.org/officeDocument/2006/relationships/hyperlink" Target="https://media.fisheries.noaa.gov/2022-08/2021-NorthernElephant-California%20Breeding%20Stock.pdf" TargetMode="External"/><Relationship Id="rId1588" Type="http://schemas.openxmlformats.org/officeDocument/2006/relationships/hyperlink" Target="https://www.fisheries.noaa.gov/s3/2023-06/STELLERSEALIONEumetopiasjubatusWesternU.S.Stock-.pdf" TargetMode="External"/><Relationship Id="rId1105" Type="http://schemas.openxmlformats.org/officeDocument/2006/relationships/hyperlink" Target="https://media.fisheries.noaa.gov/2022-08/2021-NorthernElephant-California%20Breeding%20Stock.pdf" TargetMode="External"/><Relationship Id="rId1589" Type="http://schemas.openxmlformats.org/officeDocument/2006/relationships/hyperlink" Target="https://www.fisheries.noaa.gov/s3/2023-06/STELLERSEALIONEumetopiasjubatusWesternU.S.Stock-.pdf" TargetMode="External"/><Relationship Id="rId1106" Type="http://schemas.openxmlformats.org/officeDocument/2006/relationships/hyperlink" Target="https://media.fisheries.noaa.gov/2022-08/2021-NorthernElephant-California%20Breeding%20Stock.pdf" TargetMode="External"/><Relationship Id="rId1107" Type="http://schemas.openxmlformats.org/officeDocument/2006/relationships/hyperlink" Target="https://media.fisheries.noaa.gov/2022-08/2021-NorthernElephant-California%20Breeding%20Stock.pdf" TargetMode="External"/><Relationship Id="rId1108" Type="http://schemas.openxmlformats.org/officeDocument/2006/relationships/hyperlink" Target="https://media.fisheries.noaa.gov/2022-08/2021-NorthernElephant-California%20Breeding%20Stock.pdf" TargetMode="External"/><Relationship Id="rId1109" Type="http://schemas.openxmlformats.org/officeDocument/2006/relationships/hyperlink" Target="https://media.fisheries.noaa.gov/2022-08/2021-NorthernElephant-California%20Breeding%20Stock.pdf" TargetMode="External"/><Relationship Id="rId519" Type="http://schemas.openxmlformats.org/officeDocument/2006/relationships/hyperlink" Target="https://media.fisheries.noaa.gov/dam-migration/2019_sars_alaska_harbor_seal.pdf" TargetMode="External"/><Relationship Id="rId514" Type="http://schemas.openxmlformats.org/officeDocument/2006/relationships/hyperlink" Target="https://media.fisheries.noaa.gov/dam-migration/2019_sars_alaska_harbor_seal.pdf" TargetMode="External"/><Relationship Id="rId998" Type="http://schemas.openxmlformats.org/officeDocument/2006/relationships/hyperlink" Target="https://www.fisheries.noaa.gov/s3/2023-08/North-Atlantic-Right-Whale-Western-Atlantic-2022.pdf" TargetMode="External"/><Relationship Id="rId513" Type="http://schemas.openxmlformats.org/officeDocument/2006/relationships/hyperlink" Target="https://media.fisheries.noaa.gov/dam-migration/2019_sars_alaska_harbor_seal.pdf" TargetMode="External"/><Relationship Id="rId997" Type="http://schemas.openxmlformats.org/officeDocument/2006/relationships/hyperlink" Target="https://www.fisheries.noaa.gov/s3/2023-08/North-Atlantic-Right-Whale-Western-Atlantic-2022.pdf" TargetMode="External"/><Relationship Id="rId512" Type="http://schemas.openxmlformats.org/officeDocument/2006/relationships/hyperlink" Target="https://media.fisheries.noaa.gov/dam-migration/2019_sars_alaska_harbor_seal.pdf" TargetMode="External"/><Relationship Id="rId996" Type="http://schemas.openxmlformats.org/officeDocument/2006/relationships/hyperlink" Target="https://www.fisheries.noaa.gov/s3/2023-08/North-Atlantic-Right-Whale-Western-Atlantic-2022.pdf" TargetMode="External"/><Relationship Id="rId511" Type="http://schemas.openxmlformats.org/officeDocument/2006/relationships/hyperlink" Target="https://media.fisheries.noaa.gov/dam-migration/2019_sars_alaska_harbor_seal.pdf" TargetMode="External"/><Relationship Id="rId995" Type="http://schemas.openxmlformats.org/officeDocument/2006/relationships/hyperlink" Target="https://www.fisheries.noaa.gov/s3/2023-08/North-Atlantic-Right-Whale-Western-Atlantic-2022.pdf" TargetMode="External"/><Relationship Id="rId518" Type="http://schemas.openxmlformats.org/officeDocument/2006/relationships/hyperlink" Target="https://media.fisheries.noaa.gov/dam-migration/2019_sars_alaska_harbor_seal.pdf" TargetMode="External"/><Relationship Id="rId517" Type="http://schemas.openxmlformats.org/officeDocument/2006/relationships/hyperlink" Target="https://media.fisheries.noaa.gov/dam-migration/2019_sars_alaska_harbor_seal.pdf" TargetMode="External"/><Relationship Id="rId516" Type="http://schemas.openxmlformats.org/officeDocument/2006/relationships/hyperlink" Target="https://media.fisheries.noaa.gov/dam-migration/2019_sars_alaska_harbor_seal.pdf" TargetMode="External"/><Relationship Id="rId515" Type="http://schemas.openxmlformats.org/officeDocument/2006/relationships/hyperlink" Target="https://media.fisheries.noaa.gov/dam-migration/2019_sars_alaska_harbor_seal.pdf" TargetMode="External"/><Relationship Id="rId999" Type="http://schemas.openxmlformats.org/officeDocument/2006/relationships/hyperlink" Target="https://www.fisheries.noaa.gov/s3/2023-08/North-Atlantic-Right-Whale-Western-Atlantic-2022.pdf" TargetMode="External"/><Relationship Id="rId990" Type="http://schemas.openxmlformats.org/officeDocument/2006/relationships/hyperlink" Target="https://www.fisheries.noaa.gov/s3/2023-08/North-Atlantic-Right-Whale-Western-Atlantic-2022.pdf" TargetMode="External"/><Relationship Id="rId1580" Type="http://schemas.openxmlformats.org/officeDocument/2006/relationships/hyperlink" Target="https://www.fisheries.noaa.gov/s3/2023-06/STELLERSEALIONEumetopiasjubatusWesternU.S.Stock-.pdf" TargetMode="External"/><Relationship Id="rId1581" Type="http://schemas.openxmlformats.org/officeDocument/2006/relationships/hyperlink" Target="https://www.fisheries.noaa.gov/s3/2023-06/STELLERSEALIONEumetopiasjubatusWesternU.S.Stock-.pdf" TargetMode="External"/><Relationship Id="rId1582" Type="http://schemas.openxmlformats.org/officeDocument/2006/relationships/hyperlink" Target="https://www.fisheries.noaa.gov/s3/2023-06/STELLERSEALIONEumetopiasjubatusWesternU.S.Stock-.pdf" TargetMode="External"/><Relationship Id="rId510" Type="http://schemas.openxmlformats.org/officeDocument/2006/relationships/hyperlink" Target="https://media.fisheries.noaa.gov/dam-migration/2019_sars_alaska_harbor_seal.pdf" TargetMode="External"/><Relationship Id="rId994" Type="http://schemas.openxmlformats.org/officeDocument/2006/relationships/hyperlink" Target="https://www.fisheries.noaa.gov/s3/2023-08/North-Atlantic-Right-Whale-Western-Atlantic-2022.pdf" TargetMode="External"/><Relationship Id="rId1583" Type="http://schemas.openxmlformats.org/officeDocument/2006/relationships/hyperlink" Target="https://www.fisheries.noaa.gov/s3/2023-06/STELLERSEALIONEumetopiasjubatusWesternU.S.Stock-.pdf" TargetMode="External"/><Relationship Id="rId993" Type="http://schemas.openxmlformats.org/officeDocument/2006/relationships/hyperlink" Target="https://www.fisheries.noaa.gov/s3/2023-08/North-Atlantic-Right-Whale-Western-Atlantic-2022.pdf" TargetMode="External"/><Relationship Id="rId1100" Type="http://schemas.openxmlformats.org/officeDocument/2006/relationships/hyperlink" Target="https://media.fisheries.noaa.gov/2022-08/2021-NorthernElephant-California%20Breeding%20Stock.pdf" TargetMode="External"/><Relationship Id="rId1584" Type="http://schemas.openxmlformats.org/officeDocument/2006/relationships/hyperlink" Target="https://www.fisheries.noaa.gov/s3/2023-06/STELLERSEALIONEumetopiasjubatusWesternU.S.Stock-.pdf" TargetMode="External"/><Relationship Id="rId992" Type="http://schemas.openxmlformats.org/officeDocument/2006/relationships/hyperlink" Target="https://www.fisheries.noaa.gov/s3/2023-08/North-Atlantic-Right-Whale-Western-Atlantic-2022.pdf" TargetMode="External"/><Relationship Id="rId1101" Type="http://schemas.openxmlformats.org/officeDocument/2006/relationships/hyperlink" Target="https://media.fisheries.noaa.gov/2022-08/2021-NorthernElephant-California%20Breeding%20Stock.pdf" TargetMode="External"/><Relationship Id="rId1585" Type="http://schemas.openxmlformats.org/officeDocument/2006/relationships/hyperlink" Target="https://www.fisheries.noaa.gov/s3/2023-06/STELLERSEALIONEumetopiasjubatusWesternU.S.Stock-.pdf" TargetMode="External"/><Relationship Id="rId991" Type="http://schemas.openxmlformats.org/officeDocument/2006/relationships/hyperlink" Target="https://www.fisheries.noaa.gov/s3/2023-08/North-Atlantic-Right-Whale-Western-Atlantic-2022.pdf" TargetMode="External"/><Relationship Id="rId1102" Type="http://schemas.openxmlformats.org/officeDocument/2006/relationships/hyperlink" Target="https://media.fisheries.noaa.gov/2022-08/2021-NorthernElephant-California%20Breeding%20Stock.pdf" TargetMode="External"/><Relationship Id="rId1586" Type="http://schemas.openxmlformats.org/officeDocument/2006/relationships/hyperlink" Target="https://www.fisheries.noaa.gov/s3/2023-06/STELLERSEALIONEumetopiasjubatusWesternU.S.Stock-.pdf" TargetMode="External"/><Relationship Id="rId1532" Type="http://schemas.openxmlformats.org/officeDocument/2006/relationships/hyperlink" Target="https://www.fisheries.noaa.gov/s3/2023-06/STELLERSEALIONEumetopiasjubatusWesternU.S.Stock-.pdf" TargetMode="External"/><Relationship Id="rId1533" Type="http://schemas.openxmlformats.org/officeDocument/2006/relationships/hyperlink" Target="https://www.fisheries.noaa.gov/s3/2023-06/STELLERSEALIONEumetopiasjubatusWesternU.S.Stock-.pdf" TargetMode="External"/><Relationship Id="rId1534" Type="http://schemas.openxmlformats.org/officeDocument/2006/relationships/hyperlink" Target="https://www.fisheries.noaa.gov/s3/2023-06/STELLERSEALIONEumetopiasjubatusWesternU.S.Stock-.pdf" TargetMode="External"/><Relationship Id="rId1535" Type="http://schemas.openxmlformats.org/officeDocument/2006/relationships/hyperlink" Target="https://www.fisheries.noaa.gov/s3/2023-06/STELLERSEALIONEumetopiasjubatusWesternU.S.Stock-.pdf" TargetMode="External"/><Relationship Id="rId1536" Type="http://schemas.openxmlformats.org/officeDocument/2006/relationships/hyperlink" Target="https://www.fisheries.noaa.gov/s3/2023-06/STELLERSEALIONEumetopiasjubatusWesternU.S.Stock-.pdf" TargetMode="External"/><Relationship Id="rId1537" Type="http://schemas.openxmlformats.org/officeDocument/2006/relationships/hyperlink" Target="https://www.fisheries.noaa.gov/s3/2023-06/STELLERSEALIONEumetopiasjubatusWesternU.S.Stock-.pdf" TargetMode="External"/><Relationship Id="rId1538" Type="http://schemas.openxmlformats.org/officeDocument/2006/relationships/hyperlink" Target="https://www.fisheries.noaa.gov/s3/2023-06/STELLERSEALIONEumetopiasjubatusWesternU.S.Stock-.pdf" TargetMode="External"/><Relationship Id="rId1539" Type="http://schemas.openxmlformats.org/officeDocument/2006/relationships/hyperlink" Target="https://www.fisheries.noaa.gov/s3/2023-06/STELLERSEALIONEumetopiasjubatusWesternU.S.Stock-.pdf" TargetMode="External"/><Relationship Id="rId949" Type="http://schemas.openxmlformats.org/officeDocument/2006/relationships/hyperlink" Target="https://www.fisheries.noaa.gov/s3/2023-08/North-Atlantic-Right-Whale-Western-Atlantic-2022.pdf" TargetMode="External"/><Relationship Id="rId948" Type="http://schemas.openxmlformats.org/officeDocument/2006/relationships/hyperlink" Target="https://www.fisheries.noaa.gov/s3/2023-08/North-Atlantic-Right-Whale-Western-Atlantic-2022.pdf" TargetMode="External"/><Relationship Id="rId943" Type="http://schemas.openxmlformats.org/officeDocument/2006/relationships/hyperlink" Target="https://www.fisheries.noaa.gov/s3/2023-08/North-Atlantic-Right-Whale-Western-Atlantic-2022.pdf" TargetMode="External"/><Relationship Id="rId942" Type="http://schemas.openxmlformats.org/officeDocument/2006/relationships/hyperlink" Target="https://www.fisheries.noaa.gov/s3/2023-08/North-Atlantic-Right-Whale-Western-Atlantic-2022.pdf" TargetMode="External"/><Relationship Id="rId941" Type="http://schemas.openxmlformats.org/officeDocument/2006/relationships/hyperlink" Target="https://www.fisheries.noaa.gov/s3/2023-08/North-Atlantic-Right-Whale-Western-Atlantic-2022.pdf" TargetMode="External"/><Relationship Id="rId940" Type="http://schemas.openxmlformats.org/officeDocument/2006/relationships/hyperlink" Target="https://www.fisheries.noaa.gov/s3/2023-08/North-Atlantic-Right-Whale-Western-Atlantic-2022.pdf" TargetMode="External"/><Relationship Id="rId947" Type="http://schemas.openxmlformats.org/officeDocument/2006/relationships/hyperlink" Target="https://www.fisheries.noaa.gov/s3/2023-08/North-Atlantic-Right-Whale-Western-Atlantic-2022.pdf" TargetMode="External"/><Relationship Id="rId946" Type="http://schemas.openxmlformats.org/officeDocument/2006/relationships/hyperlink" Target="https://www.fisheries.noaa.gov/s3/2023-08/North-Atlantic-Right-Whale-Western-Atlantic-2022.pdf" TargetMode="External"/><Relationship Id="rId945" Type="http://schemas.openxmlformats.org/officeDocument/2006/relationships/hyperlink" Target="https://www.fisheries.noaa.gov/s3/2023-08/North-Atlantic-Right-Whale-Western-Atlantic-2022.pdf" TargetMode="External"/><Relationship Id="rId944" Type="http://schemas.openxmlformats.org/officeDocument/2006/relationships/hyperlink" Target="https://www.fisheries.noaa.gov/s3/2023-08/North-Atlantic-Right-Whale-Western-Atlantic-2022.pdf" TargetMode="External"/><Relationship Id="rId1530" Type="http://schemas.openxmlformats.org/officeDocument/2006/relationships/hyperlink" Target="https://www.fisheries.noaa.gov/s3/2023-06/STELLERSEALIONEumetopiasjubatusWesternU.S.Stock-.pdf" TargetMode="External"/><Relationship Id="rId1531" Type="http://schemas.openxmlformats.org/officeDocument/2006/relationships/hyperlink" Target="https://www.fisheries.noaa.gov/s3/2023-06/STELLERSEALIONEumetopiasjubatusWesternU.S.Stock-.pdf" TargetMode="External"/><Relationship Id="rId1521" Type="http://schemas.openxmlformats.org/officeDocument/2006/relationships/hyperlink" Target="https://www.fisheries.noaa.gov/s3/2023-06/STELLERSEALIONEumetopiasjubatusWesternU.S.Stock-.pdf" TargetMode="External"/><Relationship Id="rId1522" Type="http://schemas.openxmlformats.org/officeDocument/2006/relationships/hyperlink" Target="https://www.fisheries.noaa.gov/s3/2023-06/STELLERSEALIONEumetopiasjubatusWesternU.S.Stock-.pdf" TargetMode="External"/><Relationship Id="rId1523" Type="http://schemas.openxmlformats.org/officeDocument/2006/relationships/hyperlink" Target="https://www.fisheries.noaa.gov/s3/2023-06/STELLERSEALIONEumetopiasjubatusWesternU.S.Stock-.pdf" TargetMode="External"/><Relationship Id="rId1524" Type="http://schemas.openxmlformats.org/officeDocument/2006/relationships/hyperlink" Target="https://www.fisheries.noaa.gov/s3/2023-06/STELLERSEALIONEumetopiasjubatusWesternU.S.Stock-.pdf" TargetMode="External"/><Relationship Id="rId1525" Type="http://schemas.openxmlformats.org/officeDocument/2006/relationships/hyperlink" Target="https://www.fisheries.noaa.gov/s3/2023-06/STELLERSEALIONEumetopiasjubatusWesternU.S.Stock-.pdf" TargetMode="External"/><Relationship Id="rId1526" Type="http://schemas.openxmlformats.org/officeDocument/2006/relationships/hyperlink" Target="https://www.fisheries.noaa.gov/s3/2023-06/STELLERSEALIONEumetopiasjubatusWesternU.S.Stock-.pdf" TargetMode="External"/><Relationship Id="rId1527" Type="http://schemas.openxmlformats.org/officeDocument/2006/relationships/hyperlink" Target="https://www.fisheries.noaa.gov/s3/2023-06/STELLERSEALIONEumetopiasjubatusWesternU.S.Stock-.pdf" TargetMode="External"/><Relationship Id="rId1528" Type="http://schemas.openxmlformats.org/officeDocument/2006/relationships/hyperlink" Target="https://www.fisheries.noaa.gov/s3/2023-06/STELLERSEALIONEumetopiasjubatusWesternU.S.Stock-.pdf" TargetMode="External"/><Relationship Id="rId1529" Type="http://schemas.openxmlformats.org/officeDocument/2006/relationships/hyperlink" Target="https://www.fisheries.noaa.gov/s3/2023-06/STELLERSEALIONEumetopiasjubatusWesternU.S.Stock-.pdf" TargetMode="External"/><Relationship Id="rId939" Type="http://schemas.openxmlformats.org/officeDocument/2006/relationships/hyperlink" Target="https://www.fisheries.noaa.gov/s3/2023-08/North-Atlantic-Right-Whale-Western-Atlantic-2022.pdf" TargetMode="External"/><Relationship Id="rId938" Type="http://schemas.openxmlformats.org/officeDocument/2006/relationships/hyperlink" Target="https://www.fisheries.noaa.gov/s3/2023-08/North-Atlantic-Right-Whale-Western-Atlantic-2022.pdf" TargetMode="External"/><Relationship Id="rId937" Type="http://schemas.openxmlformats.org/officeDocument/2006/relationships/hyperlink" Target="https://www.fisheries.noaa.gov/s3/2023-08/North-Atlantic-Right-Whale-Western-Atlantic-2022.pdf" TargetMode="External"/><Relationship Id="rId932" Type="http://schemas.openxmlformats.org/officeDocument/2006/relationships/hyperlink" Target="https://www.fisheries.noaa.gov/s3/2023-08/North-Atlantic-Right-Whale-Western-Atlantic-2022.pdf" TargetMode="External"/><Relationship Id="rId931" Type="http://schemas.openxmlformats.org/officeDocument/2006/relationships/hyperlink" Target="https://www.fisheries.noaa.gov/s3/2023-08/North-Atlantic-Right-Whale-Western-Atlantic-2022.pdf" TargetMode="External"/><Relationship Id="rId930" Type="http://schemas.openxmlformats.org/officeDocument/2006/relationships/hyperlink" Target="https://www.fisheries.noaa.gov/s3/2023-08/North-Atlantic-Right-Whale-Western-Atlantic-2022.pdf" TargetMode="External"/><Relationship Id="rId936" Type="http://schemas.openxmlformats.org/officeDocument/2006/relationships/hyperlink" Target="https://www.fisheries.noaa.gov/s3/2023-08/North-Atlantic-Right-Whale-Western-Atlantic-2022.pdf" TargetMode="External"/><Relationship Id="rId935" Type="http://schemas.openxmlformats.org/officeDocument/2006/relationships/hyperlink" Target="https://www.fisheries.noaa.gov/s3/2023-08/North-Atlantic-Right-Whale-Western-Atlantic-2022.pdf" TargetMode="External"/><Relationship Id="rId934" Type="http://schemas.openxmlformats.org/officeDocument/2006/relationships/hyperlink" Target="https://www.fisheries.noaa.gov/s3/2023-08/North-Atlantic-Right-Whale-Western-Atlantic-2022.pdf" TargetMode="External"/><Relationship Id="rId933" Type="http://schemas.openxmlformats.org/officeDocument/2006/relationships/hyperlink" Target="https://www.fisheries.noaa.gov/s3/2023-08/North-Atlantic-Right-Whale-Western-Atlantic-2022.pdf" TargetMode="External"/><Relationship Id="rId1520" Type="http://schemas.openxmlformats.org/officeDocument/2006/relationships/hyperlink" Target="https://www.fisheries.noaa.gov/s3/2023-06/STELLERSEALIONEumetopiasjubatusWesternU.S.Stock-.pdf" TargetMode="External"/><Relationship Id="rId1554" Type="http://schemas.openxmlformats.org/officeDocument/2006/relationships/hyperlink" Target="https://www.fisheries.noaa.gov/s3/2023-06/STELLERSEALIONEumetopiasjubatusWesternU.S.Stock-.pdf" TargetMode="External"/><Relationship Id="rId1555" Type="http://schemas.openxmlformats.org/officeDocument/2006/relationships/hyperlink" Target="https://www.fisheries.noaa.gov/s3/2023-06/STELLERSEALIONEumetopiasjubatusWesternU.S.Stock-.pdf" TargetMode="External"/><Relationship Id="rId1556" Type="http://schemas.openxmlformats.org/officeDocument/2006/relationships/hyperlink" Target="https://www.fisheries.noaa.gov/s3/2023-06/STELLERSEALIONEumetopiasjubatusWesternU.S.Stock-.pdf" TargetMode="External"/><Relationship Id="rId1557" Type="http://schemas.openxmlformats.org/officeDocument/2006/relationships/hyperlink" Target="https://www.fisheries.noaa.gov/s3/2023-06/STELLERSEALIONEumetopiasjubatusWesternU.S.Stock-.pdf" TargetMode="External"/><Relationship Id="rId1558" Type="http://schemas.openxmlformats.org/officeDocument/2006/relationships/hyperlink" Target="https://www.fisheries.noaa.gov/s3/2023-06/STELLERSEALIONEumetopiasjubatusWesternU.S.Stock-.pdf" TargetMode="External"/><Relationship Id="rId1559" Type="http://schemas.openxmlformats.org/officeDocument/2006/relationships/hyperlink" Target="https://www.fisheries.noaa.gov/s3/2023-06/STELLERSEALIONEumetopiasjubatusWesternU.S.Stock-.pdf" TargetMode="External"/><Relationship Id="rId965" Type="http://schemas.openxmlformats.org/officeDocument/2006/relationships/hyperlink" Target="https://www.fisheries.noaa.gov/s3/2023-08/North-Atlantic-Right-Whale-Western-Atlantic-2022.pdf" TargetMode="External"/><Relationship Id="rId964" Type="http://schemas.openxmlformats.org/officeDocument/2006/relationships/hyperlink" Target="https://www.fisheries.noaa.gov/s3/2023-08/North-Atlantic-Right-Whale-Western-Atlantic-2022.pdf" TargetMode="External"/><Relationship Id="rId963" Type="http://schemas.openxmlformats.org/officeDocument/2006/relationships/hyperlink" Target="https://www.fisheries.noaa.gov/s3/2023-08/North-Atlantic-Right-Whale-Western-Atlantic-2022.pdf" TargetMode="External"/><Relationship Id="rId962" Type="http://schemas.openxmlformats.org/officeDocument/2006/relationships/hyperlink" Target="https://www.fisheries.noaa.gov/s3/2023-08/North-Atlantic-Right-Whale-Western-Atlantic-2022.pdf" TargetMode="External"/><Relationship Id="rId969" Type="http://schemas.openxmlformats.org/officeDocument/2006/relationships/hyperlink" Target="https://www.fisheries.noaa.gov/s3/2023-08/North-Atlantic-Right-Whale-Western-Atlantic-2022.pdf" TargetMode="External"/><Relationship Id="rId968" Type="http://schemas.openxmlformats.org/officeDocument/2006/relationships/hyperlink" Target="https://www.fisheries.noaa.gov/s3/2023-08/North-Atlantic-Right-Whale-Western-Atlantic-2022.pdf" TargetMode="External"/><Relationship Id="rId967" Type="http://schemas.openxmlformats.org/officeDocument/2006/relationships/hyperlink" Target="https://www.fisheries.noaa.gov/s3/2023-08/North-Atlantic-Right-Whale-Western-Atlantic-2022.pdf" TargetMode="External"/><Relationship Id="rId966" Type="http://schemas.openxmlformats.org/officeDocument/2006/relationships/hyperlink" Target="https://www.fisheries.noaa.gov/s3/2023-08/North-Atlantic-Right-Whale-Western-Atlantic-2022.pdf" TargetMode="External"/><Relationship Id="rId961" Type="http://schemas.openxmlformats.org/officeDocument/2006/relationships/hyperlink" Target="https://www.fisheries.noaa.gov/s3/2023-08/North-Atlantic-Right-Whale-Western-Atlantic-2022.pdf" TargetMode="External"/><Relationship Id="rId1550" Type="http://schemas.openxmlformats.org/officeDocument/2006/relationships/hyperlink" Target="https://www.fisheries.noaa.gov/s3/2023-06/STELLERSEALIONEumetopiasjubatusWesternU.S.Stock-.pdf" TargetMode="External"/><Relationship Id="rId960" Type="http://schemas.openxmlformats.org/officeDocument/2006/relationships/hyperlink" Target="https://www.fisheries.noaa.gov/s3/2023-08/North-Atlantic-Right-Whale-Western-Atlantic-2022.pdf" TargetMode="External"/><Relationship Id="rId1551" Type="http://schemas.openxmlformats.org/officeDocument/2006/relationships/hyperlink" Target="https://www.fisheries.noaa.gov/s3/2023-06/STELLERSEALIONEumetopiasjubatusWesternU.S.Stock-.pdf" TargetMode="External"/><Relationship Id="rId1552" Type="http://schemas.openxmlformats.org/officeDocument/2006/relationships/hyperlink" Target="https://www.fisheries.noaa.gov/s3/2023-06/STELLERSEALIONEumetopiasjubatusWesternU.S.Stock-.pdf" TargetMode="External"/><Relationship Id="rId1553" Type="http://schemas.openxmlformats.org/officeDocument/2006/relationships/hyperlink" Target="https://www.fisheries.noaa.gov/s3/2023-06/STELLERSEALIONEumetopiasjubatusWesternU.S.Stock-.pdf" TargetMode="External"/><Relationship Id="rId1543" Type="http://schemas.openxmlformats.org/officeDocument/2006/relationships/hyperlink" Target="https://www.fisheries.noaa.gov/s3/2023-06/STELLERSEALIONEumetopiasjubatusWesternU.S.Stock-.pdf" TargetMode="External"/><Relationship Id="rId1544" Type="http://schemas.openxmlformats.org/officeDocument/2006/relationships/hyperlink" Target="https://www.fisheries.noaa.gov/s3/2023-06/STELLERSEALIONEumetopiasjubatusWesternU.S.Stock-.pdf" TargetMode="External"/><Relationship Id="rId1545" Type="http://schemas.openxmlformats.org/officeDocument/2006/relationships/hyperlink" Target="https://www.fisheries.noaa.gov/s3/2023-06/STELLERSEALIONEumetopiasjubatusWesternU.S.Stock-.pdf" TargetMode="External"/><Relationship Id="rId1546" Type="http://schemas.openxmlformats.org/officeDocument/2006/relationships/hyperlink" Target="https://www.fisheries.noaa.gov/s3/2023-06/STELLERSEALIONEumetopiasjubatusWesternU.S.Stock-.pdf" TargetMode="External"/><Relationship Id="rId1547" Type="http://schemas.openxmlformats.org/officeDocument/2006/relationships/hyperlink" Target="https://www.fisheries.noaa.gov/s3/2023-06/STELLERSEALIONEumetopiasjubatusWesternU.S.Stock-.pdf" TargetMode="External"/><Relationship Id="rId1548" Type="http://schemas.openxmlformats.org/officeDocument/2006/relationships/hyperlink" Target="https://www.fisheries.noaa.gov/s3/2023-06/STELLERSEALIONEumetopiasjubatusWesternU.S.Stock-.pdf" TargetMode="External"/><Relationship Id="rId1549" Type="http://schemas.openxmlformats.org/officeDocument/2006/relationships/hyperlink" Target="https://www.fisheries.noaa.gov/s3/2023-06/STELLERSEALIONEumetopiasjubatusWesternU.S.Stock-.pdf" TargetMode="External"/><Relationship Id="rId959" Type="http://schemas.openxmlformats.org/officeDocument/2006/relationships/hyperlink" Target="https://www.fisheries.noaa.gov/s3/2023-08/North-Atlantic-Right-Whale-Western-Atlantic-2022.pdf" TargetMode="External"/><Relationship Id="rId954" Type="http://schemas.openxmlformats.org/officeDocument/2006/relationships/hyperlink" Target="https://www.fisheries.noaa.gov/s3/2023-08/North-Atlantic-Right-Whale-Western-Atlantic-2022.pdf" TargetMode="External"/><Relationship Id="rId953" Type="http://schemas.openxmlformats.org/officeDocument/2006/relationships/hyperlink" Target="https://www.fisheries.noaa.gov/s3/2023-08/North-Atlantic-Right-Whale-Western-Atlantic-2022.pdf" TargetMode="External"/><Relationship Id="rId952" Type="http://schemas.openxmlformats.org/officeDocument/2006/relationships/hyperlink" Target="https://www.fisheries.noaa.gov/s3/2023-08/North-Atlantic-Right-Whale-Western-Atlantic-2022.pdf" TargetMode="External"/><Relationship Id="rId951" Type="http://schemas.openxmlformats.org/officeDocument/2006/relationships/hyperlink" Target="https://www.fisheries.noaa.gov/s3/2023-08/North-Atlantic-Right-Whale-Western-Atlantic-2022.pdf" TargetMode="External"/><Relationship Id="rId958" Type="http://schemas.openxmlformats.org/officeDocument/2006/relationships/hyperlink" Target="https://www.fisheries.noaa.gov/s3/2023-08/North-Atlantic-Right-Whale-Western-Atlantic-2022.pdf" TargetMode="External"/><Relationship Id="rId957" Type="http://schemas.openxmlformats.org/officeDocument/2006/relationships/hyperlink" Target="https://www.fisheries.noaa.gov/s3/2023-08/North-Atlantic-Right-Whale-Western-Atlantic-2022.pdf" TargetMode="External"/><Relationship Id="rId956" Type="http://schemas.openxmlformats.org/officeDocument/2006/relationships/hyperlink" Target="https://www.fisheries.noaa.gov/s3/2023-08/North-Atlantic-Right-Whale-Western-Atlantic-2022.pdf" TargetMode="External"/><Relationship Id="rId955" Type="http://schemas.openxmlformats.org/officeDocument/2006/relationships/hyperlink" Target="https://www.fisheries.noaa.gov/s3/2023-08/North-Atlantic-Right-Whale-Western-Atlantic-2022.pdf" TargetMode="External"/><Relationship Id="rId950" Type="http://schemas.openxmlformats.org/officeDocument/2006/relationships/hyperlink" Target="https://www.fisheries.noaa.gov/s3/2023-08/North-Atlantic-Right-Whale-Western-Atlantic-2022.pdf" TargetMode="External"/><Relationship Id="rId1540" Type="http://schemas.openxmlformats.org/officeDocument/2006/relationships/hyperlink" Target="https://www.fisheries.noaa.gov/s3/2023-06/STELLERSEALIONEumetopiasjubatusWesternU.S.Stock-.pdf" TargetMode="External"/><Relationship Id="rId1541" Type="http://schemas.openxmlformats.org/officeDocument/2006/relationships/hyperlink" Target="https://www.fisheries.noaa.gov/s3/2023-06/STELLERSEALIONEumetopiasjubatusWesternU.S.Stock-.pdf" TargetMode="External"/><Relationship Id="rId1542" Type="http://schemas.openxmlformats.org/officeDocument/2006/relationships/hyperlink" Target="https://www.fisheries.noaa.gov/s3/2023-06/STELLERSEALIONEumetopiasjubatusWesternU.S.Stock-.pdf" TargetMode="External"/><Relationship Id="rId590" Type="http://schemas.openxmlformats.org/officeDocument/2006/relationships/hyperlink" Target="https://media.fisheries.noaa.gov/dam-migration/2019_sars_alaska_harbor_seal.pdf" TargetMode="External"/><Relationship Id="rId107" Type="http://schemas.openxmlformats.org/officeDocument/2006/relationships/hyperlink" Target="https://www.fisheries.noaa.gov/s3/2023-08/Bowhead-Whale-WAS-2022.pdf" TargetMode="External"/><Relationship Id="rId106" Type="http://schemas.openxmlformats.org/officeDocument/2006/relationships/hyperlink" Target="https://www.fisheries.noaa.gov/s3/2023-08/Bowhead-Whale-WAS-2022.pdf" TargetMode="External"/><Relationship Id="rId105" Type="http://schemas.openxmlformats.org/officeDocument/2006/relationships/hyperlink" Target="https://www.fisheries.noaa.gov/s3/2023-08/Bowhead-Whale-WAS-2022.pdf" TargetMode="External"/><Relationship Id="rId589" Type="http://schemas.openxmlformats.org/officeDocument/2006/relationships/hyperlink" Target="https://media.fisheries.noaa.gov/dam-migration/2019_sars_alaska_harbor_seal.pdf" TargetMode="External"/><Relationship Id="rId104" Type="http://schemas.openxmlformats.org/officeDocument/2006/relationships/hyperlink" Target="https://www.fisheries.noaa.gov/s3/2023-08/Bowhead-Whale-WAS-2022.pdf" TargetMode="External"/><Relationship Id="rId588" Type="http://schemas.openxmlformats.org/officeDocument/2006/relationships/hyperlink" Target="https://media.fisheries.noaa.gov/dam-migration/2019_sars_alaska_harbor_seal.pdf" TargetMode="External"/><Relationship Id="rId109" Type="http://schemas.openxmlformats.org/officeDocument/2006/relationships/hyperlink" Target="https://www.fisheries.noaa.gov/s3/2023-08/Bowhead-Whale-WAS-2022.pdf" TargetMode="External"/><Relationship Id="rId1170" Type="http://schemas.openxmlformats.org/officeDocument/2006/relationships/hyperlink" Target="https://www.fisheries.noaa.gov/s3/2022-08/2021-NORTHERN-FUR-SEAL-Callorhinus-ursinus-Eastern-Pacific-Stock.pdf" TargetMode="External"/><Relationship Id="rId108" Type="http://schemas.openxmlformats.org/officeDocument/2006/relationships/hyperlink" Target="https://www.fisheries.noaa.gov/s3/2023-08/Bowhead-Whale-WAS-2022.pdf" TargetMode="External"/><Relationship Id="rId1171" Type="http://schemas.openxmlformats.org/officeDocument/2006/relationships/hyperlink" Target="https://www.fisheries.noaa.gov/s3/2022-08/2021-NORTHERN-FUR-SEAL-Callorhinus-ursinus-Eastern-Pacific-Stock.pdf" TargetMode="External"/><Relationship Id="rId583" Type="http://schemas.openxmlformats.org/officeDocument/2006/relationships/hyperlink" Target="https://media.fisheries.noaa.gov/dam-migration/2019_sars_alaska_harbor_seal.pdf" TargetMode="External"/><Relationship Id="rId1172" Type="http://schemas.openxmlformats.org/officeDocument/2006/relationships/hyperlink" Target="https://www.fisheries.noaa.gov/s3/2022-08/2021-NORTHERN-FUR-SEAL-Callorhinus-ursinus-Eastern-Pacific-Stock.pdf" TargetMode="External"/><Relationship Id="rId582" Type="http://schemas.openxmlformats.org/officeDocument/2006/relationships/hyperlink" Target="https://media.fisheries.noaa.gov/dam-migration/2019_sars_alaska_harbor_seal.pdf" TargetMode="External"/><Relationship Id="rId1173" Type="http://schemas.openxmlformats.org/officeDocument/2006/relationships/hyperlink" Target="https://www.fisheries.noaa.gov/s3/2022-08/2021-NORTHERN-FUR-SEAL-Callorhinus-ursinus-Eastern-Pacific-Stock.pdf" TargetMode="External"/><Relationship Id="rId581" Type="http://schemas.openxmlformats.org/officeDocument/2006/relationships/hyperlink" Target="https://media.fisheries.noaa.gov/dam-migration/2019_sars_alaska_harbor_seal.pdf" TargetMode="External"/><Relationship Id="rId1174" Type="http://schemas.openxmlformats.org/officeDocument/2006/relationships/hyperlink" Target="https://www.fisheries.noaa.gov/s3/2022-08/2021-NORTHERN-FUR-SEAL-Callorhinus-ursinus-Eastern-Pacific-Stock.pdf" TargetMode="External"/><Relationship Id="rId580" Type="http://schemas.openxmlformats.org/officeDocument/2006/relationships/hyperlink" Target="https://media.fisheries.noaa.gov/dam-migration/2019_sars_alaska_harbor_seal.pdf" TargetMode="External"/><Relationship Id="rId1175" Type="http://schemas.openxmlformats.org/officeDocument/2006/relationships/hyperlink" Target="https://www.fisheries.noaa.gov/s3/2022-08/2021-NORTHERN-FUR-SEAL-Callorhinus-ursinus-Eastern-Pacific-Stock.pdf" TargetMode="External"/><Relationship Id="rId103" Type="http://schemas.openxmlformats.org/officeDocument/2006/relationships/hyperlink" Target="https://www.fisheries.noaa.gov/s3/2023-08/Bowhead-Whale-WAS-2022.pdf" TargetMode="External"/><Relationship Id="rId587" Type="http://schemas.openxmlformats.org/officeDocument/2006/relationships/hyperlink" Target="https://media.fisheries.noaa.gov/dam-migration/2019_sars_alaska_harbor_seal.pdf" TargetMode="External"/><Relationship Id="rId1176" Type="http://schemas.openxmlformats.org/officeDocument/2006/relationships/hyperlink" Target="https://www.fisheries.noaa.gov/s3/2022-08/2021-NORTHERN-FUR-SEAL-Callorhinus-ursinus-Eastern-Pacific-Stock.pdf" TargetMode="External"/><Relationship Id="rId102" Type="http://schemas.openxmlformats.org/officeDocument/2006/relationships/hyperlink" Target="https://www.fisheries.noaa.gov/s3/2023-08/Bowhead-Whale-WAS-2022.pdf" TargetMode="External"/><Relationship Id="rId586" Type="http://schemas.openxmlformats.org/officeDocument/2006/relationships/hyperlink" Target="https://media.fisheries.noaa.gov/dam-migration/2019_sars_alaska_harbor_seal.pdf" TargetMode="External"/><Relationship Id="rId1177" Type="http://schemas.openxmlformats.org/officeDocument/2006/relationships/hyperlink" Target="https://www.fisheries.noaa.gov/s3/2022-08/2021-NORTHERN-FUR-SEAL-Callorhinus-ursinus-Eastern-Pacific-Stock.pdf" TargetMode="External"/><Relationship Id="rId101" Type="http://schemas.openxmlformats.org/officeDocument/2006/relationships/hyperlink" Target="https://www.fisheries.noaa.gov/s3/2023-08/Bowhead-Whale-WAS-2022.pdf" TargetMode="External"/><Relationship Id="rId585" Type="http://schemas.openxmlformats.org/officeDocument/2006/relationships/hyperlink" Target="https://media.fisheries.noaa.gov/dam-migration/2019_sars_alaska_harbor_seal.pdf" TargetMode="External"/><Relationship Id="rId1178" Type="http://schemas.openxmlformats.org/officeDocument/2006/relationships/hyperlink" Target="https://www.fisheries.noaa.gov/s3/2022-08/2021-NORTHERN-FUR-SEAL-Callorhinus-ursinus-Eastern-Pacific-Stock.pdf" TargetMode="External"/><Relationship Id="rId100" Type="http://schemas.openxmlformats.org/officeDocument/2006/relationships/hyperlink" Target="https://media.fisheries.noaa.gov/2022-08/2021-PacBluewhale-Eastern%20North%20Pacific%20Stock.pdf" TargetMode="External"/><Relationship Id="rId584" Type="http://schemas.openxmlformats.org/officeDocument/2006/relationships/hyperlink" Target="https://media.fisheries.noaa.gov/dam-migration/2019_sars_alaska_harbor_seal.pdf" TargetMode="External"/><Relationship Id="rId1179" Type="http://schemas.openxmlformats.org/officeDocument/2006/relationships/hyperlink" Target="https://www.fisheries.noaa.gov/s3/2022-08/2021-NORTHERN-FUR-SEAL-Callorhinus-ursinus-Eastern-Pacific-Stock.pdf" TargetMode="External"/><Relationship Id="rId1169" Type="http://schemas.openxmlformats.org/officeDocument/2006/relationships/hyperlink" Target="https://www.fisheries.noaa.gov/s3/2022-08/2021-NORTHERN-FUR-SEAL-Callorhinus-ursinus-Eastern-Pacific-Stock.pdf" TargetMode="External"/><Relationship Id="rId579" Type="http://schemas.openxmlformats.org/officeDocument/2006/relationships/hyperlink" Target="https://media.fisheries.noaa.gov/dam-migration/2019_sars_alaska_harbor_seal.pdf" TargetMode="External"/><Relationship Id="rId578" Type="http://schemas.openxmlformats.org/officeDocument/2006/relationships/hyperlink" Target="https://media.fisheries.noaa.gov/dam-migration/2019_sars_alaska_harbor_seal.pdf" TargetMode="External"/><Relationship Id="rId577" Type="http://schemas.openxmlformats.org/officeDocument/2006/relationships/hyperlink" Target="https://media.fisheries.noaa.gov/dam-migration/2019_sars_alaska_harbor_seal.pdf" TargetMode="External"/><Relationship Id="rId1160" Type="http://schemas.openxmlformats.org/officeDocument/2006/relationships/hyperlink" Target="https://www.fisheries.noaa.gov/s3/2022-08/2021-NORTHERN-FUR-SEAL-Callorhinus-ursinus-Eastern-Pacific-Stock.pdf" TargetMode="External"/><Relationship Id="rId572" Type="http://schemas.openxmlformats.org/officeDocument/2006/relationships/hyperlink" Target="https://media.fisheries.noaa.gov/dam-migration/2019_sars_alaska_harbor_seal.pdf" TargetMode="External"/><Relationship Id="rId1161" Type="http://schemas.openxmlformats.org/officeDocument/2006/relationships/hyperlink" Target="https://www.fisheries.noaa.gov/s3/2022-08/2021-NORTHERN-FUR-SEAL-Callorhinus-ursinus-Eastern-Pacific-Stock.pdf" TargetMode="External"/><Relationship Id="rId571" Type="http://schemas.openxmlformats.org/officeDocument/2006/relationships/hyperlink" Target="https://media.fisheries.noaa.gov/dam-migration/2019_sars_alaska_harbor_seal.pdf" TargetMode="External"/><Relationship Id="rId1162" Type="http://schemas.openxmlformats.org/officeDocument/2006/relationships/hyperlink" Target="https://www.fisheries.noaa.gov/s3/2022-08/2021-NORTHERN-FUR-SEAL-Callorhinus-ursinus-Eastern-Pacific-Stock.pdf" TargetMode="External"/><Relationship Id="rId570" Type="http://schemas.openxmlformats.org/officeDocument/2006/relationships/hyperlink" Target="https://media.fisheries.noaa.gov/dam-migration/2019_sars_alaska_harbor_seal.pdf" TargetMode="External"/><Relationship Id="rId1163" Type="http://schemas.openxmlformats.org/officeDocument/2006/relationships/hyperlink" Target="https://www.fisheries.noaa.gov/s3/2022-08/2021-NORTHERN-FUR-SEAL-Callorhinus-ursinus-Eastern-Pacific-Stock.pdf" TargetMode="External"/><Relationship Id="rId1164" Type="http://schemas.openxmlformats.org/officeDocument/2006/relationships/hyperlink" Target="https://www.fisheries.noaa.gov/s3/2022-08/2021-NORTHERN-FUR-SEAL-Callorhinus-ursinus-Eastern-Pacific-Stock.pdf" TargetMode="External"/><Relationship Id="rId576" Type="http://schemas.openxmlformats.org/officeDocument/2006/relationships/hyperlink" Target="https://media.fisheries.noaa.gov/dam-migration/2019_sars_alaska_harbor_seal.pdf" TargetMode="External"/><Relationship Id="rId1165" Type="http://schemas.openxmlformats.org/officeDocument/2006/relationships/hyperlink" Target="https://www.fisheries.noaa.gov/s3/2022-08/2021-NORTHERN-FUR-SEAL-Callorhinus-ursinus-Eastern-Pacific-Stock.pdf" TargetMode="External"/><Relationship Id="rId575" Type="http://schemas.openxmlformats.org/officeDocument/2006/relationships/hyperlink" Target="https://media.fisheries.noaa.gov/dam-migration/2019_sars_alaska_harbor_seal.pdf" TargetMode="External"/><Relationship Id="rId1166" Type="http://schemas.openxmlformats.org/officeDocument/2006/relationships/hyperlink" Target="https://www.fisheries.noaa.gov/s3/2022-08/2021-NORTHERN-FUR-SEAL-Callorhinus-ursinus-Eastern-Pacific-Stock.pdf" TargetMode="External"/><Relationship Id="rId574" Type="http://schemas.openxmlformats.org/officeDocument/2006/relationships/hyperlink" Target="https://media.fisheries.noaa.gov/dam-migration/2019_sars_alaska_harbor_seal.pdf" TargetMode="External"/><Relationship Id="rId1167" Type="http://schemas.openxmlformats.org/officeDocument/2006/relationships/hyperlink" Target="https://www.fisheries.noaa.gov/s3/2022-08/2021-NORTHERN-FUR-SEAL-Callorhinus-ursinus-Eastern-Pacific-Stock.pdf" TargetMode="External"/><Relationship Id="rId573" Type="http://schemas.openxmlformats.org/officeDocument/2006/relationships/hyperlink" Target="https://media.fisheries.noaa.gov/dam-migration/2019_sars_alaska_harbor_seal.pdf" TargetMode="External"/><Relationship Id="rId1168" Type="http://schemas.openxmlformats.org/officeDocument/2006/relationships/hyperlink" Target="https://www.fisheries.noaa.gov/s3/2022-08/2021-NORTHERN-FUR-SEAL-Callorhinus-ursinus-Eastern-Pacific-Stock.pdf" TargetMode="External"/><Relationship Id="rId129" Type="http://schemas.openxmlformats.org/officeDocument/2006/relationships/hyperlink" Target="https://media.fisheries.noaa.gov/dam-migration/ca_sea_lion_final_2018_sar.pdf" TargetMode="External"/><Relationship Id="rId128" Type="http://schemas.openxmlformats.org/officeDocument/2006/relationships/hyperlink" Target="https://media.fisheries.noaa.gov/dam-migration/ca_sea_lion_final_2018_sar.pdf" TargetMode="External"/><Relationship Id="rId127" Type="http://schemas.openxmlformats.org/officeDocument/2006/relationships/hyperlink" Target="https://media.fisheries.noaa.gov/dam-migration/ca_sea_lion_final_2018_sar.pdf" TargetMode="External"/><Relationship Id="rId126" Type="http://schemas.openxmlformats.org/officeDocument/2006/relationships/hyperlink" Target="https://media.fisheries.noaa.gov/dam-migration/ca_sea_lion_final_2018_sar.pdf" TargetMode="External"/><Relationship Id="rId1190" Type="http://schemas.openxmlformats.org/officeDocument/2006/relationships/hyperlink" Target="https://www.fisheries.noaa.gov/s3/2022-08/2021-NORTHERN-FUR-SEAL-Callorhinus-ursinus-Eastern-Pacific-Stock.pdf" TargetMode="External"/><Relationship Id="rId1191" Type="http://schemas.openxmlformats.org/officeDocument/2006/relationships/hyperlink" Target="https://www.fisheries.noaa.gov/s3/2022-08/2021-NORTHERN-FUR-SEAL-Callorhinus-ursinus-Eastern-Pacific-Stock.pdf" TargetMode="External"/><Relationship Id="rId1192" Type="http://schemas.openxmlformats.org/officeDocument/2006/relationships/hyperlink" Target="https://www.fisheries.noaa.gov/s3/2022-08/2021-NORTHERN-FUR-SEAL-Callorhinus-ursinus-Eastern-Pacific-Stock.pdf" TargetMode="External"/><Relationship Id="rId1193" Type="http://schemas.openxmlformats.org/officeDocument/2006/relationships/hyperlink" Target="https://www.fisheries.noaa.gov/s3/2022-08/2021-NORTHERN-FUR-SEAL-Callorhinus-ursinus-Eastern-Pacific-Stock.pdf" TargetMode="External"/><Relationship Id="rId121" Type="http://schemas.openxmlformats.org/officeDocument/2006/relationships/hyperlink" Target="https://media.fisheries.noaa.gov/dam-migration/ca_sea_lion_final_2018_sar.pdf" TargetMode="External"/><Relationship Id="rId1194" Type="http://schemas.openxmlformats.org/officeDocument/2006/relationships/hyperlink" Target="https://www.fisheries.noaa.gov/s3/2022-08/2021-NORTHERN-FUR-SEAL-Callorhinus-ursinus-Eastern-Pacific-Stock.pdf" TargetMode="External"/><Relationship Id="rId120" Type="http://schemas.openxmlformats.org/officeDocument/2006/relationships/hyperlink" Target="https://media.fisheries.noaa.gov/dam-migration/ca_sea_lion_final_2018_sar.pdf" TargetMode="External"/><Relationship Id="rId1195" Type="http://schemas.openxmlformats.org/officeDocument/2006/relationships/hyperlink" Target="https://www.fisheries.noaa.gov/s3/2022-08/2021-NORTHERN-FUR-SEAL-Callorhinus-ursinus-Eastern-Pacific-Stock.pdf" TargetMode="External"/><Relationship Id="rId1196" Type="http://schemas.openxmlformats.org/officeDocument/2006/relationships/hyperlink" Target="https://www.fisheries.noaa.gov/s3/2022-08/2021-NORTHERN-FUR-SEAL-Callorhinus-ursinus-Eastern-Pacific-Stock.pdf" TargetMode="External"/><Relationship Id="rId1197" Type="http://schemas.openxmlformats.org/officeDocument/2006/relationships/hyperlink" Target="https://www.fisheries.noaa.gov/s3/2022-08/2021-NORTHERN-FUR-SEAL-Callorhinus-ursinus-Eastern-Pacific-Stock.pdf" TargetMode="External"/><Relationship Id="rId125" Type="http://schemas.openxmlformats.org/officeDocument/2006/relationships/hyperlink" Target="https://media.fisheries.noaa.gov/dam-migration/ca_sea_lion_final_2018_sar.pdf" TargetMode="External"/><Relationship Id="rId1198" Type="http://schemas.openxmlformats.org/officeDocument/2006/relationships/hyperlink" Target="https://www.fisheries.noaa.gov/s3/2022-08/2021-NORTHERN-FUR-SEAL-Callorhinus-ursinus-Eastern-Pacific-Stock.pdf" TargetMode="External"/><Relationship Id="rId124" Type="http://schemas.openxmlformats.org/officeDocument/2006/relationships/hyperlink" Target="https://media.fisheries.noaa.gov/dam-migration/ca_sea_lion_final_2018_sar.pdf" TargetMode="External"/><Relationship Id="rId1199" Type="http://schemas.openxmlformats.org/officeDocument/2006/relationships/hyperlink" Target="https://www.fisheries.noaa.gov/s3/2022-08/2021-NORTHERN-FUR-SEAL-Callorhinus-ursinus-Eastern-Pacific-Stock.pdf" TargetMode="External"/><Relationship Id="rId123" Type="http://schemas.openxmlformats.org/officeDocument/2006/relationships/hyperlink" Target="https://media.fisheries.noaa.gov/dam-migration/ca_sea_lion_final_2018_sar.pdf" TargetMode="External"/><Relationship Id="rId122" Type="http://schemas.openxmlformats.org/officeDocument/2006/relationships/hyperlink" Target="https://media.fisheries.noaa.gov/dam-migration/ca_sea_lion_final_2018_sar.pdf" TargetMode="External"/><Relationship Id="rId118" Type="http://schemas.openxmlformats.org/officeDocument/2006/relationships/hyperlink" Target="https://media.fisheries.noaa.gov/dam-migration/ca_sea_lion_final_2018_sar.pdf" TargetMode="External"/><Relationship Id="rId117" Type="http://schemas.openxmlformats.org/officeDocument/2006/relationships/hyperlink" Target="https://media.fisheries.noaa.gov/dam-migration/ca_sea_lion_final_2018_sar.pdf" TargetMode="External"/><Relationship Id="rId116" Type="http://schemas.openxmlformats.org/officeDocument/2006/relationships/hyperlink" Target="https://media.fisheries.noaa.gov/dam-migration/ca_sea_lion_final_2018_sar.pdf" TargetMode="External"/><Relationship Id="rId115" Type="http://schemas.openxmlformats.org/officeDocument/2006/relationships/hyperlink" Target="https://media.fisheries.noaa.gov/dam-migration/ca_sea_lion_final_2018_sar.pdf" TargetMode="External"/><Relationship Id="rId599" Type="http://schemas.openxmlformats.org/officeDocument/2006/relationships/hyperlink" Target="https://media.fisheries.noaa.gov/dam-migration/2019_sars_alaska_harbor_seal.pdf" TargetMode="External"/><Relationship Id="rId1180" Type="http://schemas.openxmlformats.org/officeDocument/2006/relationships/hyperlink" Target="https://www.fisheries.noaa.gov/s3/2022-08/2021-NORTHERN-FUR-SEAL-Callorhinus-ursinus-Eastern-Pacific-Stock.pdf" TargetMode="External"/><Relationship Id="rId1181" Type="http://schemas.openxmlformats.org/officeDocument/2006/relationships/hyperlink" Target="https://www.fisheries.noaa.gov/s3/2022-08/2021-NORTHERN-FUR-SEAL-Callorhinus-ursinus-Eastern-Pacific-Stock.pdf" TargetMode="External"/><Relationship Id="rId119" Type="http://schemas.openxmlformats.org/officeDocument/2006/relationships/hyperlink" Target="https://media.fisheries.noaa.gov/dam-migration/ca_sea_lion_final_2018_sar.pdf" TargetMode="External"/><Relationship Id="rId1182" Type="http://schemas.openxmlformats.org/officeDocument/2006/relationships/hyperlink" Target="https://www.fisheries.noaa.gov/s3/2022-08/2021-NORTHERN-FUR-SEAL-Callorhinus-ursinus-Eastern-Pacific-Stock.pdf" TargetMode="External"/><Relationship Id="rId110" Type="http://schemas.openxmlformats.org/officeDocument/2006/relationships/hyperlink" Target="https://www.fisheries.noaa.gov/s3/2023-08/Bowhead-Whale-WAS-2022.pdf" TargetMode="External"/><Relationship Id="rId594" Type="http://schemas.openxmlformats.org/officeDocument/2006/relationships/hyperlink" Target="https://media.fisheries.noaa.gov/dam-migration/2019_sars_alaska_harbor_seal.pdf" TargetMode="External"/><Relationship Id="rId1183" Type="http://schemas.openxmlformats.org/officeDocument/2006/relationships/hyperlink" Target="https://www.fisheries.noaa.gov/s3/2022-08/2021-NORTHERN-FUR-SEAL-Callorhinus-ursinus-Eastern-Pacific-Stock.pdf" TargetMode="External"/><Relationship Id="rId593" Type="http://schemas.openxmlformats.org/officeDocument/2006/relationships/hyperlink" Target="https://media.fisheries.noaa.gov/dam-migration/2019_sars_alaska_harbor_seal.pdf" TargetMode="External"/><Relationship Id="rId1184" Type="http://schemas.openxmlformats.org/officeDocument/2006/relationships/hyperlink" Target="https://www.fisheries.noaa.gov/s3/2022-08/2021-NORTHERN-FUR-SEAL-Callorhinus-ursinus-Eastern-Pacific-Stock.pdf" TargetMode="External"/><Relationship Id="rId592" Type="http://schemas.openxmlformats.org/officeDocument/2006/relationships/hyperlink" Target="https://media.fisheries.noaa.gov/dam-migration/2019_sars_alaska_harbor_seal.pdf" TargetMode="External"/><Relationship Id="rId1185" Type="http://schemas.openxmlformats.org/officeDocument/2006/relationships/hyperlink" Target="https://www.fisheries.noaa.gov/s3/2022-08/2021-NORTHERN-FUR-SEAL-Callorhinus-ursinus-Eastern-Pacific-Stock.pdf" TargetMode="External"/><Relationship Id="rId591" Type="http://schemas.openxmlformats.org/officeDocument/2006/relationships/hyperlink" Target="https://media.fisheries.noaa.gov/dam-migration/2019_sars_alaska_harbor_seal.pdf" TargetMode="External"/><Relationship Id="rId1186" Type="http://schemas.openxmlformats.org/officeDocument/2006/relationships/hyperlink" Target="https://www.fisheries.noaa.gov/s3/2022-08/2021-NORTHERN-FUR-SEAL-Callorhinus-ursinus-Eastern-Pacific-Stock.pdf" TargetMode="External"/><Relationship Id="rId114" Type="http://schemas.openxmlformats.org/officeDocument/2006/relationships/hyperlink" Target="https://www.fisheries.noaa.gov/s3/2023-08/Bowhead-Whale-WAS-2022.pdf" TargetMode="External"/><Relationship Id="rId598" Type="http://schemas.openxmlformats.org/officeDocument/2006/relationships/hyperlink" Target="https://media.fisheries.noaa.gov/dam-migration/2019_sars_alaska_harbor_seal.pdf" TargetMode="External"/><Relationship Id="rId1187" Type="http://schemas.openxmlformats.org/officeDocument/2006/relationships/hyperlink" Target="https://www.fisheries.noaa.gov/s3/2022-08/2021-NORTHERN-FUR-SEAL-Callorhinus-ursinus-Eastern-Pacific-Stock.pdf" TargetMode="External"/><Relationship Id="rId113" Type="http://schemas.openxmlformats.org/officeDocument/2006/relationships/hyperlink" Target="https://www.fisheries.noaa.gov/s3/2023-08/Bowhead-Whale-WAS-2022.pdf" TargetMode="External"/><Relationship Id="rId597" Type="http://schemas.openxmlformats.org/officeDocument/2006/relationships/hyperlink" Target="https://media.fisheries.noaa.gov/dam-migration/2019_sars_alaska_harbor_seal.pdf" TargetMode="External"/><Relationship Id="rId1188" Type="http://schemas.openxmlformats.org/officeDocument/2006/relationships/hyperlink" Target="https://www.fisheries.noaa.gov/s3/2022-08/2021-NORTHERN-FUR-SEAL-Callorhinus-ursinus-Eastern-Pacific-Stock.pdf" TargetMode="External"/><Relationship Id="rId112" Type="http://schemas.openxmlformats.org/officeDocument/2006/relationships/hyperlink" Target="https://www.fisheries.noaa.gov/s3/2023-08/Bowhead-Whale-WAS-2022.pdf" TargetMode="External"/><Relationship Id="rId596" Type="http://schemas.openxmlformats.org/officeDocument/2006/relationships/hyperlink" Target="https://media.fisheries.noaa.gov/dam-migration/2019_sars_alaska_harbor_seal.pdf" TargetMode="External"/><Relationship Id="rId1189" Type="http://schemas.openxmlformats.org/officeDocument/2006/relationships/hyperlink" Target="https://www.fisheries.noaa.gov/s3/2022-08/2021-NORTHERN-FUR-SEAL-Callorhinus-ursinus-Eastern-Pacific-Stock.pdf" TargetMode="External"/><Relationship Id="rId111" Type="http://schemas.openxmlformats.org/officeDocument/2006/relationships/hyperlink" Target="https://www.fisheries.noaa.gov/s3/2023-08/Bowhead-Whale-WAS-2022.pdf" TargetMode="External"/><Relationship Id="rId595" Type="http://schemas.openxmlformats.org/officeDocument/2006/relationships/hyperlink" Target="https://media.fisheries.noaa.gov/dam-migration/2019_sars_alaska_harbor_seal.pdf" TargetMode="External"/><Relationship Id="rId1136" Type="http://schemas.openxmlformats.org/officeDocument/2006/relationships/hyperlink" Target="https://media.fisheries.noaa.gov/2022-08/2021-NorthernElephant-California%20Breeding%20Stock.pdf" TargetMode="External"/><Relationship Id="rId1137" Type="http://schemas.openxmlformats.org/officeDocument/2006/relationships/hyperlink" Target="https://media.fisheries.noaa.gov/2022-08/2021-NorthernElephant-California%20Breeding%20Stock.pdf" TargetMode="External"/><Relationship Id="rId1138" Type="http://schemas.openxmlformats.org/officeDocument/2006/relationships/hyperlink" Target="https://media.fisheries.noaa.gov/2022-08/2021-NorthernElephant-California%20Breeding%20Stock.pdf" TargetMode="External"/><Relationship Id="rId1139" Type="http://schemas.openxmlformats.org/officeDocument/2006/relationships/hyperlink" Target="https://media.fisheries.noaa.gov/2022-08/2021-NorthernElephant-California%20Breeding%20Stock.pdf" TargetMode="External"/><Relationship Id="rId547" Type="http://schemas.openxmlformats.org/officeDocument/2006/relationships/hyperlink" Target="https://media.fisheries.noaa.gov/dam-migration/2019_sars_alaska_harbor_seal.pdf" TargetMode="External"/><Relationship Id="rId546" Type="http://schemas.openxmlformats.org/officeDocument/2006/relationships/hyperlink" Target="https://media.fisheries.noaa.gov/dam-migration/2019_sars_alaska_harbor_seal.pdf" TargetMode="External"/><Relationship Id="rId545" Type="http://schemas.openxmlformats.org/officeDocument/2006/relationships/hyperlink" Target="https://media.fisheries.noaa.gov/dam-migration/2019_sars_alaska_harbor_seal.pdf" TargetMode="External"/><Relationship Id="rId544" Type="http://schemas.openxmlformats.org/officeDocument/2006/relationships/hyperlink" Target="https://media.fisheries.noaa.gov/dam-migration/2019_sars_alaska_harbor_seal.pdf" TargetMode="External"/><Relationship Id="rId549" Type="http://schemas.openxmlformats.org/officeDocument/2006/relationships/hyperlink" Target="https://media.fisheries.noaa.gov/dam-migration/2019_sars_alaska_harbor_seal.pdf" TargetMode="External"/><Relationship Id="rId548" Type="http://schemas.openxmlformats.org/officeDocument/2006/relationships/hyperlink" Target="https://media.fisheries.noaa.gov/dam-migration/2019_sars_alaska_harbor_seal.pdf" TargetMode="External"/><Relationship Id="rId1130" Type="http://schemas.openxmlformats.org/officeDocument/2006/relationships/hyperlink" Target="https://media.fisheries.noaa.gov/2022-08/2021-NorthernElephant-California%20Breeding%20Stock.pdf" TargetMode="External"/><Relationship Id="rId1131" Type="http://schemas.openxmlformats.org/officeDocument/2006/relationships/hyperlink" Target="https://media.fisheries.noaa.gov/2022-08/2021-NorthernElephant-California%20Breeding%20Stock.pdf" TargetMode="External"/><Relationship Id="rId543" Type="http://schemas.openxmlformats.org/officeDocument/2006/relationships/hyperlink" Target="https://media.fisheries.noaa.gov/dam-migration/2019_sars_alaska_harbor_seal.pdf" TargetMode="External"/><Relationship Id="rId1132" Type="http://schemas.openxmlformats.org/officeDocument/2006/relationships/hyperlink" Target="https://media.fisheries.noaa.gov/2022-08/2021-NorthernElephant-California%20Breeding%20Stock.pdf" TargetMode="External"/><Relationship Id="rId542" Type="http://schemas.openxmlformats.org/officeDocument/2006/relationships/hyperlink" Target="https://media.fisheries.noaa.gov/dam-migration/2019_sars_alaska_harbor_seal.pdf" TargetMode="External"/><Relationship Id="rId1133" Type="http://schemas.openxmlformats.org/officeDocument/2006/relationships/hyperlink" Target="https://media.fisheries.noaa.gov/2022-08/2021-NorthernElephant-California%20Breeding%20Stock.pdf" TargetMode="External"/><Relationship Id="rId541" Type="http://schemas.openxmlformats.org/officeDocument/2006/relationships/hyperlink" Target="https://media.fisheries.noaa.gov/dam-migration/2019_sars_alaska_harbor_seal.pdf" TargetMode="External"/><Relationship Id="rId1134" Type="http://schemas.openxmlformats.org/officeDocument/2006/relationships/hyperlink" Target="https://media.fisheries.noaa.gov/2022-08/2021-NorthernElephant-California%20Breeding%20Stock.pdf" TargetMode="External"/><Relationship Id="rId540" Type="http://schemas.openxmlformats.org/officeDocument/2006/relationships/hyperlink" Target="https://media.fisheries.noaa.gov/dam-migration/2019_sars_alaska_harbor_seal.pdf" TargetMode="External"/><Relationship Id="rId1135" Type="http://schemas.openxmlformats.org/officeDocument/2006/relationships/hyperlink" Target="https://media.fisheries.noaa.gov/2022-08/2021-NorthernElephant-California%20Breeding%20Stock.pdf" TargetMode="External"/><Relationship Id="rId1125" Type="http://schemas.openxmlformats.org/officeDocument/2006/relationships/hyperlink" Target="https://media.fisheries.noaa.gov/2022-08/2021-NorthernElephant-California%20Breeding%20Stock.pdf" TargetMode="External"/><Relationship Id="rId1126" Type="http://schemas.openxmlformats.org/officeDocument/2006/relationships/hyperlink" Target="https://media.fisheries.noaa.gov/2022-08/2021-NorthernElephant-California%20Breeding%20Stock.pdf" TargetMode="External"/><Relationship Id="rId1127" Type="http://schemas.openxmlformats.org/officeDocument/2006/relationships/hyperlink" Target="https://media.fisheries.noaa.gov/2022-08/2021-NorthernElephant-California%20Breeding%20Stock.pdf" TargetMode="External"/><Relationship Id="rId1128" Type="http://schemas.openxmlformats.org/officeDocument/2006/relationships/hyperlink" Target="https://media.fisheries.noaa.gov/2022-08/2021-NorthernElephant-California%20Breeding%20Stock.pdf" TargetMode="External"/><Relationship Id="rId1129" Type="http://schemas.openxmlformats.org/officeDocument/2006/relationships/hyperlink" Target="https://media.fisheries.noaa.gov/2022-08/2021-NorthernElephant-California%20Breeding%20Stock.pdf" TargetMode="External"/><Relationship Id="rId536" Type="http://schemas.openxmlformats.org/officeDocument/2006/relationships/hyperlink" Target="https://media.fisheries.noaa.gov/dam-migration/2019_sars_alaska_harbor_seal.pdf" TargetMode="External"/><Relationship Id="rId535" Type="http://schemas.openxmlformats.org/officeDocument/2006/relationships/hyperlink" Target="https://media.fisheries.noaa.gov/dam-migration/2019_sars_alaska_harbor_seal.pdf" TargetMode="External"/><Relationship Id="rId534" Type="http://schemas.openxmlformats.org/officeDocument/2006/relationships/hyperlink" Target="https://media.fisheries.noaa.gov/dam-migration/2019_sars_alaska_harbor_seal.pdf" TargetMode="External"/><Relationship Id="rId533" Type="http://schemas.openxmlformats.org/officeDocument/2006/relationships/hyperlink" Target="https://media.fisheries.noaa.gov/dam-migration/2019_sars_alaska_harbor_seal.pdf" TargetMode="External"/><Relationship Id="rId539" Type="http://schemas.openxmlformats.org/officeDocument/2006/relationships/hyperlink" Target="https://media.fisheries.noaa.gov/dam-migration/2019_sars_alaska_harbor_seal.pdf" TargetMode="External"/><Relationship Id="rId538" Type="http://schemas.openxmlformats.org/officeDocument/2006/relationships/hyperlink" Target="https://media.fisheries.noaa.gov/dam-migration/2019_sars_alaska_harbor_seal.pdf" TargetMode="External"/><Relationship Id="rId537" Type="http://schemas.openxmlformats.org/officeDocument/2006/relationships/hyperlink" Target="https://media.fisheries.noaa.gov/dam-migration/2019_sars_alaska_harbor_seal.pdf" TargetMode="External"/><Relationship Id="rId1120" Type="http://schemas.openxmlformats.org/officeDocument/2006/relationships/hyperlink" Target="https://media.fisheries.noaa.gov/2022-08/2021-NorthernElephant-California%20Breeding%20Stock.pdf" TargetMode="External"/><Relationship Id="rId532" Type="http://schemas.openxmlformats.org/officeDocument/2006/relationships/hyperlink" Target="https://media.fisheries.noaa.gov/dam-migration/2019_sars_alaska_harbor_seal.pdf" TargetMode="External"/><Relationship Id="rId1121" Type="http://schemas.openxmlformats.org/officeDocument/2006/relationships/hyperlink" Target="https://media.fisheries.noaa.gov/2022-08/2021-NorthernElephant-California%20Breeding%20Stock.pdf" TargetMode="External"/><Relationship Id="rId531" Type="http://schemas.openxmlformats.org/officeDocument/2006/relationships/hyperlink" Target="https://media.fisheries.noaa.gov/dam-migration/2019_sars_alaska_harbor_seal.pdf" TargetMode="External"/><Relationship Id="rId1122" Type="http://schemas.openxmlformats.org/officeDocument/2006/relationships/hyperlink" Target="https://media.fisheries.noaa.gov/2022-08/2021-NorthernElephant-California%20Breeding%20Stock.pdf" TargetMode="External"/><Relationship Id="rId530" Type="http://schemas.openxmlformats.org/officeDocument/2006/relationships/hyperlink" Target="https://media.fisheries.noaa.gov/dam-migration/2019_sars_alaska_harbor_seal.pdf" TargetMode="External"/><Relationship Id="rId1123" Type="http://schemas.openxmlformats.org/officeDocument/2006/relationships/hyperlink" Target="https://media.fisheries.noaa.gov/2022-08/2021-NorthernElephant-California%20Breeding%20Stock.pdf" TargetMode="External"/><Relationship Id="rId1124" Type="http://schemas.openxmlformats.org/officeDocument/2006/relationships/hyperlink" Target="https://media.fisheries.noaa.gov/2022-08/2021-NorthernElephant-California%20Breeding%20Stock.pdf" TargetMode="External"/><Relationship Id="rId1158" Type="http://schemas.openxmlformats.org/officeDocument/2006/relationships/hyperlink" Target="https://www.fisheries.noaa.gov/s3/2022-08/2021-NORTHERN-FUR-SEAL-Callorhinus-ursinus-Eastern-Pacific-Stock.pdf" TargetMode="External"/><Relationship Id="rId1159" Type="http://schemas.openxmlformats.org/officeDocument/2006/relationships/hyperlink" Target="https://www.fisheries.noaa.gov/s3/2022-08/2021-NORTHERN-FUR-SEAL-Callorhinus-ursinus-Eastern-Pacific-Stock.pdf" TargetMode="External"/><Relationship Id="rId569" Type="http://schemas.openxmlformats.org/officeDocument/2006/relationships/hyperlink" Target="https://media.fisheries.noaa.gov/dam-migration/2019_sars_alaska_harbor_seal.pdf" TargetMode="External"/><Relationship Id="rId568" Type="http://schemas.openxmlformats.org/officeDocument/2006/relationships/hyperlink" Target="https://media.fisheries.noaa.gov/dam-migration/2019_sars_alaska_harbor_seal.pdf" TargetMode="External"/><Relationship Id="rId567" Type="http://schemas.openxmlformats.org/officeDocument/2006/relationships/hyperlink" Target="https://media.fisheries.noaa.gov/dam-migration/2019_sars_alaska_harbor_seal.pdf" TargetMode="External"/><Relationship Id="rId566" Type="http://schemas.openxmlformats.org/officeDocument/2006/relationships/hyperlink" Target="https://media.fisheries.noaa.gov/dam-migration/2019_sars_alaska_harbor_seal.pdf" TargetMode="External"/><Relationship Id="rId561" Type="http://schemas.openxmlformats.org/officeDocument/2006/relationships/hyperlink" Target="https://media.fisheries.noaa.gov/dam-migration/2019_sars_alaska_harbor_seal.pdf" TargetMode="External"/><Relationship Id="rId1150" Type="http://schemas.openxmlformats.org/officeDocument/2006/relationships/hyperlink" Target="https://www.fisheries.noaa.gov/s3/2022-08/2021-NORTHERN-FUR-SEAL-Callorhinus-ursinus-Eastern-Pacific-Stock.pdf" TargetMode="External"/><Relationship Id="rId560" Type="http://schemas.openxmlformats.org/officeDocument/2006/relationships/hyperlink" Target="https://media.fisheries.noaa.gov/dam-migration/2019_sars_alaska_harbor_seal.pdf" TargetMode="External"/><Relationship Id="rId1151" Type="http://schemas.openxmlformats.org/officeDocument/2006/relationships/hyperlink" Target="https://www.fisheries.noaa.gov/s3/2022-08/2021-NORTHERN-FUR-SEAL-Callorhinus-ursinus-Eastern-Pacific-Stock.pdf" TargetMode="External"/><Relationship Id="rId1152" Type="http://schemas.openxmlformats.org/officeDocument/2006/relationships/hyperlink" Target="https://www.fisheries.noaa.gov/s3/2022-08/2021-NORTHERN-FUR-SEAL-Callorhinus-ursinus-Eastern-Pacific-Stock.pdf" TargetMode="External"/><Relationship Id="rId1153" Type="http://schemas.openxmlformats.org/officeDocument/2006/relationships/hyperlink" Target="https://www.fisheries.noaa.gov/s3/2022-08/2021-NORTHERN-FUR-SEAL-Callorhinus-ursinus-Eastern-Pacific-Stock.pdf" TargetMode="External"/><Relationship Id="rId565" Type="http://schemas.openxmlformats.org/officeDocument/2006/relationships/hyperlink" Target="https://media.fisheries.noaa.gov/dam-migration/2019_sars_alaska_harbor_seal.pdf" TargetMode="External"/><Relationship Id="rId1154" Type="http://schemas.openxmlformats.org/officeDocument/2006/relationships/hyperlink" Target="https://www.fisheries.noaa.gov/s3/2022-08/2021-NORTHERN-FUR-SEAL-Callorhinus-ursinus-Eastern-Pacific-Stock.pdf" TargetMode="External"/><Relationship Id="rId564" Type="http://schemas.openxmlformats.org/officeDocument/2006/relationships/hyperlink" Target="https://media.fisheries.noaa.gov/dam-migration/2019_sars_alaska_harbor_seal.pdf" TargetMode="External"/><Relationship Id="rId1155" Type="http://schemas.openxmlformats.org/officeDocument/2006/relationships/hyperlink" Target="https://www.fisheries.noaa.gov/s3/2022-08/2021-NORTHERN-FUR-SEAL-Callorhinus-ursinus-Eastern-Pacific-Stock.pdf" TargetMode="External"/><Relationship Id="rId563" Type="http://schemas.openxmlformats.org/officeDocument/2006/relationships/hyperlink" Target="https://media.fisheries.noaa.gov/dam-migration/2019_sars_alaska_harbor_seal.pdf" TargetMode="External"/><Relationship Id="rId1156" Type="http://schemas.openxmlformats.org/officeDocument/2006/relationships/hyperlink" Target="https://www.fisheries.noaa.gov/s3/2022-08/2021-NORTHERN-FUR-SEAL-Callorhinus-ursinus-Eastern-Pacific-Stock.pdf" TargetMode="External"/><Relationship Id="rId562" Type="http://schemas.openxmlformats.org/officeDocument/2006/relationships/hyperlink" Target="https://media.fisheries.noaa.gov/dam-migration/2019_sars_alaska_harbor_seal.pdf" TargetMode="External"/><Relationship Id="rId1157" Type="http://schemas.openxmlformats.org/officeDocument/2006/relationships/hyperlink" Target="https://www.fisheries.noaa.gov/s3/2022-08/2021-NORTHERN-FUR-SEAL-Callorhinus-ursinus-Eastern-Pacific-Stock.pdf" TargetMode="External"/><Relationship Id="rId1147" Type="http://schemas.openxmlformats.org/officeDocument/2006/relationships/hyperlink" Target="https://www.fisheries.noaa.gov/s3/2022-08/2021-NORTHERN-FUR-SEAL-Callorhinus-ursinus-Eastern-Pacific-Stock.pdf" TargetMode="External"/><Relationship Id="rId1148" Type="http://schemas.openxmlformats.org/officeDocument/2006/relationships/hyperlink" Target="https://www.fisheries.noaa.gov/s3/2022-08/2021-NORTHERN-FUR-SEAL-Callorhinus-ursinus-Eastern-Pacific-Stock.pdf" TargetMode="External"/><Relationship Id="rId1149" Type="http://schemas.openxmlformats.org/officeDocument/2006/relationships/hyperlink" Target="https://www.fisheries.noaa.gov/s3/2022-08/2021-NORTHERN-FUR-SEAL-Callorhinus-ursinus-Eastern-Pacific-Stock.pdf" TargetMode="External"/><Relationship Id="rId558" Type="http://schemas.openxmlformats.org/officeDocument/2006/relationships/hyperlink" Target="https://media.fisheries.noaa.gov/dam-migration/2019_sars_alaska_harbor_seal.pdf" TargetMode="External"/><Relationship Id="rId557" Type="http://schemas.openxmlformats.org/officeDocument/2006/relationships/hyperlink" Target="https://media.fisheries.noaa.gov/dam-migration/2019_sars_alaska_harbor_seal.pdf" TargetMode="External"/><Relationship Id="rId556" Type="http://schemas.openxmlformats.org/officeDocument/2006/relationships/hyperlink" Target="https://media.fisheries.noaa.gov/dam-migration/2019_sars_alaska_harbor_seal.pdf" TargetMode="External"/><Relationship Id="rId555" Type="http://schemas.openxmlformats.org/officeDocument/2006/relationships/hyperlink" Target="https://media.fisheries.noaa.gov/dam-migration/2019_sars_alaska_harbor_seal.pdf" TargetMode="External"/><Relationship Id="rId559" Type="http://schemas.openxmlformats.org/officeDocument/2006/relationships/hyperlink" Target="https://media.fisheries.noaa.gov/dam-migration/2019_sars_alaska_harbor_seal.pdf" TargetMode="External"/><Relationship Id="rId550" Type="http://schemas.openxmlformats.org/officeDocument/2006/relationships/hyperlink" Target="https://media.fisheries.noaa.gov/dam-migration/2019_sars_alaska_harbor_seal.pdf" TargetMode="External"/><Relationship Id="rId1140" Type="http://schemas.openxmlformats.org/officeDocument/2006/relationships/hyperlink" Target="https://media.fisheries.noaa.gov/2022-08/2021-NorthernElephant-California%20Breeding%20Stock.pdf" TargetMode="External"/><Relationship Id="rId1141" Type="http://schemas.openxmlformats.org/officeDocument/2006/relationships/hyperlink" Target="https://media.fisheries.noaa.gov/2022-08/2021-NorthernElephant-California%20Breeding%20Stock.pdf" TargetMode="External"/><Relationship Id="rId1142" Type="http://schemas.openxmlformats.org/officeDocument/2006/relationships/hyperlink" Target="https://media.fisheries.noaa.gov/2022-08/2021-NorthernElephant-California%20Breeding%20Stock.pdf" TargetMode="External"/><Relationship Id="rId554" Type="http://schemas.openxmlformats.org/officeDocument/2006/relationships/hyperlink" Target="https://media.fisheries.noaa.gov/dam-migration/2019_sars_alaska_harbor_seal.pdf" TargetMode="External"/><Relationship Id="rId1143" Type="http://schemas.openxmlformats.org/officeDocument/2006/relationships/hyperlink" Target="https://media.fisheries.noaa.gov/2022-08/2021-NorthernElephant-California%20Breeding%20Stock.pdf" TargetMode="External"/><Relationship Id="rId553" Type="http://schemas.openxmlformats.org/officeDocument/2006/relationships/hyperlink" Target="https://media.fisheries.noaa.gov/dam-migration/2019_sars_alaska_harbor_seal.pdf" TargetMode="External"/><Relationship Id="rId1144" Type="http://schemas.openxmlformats.org/officeDocument/2006/relationships/hyperlink" Target="https://media.fisheries.noaa.gov/2022-08/2021-NorthernElephant-California%20Breeding%20Stock.pdf" TargetMode="External"/><Relationship Id="rId552" Type="http://schemas.openxmlformats.org/officeDocument/2006/relationships/hyperlink" Target="https://media.fisheries.noaa.gov/dam-migration/2019_sars_alaska_harbor_seal.pdf" TargetMode="External"/><Relationship Id="rId1145" Type="http://schemas.openxmlformats.org/officeDocument/2006/relationships/hyperlink" Target="https://media.fisheries.noaa.gov/2022-08/2021-NorthernElephant-California%20Breeding%20Stock.pdf" TargetMode="External"/><Relationship Id="rId551" Type="http://schemas.openxmlformats.org/officeDocument/2006/relationships/hyperlink" Target="https://media.fisheries.noaa.gov/dam-migration/2019_sars_alaska_harbor_seal.pdf" TargetMode="External"/><Relationship Id="rId1146" Type="http://schemas.openxmlformats.org/officeDocument/2006/relationships/hyperlink" Target="https://media.fisheries.noaa.gov/2022-08/2021-NorthernElephant-California%20Breeding%20Stock.pdf" TargetMode="External"/><Relationship Id="rId495" Type="http://schemas.openxmlformats.org/officeDocument/2006/relationships/hyperlink" Target="https://media.fisheries.noaa.gov/dam-migration/2019_sars_alaska_harbor_seal.pdf" TargetMode="External"/><Relationship Id="rId494" Type="http://schemas.openxmlformats.org/officeDocument/2006/relationships/hyperlink" Target="https://media.fisheries.noaa.gov/dam-migration/2019_sars_alaska_harbor_seal.pdf" TargetMode="External"/><Relationship Id="rId493" Type="http://schemas.openxmlformats.org/officeDocument/2006/relationships/hyperlink" Target="https://media.fisheries.noaa.gov/dam-migration/2019_sars_alaska_harbor_seal.pdf" TargetMode="External"/><Relationship Id="rId492" Type="http://schemas.openxmlformats.org/officeDocument/2006/relationships/hyperlink" Target="https://media.fisheries.noaa.gov/dam-migration/2019_sars_alaska_harbor_seal.pdf" TargetMode="External"/><Relationship Id="rId499" Type="http://schemas.openxmlformats.org/officeDocument/2006/relationships/hyperlink" Target="https://media.fisheries.noaa.gov/dam-migration/2019_sars_alaska_harbor_seal.pdf" TargetMode="External"/><Relationship Id="rId498" Type="http://schemas.openxmlformats.org/officeDocument/2006/relationships/hyperlink" Target="https://media.fisheries.noaa.gov/dam-migration/2019_sars_alaska_harbor_seal.pdf" TargetMode="External"/><Relationship Id="rId497" Type="http://schemas.openxmlformats.org/officeDocument/2006/relationships/hyperlink" Target="https://media.fisheries.noaa.gov/dam-migration/2019_sars_alaska_harbor_seal.pdf" TargetMode="External"/><Relationship Id="rId496" Type="http://schemas.openxmlformats.org/officeDocument/2006/relationships/hyperlink" Target="https://media.fisheries.noaa.gov/dam-migration/2019_sars_alaska_harbor_seal.pdf" TargetMode="External"/><Relationship Id="rId1610" Type="http://schemas.openxmlformats.org/officeDocument/2006/relationships/hyperlink" Target="https://www.fisheries.noaa.gov/s3/2023-06/STELLERSEALIONEumetopiasjubatusWesternU.S.Stock-.pdf" TargetMode="External"/><Relationship Id="rId1611" Type="http://schemas.openxmlformats.org/officeDocument/2006/relationships/hyperlink" Target="https://www.fisheries.noaa.gov/s3/2023-06/STELLERSEALIONEumetopiasjubatusWesternU.S.Stock-.pdf" TargetMode="External"/><Relationship Id="rId1612" Type="http://schemas.openxmlformats.org/officeDocument/2006/relationships/hyperlink" Target="https://www.fisheries.noaa.gov/s3/2023-06/STELLERSEALIONEumetopiasjubatusWesternU.S.Stock-.pdf" TargetMode="External"/><Relationship Id="rId1613" Type="http://schemas.openxmlformats.org/officeDocument/2006/relationships/hyperlink" Target="https://www.fisheries.noaa.gov/s3/2023-06/STELLERSEALIONEumetopiasjubatusWesternU.S.Stock-.pdf" TargetMode="External"/><Relationship Id="rId1614" Type="http://schemas.openxmlformats.org/officeDocument/2006/relationships/hyperlink" Target="https://www.fisheries.noaa.gov/s3/2023-06/STELLERSEALIONEumetopiasjubatusWesternU.S.Stock-.pdf" TargetMode="External"/><Relationship Id="rId1615" Type="http://schemas.openxmlformats.org/officeDocument/2006/relationships/hyperlink" Target="https://www.fisheries.noaa.gov/s3/2023-06/STELLERSEALIONEumetopiasjubatusWesternU.S.Stock-.pdf" TargetMode="External"/><Relationship Id="rId1616" Type="http://schemas.openxmlformats.org/officeDocument/2006/relationships/hyperlink" Target="https://www.fisheries.noaa.gov/s3/2023-06/STELLERSEALIONEumetopiasjubatusWesternU.S.Stock-.pdf" TargetMode="External"/><Relationship Id="rId907" Type="http://schemas.openxmlformats.org/officeDocument/2006/relationships/hyperlink" Target="https://media.fisheries.noaa.gov/dam-migration/pacific-2017-mes_beaked_whales-caorwa-508.pdf" TargetMode="External"/><Relationship Id="rId1617" Type="http://schemas.openxmlformats.org/officeDocument/2006/relationships/hyperlink" Target="https://www.fisheries.noaa.gov/s3/2023-06/STELLERSEALIONEumetopiasjubatusWesternU.S.Stock-.pdf" TargetMode="External"/><Relationship Id="rId906" Type="http://schemas.openxmlformats.org/officeDocument/2006/relationships/hyperlink" Target="https://media.fisheries.noaa.gov/dam-migration/pacific-2017-mes_beaked_whales-caorwa-508.pdf" TargetMode="External"/><Relationship Id="rId1618" Type="http://schemas.openxmlformats.org/officeDocument/2006/relationships/hyperlink" Target="https://www.fisheries.noaa.gov/s3/2023-06/STELLERSEALIONEumetopiasjubatusWesternU.S.Stock-.pdf" TargetMode="External"/><Relationship Id="rId905" Type="http://schemas.openxmlformats.org/officeDocument/2006/relationships/hyperlink" Target="https://media.fisheries.noaa.gov/dam-migration/pacific-2017-mes_beaked_whales-caorwa-508.pdf" TargetMode="External"/><Relationship Id="rId1619" Type="http://schemas.openxmlformats.org/officeDocument/2006/relationships/hyperlink" Target="https://www.fisheries.noaa.gov/s3/2023-06/STELLERSEALIONEumetopiasjubatusWesternU.S.Stock-.pdf" TargetMode="External"/><Relationship Id="rId904" Type="http://schemas.openxmlformats.org/officeDocument/2006/relationships/hyperlink" Target="https://media.fisheries.noaa.gov/dam-migration/pacific-2017-mes_beaked_whales-caorwa-508.pdf" TargetMode="External"/><Relationship Id="rId909" Type="http://schemas.openxmlformats.org/officeDocument/2006/relationships/hyperlink" Target="https://media.fisheries.noaa.gov/2022-08/2021-PACminke-CaliforniaOregonWashington%20Stock.pdf" TargetMode="External"/><Relationship Id="rId908" Type="http://schemas.openxmlformats.org/officeDocument/2006/relationships/hyperlink" Target="https://media.fisheries.noaa.gov/dam-migration/pacific-2017-mes_beaked_whales-caorwa-508.pdf" TargetMode="External"/><Relationship Id="rId903" Type="http://schemas.openxmlformats.org/officeDocument/2006/relationships/hyperlink" Target="https://media.fisheries.noaa.gov/dam-migration/pacific-2017-mes_beaked_whales-caorwa-508.pdf" TargetMode="External"/><Relationship Id="rId902" Type="http://schemas.openxmlformats.org/officeDocument/2006/relationships/hyperlink" Target="https://media.fisheries.noaa.gov/dam-migration/pacific-2017-mes_beaked_whales-caorwa-508.pdf" TargetMode="External"/><Relationship Id="rId901" Type="http://schemas.openxmlformats.org/officeDocument/2006/relationships/hyperlink" Target="https://media.fisheries.noaa.gov/dam-migration/pacific-2017-mes_beaked_whales-caorwa-508.pdf" TargetMode="External"/><Relationship Id="rId900" Type="http://schemas.openxmlformats.org/officeDocument/2006/relationships/hyperlink" Target="https://media.fisheries.noaa.gov/dam-migration/pacific-2017-mes_beaked_whales-caorwa-508.pdf" TargetMode="External"/><Relationship Id="rId1600" Type="http://schemas.openxmlformats.org/officeDocument/2006/relationships/hyperlink" Target="https://www.fisheries.noaa.gov/s3/2023-06/STELLERSEALIONEumetopiasjubatusWesternU.S.Stock-.pdf" TargetMode="External"/><Relationship Id="rId1601" Type="http://schemas.openxmlformats.org/officeDocument/2006/relationships/hyperlink" Target="https://www.fisheries.noaa.gov/s3/2023-06/STELLERSEALIONEumetopiasjubatusWesternU.S.Stock-.pdf" TargetMode="External"/><Relationship Id="rId1602" Type="http://schemas.openxmlformats.org/officeDocument/2006/relationships/hyperlink" Target="https://www.fisheries.noaa.gov/s3/2023-06/STELLERSEALIONEumetopiasjubatusWesternU.S.Stock-.pdf" TargetMode="External"/><Relationship Id="rId1603" Type="http://schemas.openxmlformats.org/officeDocument/2006/relationships/hyperlink" Target="https://www.fisheries.noaa.gov/s3/2023-06/STELLERSEALIONEumetopiasjubatusWesternU.S.Stock-.pdf" TargetMode="External"/><Relationship Id="rId1604" Type="http://schemas.openxmlformats.org/officeDocument/2006/relationships/hyperlink" Target="https://www.fisheries.noaa.gov/s3/2023-06/STELLERSEALIONEumetopiasjubatusWesternU.S.Stock-.pdf" TargetMode="External"/><Relationship Id="rId1605" Type="http://schemas.openxmlformats.org/officeDocument/2006/relationships/hyperlink" Target="https://www.fisheries.noaa.gov/s3/2023-06/STELLERSEALIONEumetopiasjubatusWesternU.S.Stock-.pdf" TargetMode="External"/><Relationship Id="rId1606" Type="http://schemas.openxmlformats.org/officeDocument/2006/relationships/hyperlink" Target="https://www.fisheries.noaa.gov/s3/2023-06/STELLERSEALIONEumetopiasjubatusWesternU.S.Stock-.pdf" TargetMode="External"/><Relationship Id="rId1607" Type="http://schemas.openxmlformats.org/officeDocument/2006/relationships/hyperlink" Target="https://www.fisheries.noaa.gov/s3/2023-06/STELLERSEALIONEumetopiasjubatusWesternU.S.Stock-.pdf" TargetMode="External"/><Relationship Id="rId1608" Type="http://schemas.openxmlformats.org/officeDocument/2006/relationships/hyperlink" Target="https://www.fisheries.noaa.gov/s3/2023-06/STELLERSEALIONEumetopiasjubatusWesternU.S.Stock-.pdf" TargetMode="External"/><Relationship Id="rId1609" Type="http://schemas.openxmlformats.org/officeDocument/2006/relationships/hyperlink" Target="https://www.fisheries.noaa.gov/s3/2023-06/STELLERSEALIONEumetopiasjubatusWesternU.S.Stock-.pdf" TargetMode="External"/><Relationship Id="rId1631" Type="http://schemas.openxmlformats.org/officeDocument/2006/relationships/hyperlink" Target="https://www.fisheries.noaa.gov/s3/2023-06/STELLERSEALIONEumetopiasjubatusWesternU.S.Stock-.pdf" TargetMode="External"/><Relationship Id="rId1632" Type="http://schemas.openxmlformats.org/officeDocument/2006/relationships/hyperlink" Target="https://www.fisheries.noaa.gov/s3/2023-06/STELLERSEALIONEumetopiasjubatusWesternU.S.Stock-.pdf" TargetMode="External"/><Relationship Id="rId1633" Type="http://schemas.openxmlformats.org/officeDocument/2006/relationships/hyperlink" Target="https://www.fisheries.noaa.gov/s3/2023-06/STELLERSEALIONEumetopiasjubatusWesternU.S.Stock-.pdf" TargetMode="External"/><Relationship Id="rId1634" Type="http://schemas.openxmlformats.org/officeDocument/2006/relationships/hyperlink" Target="https://www.fisheries.noaa.gov/s3/2023-06/STELLERSEALIONEumetopiasjubatusWesternU.S.Stock-.pdf" TargetMode="External"/><Relationship Id="rId1635" Type="http://schemas.openxmlformats.org/officeDocument/2006/relationships/hyperlink" Target="https://www.fisheries.noaa.gov/s3/2023-06/STELLERSEALIONEumetopiasjubatusWesternU.S.Stock-.pdf" TargetMode="External"/><Relationship Id="rId1636" Type="http://schemas.openxmlformats.org/officeDocument/2006/relationships/hyperlink" Target="https://www.fisheries.noaa.gov/s3/2023-06/STELLERSEALIONEumetopiasjubatusWesternU.S.Stock-.pdf" TargetMode="External"/><Relationship Id="rId1637" Type="http://schemas.openxmlformats.org/officeDocument/2006/relationships/hyperlink" Target="https://www.fisheries.noaa.gov/s3/2023-06/STELLERSEALIONEumetopiasjubatusWesternU.S.Stock-.pdf" TargetMode="External"/><Relationship Id="rId1638" Type="http://schemas.openxmlformats.org/officeDocument/2006/relationships/hyperlink" Target="https://www.fisheries.noaa.gov/s3/2023-06/STELLERSEALIONEumetopiasjubatusWesternU.S.Stock-.pdf" TargetMode="External"/><Relationship Id="rId929" Type="http://schemas.openxmlformats.org/officeDocument/2006/relationships/hyperlink" Target="https://www.fisheries.noaa.gov/s3/2023-08/North-Atlantic-Right-Whale-Western-Atlantic-2022.pdf" TargetMode="External"/><Relationship Id="rId1639" Type="http://schemas.openxmlformats.org/officeDocument/2006/relationships/hyperlink" Target="https://www.fisheries.noaa.gov/s3/2023-06/STELLERSEALIONEumetopiasjubatusWesternU.S.Stock-.pdf" TargetMode="External"/><Relationship Id="rId928" Type="http://schemas.openxmlformats.org/officeDocument/2006/relationships/hyperlink" Target="https://www.fisheries.noaa.gov/s3/2023-08/North-Atlantic-Right-Whale-Western-Atlantic-2022.pdf" TargetMode="External"/><Relationship Id="rId927" Type="http://schemas.openxmlformats.org/officeDocument/2006/relationships/hyperlink" Target="https://www.fisheries.noaa.gov/s3/2023-08/North-Atlantic-Right-Whale-Western-Atlantic-2022.pdf" TargetMode="External"/><Relationship Id="rId926" Type="http://schemas.openxmlformats.org/officeDocument/2006/relationships/hyperlink" Target="https://www.fisheries.noaa.gov/s3/2023-08/North-Atlantic-Right-Whale-Western-Atlantic-2022.pdf" TargetMode="External"/><Relationship Id="rId921" Type="http://schemas.openxmlformats.org/officeDocument/2006/relationships/hyperlink" Target="https://www.fisheries.noaa.gov/s3/2023-08/North-Atlantic-Right-Whale-Western-Atlantic-2022.pdf" TargetMode="External"/><Relationship Id="rId920" Type="http://schemas.openxmlformats.org/officeDocument/2006/relationships/hyperlink" Target="https://media.fisheries.noaa.gov/2022-08/2021-PACminke-CaliforniaOregonWashington%20Stock.pdf" TargetMode="External"/><Relationship Id="rId925" Type="http://schemas.openxmlformats.org/officeDocument/2006/relationships/hyperlink" Target="https://www.fisheries.noaa.gov/s3/2023-08/North-Atlantic-Right-Whale-Western-Atlantic-2022.pdf" TargetMode="External"/><Relationship Id="rId924" Type="http://schemas.openxmlformats.org/officeDocument/2006/relationships/hyperlink" Target="https://www.fisheries.noaa.gov/s3/2023-08/North-Atlantic-Right-Whale-Western-Atlantic-2022.pdf" TargetMode="External"/><Relationship Id="rId923" Type="http://schemas.openxmlformats.org/officeDocument/2006/relationships/hyperlink" Target="https://www.fisheries.noaa.gov/s3/2023-08/North-Atlantic-Right-Whale-Western-Atlantic-2022.pdf" TargetMode="External"/><Relationship Id="rId922" Type="http://schemas.openxmlformats.org/officeDocument/2006/relationships/hyperlink" Target="https://www.fisheries.noaa.gov/s3/2023-08/North-Atlantic-Right-Whale-Western-Atlantic-2022.pdf" TargetMode="External"/><Relationship Id="rId1630" Type="http://schemas.openxmlformats.org/officeDocument/2006/relationships/hyperlink" Target="https://www.fisheries.noaa.gov/s3/2023-06/STELLERSEALIONEumetopiasjubatusWesternU.S.Stock-.pdf" TargetMode="External"/><Relationship Id="rId1620" Type="http://schemas.openxmlformats.org/officeDocument/2006/relationships/hyperlink" Target="https://www.fisheries.noaa.gov/s3/2023-06/STELLERSEALIONEumetopiasjubatusWesternU.S.Stock-.pdf" TargetMode="External"/><Relationship Id="rId1621" Type="http://schemas.openxmlformats.org/officeDocument/2006/relationships/hyperlink" Target="https://www.fisheries.noaa.gov/s3/2023-06/STELLERSEALIONEumetopiasjubatusWesternU.S.Stock-.pdf" TargetMode="External"/><Relationship Id="rId1622" Type="http://schemas.openxmlformats.org/officeDocument/2006/relationships/hyperlink" Target="https://www.fisheries.noaa.gov/s3/2023-06/STELLERSEALIONEumetopiasjubatusWesternU.S.Stock-.pdf" TargetMode="External"/><Relationship Id="rId1623" Type="http://schemas.openxmlformats.org/officeDocument/2006/relationships/hyperlink" Target="https://www.fisheries.noaa.gov/s3/2023-06/STELLERSEALIONEumetopiasjubatusWesternU.S.Stock-.pdf" TargetMode="External"/><Relationship Id="rId1624" Type="http://schemas.openxmlformats.org/officeDocument/2006/relationships/hyperlink" Target="https://www.fisheries.noaa.gov/s3/2023-06/STELLERSEALIONEumetopiasjubatusWesternU.S.Stock-.pdf" TargetMode="External"/><Relationship Id="rId1625" Type="http://schemas.openxmlformats.org/officeDocument/2006/relationships/hyperlink" Target="https://www.fisheries.noaa.gov/s3/2023-06/STELLERSEALIONEumetopiasjubatusWesternU.S.Stock-.pdf" TargetMode="External"/><Relationship Id="rId1626" Type="http://schemas.openxmlformats.org/officeDocument/2006/relationships/hyperlink" Target="https://www.fisheries.noaa.gov/s3/2023-06/STELLERSEALIONEumetopiasjubatusWesternU.S.Stock-.pdf" TargetMode="External"/><Relationship Id="rId1627" Type="http://schemas.openxmlformats.org/officeDocument/2006/relationships/hyperlink" Target="https://www.fisheries.noaa.gov/s3/2023-06/STELLERSEALIONEumetopiasjubatusWesternU.S.Stock-.pdf" TargetMode="External"/><Relationship Id="rId918" Type="http://schemas.openxmlformats.org/officeDocument/2006/relationships/hyperlink" Target="https://media.fisheries.noaa.gov/2022-08/2021-PACminke-CaliforniaOregonWashington%20Stock.pdf" TargetMode="External"/><Relationship Id="rId1628" Type="http://schemas.openxmlformats.org/officeDocument/2006/relationships/hyperlink" Target="https://www.fisheries.noaa.gov/s3/2023-06/STELLERSEALIONEumetopiasjubatusWesternU.S.Stock-.pdf" TargetMode="External"/><Relationship Id="rId917" Type="http://schemas.openxmlformats.org/officeDocument/2006/relationships/hyperlink" Target="https://media.fisheries.noaa.gov/2022-08/2021-PACminke-CaliforniaOregonWashington%20Stock.pdf" TargetMode="External"/><Relationship Id="rId1629" Type="http://schemas.openxmlformats.org/officeDocument/2006/relationships/hyperlink" Target="https://www.fisheries.noaa.gov/s3/2023-06/STELLERSEALIONEumetopiasjubatusWesternU.S.Stock-.pdf" TargetMode="External"/><Relationship Id="rId916" Type="http://schemas.openxmlformats.org/officeDocument/2006/relationships/hyperlink" Target="https://media.fisheries.noaa.gov/2022-08/2021-PACminke-CaliforniaOregonWashington%20Stock.pdf" TargetMode="External"/><Relationship Id="rId915" Type="http://schemas.openxmlformats.org/officeDocument/2006/relationships/hyperlink" Target="https://media.fisheries.noaa.gov/2022-08/2021-PACminke-CaliforniaOregonWashington%20Stock.pdf" TargetMode="External"/><Relationship Id="rId919" Type="http://schemas.openxmlformats.org/officeDocument/2006/relationships/hyperlink" Target="https://media.fisheries.noaa.gov/2022-08/2021-PACminke-CaliforniaOregonWashington%20Stock.pdf" TargetMode="External"/><Relationship Id="rId910" Type="http://schemas.openxmlformats.org/officeDocument/2006/relationships/hyperlink" Target="https://media.fisheries.noaa.gov/2022-08/2021-PACminke-CaliforniaOregonWashington%20Stock.pdf" TargetMode="External"/><Relationship Id="rId914" Type="http://schemas.openxmlformats.org/officeDocument/2006/relationships/hyperlink" Target="https://media.fisheries.noaa.gov/2022-08/2021-PACminke-CaliforniaOregonWashington%20Stock.pdf" TargetMode="External"/><Relationship Id="rId913" Type="http://schemas.openxmlformats.org/officeDocument/2006/relationships/hyperlink" Target="https://media.fisheries.noaa.gov/2022-08/2021-PACminke-CaliforniaOregonWashington%20Stock.pdf" TargetMode="External"/><Relationship Id="rId912" Type="http://schemas.openxmlformats.org/officeDocument/2006/relationships/hyperlink" Target="https://media.fisheries.noaa.gov/2022-08/2021-PACminke-CaliforniaOregonWashington%20Stock.pdf" TargetMode="External"/><Relationship Id="rId911" Type="http://schemas.openxmlformats.org/officeDocument/2006/relationships/hyperlink" Target="https://media.fisheries.noaa.gov/2022-08/2021-PACminke-CaliforniaOregonWashington%20Stock.pdf" TargetMode="External"/><Relationship Id="rId1213" Type="http://schemas.openxmlformats.org/officeDocument/2006/relationships/hyperlink" Target="https://www.fisheries.noaa.gov/s3/2022-08/2021-NORTHERN-FUR-SEAL-Callorhinus-ursinus-Eastern-Pacific-Stock.pdf" TargetMode="External"/><Relationship Id="rId1697" Type="http://schemas.openxmlformats.org/officeDocument/2006/relationships/hyperlink" Target="https://www.fisheries.noaa.gov/s3/2023-06/STELLERSEALIONEumetopiasjubatusWesternU.S.Stock-.pdf" TargetMode="External"/><Relationship Id="rId1214" Type="http://schemas.openxmlformats.org/officeDocument/2006/relationships/hyperlink" Target="https://www.fisheries.noaa.gov/s3/2022-08/2021-NORTHERN-FUR-SEAL-Callorhinus-ursinus-Eastern-Pacific-Stock.pdf" TargetMode="External"/><Relationship Id="rId1698" Type="http://schemas.openxmlformats.org/officeDocument/2006/relationships/hyperlink" Target="https://www.fisheries.noaa.gov/s3/2023-06/STELLERSEALIONEumetopiasjubatusWesternU.S.Stock-.pdf" TargetMode="External"/><Relationship Id="rId1215" Type="http://schemas.openxmlformats.org/officeDocument/2006/relationships/hyperlink" Target="https://www.fisheries.noaa.gov/s3/2022-08/2021-NORTHERN-FUR-SEAL-Callorhinus-ursinus-Eastern-Pacific-Stock.pdf" TargetMode="External"/><Relationship Id="rId1699" Type="http://schemas.openxmlformats.org/officeDocument/2006/relationships/hyperlink" Target="https://www.fisheries.noaa.gov/s3/2023-06/STELLERSEALIONEumetopiasjubatusWesternU.S.Stock-.pdf" TargetMode="External"/><Relationship Id="rId1216" Type="http://schemas.openxmlformats.org/officeDocument/2006/relationships/hyperlink" Target="https://www.fisheries.noaa.gov/s3/2022-08/2021-NORTHERN-FUR-SEAL-Callorhinus-ursinus-Eastern-Pacific-Stock.pdf" TargetMode="External"/><Relationship Id="rId1217" Type="http://schemas.openxmlformats.org/officeDocument/2006/relationships/hyperlink" Target="https://www.fisheries.noaa.gov/s3/2022-08/2021-NORTHERN-FUR-SEAL-Callorhinus-ursinus-Eastern-Pacific-Stock.pdf" TargetMode="External"/><Relationship Id="rId1218" Type="http://schemas.openxmlformats.org/officeDocument/2006/relationships/hyperlink" Target="https://www.fisheries.noaa.gov/s3/2022-08/2021-NORTHERN-FUR-SEAL-Callorhinus-ursinus-Eastern-Pacific-Stock.pdf" TargetMode="External"/><Relationship Id="rId1219" Type="http://schemas.openxmlformats.org/officeDocument/2006/relationships/hyperlink" Target="https://www.fisheries.noaa.gov/s3/2022-08/2021-NORTHERN-FUR-SEAL-Callorhinus-ursinus-Eastern-Pacific-Stock.pdf" TargetMode="External"/><Relationship Id="rId866" Type="http://schemas.openxmlformats.org/officeDocument/2006/relationships/hyperlink" Target="https://www.fisheries.noaa.gov/s3/2023-08/Killer-Whale-Eastern-North-Pacific-2022.pdf" TargetMode="External"/><Relationship Id="rId865" Type="http://schemas.openxmlformats.org/officeDocument/2006/relationships/hyperlink" Target="https://www.fisheries.noaa.gov/s3/2023-08/Killer-Whale-Eastern-North-Pacific-2022.pdf" TargetMode="External"/><Relationship Id="rId864" Type="http://schemas.openxmlformats.org/officeDocument/2006/relationships/hyperlink" Target="https://www.fisheries.noaa.gov/s3/2023-08/Killer-Whale-Eastern-North-Pacific-2022.pdf" TargetMode="External"/><Relationship Id="rId863" Type="http://schemas.openxmlformats.org/officeDocument/2006/relationships/hyperlink" Target="https://www.fisheries.noaa.gov/s3/2023-08/Killer-Whale-Eastern-North-Pacific-2022.pdf" TargetMode="External"/><Relationship Id="rId869" Type="http://schemas.openxmlformats.org/officeDocument/2006/relationships/hyperlink" Target="https://www.fisheries.noaa.gov/s3/2023-08/Killer-Whale-Eastern-North-Pacific-2022.pdf" TargetMode="External"/><Relationship Id="rId868" Type="http://schemas.openxmlformats.org/officeDocument/2006/relationships/hyperlink" Target="https://www.fisheries.noaa.gov/s3/2023-08/Killer-Whale-Eastern-North-Pacific-2022.pdf" TargetMode="External"/><Relationship Id="rId867" Type="http://schemas.openxmlformats.org/officeDocument/2006/relationships/hyperlink" Target="https://www.fisheries.noaa.gov/s3/2023-08/Killer-Whale-Eastern-North-Pacific-2022.pdf" TargetMode="External"/><Relationship Id="rId1690" Type="http://schemas.openxmlformats.org/officeDocument/2006/relationships/hyperlink" Target="https://www.fisheries.noaa.gov/s3/2023-06/STELLERSEALIONEumetopiasjubatusWesternU.S.Stock-.pdf" TargetMode="External"/><Relationship Id="rId1691" Type="http://schemas.openxmlformats.org/officeDocument/2006/relationships/hyperlink" Target="https://www.fisheries.noaa.gov/s3/2023-06/STELLERSEALIONEumetopiasjubatusWesternU.S.Stock-.pdf" TargetMode="External"/><Relationship Id="rId1692" Type="http://schemas.openxmlformats.org/officeDocument/2006/relationships/hyperlink" Target="https://www.fisheries.noaa.gov/s3/2023-06/STELLERSEALIONEumetopiasjubatusWesternU.S.Stock-.pdf" TargetMode="External"/><Relationship Id="rId862" Type="http://schemas.openxmlformats.org/officeDocument/2006/relationships/hyperlink" Target="https://www.fisheries.noaa.gov/s3/2023-08/Killer-Whale-Eastern-North-Pacific-2022.pdf" TargetMode="External"/><Relationship Id="rId1693" Type="http://schemas.openxmlformats.org/officeDocument/2006/relationships/hyperlink" Target="https://www.fisheries.noaa.gov/s3/2023-06/STELLERSEALIONEumetopiasjubatusWesternU.S.Stock-.pdf" TargetMode="External"/><Relationship Id="rId861" Type="http://schemas.openxmlformats.org/officeDocument/2006/relationships/hyperlink" Target="https://www.fisheries.noaa.gov/s3/2023-08/Killer-Whale-Eastern-North-Pacific-2022.pdf" TargetMode="External"/><Relationship Id="rId1210" Type="http://schemas.openxmlformats.org/officeDocument/2006/relationships/hyperlink" Target="https://www.fisheries.noaa.gov/s3/2022-08/2021-NORTHERN-FUR-SEAL-Callorhinus-ursinus-Eastern-Pacific-Stock.pdf" TargetMode="External"/><Relationship Id="rId1694" Type="http://schemas.openxmlformats.org/officeDocument/2006/relationships/hyperlink" Target="https://www.fisheries.noaa.gov/s3/2023-06/STELLERSEALIONEumetopiasjubatusWesternU.S.Stock-.pdf" TargetMode="External"/><Relationship Id="rId860" Type="http://schemas.openxmlformats.org/officeDocument/2006/relationships/hyperlink" Target="https://www.fisheries.noaa.gov/s3/2023-08/Killer-Whale-Eastern-North-Pacific-2022.pdf" TargetMode="External"/><Relationship Id="rId1211" Type="http://schemas.openxmlformats.org/officeDocument/2006/relationships/hyperlink" Target="https://www.fisheries.noaa.gov/s3/2022-08/2021-NORTHERN-FUR-SEAL-Callorhinus-ursinus-Eastern-Pacific-Stock.pdf" TargetMode="External"/><Relationship Id="rId1695" Type="http://schemas.openxmlformats.org/officeDocument/2006/relationships/hyperlink" Target="https://www.fisheries.noaa.gov/s3/2023-06/STELLERSEALIONEumetopiasjubatusWesternU.S.Stock-.pdf" TargetMode="External"/><Relationship Id="rId1212" Type="http://schemas.openxmlformats.org/officeDocument/2006/relationships/hyperlink" Target="https://www.fisheries.noaa.gov/s3/2022-08/2021-NORTHERN-FUR-SEAL-Callorhinus-ursinus-Eastern-Pacific-Stock.pdf" TargetMode="External"/><Relationship Id="rId1696" Type="http://schemas.openxmlformats.org/officeDocument/2006/relationships/hyperlink" Target="https://www.fisheries.noaa.gov/s3/2023-06/STELLERSEALIONEumetopiasjubatusWesternU.S.Stock-.pdf" TargetMode="External"/><Relationship Id="rId1202" Type="http://schemas.openxmlformats.org/officeDocument/2006/relationships/hyperlink" Target="https://www.fisheries.noaa.gov/s3/2022-08/2021-NORTHERN-FUR-SEAL-Callorhinus-ursinus-Eastern-Pacific-Stock.pdf" TargetMode="External"/><Relationship Id="rId1686" Type="http://schemas.openxmlformats.org/officeDocument/2006/relationships/hyperlink" Target="https://www.fisheries.noaa.gov/s3/2023-06/STELLERSEALIONEumetopiasjubatusWesternU.S.Stock-.pdf" TargetMode="External"/><Relationship Id="rId1203" Type="http://schemas.openxmlformats.org/officeDocument/2006/relationships/hyperlink" Target="https://www.fisheries.noaa.gov/s3/2022-08/2021-NORTHERN-FUR-SEAL-Callorhinus-ursinus-Eastern-Pacific-Stock.pdf" TargetMode="External"/><Relationship Id="rId1687" Type="http://schemas.openxmlformats.org/officeDocument/2006/relationships/hyperlink" Target="https://www.fisheries.noaa.gov/s3/2023-06/STELLERSEALIONEumetopiasjubatusWesternU.S.Stock-.pdf" TargetMode="External"/><Relationship Id="rId1204" Type="http://schemas.openxmlformats.org/officeDocument/2006/relationships/hyperlink" Target="https://www.fisheries.noaa.gov/s3/2022-08/2021-NORTHERN-FUR-SEAL-Callorhinus-ursinus-Eastern-Pacific-Stock.pdf" TargetMode="External"/><Relationship Id="rId1688" Type="http://schemas.openxmlformats.org/officeDocument/2006/relationships/hyperlink" Target="https://www.fisheries.noaa.gov/s3/2023-06/STELLERSEALIONEumetopiasjubatusWesternU.S.Stock-.pdf" TargetMode="External"/><Relationship Id="rId1205" Type="http://schemas.openxmlformats.org/officeDocument/2006/relationships/hyperlink" Target="https://www.fisheries.noaa.gov/s3/2022-08/2021-NORTHERN-FUR-SEAL-Callorhinus-ursinus-Eastern-Pacific-Stock.pdf" TargetMode="External"/><Relationship Id="rId1689" Type="http://schemas.openxmlformats.org/officeDocument/2006/relationships/hyperlink" Target="https://www.fisheries.noaa.gov/s3/2023-06/STELLERSEALIONEumetopiasjubatusWesternU.S.Stock-.pdf" TargetMode="External"/><Relationship Id="rId1206" Type="http://schemas.openxmlformats.org/officeDocument/2006/relationships/hyperlink" Target="https://www.fisheries.noaa.gov/s3/2022-08/2021-NORTHERN-FUR-SEAL-Callorhinus-ursinus-Eastern-Pacific-Stock.pdf" TargetMode="External"/><Relationship Id="rId1207" Type="http://schemas.openxmlformats.org/officeDocument/2006/relationships/hyperlink" Target="https://www.fisheries.noaa.gov/s3/2022-08/2021-NORTHERN-FUR-SEAL-Callorhinus-ursinus-Eastern-Pacific-Stock.pdf" TargetMode="External"/><Relationship Id="rId1208" Type="http://schemas.openxmlformats.org/officeDocument/2006/relationships/hyperlink" Target="https://www.fisheries.noaa.gov/s3/2022-08/2021-NORTHERN-FUR-SEAL-Callorhinus-ursinus-Eastern-Pacific-Stock.pdf" TargetMode="External"/><Relationship Id="rId1209" Type="http://schemas.openxmlformats.org/officeDocument/2006/relationships/hyperlink" Target="https://www.fisheries.noaa.gov/s3/2022-08/2021-NORTHERN-FUR-SEAL-Callorhinus-ursinus-Eastern-Pacific-Stock.pdf" TargetMode="External"/><Relationship Id="rId855" Type="http://schemas.openxmlformats.org/officeDocument/2006/relationships/hyperlink" Target="https://www.fisheries.noaa.gov/s3/2023-08/Killer-Whale-Eastern-North-Pacific-2022.pdf" TargetMode="External"/><Relationship Id="rId854" Type="http://schemas.openxmlformats.org/officeDocument/2006/relationships/hyperlink" Target="https://www.fisheries.noaa.gov/s3/2023-08/Killer-Whale-Eastern-North-Pacific-2022.pdf" TargetMode="External"/><Relationship Id="rId853" Type="http://schemas.openxmlformats.org/officeDocument/2006/relationships/hyperlink" Target="https://www.fisheries.noaa.gov/s3/2023-08/Killer-Whale-Eastern-North-Pacific-2022.pdf" TargetMode="External"/><Relationship Id="rId852" Type="http://schemas.openxmlformats.org/officeDocument/2006/relationships/hyperlink" Target="https://www.fisheries.noaa.gov/s3/2023-08/Killer-Whale-Eastern-North-Pacific-2022.pdf" TargetMode="External"/><Relationship Id="rId859" Type="http://schemas.openxmlformats.org/officeDocument/2006/relationships/hyperlink" Target="https://www.fisheries.noaa.gov/s3/2023-08/Killer-Whale-Eastern-North-Pacific-2022.pdf" TargetMode="External"/><Relationship Id="rId858" Type="http://schemas.openxmlformats.org/officeDocument/2006/relationships/hyperlink" Target="https://www.fisheries.noaa.gov/s3/2023-08/Killer-Whale-Eastern-North-Pacific-2022.pdf" TargetMode="External"/><Relationship Id="rId857" Type="http://schemas.openxmlformats.org/officeDocument/2006/relationships/hyperlink" Target="https://www.fisheries.noaa.gov/s3/2023-08/Killer-Whale-Eastern-North-Pacific-2022.pdf" TargetMode="External"/><Relationship Id="rId856" Type="http://schemas.openxmlformats.org/officeDocument/2006/relationships/hyperlink" Target="https://www.fisheries.noaa.gov/s3/2023-08/Killer-Whale-Eastern-North-Pacific-2022.pdf" TargetMode="External"/><Relationship Id="rId1680" Type="http://schemas.openxmlformats.org/officeDocument/2006/relationships/hyperlink" Target="https://www.fisheries.noaa.gov/s3/2023-06/STELLERSEALIONEumetopiasjubatusWesternU.S.Stock-.pdf" TargetMode="External"/><Relationship Id="rId1681" Type="http://schemas.openxmlformats.org/officeDocument/2006/relationships/hyperlink" Target="https://www.fisheries.noaa.gov/s3/2023-06/STELLERSEALIONEumetopiasjubatusWesternU.S.Stock-.pdf" TargetMode="External"/><Relationship Id="rId851" Type="http://schemas.openxmlformats.org/officeDocument/2006/relationships/hyperlink" Target="https://www.fisheries.noaa.gov/s3/2023-08/Killer-Whale-Eastern-North-Pacific-2022.pdf" TargetMode="External"/><Relationship Id="rId1682" Type="http://schemas.openxmlformats.org/officeDocument/2006/relationships/hyperlink" Target="https://www.fisheries.noaa.gov/s3/2023-06/STELLERSEALIONEumetopiasjubatusWesternU.S.Stock-.pdf" TargetMode="External"/><Relationship Id="rId850" Type="http://schemas.openxmlformats.org/officeDocument/2006/relationships/hyperlink" Target="https://www.fisheries.noaa.gov/s3/2023-08/Killer-Whale-Eastern-North-Pacific-2022.pdf" TargetMode="External"/><Relationship Id="rId1683" Type="http://schemas.openxmlformats.org/officeDocument/2006/relationships/hyperlink" Target="https://www.fisheries.noaa.gov/s3/2023-06/STELLERSEALIONEumetopiasjubatusWesternU.S.Stock-.pdf" TargetMode="External"/><Relationship Id="rId1200" Type="http://schemas.openxmlformats.org/officeDocument/2006/relationships/hyperlink" Target="https://www.fisheries.noaa.gov/s3/2022-08/2021-NORTHERN-FUR-SEAL-Callorhinus-ursinus-Eastern-Pacific-Stock.pdf" TargetMode="External"/><Relationship Id="rId1684" Type="http://schemas.openxmlformats.org/officeDocument/2006/relationships/hyperlink" Target="https://www.fisheries.noaa.gov/s3/2023-06/STELLERSEALIONEumetopiasjubatusWesternU.S.Stock-.pdf" TargetMode="External"/><Relationship Id="rId1201" Type="http://schemas.openxmlformats.org/officeDocument/2006/relationships/hyperlink" Target="https://www.fisheries.noaa.gov/s3/2022-08/2021-NORTHERN-FUR-SEAL-Callorhinus-ursinus-Eastern-Pacific-Stock.pdf" TargetMode="External"/><Relationship Id="rId1685" Type="http://schemas.openxmlformats.org/officeDocument/2006/relationships/hyperlink" Target="https://www.fisheries.noaa.gov/s3/2023-06/STELLERSEALIONEumetopiasjubatusWesternU.S.Stock-.pdf" TargetMode="External"/><Relationship Id="rId1235" Type="http://schemas.openxmlformats.org/officeDocument/2006/relationships/hyperlink" Target="https://media.fisheries.noaa.gov/2022-08/2021-NorthernRWdolphin-CaliforniaOregonWashington%20Stock.pdf" TargetMode="External"/><Relationship Id="rId1236" Type="http://schemas.openxmlformats.org/officeDocument/2006/relationships/hyperlink" Target="https://media.fisheries.noaa.gov/2022-08/2021-NorthernRWdolphin-CaliforniaOregonWashington%20Stock.pdf" TargetMode="External"/><Relationship Id="rId1237" Type="http://schemas.openxmlformats.org/officeDocument/2006/relationships/hyperlink" Target="https://media.fisheries.noaa.gov/2022-08/2021-NorthernRWdolphin-CaliforniaOregonWashington%20Stock.pdf" TargetMode="External"/><Relationship Id="rId1238" Type="http://schemas.openxmlformats.org/officeDocument/2006/relationships/hyperlink" Target="https://media.fisheries.noaa.gov/2022-08/2021-NorthernRWdolphin-CaliforniaOregonWashington%20Stock.pdf" TargetMode="External"/><Relationship Id="rId1239" Type="http://schemas.openxmlformats.org/officeDocument/2006/relationships/hyperlink" Target="https://media.fisheries.noaa.gov/2022-08/2021-NorthernRWdolphin-CaliforniaOregonWashington%20Stock.pdf" TargetMode="External"/><Relationship Id="rId409" Type="http://schemas.openxmlformats.org/officeDocument/2006/relationships/hyperlink" Target="https://media.fisheries.noaa.gov/dam-migration/2019_sars_alaska_harbor_seal.pdf" TargetMode="External"/><Relationship Id="rId404" Type="http://schemas.openxmlformats.org/officeDocument/2006/relationships/hyperlink" Target="https://media.fisheries.noaa.gov/dam-migration/2019_sars_alaska_harbor_seal.pdf" TargetMode="External"/><Relationship Id="rId888" Type="http://schemas.openxmlformats.org/officeDocument/2006/relationships/hyperlink" Target="https://media.fisheries.noaa.gov/2022-08/2021-LONG-BEAKED%20COMMON%20DOLPHIN-California%20Stock.pdf" TargetMode="External"/><Relationship Id="rId403" Type="http://schemas.openxmlformats.org/officeDocument/2006/relationships/hyperlink" Target="https://media.fisheries.noaa.gov/dam-migration/2019_sars_alaska_harbor_seal.pdf" TargetMode="External"/><Relationship Id="rId887" Type="http://schemas.openxmlformats.org/officeDocument/2006/relationships/hyperlink" Target="https://media.fisheries.noaa.gov/2022-08/2021-LONG-BEAKED%20COMMON%20DOLPHIN-California%20Stock.pdf" TargetMode="External"/><Relationship Id="rId402" Type="http://schemas.openxmlformats.org/officeDocument/2006/relationships/hyperlink" Target="https://media.fisheries.noaa.gov/dam-migration/2019_sars_alaska_harbor_seal.pdf" TargetMode="External"/><Relationship Id="rId886" Type="http://schemas.openxmlformats.org/officeDocument/2006/relationships/hyperlink" Target="https://media.fisheries.noaa.gov/2022-08/2021-LONG-BEAKED%20COMMON%20DOLPHIN-California%20Stock.pdf" TargetMode="External"/><Relationship Id="rId401" Type="http://schemas.openxmlformats.org/officeDocument/2006/relationships/hyperlink" Target="https://media.fisheries.noaa.gov/dam-migration/2019_sars_alaska_harbor_seal.pdf" TargetMode="External"/><Relationship Id="rId885" Type="http://schemas.openxmlformats.org/officeDocument/2006/relationships/hyperlink" Target="https://media.fisheries.noaa.gov/2022-08/2021-LONG-BEAKED%20COMMON%20DOLPHIN-California%20Stock.pdf" TargetMode="External"/><Relationship Id="rId408" Type="http://schemas.openxmlformats.org/officeDocument/2006/relationships/hyperlink" Target="https://media.fisheries.noaa.gov/dam-migration/2019_sars_alaska_harbor_seal.pdf" TargetMode="External"/><Relationship Id="rId407" Type="http://schemas.openxmlformats.org/officeDocument/2006/relationships/hyperlink" Target="https://media.fisheries.noaa.gov/dam-migration/2019_sars_alaska_harbor_seal.pdf" TargetMode="External"/><Relationship Id="rId406" Type="http://schemas.openxmlformats.org/officeDocument/2006/relationships/hyperlink" Target="https://media.fisheries.noaa.gov/dam-migration/2019_sars_alaska_harbor_seal.pdf" TargetMode="External"/><Relationship Id="rId405" Type="http://schemas.openxmlformats.org/officeDocument/2006/relationships/hyperlink" Target="https://media.fisheries.noaa.gov/dam-migration/2019_sars_alaska_harbor_seal.pdf" TargetMode="External"/><Relationship Id="rId889" Type="http://schemas.openxmlformats.org/officeDocument/2006/relationships/hyperlink" Target="https://media.fisheries.noaa.gov/2022-08/2021-LONG-BEAKED%20COMMON%20DOLPHIN-California%20Stock.pdf" TargetMode="External"/><Relationship Id="rId880" Type="http://schemas.openxmlformats.org/officeDocument/2006/relationships/hyperlink" Target="https://www.fisheries.noaa.gov/s3/2023-08/Killer-Whale-Eastern-North-Pacific-2022.pdf" TargetMode="External"/><Relationship Id="rId1230" Type="http://schemas.openxmlformats.org/officeDocument/2006/relationships/hyperlink" Target="https://www.fisheries.noaa.gov/s3/2022-08/2021-NORTHERN-FUR-SEAL-Callorhinus-ursinus-Eastern-Pacific-Stock.pdf" TargetMode="External"/><Relationship Id="rId400" Type="http://schemas.openxmlformats.org/officeDocument/2006/relationships/hyperlink" Target="https://media.fisheries.noaa.gov/dam-migration/2019_sars_alaska_harbor_seal.pdf" TargetMode="External"/><Relationship Id="rId884" Type="http://schemas.openxmlformats.org/officeDocument/2006/relationships/hyperlink" Target="https://media.fisheries.noaa.gov/2022-08/2021-LONG-BEAKED%20COMMON%20DOLPHIN-California%20Stock.pdf" TargetMode="External"/><Relationship Id="rId1231" Type="http://schemas.openxmlformats.org/officeDocument/2006/relationships/hyperlink" Target="https://www.fisheries.noaa.gov/s3/2022-08/2021-NORTHERN-FUR-SEAL-Callorhinus-ursinus-Eastern-Pacific-Stock.pdf" TargetMode="External"/><Relationship Id="rId883" Type="http://schemas.openxmlformats.org/officeDocument/2006/relationships/hyperlink" Target="https://media.fisheries.noaa.gov/2022-08/2021-LONG-BEAKED%20COMMON%20DOLPHIN-California%20Stock.pdf" TargetMode="External"/><Relationship Id="rId1232" Type="http://schemas.openxmlformats.org/officeDocument/2006/relationships/hyperlink" Target="https://www.fisheries.noaa.gov/s3/2022-08/2021-NORTHERN-FUR-SEAL-Callorhinus-ursinus-Eastern-Pacific-Stock.pdf" TargetMode="External"/><Relationship Id="rId882" Type="http://schemas.openxmlformats.org/officeDocument/2006/relationships/hyperlink" Target="https://media.fisheries.noaa.gov/2022-08/2021-LONG-BEAKED%20COMMON%20DOLPHIN-California%20Stock.pdf" TargetMode="External"/><Relationship Id="rId1233" Type="http://schemas.openxmlformats.org/officeDocument/2006/relationships/hyperlink" Target="https://media.fisheries.noaa.gov/2022-08/2021-NorthernRWdolphin-CaliforniaOregonWashington%20Stock.pdf" TargetMode="External"/><Relationship Id="rId881" Type="http://schemas.openxmlformats.org/officeDocument/2006/relationships/hyperlink" Target="https://www.fisheries.noaa.gov/s3/2023-08/Killer-Whale-Eastern-North-Pacific-2022.pdf" TargetMode="External"/><Relationship Id="rId1234" Type="http://schemas.openxmlformats.org/officeDocument/2006/relationships/hyperlink" Target="https://media.fisheries.noaa.gov/2022-08/2021-NorthernRWdolphin-CaliforniaOregonWashington%20Stock.pdf" TargetMode="External"/><Relationship Id="rId1224" Type="http://schemas.openxmlformats.org/officeDocument/2006/relationships/hyperlink" Target="https://www.fisheries.noaa.gov/s3/2022-08/2021-NORTHERN-FUR-SEAL-Callorhinus-ursinus-Eastern-Pacific-Stock.pdf" TargetMode="External"/><Relationship Id="rId1225" Type="http://schemas.openxmlformats.org/officeDocument/2006/relationships/hyperlink" Target="https://www.fisheries.noaa.gov/s3/2022-08/2021-NORTHERN-FUR-SEAL-Callorhinus-ursinus-Eastern-Pacific-Stock.pdf" TargetMode="External"/><Relationship Id="rId1226" Type="http://schemas.openxmlformats.org/officeDocument/2006/relationships/hyperlink" Target="https://www.fisheries.noaa.gov/s3/2022-08/2021-NORTHERN-FUR-SEAL-Callorhinus-ursinus-Eastern-Pacific-Stock.pdf" TargetMode="External"/><Relationship Id="rId1227" Type="http://schemas.openxmlformats.org/officeDocument/2006/relationships/hyperlink" Target="https://www.fisheries.noaa.gov/s3/2022-08/2021-NORTHERN-FUR-SEAL-Callorhinus-ursinus-Eastern-Pacific-Stock.pdf" TargetMode="External"/><Relationship Id="rId1228" Type="http://schemas.openxmlformats.org/officeDocument/2006/relationships/hyperlink" Target="https://www.fisheries.noaa.gov/s3/2022-08/2021-NORTHERN-FUR-SEAL-Callorhinus-ursinus-Eastern-Pacific-Stock.pdf" TargetMode="External"/><Relationship Id="rId1229" Type="http://schemas.openxmlformats.org/officeDocument/2006/relationships/hyperlink" Target="https://www.fisheries.noaa.gov/s3/2022-08/2021-NORTHERN-FUR-SEAL-Callorhinus-ursinus-Eastern-Pacific-Stock.pdf" TargetMode="External"/><Relationship Id="rId877" Type="http://schemas.openxmlformats.org/officeDocument/2006/relationships/hyperlink" Target="https://www.fisheries.noaa.gov/s3/2023-08/Killer-Whale-Eastern-North-Pacific-2022.pdf" TargetMode="External"/><Relationship Id="rId876" Type="http://schemas.openxmlformats.org/officeDocument/2006/relationships/hyperlink" Target="https://www.fisheries.noaa.gov/s3/2023-08/Killer-Whale-Eastern-North-Pacific-2022.pdf" TargetMode="External"/><Relationship Id="rId875" Type="http://schemas.openxmlformats.org/officeDocument/2006/relationships/hyperlink" Target="https://www.fisheries.noaa.gov/s3/2023-08/Killer-Whale-Eastern-North-Pacific-2022.pdf" TargetMode="External"/><Relationship Id="rId874" Type="http://schemas.openxmlformats.org/officeDocument/2006/relationships/hyperlink" Target="https://www.fisheries.noaa.gov/s3/2023-08/Killer-Whale-Eastern-North-Pacific-2022.pdf" TargetMode="External"/><Relationship Id="rId879" Type="http://schemas.openxmlformats.org/officeDocument/2006/relationships/hyperlink" Target="https://www.fisheries.noaa.gov/s3/2023-08/Killer-Whale-Eastern-North-Pacific-2022.pdf" TargetMode="External"/><Relationship Id="rId878" Type="http://schemas.openxmlformats.org/officeDocument/2006/relationships/hyperlink" Target="https://www.fisheries.noaa.gov/s3/2023-08/Killer-Whale-Eastern-North-Pacific-2022.pdf" TargetMode="External"/><Relationship Id="rId873" Type="http://schemas.openxmlformats.org/officeDocument/2006/relationships/hyperlink" Target="https://www.fisheries.noaa.gov/s3/2023-08/Killer-Whale-Eastern-North-Pacific-2022.pdf" TargetMode="External"/><Relationship Id="rId1220" Type="http://schemas.openxmlformats.org/officeDocument/2006/relationships/hyperlink" Target="https://www.fisheries.noaa.gov/s3/2022-08/2021-NORTHERN-FUR-SEAL-Callorhinus-ursinus-Eastern-Pacific-Stock.pdf" TargetMode="External"/><Relationship Id="rId872" Type="http://schemas.openxmlformats.org/officeDocument/2006/relationships/hyperlink" Target="https://www.fisheries.noaa.gov/s3/2023-08/Killer-Whale-Eastern-North-Pacific-2022.pdf" TargetMode="External"/><Relationship Id="rId1221" Type="http://schemas.openxmlformats.org/officeDocument/2006/relationships/hyperlink" Target="https://www.fisheries.noaa.gov/s3/2022-08/2021-NORTHERN-FUR-SEAL-Callorhinus-ursinus-Eastern-Pacific-Stock.pdf" TargetMode="External"/><Relationship Id="rId871" Type="http://schemas.openxmlformats.org/officeDocument/2006/relationships/hyperlink" Target="https://www.fisheries.noaa.gov/s3/2023-08/Killer-Whale-Eastern-North-Pacific-2022.pdf" TargetMode="External"/><Relationship Id="rId1222" Type="http://schemas.openxmlformats.org/officeDocument/2006/relationships/hyperlink" Target="https://www.fisheries.noaa.gov/s3/2022-08/2021-NORTHERN-FUR-SEAL-Callorhinus-ursinus-Eastern-Pacific-Stock.pdf" TargetMode="External"/><Relationship Id="rId870" Type="http://schemas.openxmlformats.org/officeDocument/2006/relationships/hyperlink" Target="https://www.fisheries.noaa.gov/s3/2023-08/Killer-Whale-Eastern-North-Pacific-2022.pdf" TargetMode="External"/><Relationship Id="rId1223" Type="http://schemas.openxmlformats.org/officeDocument/2006/relationships/hyperlink" Target="https://www.fisheries.noaa.gov/s3/2022-08/2021-NORTHERN-FUR-SEAL-Callorhinus-ursinus-Eastern-Pacific-Stock.pdf" TargetMode="External"/><Relationship Id="rId1653" Type="http://schemas.openxmlformats.org/officeDocument/2006/relationships/hyperlink" Target="https://www.fisheries.noaa.gov/s3/2023-06/STELLERSEALIONEumetopiasjubatusWesternU.S.Stock-.pdf" TargetMode="External"/><Relationship Id="rId1654" Type="http://schemas.openxmlformats.org/officeDocument/2006/relationships/hyperlink" Target="https://www.fisheries.noaa.gov/s3/2023-06/STELLERSEALIONEumetopiasjubatusWesternU.S.Stock-.pdf" TargetMode="External"/><Relationship Id="rId1655" Type="http://schemas.openxmlformats.org/officeDocument/2006/relationships/hyperlink" Target="https://www.fisheries.noaa.gov/s3/2023-06/STELLERSEALIONEumetopiasjubatusWesternU.S.Stock-.pdf" TargetMode="External"/><Relationship Id="rId1656" Type="http://schemas.openxmlformats.org/officeDocument/2006/relationships/hyperlink" Target="https://www.fisheries.noaa.gov/s3/2023-06/STELLERSEALIONEumetopiasjubatusWesternU.S.Stock-.pdf" TargetMode="External"/><Relationship Id="rId1657" Type="http://schemas.openxmlformats.org/officeDocument/2006/relationships/hyperlink" Target="https://www.fisheries.noaa.gov/s3/2023-06/STELLERSEALIONEumetopiasjubatusWesternU.S.Stock-.pdf" TargetMode="External"/><Relationship Id="rId1658" Type="http://schemas.openxmlformats.org/officeDocument/2006/relationships/hyperlink" Target="https://www.fisheries.noaa.gov/s3/2023-06/STELLERSEALIONEumetopiasjubatusWesternU.S.Stock-.pdf" TargetMode="External"/><Relationship Id="rId1659" Type="http://schemas.openxmlformats.org/officeDocument/2006/relationships/hyperlink" Target="https://www.fisheries.noaa.gov/s3/2023-06/STELLERSEALIONEumetopiasjubatusWesternU.S.Stock-.pdf" TargetMode="External"/><Relationship Id="rId829" Type="http://schemas.openxmlformats.org/officeDocument/2006/relationships/hyperlink" Target="https://s3.amazonaws.com/media.fisheries.noaa.gov/2020-10/2019%20humpback%20whale%20gulf%20of%20Maine%20508.pdf?null" TargetMode="External"/><Relationship Id="rId828" Type="http://schemas.openxmlformats.org/officeDocument/2006/relationships/hyperlink" Target="https://s3.amazonaws.com/media.fisheries.noaa.gov/2020-10/2019%20humpback%20whale%20gulf%20of%20Maine%20508.pdf?null" TargetMode="External"/><Relationship Id="rId827" Type="http://schemas.openxmlformats.org/officeDocument/2006/relationships/hyperlink" Target="https://s3.amazonaws.com/media.fisheries.noaa.gov/2020-10/2019%20humpback%20whale%20gulf%20of%20Maine%20508.pdf?null" TargetMode="External"/><Relationship Id="rId822" Type="http://schemas.openxmlformats.org/officeDocument/2006/relationships/hyperlink" Target="https://s3.amazonaws.com/media.fisheries.noaa.gov/2020-10/2019%20humpback%20whale%20gulf%20of%20Maine%20508.pdf?null" TargetMode="External"/><Relationship Id="rId821" Type="http://schemas.openxmlformats.org/officeDocument/2006/relationships/hyperlink" Target="https://s3.amazonaws.com/media.fisheries.noaa.gov/2020-10/2019%20humpback%20whale%20gulf%20of%20Maine%20508.pdf?null" TargetMode="External"/><Relationship Id="rId820" Type="http://schemas.openxmlformats.org/officeDocument/2006/relationships/hyperlink" Target="https://s3.amazonaws.com/media.fisheries.noaa.gov/2020-10/2019%20humpback%20whale%20gulf%20of%20Maine%20508.pdf?null" TargetMode="External"/><Relationship Id="rId826" Type="http://schemas.openxmlformats.org/officeDocument/2006/relationships/hyperlink" Target="https://s3.amazonaws.com/media.fisheries.noaa.gov/2020-10/2019%20humpback%20whale%20gulf%20of%20Maine%20508.pdf?null" TargetMode="External"/><Relationship Id="rId825" Type="http://schemas.openxmlformats.org/officeDocument/2006/relationships/hyperlink" Target="https://s3.amazonaws.com/media.fisheries.noaa.gov/2020-10/2019%20humpback%20whale%20gulf%20of%20Maine%20508.pdf?null" TargetMode="External"/><Relationship Id="rId824" Type="http://schemas.openxmlformats.org/officeDocument/2006/relationships/hyperlink" Target="https://s3.amazonaws.com/media.fisheries.noaa.gov/2020-10/2019%20humpback%20whale%20gulf%20of%20Maine%20508.pdf?null" TargetMode="External"/><Relationship Id="rId823" Type="http://schemas.openxmlformats.org/officeDocument/2006/relationships/hyperlink" Target="https://s3.amazonaws.com/media.fisheries.noaa.gov/2020-10/2019%20humpback%20whale%20gulf%20of%20Maine%20508.pdf?null" TargetMode="External"/><Relationship Id="rId1650" Type="http://schemas.openxmlformats.org/officeDocument/2006/relationships/hyperlink" Target="https://www.fisheries.noaa.gov/s3/2023-06/STELLERSEALIONEumetopiasjubatusWesternU.S.Stock-.pdf" TargetMode="External"/><Relationship Id="rId1651" Type="http://schemas.openxmlformats.org/officeDocument/2006/relationships/hyperlink" Target="https://www.fisheries.noaa.gov/s3/2023-06/STELLERSEALIONEumetopiasjubatusWesternU.S.Stock-.pdf" TargetMode="External"/><Relationship Id="rId1652" Type="http://schemas.openxmlformats.org/officeDocument/2006/relationships/hyperlink" Target="https://www.fisheries.noaa.gov/s3/2023-06/STELLERSEALIONEumetopiasjubatusWesternU.S.Stock-.pdf" TargetMode="External"/><Relationship Id="rId1642" Type="http://schemas.openxmlformats.org/officeDocument/2006/relationships/hyperlink" Target="https://www.fisheries.noaa.gov/s3/2023-06/STELLERSEALIONEumetopiasjubatusWesternU.S.Stock-.pdf" TargetMode="External"/><Relationship Id="rId1643" Type="http://schemas.openxmlformats.org/officeDocument/2006/relationships/hyperlink" Target="https://www.fisheries.noaa.gov/s3/2023-06/STELLERSEALIONEumetopiasjubatusWesternU.S.Stock-.pdf" TargetMode="External"/><Relationship Id="rId1644" Type="http://schemas.openxmlformats.org/officeDocument/2006/relationships/hyperlink" Target="https://www.fisheries.noaa.gov/s3/2023-06/STELLERSEALIONEumetopiasjubatusWesternU.S.Stock-.pdf" TargetMode="External"/><Relationship Id="rId1645" Type="http://schemas.openxmlformats.org/officeDocument/2006/relationships/hyperlink" Target="https://www.fisheries.noaa.gov/s3/2023-06/STELLERSEALIONEumetopiasjubatusWesternU.S.Stock-.pdf" TargetMode="External"/><Relationship Id="rId1646" Type="http://schemas.openxmlformats.org/officeDocument/2006/relationships/hyperlink" Target="https://www.fisheries.noaa.gov/s3/2023-06/STELLERSEALIONEumetopiasjubatusWesternU.S.Stock-.pdf" TargetMode="External"/><Relationship Id="rId1647" Type="http://schemas.openxmlformats.org/officeDocument/2006/relationships/hyperlink" Target="https://www.fisheries.noaa.gov/s3/2023-06/STELLERSEALIONEumetopiasjubatusWesternU.S.Stock-.pdf" TargetMode="External"/><Relationship Id="rId1648" Type="http://schemas.openxmlformats.org/officeDocument/2006/relationships/hyperlink" Target="https://www.fisheries.noaa.gov/s3/2023-06/STELLERSEALIONEumetopiasjubatusWesternU.S.Stock-.pdf" TargetMode="External"/><Relationship Id="rId1649" Type="http://schemas.openxmlformats.org/officeDocument/2006/relationships/hyperlink" Target="https://www.fisheries.noaa.gov/s3/2023-06/STELLERSEALIONEumetopiasjubatusWesternU.S.Stock-.pdf" TargetMode="External"/><Relationship Id="rId819" Type="http://schemas.openxmlformats.org/officeDocument/2006/relationships/hyperlink" Target="https://s3.amazonaws.com/media.fisheries.noaa.gov/2020-10/2019%20humpback%20whale%20gulf%20of%20Maine%20508.pdf?null" TargetMode="External"/><Relationship Id="rId818" Type="http://schemas.openxmlformats.org/officeDocument/2006/relationships/hyperlink" Target="https://s3.amazonaws.com/media.fisheries.noaa.gov/2020-10/2019%20humpback%20whale%20gulf%20of%20Maine%20508.pdf?null" TargetMode="External"/><Relationship Id="rId817" Type="http://schemas.openxmlformats.org/officeDocument/2006/relationships/hyperlink" Target="https://s3.amazonaws.com/media.fisheries.noaa.gov/2020-10/2019%20humpback%20whale%20gulf%20of%20Maine%20508.pdf?null" TargetMode="External"/><Relationship Id="rId816" Type="http://schemas.openxmlformats.org/officeDocument/2006/relationships/hyperlink" Target="https://s3.amazonaws.com/media.fisheries.noaa.gov/2020-10/2019%20humpback%20whale%20gulf%20of%20Maine%20508.pdf?null" TargetMode="External"/><Relationship Id="rId811" Type="http://schemas.openxmlformats.org/officeDocument/2006/relationships/hyperlink" Target="https://s3.amazonaws.com/media.fisheries.noaa.gov/2020-10/2019%20humpback%20whale%20gulf%20of%20Maine%20508.pdf?null" TargetMode="External"/><Relationship Id="rId810" Type="http://schemas.openxmlformats.org/officeDocument/2006/relationships/hyperlink" Target="https://s3.amazonaws.com/media.fisheries.noaa.gov/2020-10/2019%20humpback%20whale%20gulf%20of%20Maine%20508.pdf?null" TargetMode="External"/><Relationship Id="rId815" Type="http://schemas.openxmlformats.org/officeDocument/2006/relationships/hyperlink" Target="https://s3.amazonaws.com/media.fisheries.noaa.gov/2020-10/2019%20humpback%20whale%20gulf%20of%20Maine%20508.pdf?null" TargetMode="External"/><Relationship Id="rId814" Type="http://schemas.openxmlformats.org/officeDocument/2006/relationships/hyperlink" Target="https://s3.amazonaws.com/media.fisheries.noaa.gov/2020-10/2019%20humpback%20whale%20gulf%20of%20Maine%20508.pdf?null" TargetMode="External"/><Relationship Id="rId813" Type="http://schemas.openxmlformats.org/officeDocument/2006/relationships/hyperlink" Target="https://s3.amazonaws.com/media.fisheries.noaa.gov/2020-10/2019%20humpback%20whale%20gulf%20of%20Maine%20508.pdf?null" TargetMode="External"/><Relationship Id="rId812" Type="http://schemas.openxmlformats.org/officeDocument/2006/relationships/hyperlink" Target="https://s3.amazonaws.com/media.fisheries.noaa.gov/2020-10/2019%20humpback%20whale%20gulf%20of%20Maine%20508.pdf?null" TargetMode="External"/><Relationship Id="rId1640" Type="http://schemas.openxmlformats.org/officeDocument/2006/relationships/hyperlink" Target="https://www.fisheries.noaa.gov/s3/2023-06/STELLERSEALIONEumetopiasjubatusWesternU.S.Stock-.pdf" TargetMode="External"/><Relationship Id="rId1641" Type="http://schemas.openxmlformats.org/officeDocument/2006/relationships/hyperlink" Target="https://www.fisheries.noaa.gov/s3/2023-06/STELLERSEALIONEumetopiasjubatusWesternU.S.Stock-.pdf" TargetMode="External"/><Relationship Id="rId1675" Type="http://schemas.openxmlformats.org/officeDocument/2006/relationships/hyperlink" Target="https://www.fisheries.noaa.gov/s3/2023-06/STELLERSEALIONEumetopiasjubatusWesternU.S.Stock-.pdf" TargetMode="External"/><Relationship Id="rId1676" Type="http://schemas.openxmlformats.org/officeDocument/2006/relationships/hyperlink" Target="https://www.fisheries.noaa.gov/s3/2023-06/STELLERSEALIONEumetopiasjubatusWesternU.S.Stock-.pdf" TargetMode="External"/><Relationship Id="rId1677" Type="http://schemas.openxmlformats.org/officeDocument/2006/relationships/hyperlink" Target="https://www.fisheries.noaa.gov/s3/2023-06/STELLERSEALIONEumetopiasjubatusWesternU.S.Stock-.pdf" TargetMode="External"/><Relationship Id="rId1678" Type="http://schemas.openxmlformats.org/officeDocument/2006/relationships/hyperlink" Target="https://www.fisheries.noaa.gov/s3/2023-06/STELLERSEALIONEumetopiasjubatusWesternU.S.Stock-.pdf" TargetMode="External"/><Relationship Id="rId1679" Type="http://schemas.openxmlformats.org/officeDocument/2006/relationships/hyperlink" Target="https://www.fisheries.noaa.gov/s3/2023-06/STELLERSEALIONEumetopiasjubatusWesternU.S.Stock-.pdf" TargetMode="External"/><Relationship Id="rId849" Type="http://schemas.openxmlformats.org/officeDocument/2006/relationships/hyperlink" Target="https://www.fisheries.noaa.gov/s3/2023-08/Killer-Whale-Eastern-North-Pacific-2022.pdf" TargetMode="External"/><Relationship Id="rId844" Type="http://schemas.openxmlformats.org/officeDocument/2006/relationships/hyperlink" Target="https://www.fisheries.noaa.gov/s3/2023-08/Killer-Whale-Eastern-North-Pacific-2022.pdf" TargetMode="External"/><Relationship Id="rId843" Type="http://schemas.openxmlformats.org/officeDocument/2006/relationships/hyperlink" Target="https://www.fisheries.noaa.gov/s3/2023-08/Killer-Whale-Eastern-North-Pacific-2022.pdf" TargetMode="External"/><Relationship Id="rId842" Type="http://schemas.openxmlformats.org/officeDocument/2006/relationships/hyperlink" Target="https://www.fisheries.noaa.gov/s3/2023-08/Killer-Whale-Eastern-North-Pacific-2022.pdf" TargetMode="External"/><Relationship Id="rId841" Type="http://schemas.openxmlformats.org/officeDocument/2006/relationships/hyperlink" Target="https://www.fisheries.noaa.gov/s3/2023-08/Killer-Whale-Eastern-North-Pacific-2022.pdf" TargetMode="External"/><Relationship Id="rId848" Type="http://schemas.openxmlformats.org/officeDocument/2006/relationships/hyperlink" Target="https://www.fisheries.noaa.gov/s3/2023-08/Killer-Whale-Eastern-North-Pacific-2022.pdf" TargetMode="External"/><Relationship Id="rId847" Type="http://schemas.openxmlformats.org/officeDocument/2006/relationships/hyperlink" Target="https://www.fisheries.noaa.gov/s3/2023-08/Killer-Whale-Eastern-North-Pacific-2022.pdf" TargetMode="External"/><Relationship Id="rId846" Type="http://schemas.openxmlformats.org/officeDocument/2006/relationships/hyperlink" Target="https://www.fisheries.noaa.gov/s3/2023-08/Killer-Whale-Eastern-North-Pacific-2022.pdf" TargetMode="External"/><Relationship Id="rId845" Type="http://schemas.openxmlformats.org/officeDocument/2006/relationships/hyperlink" Target="https://www.fisheries.noaa.gov/s3/2023-08/Killer-Whale-Eastern-North-Pacific-2022.pdf" TargetMode="External"/><Relationship Id="rId1670" Type="http://schemas.openxmlformats.org/officeDocument/2006/relationships/hyperlink" Target="https://www.fisheries.noaa.gov/s3/2023-06/STELLERSEALIONEumetopiasjubatusWesternU.S.Stock-.pdf" TargetMode="External"/><Relationship Id="rId840" Type="http://schemas.openxmlformats.org/officeDocument/2006/relationships/hyperlink" Target="https://www.fisheries.noaa.gov/s3/2023-08/Killer-Whale-Eastern-North-Pacific-2022.pdf" TargetMode="External"/><Relationship Id="rId1671" Type="http://schemas.openxmlformats.org/officeDocument/2006/relationships/hyperlink" Target="https://www.fisheries.noaa.gov/s3/2023-06/STELLERSEALIONEumetopiasjubatusWesternU.S.Stock-.pdf" TargetMode="External"/><Relationship Id="rId1672" Type="http://schemas.openxmlformats.org/officeDocument/2006/relationships/hyperlink" Target="https://www.fisheries.noaa.gov/s3/2023-06/STELLERSEALIONEumetopiasjubatusWesternU.S.Stock-.pdf" TargetMode="External"/><Relationship Id="rId1673" Type="http://schemas.openxmlformats.org/officeDocument/2006/relationships/hyperlink" Target="https://www.fisheries.noaa.gov/s3/2023-06/STELLERSEALIONEumetopiasjubatusWesternU.S.Stock-.pdf" TargetMode="External"/><Relationship Id="rId1674" Type="http://schemas.openxmlformats.org/officeDocument/2006/relationships/hyperlink" Target="https://www.fisheries.noaa.gov/s3/2023-06/STELLERSEALIONEumetopiasjubatusWesternU.S.Stock-.pdf" TargetMode="External"/><Relationship Id="rId1664" Type="http://schemas.openxmlformats.org/officeDocument/2006/relationships/hyperlink" Target="https://www.fisheries.noaa.gov/s3/2023-06/STELLERSEALIONEumetopiasjubatusWesternU.S.Stock-.pdf" TargetMode="External"/><Relationship Id="rId1665" Type="http://schemas.openxmlformats.org/officeDocument/2006/relationships/hyperlink" Target="https://www.fisheries.noaa.gov/s3/2023-06/STELLERSEALIONEumetopiasjubatusWesternU.S.Stock-.pdf" TargetMode="External"/><Relationship Id="rId1666" Type="http://schemas.openxmlformats.org/officeDocument/2006/relationships/hyperlink" Target="https://www.fisheries.noaa.gov/s3/2023-06/STELLERSEALIONEumetopiasjubatusWesternU.S.Stock-.pdf" TargetMode="External"/><Relationship Id="rId1667" Type="http://schemas.openxmlformats.org/officeDocument/2006/relationships/hyperlink" Target="https://www.fisheries.noaa.gov/s3/2023-06/STELLERSEALIONEumetopiasjubatusWesternU.S.Stock-.pdf" TargetMode="External"/><Relationship Id="rId1668" Type="http://schemas.openxmlformats.org/officeDocument/2006/relationships/hyperlink" Target="https://www.fisheries.noaa.gov/s3/2023-06/STELLERSEALIONEumetopiasjubatusWesternU.S.Stock-.pdf" TargetMode="External"/><Relationship Id="rId1669" Type="http://schemas.openxmlformats.org/officeDocument/2006/relationships/hyperlink" Target="https://www.fisheries.noaa.gov/s3/2023-06/STELLERSEALIONEumetopiasjubatusWesternU.S.Stock-.pdf" TargetMode="External"/><Relationship Id="rId839" Type="http://schemas.openxmlformats.org/officeDocument/2006/relationships/hyperlink" Target="https://www.fisheries.noaa.gov/s3/2023-08/Killer-Whale-Eastern-North-Pacific-2022.pdf" TargetMode="External"/><Relationship Id="rId838" Type="http://schemas.openxmlformats.org/officeDocument/2006/relationships/hyperlink" Target="https://www.fisheries.noaa.gov/s3/2023-08/Killer-Whale-Eastern-North-Pacific-2022.pdf" TargetMode="External"/><Relationship Id="rId833" Type="http://schemas.openxmlformats.org/officeDocument/2006/relationships/hyperlink" Target="https://s3.amazonaws.com/media.fisheries.noaa.gov/2020-10/2019%20humpback%20whale%20gulf%20of%20Maine%20508.pdf?null" TargetMode="External"/><Relationship Id="rId832" Type="http://schemas.openxmlformats.org/officeDocument/2006/relationships/hyperlink" Target="https://s3.amazonaws.com/media.fisheries.noaa.gov/2020-10/2019%20humpback%20whale%20gulf%20of%20Maine%20508.pdf?null" TargetMode="External"/><Relationship Id="rId831" Type="http://schemas.openxmlformats.org/officeDocument/2006/relationships/hyperlink" Target="https://s3.amazonaws.com/media.fisheries.noaa.gov/2020-10/2019%20humpback%20whale%20gulf%20of%20Maine%20508.pdf?null" TargetMode="External"/><Relationship Id="rId830" Type="http://schemas.openxmlformats.org/officeDocument/2006/relationships/hyperlink" Target="https://s3.amazonaws.com/media.fisheries.noaa.gov/2020-10/2019%20humpback%20whale%20gulf%20of%20Maine%20508.pdf?null" TargetMode="External"/><Relationship Id="rId837" Type="http://schemas.openxmlformats.org/officeDocument/2006/relationships/hyperlink" Target="https://www.fisheries.noaa.gov/s3/2023-08/Killer-Whale-Eastern-North-Pacific-2022.pdf" TargetMode="External"/><Relationship Id="rId836" Type="http://schemas.openxmlformats.org/officeDocument/2006/relationships/hyperlink" Target="https://www.fisheries.noaa.gov/s3/2023-08/Killer-Whale-Eastern-North-Pacific-2022.pdf" TargetMode="External"/><Relationship Id="rId835" Type="http://schemas.openxmlformats.org/officeDocument/2006/relationships/hyperlink" Target="https://www.fisheries.noaa.gov/s3/2023-08/Killer-Whale-Eastern-North-Pacific-2022.pdf" TargetMode="External"/><Relationship Id="rId834" Type="http://schemas.openxmlformats.org/officeDocument/2006/relationships/hyperlink" Target="https://www.fisheries.noaa.gov/s3/2023-08/Killer-Whale-Eastern-North-Pacific-2022.pdf" TargetMode="External"/><Relationship Id="rId1660" Type="http://schemas.openxmlformats.org/officeDocument/2006/relationships/hyperlink" Target="https://www.fisheries.noaa.gov/s3/2023-06/STELLERSEALIONEumetopiasjubatusWesternU.S.Stock-.pdf" TargetMode="External"/><Relationship Id="rId1661" Type="http://schemas.openxmlformats.org/officeDocument/2006/relationships/hyperlink" Target="https://www.fisheries.noaa.gov/s3/2023-06/STELLERSEALIONEumetopiasjubatusWesternU.S.Stock-.pdf" TargetMode="External"/><Relationship Id="rId1662" Type="http://schemas.openxmlformats.org/officeDocument/2006/relationships/hyperlink" Target="https://www.fisheries.noaa.gov/s3/2023-06/STELLERSEALIONEumetopiasjubatusWesternU.S.Stock-.pdf" TargetMode="External"/><Relationship Id="rId1663" Type="http://schemas.openxmlformats.org/officeDocument/2006/relationships/hyperlink" Target="https://www.fisheries.noaa.gov/s3/2023-06/STELLERSEALIONEumetopiasjubatusWesternU.S.Stock-.pdf" TargetMode="External"/><Relationship Id="rId469" Type="http://schemas.openxmlformats.org/officeDocument/2006/relationships/hyperlink" Target="https://media.fisheries.noaa.gov/dam-migration/2019_sars_alaska_harbor_seal.pdf" TargetMode="External"/><Relationship Id="rId468" Type="http://schemas.openxmlformats.org/officeDocument/2006/relationships/hyperlink" Target="https://media.fisheries.noaa.gov/dam-migration/2019_sars_alaska_harbor_seal.pdf" TargetMode="External"/><Relationship Id="rId467" Type="http://schemas.openxmlformats.org/officeDocument/2006/relationships/hyperlink" Target="https://media.fisheries.noaa.gov/dam-migration/2019_sars_alaska_harbor_seal.pdf" TargetMode="External"/><Relationship Id="rId1290" Type="http://schemas.openxmlformats.org/officeDocument/2006/relationships/hyperlink" Target="https://media.fisheries.noaa.gov/2021-08/2020-Pacific-SARS-Rissos.pdf" TargetMode="External"/><Relationship Id="rId1291" Type="http://schemas.openxmlformats.org/officeDocument/2006/relationships/hyperlink" Target="https://media.fisheries.noaa.gov/2021-08/2020-Pacific-SARS-Rissos.pdf" TargetMode="External"/><Relationship Id="rId1292" Type="http://schemas.openxmlformats.org/officeDocument/2006/relationships/hyperlink" Target="https://media.fisheries.noaa.gov/2021-08/2020-Pacific-SARS-Rissos.pdf" TargetMode="External"/><Relationship Id="rId462" Type="http://schemas.openxmlformats.org/officeDocument/2006/relationships/hyperlink" Target="https://media.fisheries.noaa.gov/dam-migration/2019_sars_alaska_harbor_seal.pdf" TargetMode="External"/><Relationship Id="rId1293" Type="http://schemas.openxmlformats.org/officeDocument/2006/relationships/hyperlink" Target="https://media.fisheries.noaa.gov/2022-08/2021-shortbeak-common-dolphin-CaliforniaOregonWashington%20Stock.pdf" TargetMode="External"/><Relationship Id="rId461" Type="http://schemas.openxmlformats.org/officeDocument/2006/relationships/hyperlink" Target="https://media.fisheries.noaa.gov/dam-migration/2019_sars_alaska_harbor_seal.pdf" TargetMode="External"/><Relationship Id="rId1294" Type="http://schemas.openxmlformats.org/officeDocument/2006/relationships/hyperlink" Target="https://media.fisheries.noaa.gov/2022-08/2021-shortbeak-common-dolphin-CaliforniaOregonWashington%20Stock.pdf" TargetMode="External"/><Relationship Id="rId460" Type="http://schemas.openxmlformats.org/officeDocument/2006/relationships/hyperlink" Target="https://media.fisheries.noaa.gov/dam-migration/2019_sars_alaska_harbor_seal.pdf" TargetMode="External"/><Relationship Id="rId1295" Type="http://schemas.openxmlformats.org/officeDocument/2006/relationships/hyperlink" Target="https://media.fisheries.noaa.gov/2022-08/2021-shortbeak-common-dolphin-CaliforniaOregonWashington%20Stock.pdf" TargetMode="External"/><Relationship Id="rId1296" Type="http://schemas.openxmlformats.org/officeDocument/2006/relationships/hyperlink" Target="https://media.fisheries.noaa.gov/2022-08/2021-shortbeak-common-dolphin-CaliforniaOregonWashington%20Stock.pdf" TargetMode="External"/><Relationship Id="rId466" Type="http://schemas.openxmlformats.org/officeDocument/2006/relationships/hyperlink" Target="https://media.fisheries.noaa.gov/dam-migration/2019_sars_alaska_harbor_seal.pdf" TargetMode="External"/><Relationship Id="rId1297" Type="http://schemas.openxmlformats.org/officeDocument/2006/relationships/hyperlink" Target="https://media.fisheries.noaa.gov/2022-08/2021-shortbeak-common-dolphin-CaliforniaOregonWashington%20Stock.pdf" TargetMode="External"/><Relationship Id="rId465" Type="http://schemas.openxmlformats.org/officeDocument/2006/relationships/hyperlink" Target="https://media.fisheries.noaa.gov/dam-migration/2019_sars_alaska_harbor_seal.pdf" TargetMode="External"/><Relationship Id="rId1298" Type="http://schemas.openxmlformats.org/officeDocument/2006/relationships/hyperlink" Target="https://media.fisheries.noaa.gov/2022-08/2021-shortbeak-common-dolphin-CaliforniaOregonWashington%20Stock.pdf" TargetMode="External"/><Relationship Id="rId464" Type="http://schemas.openxmlformats.org/officeDocument/2006/relationships/hyperlink" Target="https://media.fisheries.noaa.gov/dam-migration/2019_sars_alaska_harbor_seal.pdf" TargetMode="External"/><Relationship Id="rId1299" Type="http://schemas.openxmlformats.org/officeDocument/2006/relationships/hyperlink" Target="https://media.fisheries.noaa.gov/2022-08/2021-shortbeak-common-dolphin-CaliforniaOregonWashington%20Stock.pdf" TargetMode="External"/><Relationship Id="rId463" Type="http://schemas.openxmlformats.org/officeDocument/2006/relationships/hyperlink" Target="https://media.fisheries.noaa.gov/dam-migration/2019_sars_alaska_harbor_seal.pdf" TargetMode="External"/><Relationship Id="rId459" Type="http://schemas.openxmlformats.org/officeDocument/2006/relationships/hyperlink" Target="https://media.fisheries.noaa.gov/dam-migration/2019_sars_alaska_harbor_seal.pdf" TargetMode="External"/><Relationship Id="rId458" Type="http://schemas.openxmlformats.org/officeDocument/2006/relationships/hyperlink" Target="https://media.fisheries.noaa.gov/dam-migration/2019_sars_alaska_harbor_seal.pdf" TargetMode="External"/><Relationship Id="rId457" Type="http://schemas.openxmlformats.org/officeDocument/2006/relationships/hyperlink" Target="https://media.fisheries.noaa.gov/dam-migration/2019_sars_alaska_harbor_seal.pdf" TargetMode="External"/><Relationship Id="rId456" Type="http://schemas.openxmlformats.org/officeDocument/2006/relationships/hyperlink" Target="https://media.fisheries.noaa.gov/dam-migration/2019_sars_alaska_harbor_seal.pdf" TargetMode="External"/><Relationship Id="rId1280" Type="http://schemas.openxmlformats.org/officeDocument/2006/relationships/hyperlink" Target="https://www.fisheries.noaa.gov/s3/2022-08/2021-PACWHITESIDE-CaliforniaOregonWashington-Northern-and-Southern-Stocks.pdf" TargetMode="External"/><Relationship Id="rId1281" Type="http://schemas.openxmlformats.org/officeDocument/2006/relationships/hyperlink" Target="https://www.fisheries.noaa.gov/s3/2022-08/2021-PACWHITESIDE-CaliforniaOregonWashington-Northern-and-Southern-Stocks.pdf" TargetMode="External"/><Relationship Id="rId451" Type="http://schemas.openxmlformats.org/officeDocument/2006/relationships/hyperlink" Target="https://media.fisheries.noaa.gov/dam-migration/2019_sars_alaska_harbor_seal.pdf" TargetMode="External"/><Relationship Id="rId1282" Type="http://schemas.openxmlformats.org/officeDocument/2006/relationships/hyperlink" Target="https://www.fisheries.noaa.gov/s3/2022-08/2021-PACWHITESIDE-CaliforniaOregonWashington-Northern-and-Southern-Stocks.pdf" TargetMode="External"/><Relationship Id="rId450" Type="http://schemas.openxmlformats.org/officeDocument/2006/relationships/hyperlink" Target="https://media.fisheries.noaa.gov/dam-migration/2019_sars_alaska_harbor_seal.pdf" TargetMode="External"/><Relationship Id="rId1283" Type="http://schemas.openxmlformats.org/officeDocument/2006/relationships/hyperlink" Target="https://www.fisheries.noaa.gov/s3/2022-08/2021-PACWHITESIDE-CaliforniaOregonWashington-Northern-and-Southern-Stocks.pdf" TargetMode="External"/><Relationship Id="rId1284" Type="http://schemas.openxmlformats.org/officeDocument/2006/relationships/hyperlink" Target="https://www.fisheries.noaa.gov/s3/2022-08/2021-PACWHITESIDE-CaliforniaOregonWashington-Northern-and-Southern-Stocks.pdf" TargetMode="External"/><Relationship Id="rId1285" Type="http://schemas.openxmlformats.org/officeDocument/2006/relationships/hyperlink" Target="https://www.fisheries.noaa.gov/s3/2022-08/2021-PACWHITESIDE-CaliforniaOregonWashington-Northern-and-Southern-Stocks.pdf" TargetMode="External"/><Relationship Id="rId455" Type="http://schemas.openxmlformats.org/officeDocument/2006/relationships/hyperlink" Target="https://media.fisheries.noaa.gov/dam-migration/2019_sars_alaska_harbor_seal.pdf" TargetMode="External"/><Relationship Id="rId1286" Type="http://schemas.openxmlformats.org/officeDocument/2006/relationships/hyperlink" Target="https://www.fisheries.noaa.gov/s3/2022-08/2021-PACWHITESIDE-CaliforniaOregonWashington-Northern-and-Southern-Stocks.pdf" TargetMode="External"/><Relationship Id="rId454" Type="http://schemas.openxmlformats.org/officeDocument/2006/relationships/hyperlink" Target="https://media.fisheries.noaa.gov/dam-migration/2019_sars_alaska_harbor_seal.pdf" TargetMode="External"/><Relationship Id="rId1287" Type="http://schemas.openxmlformats.org/officeDocument/2006/relationships/hyperlink" Target="https://media.fisheries.noaa.gov/2021-08/2020-Pacific-SARS-Rissos.pdf" TargetMode="External"/><Relationship Id="rId453" Type="http://schemas.openxmlformats.org/officeDocument/2006/relationships/hyperlink" Target="https://media.fisheries.noaa.gov/dam-migration/2019_sars_alaska_harbor_seal.pdf" TargetMode="External"/><Relationship Id="rId1288" Type="http://schemas.openxmlformats.org/officeDocument/2006/relationships/hyperlink" Target="https://media.fisheries.noaa.gov/2021-08/2020-Pacific-SARS-Rissos.pdf" TargetMode="External"/><Relationship Id="rId452" Type="http://schemas.openxmlformats.org/officeDocument/2006/relationships/hyperlink" Target="https://media.fisheries.noaa.gov/dam-migration/2019_sars_alaska_harbor_seal.pdf" TargetMode="External"/><Relationship Id="rId1289" Type="http://schemas.openxmlformats.org/officeDocument/2006/relationships/hyperlink" Target="https://media.fisheries.noaa.gov/2021-08/2020-Pacific-SARS-Rissos.pdf" TargetMode="External"/><Relationship Id="rId491" Type="http://schemas.openxmlformats.org/officeDocument/2006/relationships/hyperlink" Target="https://media.fisheries.noaa.gov/dam-migration/2019_sars_alaska_harbor_seal.pdf" TargetMode="External"/><Relationship Id="rId490" Type="http://schemas.openxmlformats.org/officeDocument/2006/relationships/hyperlink" Target="https://media.fisheries.noaa.gov/dam-migration/2019_sars_alaska_harbor_seal.pdf" TargetMode="External"/><Relationship Id="rId489" Type="http://schemas.openxmlformats.org/officeDocument/2006/relationships/hyperlink" Target="https://media.fisheries.noaa.gov/dam-migration/2019_sars_alaska_harbor_seal.pdf" TargetMode="External"/><Relationship Id="rId484" Type="http://schemas.openxmlformats.org/officeDocument/2006/relationships/hyperlink" Target="https://media.fisheries.noaa.gov/dam-migration/2019_sars_alaska_harbor_seal.pdf" TargetMode="External"/><Relationship Id="rId483" Type="http://schemas.openxmlformats.org/officeDocument/2006/relationships/hyperlink" Target="https://media.fisheries.noaa.gov/dam-migration/2019_sars_alaska_harbor_seal.pdf" TargetMode="External"/><Relationship Id="rId482" Type="http://schemas.openxmlformats.org/officeDocument/2006/relationships/hyperlink" Target="https://media.fisheries.noaa.gov/dam-migration/2019_sars_alaska_harbor_seal.pdf" TargetMode="External"/><Relationship Id="rId481" Type="http://schemas.openxmlformats.org/officeDocument/2006/relationships/hyperlink" Target="https://media.fisheries.noaa.gov/dam-migration/2019_sars_alaska_harbor_seal.pdf" TargetMode="External"/><Relationship Id="rId488" Type="http://schemas.openxmlformats.org/officeDocument/2006/relationships/hyperlink" Target="https://media.fisheries.noaa.gov/dam-migration/2019_sars_alaska_harbor_seal.pdf" TargetMode="External"/><Relationship Id="rId487" Type="http://schemas.openxmlformats.org/officeDocument/2006/relationships/hyperlink" Target="https://media.fisheries.noaa.gov/dam-migration/2019_sars_alaska_harbor_seal.pdf" TargetMode="External"/><Relationship Id="rId486" Type="http://schemas.openxmlformats.org/officeDocument/2006/relationships/hyperlink" Target="https://media.fisheries.noaa.gov/dam-migration/2019_sars_alaska_harbor_seal.pdf" TargetMode="External"/><Relationship Id="rId485" Type="http://schemas.openxmlformats.org/officeDocument/2006/relationships/hyperlink" Target="https://media.fisheries.noaa.gov/dam-migration/2019_sars_alaska_harbor_seal.pdf" TargetMode="External"/><Relationship Id="rId480" Type="http://schemas.openxmlformats.org/officeDocument/2006/relationships/hyperlink" Target="https://media.fisheries.noaa.gov/dam-migration/2019_sars_alaska_harbor_seal.pdf" TargetMode="External"/><Relationship Id="rId479" Type="http://schemas.openxmlformats.org/officeDocument/2006/relationships/hyperlink" Target="https://media.fisheries.noaa.gov/dam-migration/2019_sars_alaska_harbor_seal.pdf" TargetMode="External"/><Relationship Id="rId478" Type="http://schemas.openxmlformats.org/officeDocument/2006/relationships/hyperlink" Target="https://media.fisheries.noaa.gov/dam-migration/2019_sars_alaska_harbor_seal.pdf" TargetMode="External"/><Relationship Id="rId473" Type="http://schemas.openxmlformats.org/officeDocument/2006/relationships/hyperlink" Target="https://media.fisheries.noaa.gov/dam-migration/2019_sars_alaska_harbor_seal.pdf" TargetMode="External"/><Relationship Id="rId472" Type="http://schemas.openxmlformats.org/officeDocument/2006/relationships/hyperlink" Target="https://media.fisheries.noaa.gov/dam-migration/2019_sars_alaska_harbor_seal.pdf" TargetMode="External"/><Relationship Id="rId471" Type="http://schemas.openxmlformats.org/officeDocument/2006/relationships/hyperlink" Target="https://media.fisheries.noaa.gov/dam-migration/2019_sars_alaska_harbor_seal.pdf" TargetMode="External"/><Relationship Id="rId470" Type="http://schemas.openxmlformats.org/officeDocument/2006/relationships/hyperlink" Target="https://media.fisheries.noaa.gov/dam-migration/2019_sars_alaska_harbor_seal.pdf" TargetMode="External"/><Relationship Id="rId477" Type="http://schemas.openxmlformats.org/officeDocument/2006/relationships/hyperlink" Target="https://media.fisheries.noaa.gov/dam-migration/2019_sars_alaska_harbor_seal.pdf" TargetMode="External"/><Relationship Id="rId476" Type="http://schemas.openxmlformats.org/officeDocument/2006/relationships/hyperlink" Target="https://media.fisheries.noaa.gov/dam-migration/2019_sars_alaska_harbor_seal.pdf" TargetMode="External"/><Relationship Id="rId475" Type="http://schemas.openxmlformats.org/officeDocument/2006/relationships/hyperlink" Target="https://media.fisheries.noaa.gov/dam-migration/2019_sars_alaska_harbor_seal.pdf" TargetMode="External"/><Relationship Id="rId474" Type="http://schemas.openxmlformats.org/officeDocument/2006/relationships/hyperlink" Target="https://media.fisheries.noaa.gov/dam-migration/2019_sars_alaska_harbor_seal.pdf" TargetMode="External"/><Relationship Id="rId1257" Type="http://schemas.openxmlformats.org/officeDocument/2006/relationships/hyperlink" Target="https://www.fws.gov/sites/default/files/documents/northern-sea-otter-washington-stock-assessment-report-july-2018.pdf" TargetMode="External"/><Relationship Id="rId1258" Type="http://schemas.openxmlformats.org/officeDocument/2006/relationships/hyperlink" Target="https://www.fws.gov/sites/default/files/documents/northern-sea-otter-washington-stock-assessment-report-july-2018.pdf" TargetMode="External"/><Relationship Id="rId1259" Type="http://schemas.openxmlformats.org/officeDocument/2006/relationships/hyperlink" Target="https://www.fws.gov/sites/default/files/documents/northern-sea-otter-washington-stock-assessment-report-july-2018.pdf" TargetMode="External"/><Relationship Id="rId426" Type="http://schemas.openxmlformats.org/officeDocument/2006/relationships/hyperlink" Target="https://media.fisheries.noaa.gov/dam-migration/2019_sars_alaska_harbor_seal.pdf" TargetMode="External"/><Relationship Id="rId425" Type="http://schemas.openxmlformats.org/officeDocument/2006/relationships/hyperlink" Target="https://media.fisheries.noaa.gov/dam-migration/2019_sars_alaska_harbor_seal.pdf" TargetMode="External"/><Relationship Id="rId424" Type="http://schemas.openxmlformats.org/officeDocument/2006/relationships/hyperlink" Target="https://media.fisheries.noaa.gov/dam-migration/2019_sars_alaska_harbor_seal.pdf" TargetMode="External"/><Relationship Id="rId423" Type="http://schemas.openxmlformats.org/officeDocument/2006/relationships/hyperlink" Target="https://media.fisheries.noaa.gov/dam-migration/2019_sars_alaska_harbor_seal.pdf" TargetMode="External"/><Relationship Id="rId429" Type="http://schemas.openxmlformats.org/officeDocument/2006/relationships/hyperlink" Target="https://media.fisheries.noaa.gov/dam-migration/2019_sars_alaska_harbor_seal.pdf" TargetMode="External"/><Relationship Id="rId428" Type="http://schemas.openxmlformats.org/officeDocument/2006/relationships/hyperlink" Target="https://media.fisheries.noaa.gov/dam-migration/2019_sars_alaska_harbor_seal.pdf" TargetMode="External"/><Relationship Id="rId427" Type="http://schemas.openxmlformats.org/officeDocument/2006/relationships/hyperlink" Target="https://media.fisheries.noaa.gov/dam-migration/2019_sars_alaska_harbor_seal.pdf" TargetMode="External"/><Relationship Id="rId1250" Type="http://schemas.openxmlformats.org/officeDocument/2006/relationships/hyperlink" Target="https://www.fws.gov/sites/default/files/documents/northern-sea-otter-washington-stock-assessment-report-july-2018.pdf" TargetMode="External"/><Relationship Id="rId1251" Type="http://schemas.openxmlformats.org/officeDocument/2006/relationships/hyperlink" Target="https://www.fws.gov/sites/default/files/documents/northern-sea-otter-washington-stock-assessment-report-july-2018.pdf" TargetMode="External"/><Relationship Id="rId1252" Type="http://schemas.openxmlformats.org/officeDocument/2006/relationships/hyperlink" Target="https://www.fws.gov/sites/default/files/documents/northern-sea-otter-washington-stock-assessment-report-july-2018.pdf" TargetMode="External"/><Relationship Id="rId422" Type="http://schemas.openxmlformats.org/officeDocument/2006/relationships/hyperlink" Target="https://media.fisheries.noaa.gov/dam-migration/2019_sars_alaska_harbor_seal.pdf" TargetMode="External"/><Relationship Id="rId1253" Type="http://schemas.openxmlformats.org/officeDocument/2006/relationships/hyperlink" Target="https://www.fws.gov/sites/default/files/documents/northern-sea-otter-washington-stock-assessment-report-july-2018.pdf" TargetMode="External"/><Relationship Id="rId421" Type="http://schemas.openxmlformats.org/officeDocument/2006/relationships/hyperlink" Target="https://media.fisheries.noaa.gov/dam-migration/2019_sars_alaska_harbor_seal.pdf" TargetMode="External"/><Relationship Id="rId1254" Type="http://schemas.openxmlformats.org/officeDocument/2006/relationships/hyperlink" Target="https://www.fws.gov/sites/default/files/documents/northern-sea-otter-washington-stock-assessment-report-july-2018.pdf" TargetMode="External"/><Relationship Id="rId420" Type="http://schemas.openxmlformats.org/officeDocument/2006/relationships/hyperlink" Target="https://media.fisheries.noaa.gov/dam-migration/2019_sars_alaska_harbor_seal.pdf" TargetMode="External"/><Relationship Id="rId1255" Type="http://schemas.openxmlformats.org/officeDocument/2006/relationships/hyperlink" Target="https://www.fws.gov/sites/default/files/documents/northern-sea-otter-washington-stock-assessment-report-july-2018.pdf" TargetMode="External"/><Relationship Id="rId1256" Type="http://schemas.openxmlformats.org/officeDocument/2006/relationships/hyperlink" Target="https://www.fws.gov/sites/default/files/documents/northern-sea-otter-washington-stock-assessment-report-july-2018.pdf" TargetMode="External"/><Relationship Id="rId1246" Type="http://schemas.openxmlformats.org/officeDocument/2006/relationships/hyperlink" Target="https://www.fws.gov/sites/default/files/documents/northern-sea-otter-washington-stock-assessment-report-july-2018.pdf" TargetMode="External"/><Relationship Id="rId1247" Type="http://schemas.openxmlformats.org/officeDocument/2006/relationships/hyperlink" Target="https://www.fws.gov/sites/default/files/documents/northern-sea-otter-washington-stock-assessment-report-july-2018.pdf" TargetMode="External"/><Relationship Id="rId1248" Type="http://schemas.openxmlformats.org/officeDocument/2006/relationships/hyperlink" Target="https://www.fws.gov/sites/default/files/documents/northern-sea-otter-washington-stock-assessment-report-july-2018.pdf" TargetMode="External"/><Relationship Id="rId1249" Type="http://schemas.openxmlformats.org/officeDocument/2006/relationships/hyperlink" Target="https://www.fws.gov/sites/default/files/documents/northern-sea-otter-washington-stock-assessment-report-july-2018.pdf" TargetMode="External"/><Relationship Id="rId415" Type="http://schemas.openxmlformats.org/officeDocument/2006/relationships/hyperlink" Target="https://media.fisheries.noaa.gov/dam-migration/2019_sars_alaska_harbor_seal.pdf" TargetMode="External"/><Relationship Id="rId899" Type="http://schemas.openxmlformats.org/officeDocument/2006/relationships/hyperlink" Target="https://media.fisheries.noaa.gov/dam-migration/pacific-2017-mes_beaked_whales-caorwa-508.pdf" TargetMode="External"/><Relationship Id="rId414" Type="http://schemas.openxmlformats.org/officeDocument/2006/relationships/hyperlink" Target="https://media.fisheries.noaa.gov/dam-migration/2019_sars_alaska_harbor_seal.pdf" TargetMode="External"/><Relationship Id="rId898" Type="http://schemas.openxmlformats.org/officeDocument/2006/relationships/hyperlink" Target="https://media.fisheries.noaa.gov/dam-migration/pacific-2017-mes_beaked_whales-caorwa-508.pdf" TargetMode="External"/><Relationship Id="rId413" Type="http://schemas.openxmlformats.org/officeDocument/2006/relationships/hyperlink" Target="https://media.fisheries.noaa.gov/dam-migration/2019_sars_alaska_harbor_seal.pdf" TargetMode="External"/><Relationship Id="rId897" Type="http://schemas.openxmlformats.org/officeDocument/2006/relationships/hyperlink" Target="https://media.fisheries.noaa.gov/dam-migration/pacific-2017-mes_beaked_whales-caorwa-508.pdf" TargetMode="External"/><Relationship Id="rId412" Type="http://schemas.openxmlformats.org/officeDocument/2006/relationships/hyperlink" Target="https://media.fisheries.noaa.gov/dam-migration/2019_sars_alaska_harbor_seal.pdf" TargetMode="External"/><Relationship Id="rId896" Type="http://schemas.openxmlformats.org/officeDocument/2006/relationships/hyperlink" Target="https://media.fisheries.noaa.gov/dam-migration/pacific-2017-mes_beaked_whales-caorwa-508.pdf" TargetMode="External"/><Relationship Id="rId419" Type="http://schemas.openxmlformats.org/officeDocument/2006/relationships/hyperlink" Target="https://media.fisheries.noaa.gov/dam-migration/2019_sars_alaska_harbor_seal.pdf" TargetMode="External"/><Relationship Id="rId418" Type="http://schemas.openxmlformats.org/officeDocument/2006/relationships/hyperlink" Target="https://media.fisheries.noaa.gov/dam-migration/2019_sars_alaska_harbor_seal.pdf" TargetMode="External"/><Relationship Id="rId417" Type="http://schemas.openxmlformats.org/officeDocument/2006/relationships/hyperlink" Target="https://media.fisheries.noaa.gov/dam-migration/2019_sars_alaska_harbor_seal.pdf" TargetMode="External"/><Relationship Id="rId416" Type="http://schemas.openxmlformats.org/officeDocument/2006/relationships/hyperlink" Target="https://media.fisheries.noaa.gov/dam-migration/2019_sars_alaska_harbor_seal.pdf" TargetMode="External"/><Relationship Id="rId891" Type="http://schemas.openxmlformats.org/officeDocument/2006/relationships/hyperlink" Target="https://media.fisheries.noaa.gov/2022-08/2021-LONG-BEAKED%20COMMON%20DOLPHIN-California%20Stock.pdf" TargetMode="External"/><Relationship Id="rId890" Type="http://schemas.openxmlformats.org/officeDocument/2006/relationships/hyperlink" Target="https://media.fisheries.noaa.gov/2022-08/2021-LONG-BEAKED%20COMMON%20DOLPHIN-California%20Stock.pdf" TargetMode="External"/><Relationship Id="rId1240" Type="http://schemas.openxmlformats.org/officeDocument/2006/relationships/hyperlink" Target="https://media.fisheries.noaa.gov/2022-08/2021-NorthernRWdolphin-CaliforniaOregonWashington%20Stock.pdf" TargetMode="External"/><Relationship Id="rId1241" Type="http://schemas.openxmlformats.org/officeDocument/2006/relationships/hyperlink" Target="https://media.fisheries.noaa.gov/2022-08/2021-NorthernRWdolphin-CaliforniaOregonWashington%20Stock.pdf" TargetMode="External"/><Relationship Id="rId411" Type="http://schemas.openxmlformats.org/officeDocument/2006/relationships/hyperlink" Target="https://media.fisheries.noaa.gov/dam-migration/2019_sars_alaska_harbor_seal.pdf" TargetMode="External"/><Relationship Id="rId895" Type="http://schemas.openxmlformats.org/officeDocument/2006/relationships/hyperlink" Target="https://media.fisheries.noaa.gov/dam-migration/pacific-2017-mes_beaked_whales-caorwa-508.pdf" TargetMode="External"/><Relationship Id="rId1242" Type="http://schemas.openxmlformats.org/officeDocument/2006/relationships/hyperlink" Target="https://media.fisheries.noaa.gov/2022-08/2021-NorthernRWdolphin-CaliforniaOregonWashington%20Stock.pdf" TargetMode="External"/><Relationship Id="rId410" Type="http://schemas.openxmlformats.org/officeDocument/2006/relationships/hyperlink" Target="https://media.fisheries.noaa.gov/dam-migration/2019_sars_alaska_harbor_seal.pdf" TargetMode="External"/><Relationship Id="rId894" Type="http://schemas.openxmlformats.org/officeDocument/2006/relationships/hyperlink" Target="https://media.fisheries.noaa.gov/2022-08/2021-LONG-BEAKED%20COMMON%20DOLPHIN-California%20Stock.pdf" TargetMode="External"/><Relationship Id="rId1243" Type="http://schemas.openxmlformats.org/officeDocument/2006/relationships/hyperlink" Target="https://media.fisheries.noaa.gov/2022-08/2021-NorthernRWdolphin-CaliforniaOregonWashington%20Stock.pdf" TargetMode="External"/><Relationship Id="rId893" Type="http://schemas.openxmlformats.org/officeDocument/2006/relationships/hyperlink" Target="https://media.fisheries.noaa.gov/2022-08/2021-LONG-BEAKED%20COMMON%20DOLPHIN-California%20Stock.pdf" TargetMode="External"/><Relationship Id="rId1244" Type="http://schemas.openxmlformats.org/officeDocument/2006/relationships/hyperlink" Target="https://media.fisheries.noaa.gov/2022-08/2021-NorthernRWdolphin-CaliforniaOregonWashington%20Stock.pdf" TargetMode="External"/><Relationship Id="rId892" Type="http://schemas.openxmlformats.org/officeDocument/2006/relationships/hyperlink" Target="https://media.fisheries.noaa.gov/2022-08/2021-LONG-BEAKED%20COMMON%20DOLPHIN-California%20Stock.pdf" TargetMode="External"/><Relationship Id="rId1245" Type="http://schemas.openxmlformats.org/officeDocument/2006/relationships/hyperlink" Target="https://media.fisheries.noaa.gov/2022-08/2021-NorthernRWdolphin-CaliforniaOregonWashington%20Stock.pdf" TargetMode="External"/><Relationship Id="rId1279" Type="http://schemas.openxmlformats.org/officeDocument/2006/relationships/hyperlink" Target="https://www.fisheries.noaa.gov/s3/2022-08/2021-PACWHITESIDE-CaliforniaOregonWashington-Northern-and-Southern-Stocks.pdf" TargetMode="External"/><Relationship Id="rId448" Type="http://schemas.openxmlformats.org/officeDocument/2006/relationships/hyperlink" Target="https://media.fisheries.noaa.gov/dam-migration/2019_sars_alaska_harbor_seal.pdf" TargetMode="External"/><Relationship Id="rId447" Type="http://schemas.openxmlformats.org/officeDocument/2006/relationships/hyperlink" Target="https://media.fisheries.noaa.gov/dam-migration/2019_sars_alaska_harbor_seal.pdf" TargetMode="External"/><Relationship Id="rId446" Type="http://schemas.openxmlformats.org/officeDocument/2006/relationships/hyperlink" Target="https://media.fisheries.noaa.gov/dam-migration/2019_sars_alaska_harbor_seal.pdf" TargetMode="External"/><Relationship Id="rId445" Type="http://schemas.openxmlformats.org/officeDocument/2006/relationships/hyperlink" Target="https://media.fisheries.noaa.gov/dam-migration/2019_sars_alaska_harbor_seal.pdf" TargetMode="External"/><Relationship Id="rId449" Type="http://schemas.openxmlformats.org/officeDocument/2006/relationships/hyperlink" Target="https://media.fisheries.noaa.gov/dam-migration/2019_sars_alaska_harbor_seal.pdf" TargetMode="External"/><Relationship Id="rId1270" Type="http://schemas.openxmlformats.org/officeDocument/2006/relationships/hyperlink" Target="https://www.fws.gov/sites/default/files/documents/northern-sea-otter-washington-stock-assessment-report-july-2018.pdf" TargetMode="External"/><Relationship Id="rId440" Type="http://schemas.openxmlformats.org/officeDocument/2006/relationships/hyperlink" Target="https://media.fisheries.noaa.gov/dam-migration/2019_sars_alaska_harbor_seal.pdf" TargetMode="External"/><Relationship Id="rId1271" Type="http://schemas.openxmlformats.org/officeDocument/2006/relationships/hyperlink" Target="https://www.fws.gov/sites/default/files/documents/northern-sea-otter-washington-stock-assessment-report-july-2018.pdf" TargetMode="External"/><Relationship Id="rId1272" Type="http://schemas.openxmlformats.org/officeDocument/2006/relationships/hyperlink" Target="https://www.fws.gov/sites/default/files/documents/northern-sea-otter-washington-stock-assessment-report-july-2018.pdf" TargetMode="External"/><Relationship Id="rId1273" Type="http://schemas.openxmlformats.org/officeDocument/2006/relationships/hyperlink" Target="https://www.fws.gov/sites/default/files/documents/northern-sea-otter-washington-stock-assessment-report-july-2018.pdf" TargetMode="External"/><Relationship Id="rId1274" Type="http://schemas.openxmlformats.org/officeDocument/2006/relationships/hyperlink" Target="https://www.fisheries.noaa.gov/s3/2022-08/2021-PACWHITESIDE-CaliforniaOregonWashington-Northern-and-Southern-Stocks.pdf" TargetMode="External"/><Relationship Id="rId444" Type="http://schemas.openxmlformats.org/officeDocument/2006/relationships/hyperlink" Target="https://media.fisheries.noaa.gov/dam-migration/2019_sars_alaska_harbor_seal.pdf" TargetMode="External"/><Relationship Id="rId1275" Type="http://schemas.openxmlformats.org/officeDocument/2006/relationships/hyperlink" Target="https://www.fisheries.noaa.gov/s3/2022-08/2021-PACWHITESIDE-CaliforniaOregonWashington-Northern-and-Southern-Stocks.pdf" TargetMode="External"/><Relationship Id="rId443" Type="http://schemas.openxmlformats.org/officeDocument/2006/relationships/hyperlink" Target="https://media.fisheries.noaa.gov/dam-migration/2019_sars_alaska_harbor_seal.pdf" TargetMode="External"/><Relationship Id="rId1276" Type="http://schemas.openxmlformats.org/officeDocument/2006/relationships/hyperlink" Target="https://www.fisheries.noaa.gov/s3/2022-08/2021-PACWHITESIDE-CaliforniaOregonWashington-Northern-and-Southern-Stocks.pdf" TargetMode="External"/><Relationship Id="rId442" Type="http://schemas.openxmlformats.org/officeDocument/2006/relationships/hyperlink" Target="https://media.fisheries.noaa.gov/dam-migration/2019_sars_alaska_harbor_seal.pdf" TargetMode="External"/><Relationship Id="rId1277" Type="http://schemas.openxmlformats.org/officeDocument/2006/relationships/hyperlink" Target="https://www.fisheries.noaa.gov/s3/2022-08/2021-PACWHITESIDE-CaliforniaOregonWashington-Northern-and-Southern-Stocks.pdf" TargetMode="External"/><Relationship Id="rId441" Type="http://schemas.openxmlformats.org/officeDocument/2006/relationships/hyperlink" Target="https://media.fisheries.noaa.gov/dam-migration/2019_sars_alaska_harbor_seal.pdf" TargetMode="External"/><Relationship Id="rId1278" Type="http://schemas.openxmlformats.org/officeDocument/2006/relationships/hyperlink" Target="https://www.fisheries.noaa.gov/s3/2022-08/2021-PACWHITESIDE-CaliforniaOregonWashington-Northern-and-Southern-Stocks.pdf" TargetMode="External"/><Relationship Id="rId1268" Type="http://schemas.openxmlformats.org/officeDocument/2006/relationships/hyperlink" Target="https://www.fws.gov/sites/default/files/documents/northern-sea-otter-washington-stock-assessment-report-july-2018.pdf" TargetMode="External"/><Relationship Id="rId1269" Type="http://schemas.openxmlformats.org/officeDocument/2006/relationships/hyperlink" Target="https://www.fws.gov/sites/default/files/documents/northern-sea-otter-washington-stock-assessment-report-july-2018.pdf" TargetMode="External"/><Relationship Id="rId437" Type="http://schemas.openxmlformats.org/officeDocument/2006/relationships/hyperlink" Target="https://media.fisheries.noaa.gov/dam-migration/2019_sars_alaska_harbor_seal.pdf" TargetMode="External"/><Relationship Id="rId436" Type="http://schemas.openxmlformats.org/officeDocument/2006/relationships/hyperlink" Target="https://media.fisheries.noaa.gov/dam-migration/2019_sars_alaska_harbor_seal.pdf" TargetMode="External"/><Relationship Id="rId435" Type="http://schemas.openxmlformats.org/officeDocument/2006/relationships/hyperlink" Target="https://media.fisheries.noaa.gov/dam-migration/2019_sars_alaska_harbor_seal.pdf" TargetMode="External"/><Relationship Id="rId434" Type="http://schemas.openxmlformats.org/officeDocument/2006/relationships/hyperlink" Target="https://media.fisheries.noaa.gov/dam-migration/2019_sars_alaska_harbor_seal.pdf" TargetMode="External"/><Relationship Id="rId439" Type="http://schemas.openxmlformats.org/officeDocument/2006/relationships/hyperlink" Target="https://media.fisheries.noaa.gov/dam-migration/2019_sars_alaska_harbor_seal.pdf" TargetMode="External"/><Relationship Id="rId438" Type="http://schemas.openxmlformats.org/officeDocument/2006/relationships/hyperlink" Target="https://media.fisheries.noaa.gov/dam-migration/2019_sars_alaska_harbor_seal.pdf" TargetMode="External"/><Relationship Id="rId1260" Type="http://schemas.openxmlformats.org/officeDocument/2006/relationships/hyperlink" Target="https://www.fws.gov/sites/default/files/documents/northern-sea-otter-washington-stock-assessment-report-july-2018.pdf" TargetMode="External"/><Relationship Id="rId1261" Type="http://schemas.openxmlformats.org/officeDocument/2006/relationships/hyperlink" Target="https://www.fws.gov/sites/default/files/documents/northern-sea-otter-washington-stock-assessment-report-july-2018.pdf" TargetMode="External"/><Relationship Id="rId1262" Type="http://schemas.openxmlformats.org/officeDocument/2006/relationships/hyperlink" Target="https://www.fws.gov/sites/default/files/documents/northern-sea-otter-washington-stock-assessment-report-july-2018.pdf" TargetMode="External"/><Relationship Id="rId1263" Type="http://schemas.openxmlformats.org/officeDocument/2006/relationships/hyperlink" Target="https://www.fws.gov/sites/default/files/documents/northern-sea-otter-washington-stock-assessment-report-july-2018.pdf" TargetMode="External"/><Relationship Id="rId433" Type="http://schemas.openxmlformats.org/officeDocument/2006/relationships/hyperlink" Target="https://media.fisheries.noaa.gov/dam-migration/2019_sars_alaska_harbor_seal.pdf" TargetMode="External"/><Relationship Id="rId1264" Type="http://schemas.openxmlformats.org/officeDocument/2006/relationships/hyperlink" Target="https://www.fws.gov/sites/default/files/documents/northern-sea-otter-washington-stock-assessment-report-july-2018.pdf" TargetMode="External"/><Relationship Id="rId432" Type="http://schemas.openxmlformats.org/officeDocument/2006/relationships/hyperlink" Target="https://media.fisheries.noaa.gov/dam-migration/2019_sars_alaska_harbor_seal.pdf" TargetMode="External"/><Relationship Id="rId1265" Type="http://schemas.openxmlformats.org/officeDocument/2006/relationships/hyperlink" Target="https://www.fws.gov/sites/default/files/documents/northern-sea-otter-washington-stock-assessment-report-july-2018.pdf" TargetMode="External"/><Relationship Id="rId431" Type="http://schemas.openxmlformats.org/officeDocument/2006/relationships/hyperlink" Target="https://media.fisheries.noaa.gov/dam-migration/2019_sars_alaska_harbor_seal.pdf" TargetMode="External"/><Relationship Id="rId1266" Type="http://schemas.openxmlformats.org/officeDocument/2006/relationships/hyperlink" Target="https://www.fws.gov/sites/default/files/documents/northern-sea-otter-washington-stock-assessment-report-july-2018.pdf" TargetMode="External"/><Relationship Id="rId430" Type="http://schemas.openxmlformats.org/officeDocument/2006/relationships/hyperlink" Target="https://media.fisheries.noaa.gov/dam-migration/2019_sars_alaska_harbor_seal.pdf" TargetMode="External"/><Relationship Id="rId1267" Type="http://schemas.openxmlformats.org/officeDocument/2006/relationships/hyperlink" Target="https://www.fws.gov/sites/default/files/documents/northern-sea-otter-washington-stock-assessment-report-july-2018.pd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002/1438-390X.1014"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ildlife-species.az.ec.gc.ca/species-risk-registry/virtual_sara/files//cosewic/Sas-NorthernFurSeal-v00-2022-eng.pdf" TargetMode="External"/><Relationship Id="rId2" Type="http://schemas.openxmlformats.org/officeDocument/2006/relationships/hyperlink" Target="https://wildlife-species.az.ec.gc.ca/species-risk-registry/virtual_sara/files//cosewic/Sas-NorthernFurSeal-v00-2022-eng.pdf" TargetMode="External"/><Relationship Id="rId3" Type="http://schemas.openxmlformats.org/officeDocument/2006/relationships/hyperlink" Target="https://wildlife-species.az.ec.gc.ca/species-risk-registry/virtual_sara/files//cosewic/Sas-NorthernFurSeal-v00-2022-eng.pdf" TargetMode="External"/><Relationship Id="rId4" Type="http://schemas.openxmlformats.org/officeDocument/2006/relationships/hyperlink" Target="https://wildlife-species.az.ec.gc.ca/species-risk-registry/virtual_sara/files//cosewic/Sas-NorthernFurSeal-v00-2022-eng.pdf" TargetMode="External"/><Relationship Id="rId9" Type="http://schemas.openxmlformats.org/officeDocument/2006/relationships/hyperlink" Target="https://wildlife-species.az.ec.gc.ca/species-risk-registry/virtual_sara/files//cosewic/Sas-NorthernFurSeal-v00-2022-eng.pdf" TargetMode="External"/><Relationship Id="rId5" Type="http://schemas.openxmlformats.org/officeDocument/2006/relationships/hyperlink" Target="https://wildlife-species.az.ec.gc.ca/species-risk-registry/virtual_sara/files//cosewic/Sas-NorthernFurSeal-v00-2022-eng.pdf" TargetMode="External"/><Relationship Id="rId6" Type="http://schemas.openxmlformats.org/officeDocument/2006/relationships/hyperlink" Target="https://wildlife-species.az.ec.gc.ca/species-risk-registry/virtual_sara/files//cosewic/Sas-NorthernFurSeal-v00-2022-eng.pdf" TargetMode="External"/><Relationship Id="rId7" Type="http://schemas.openxmlformats.org/officeDocument/2006/relationships/hyperlink" Target="https://wildlife-species.az.ec.gc.ca/species-risk-registry/virtual_sara/files//cosewic/Sas-NorthernFurSeal-v00-2022-eng.pdf" TargetMode="External"/><Relationship Id="rId8" Type="http://schemas.openxmlformats.org/officeDocument/2006/relationships/hyperlink" Target="https://wildlife-species.az.ec.gc.ca/species-risk-registry/virtual_sara/files//cosewic/Sas-NorthernFurSeal-v00-2022-eng.pdf" TargetMode="External"/><Relationship Id="rId40" Type="http://schemas.openxmlformats.org/officeDocument/2006/relationships/hyperlink" Target="https://wildlife-species.az.ec.gc.ca/species-risk-registry/virtual_sara/files//cosewic/Sas-NorthernFurSeal-v00-2022-eng.pdf" TargetMode="External"/><Relationship Id="rId42" Type="http://schemas.openxmlformats.org/officeDocument/2006/relationships/hyperlink" Target="https://wildlife-species.az.ec.gc.ca/species-risk-registry/virtual_sara/files//cosewic/Sas-NorthernFurSeal-v00-2022-eng.pdf" TargetMode="External"/><Relationship Id="rId41" Type="http://schemas.openxmlformats.org/officeDocument/2006/relationships/hyperlink" Target="https://wildlife-species.az.ec.gc.ca/species-risk-registry/virtual_sara/files//cosewic/Sas-NorthernFurSeal-v00-2022-eng.pdf" TargetMode="External"/><Relationship Id="rId44" Type="http://schemas.openxmlformats.org/officeDocument/2006/relationships/hyperlink" Target="https://wildlife-species.az.ec.gc.ca/species-risk-registry/virtual_sara/files//cosewic/Sas-NorthernFurSeal-v00-2022-eng.pdf" TargetMode="External"/><Relationship Id="rId43" Type="http://schemas.openxmlformats.org/officeDocument/2006/relationships/hyperlink" Target="https://wildlife-species.az.ec.gc.ca/species-risk-registry/virtual_sara/files//cosewic/Sas-NorthernFurSeal-v00-2022-eng.pdf" TargetMode="External"/><Relationship Id="rId46" Type="http://schemas.openxmlformats.org/officeDocument/2006/relationships/hyperlink" Target="https://wildlife-species.az.ec.gc.ca/species-risk-registry/virtual_sara/files//cosewic/Sas-NorthernFurSeal-v00-2022-eng.pdf" TargetMode="External"/><Relationship Id="rId45" Type="http://schemas.openxmlformats.org/officeDocument/2006/relationships/hyperlink" Target="https://wildlife-species.az.ec.gc.ca/species-risk-registry/virtual_sara/files//cosewic/Sas-NorthernFurSeal-v00-2022-eng.pdf" TargetMode="External"/><Relationship Id="rId48" Type="http://schemas.openxmlformats.org/officeDocument/2006/relationships/hyperlink" Target="https://wildlife-species.az.ec.gc.ca/species-risk-registry/virtual_sara/files//cosewic/Sas-NorthernFurSeal-v00-2022-eng.pdf" TargetMode="External"/><Relationship Id="rId47" Type="http://schemas.openxmlformats.org/officeDocument/2006/relationships/hyperlink" Target="https://wildlife-species.az.ec.gc.ca/species-risk-registry/virtual_sara/files//cosewic/Sas-NorthernFurSeal-v00-2022-eng.pdf" TargetMode="External"/><Relationship Id="rId49" Type="http://schemas.openxmlformats.org/officeDocument/2006/relationships/hyperlink" Target="https://wildlife-species.az.ec.gc.ca/species-risk-registry/virtual_sara/files//cosewic/Sas-NorthernFurSeal-v00-2022-eng.pdf" TargetMode="External"/><Relationship Id="rId31" Type="http://schemas.openxmlformats.org/officeDocument/2006/relationships/hyperlink" Target="https://wildlife-species.az.ec.gc.ca/species-risk-registry/virtual_sara/files//cosewic/Sas-NorthernFurSeal-v00-2022-eng.pdf" TargetMode="External"/><Relationship Id="rId30" Type="http://schemas.openxmlformats.org/officeDocument/2006/relationships/hyperlink" Target="https://wildlife-species.az.ec.gc.ca/species-risk-registry/virtual_sara/files//cosewic/Sas-NorthernFurSeal-v00-2022-eng.pdf" TargetMode="External"/><Relationship Id="rId33" Type="http://schemas.openxmlformats.org/officeDocument/2006/relationships/hyperlink" Target="https://wildlife-species.az.ec.gc.ca/species-risk-registry/virtual_sara/files//cosewic/Sas-NorthernFurSeal-v00-2022-eng.pdf" TargetMode="External"/><Relationship Id="rId32" Type="http://schemas.openxmlformats.org/officeDocument/2006/relationships/hyperlink" Target="https://wildlife-species.az.ec.gc.ca/species-risk-registry/virtual_sara/files//cosewic/Sas-NorthernFurSeal-v00-2022-eng.pdf" TargetMode="External"/><Relationship Id="rId35" Type="http://schemas.openxmlformats.org/officeDocument/2006/relationships/hyperlink" Target="https://wildlife-species.az.ec.gc.ca/species-risk-registry/virtual_sara/files//cosewic/Sas-NorthernFurSeal-v00-2022-eng.pdf" TargetMode="External"/><Relationship Id="rId34" Type="http://schemas.openxmlformats.org/officeDocument/2006/relationships/hyperlink" Target="https://wildlife-species.az.ec.gc.ca/species-risk-registry/virtual_sara/files//cosewic/Sas-NorthernFurSeal-v00-2022-eng.pdf" TargetMode="External"/><Relationship Id="rId37" Type="http://schemas.openxmlformats.org/officeDocument/2006/relationships/hyperlink" Target="https://wildlife-species.az.ec.gc.ca/species-risk-registry/virtual_sara/files//cosewic/Sas-NorthernFurSeal-v00-2022-eng.pdf" TargetMode="External"/><Relationship Id="rId36" Type="http://schemas.openxmlformats.org/officeDocument/2006/relationships/hyperlink" Target="https://wildlife-species.az.ec.gc.ca/species-risk-registry/virtual_sara/files//cosewic/Sas-NorthernFurSeal-v00-2022-eng.pdf" TargetMode="External"/><Relationship Id="rId39" Type="http://schemas.openxmlformats.org/officeDocument/2006/relationships/hyperlink" Target="https://wildlife-species.az.ec.gc.ca/species-risk-registry/virtual_sara/files//cosewic/Sas-NorthernFurSeal-v00-2022-eng.pdf" TargetMode="External"/><Relationship Id="rId38" Type="http://schemas.openxmlformats.org/officeDocument/2006/relationships/hyperlink" Target="https://wildlife-species.az.ec.gc.ca/species-risk-registry/virtual_sara/files//cosewic/Sas-NorthernFurSeal-v00-2022-eng.pdf" TargetMode="External"/><Relationship Id="rId20" Type="http://schemas.openxmlformats.org/officeDocument/2006/relationships/hyperlink" Target="https://wildlife-species.az.ec.gc.ca/species-risk-registry/virtual_sara/files//cosewic/Sas-NorthernFurSeal-v00-2022-eng.pdf" TargetMode="External"/><Relationship Id="rId22" Type="http://schemas.openxmlformats.org/officeDocument/2006/relationships/hyperlink" Target="https://wildlife-species.az.ec.gc.ca/species-risk-registry/virtual_sara/files//cosewic/Sas-NorthernFurSeal-v00-2022-eng.pdf" TargetMode="External"/><Relationship Id="rId21" Type="http://schemas.openxmlformats.org/officeDocument/2006/relationships/hyperlink" Target="https://wildlife-species.az.ec.gc.ca/species-risk-registry/virtual_sara/files//cosewic/Sas-NorthernFurSeal-v00-2022-eng.pdf" TargetMode="External"/><Relationship Id="rId24" Type="http://schemas.openxmlformats.org/officeDocument/2006/relationships/hyperlink" Target="https://wildlife-species.az.ec.gc.ca/species-risk-registry/virtual_sara/files//cosewic/Sas-NorthernFurSeal-v00-2022-eng.pdf" TargetMode="External"/><Relationship Id="rId23" Type="http://schemas.openxmlformats.org/officeDocument/2006/relationships/hyperlink" Target="https://wildlife-species.az.ec.gc.ca/species-risk-registry/virtual_sara/files//cosewic/Sas-NorthernFurSeal-v00-2022-eng.pdf" TargetMode="External"/><Relationship Id="rId26" Type="http://schemas.openxmlformats.org/officeDocument/2006/relationships/hyperlink" Target="https://wildlife-species.az.ec.gc.ca/species-risk-registry/virtual_sara/files//cosewic/Sas-NorthernFurSeal-v00-2022-eng.pdf" TargetMode="External"/><Relationship Id="rId25" Type="http://schemas.openxmlformats.org/officeDocument/2006/relationships/hyperlink" Target="https://wildlife-species.az.ec.gc.ca/species-risk-registry/virtual_sara/files//cosewic/Sas-NorthernFurSeal-v00-2022-eng.pdf" TargetMode="External"/><Relationship Id="rId28" Type="http://schemas.openxmlformats.org/officeDocument/2006/relationships/hyperlink" Target="https://wildlife-species.az.ec.gc.ca/species-risk-registry/virtual_sara/files//cosewic/Sas-NorthernFurSeal-v00-2022-eng.pdf" TargetMode="External"/><Relationship Id="rId27" Type="http://schemas.openxmlformats.org/officeDocument/2006/relationships/hyperlink" Target="https://wildlife-species.az.ec.gc.ca/species-risk-registry/virtual_sara/files//cosewic/Sas-NorthernFurSeal-v00-2022-eng.pdf" TargetMode="External"/><Relationship Id="rId29" Type="http://schemas.openxmlformats.org/officeDocument/2006/relationships/hyperlink" Target="https://wildlife-species.az.ec.gc.ca/species-risk-registry/virtual_sara/files//cosewic/Sas-NorthernFurSeal-v00-2022-eng.pdf" TargetMode="External"/><Relationship Id="rId11" Type="http://schemas.openxmlformats.org/officeDocument/2006/relationships/hyperlink" Target="https://wildlife-species.az.ec.gc.ca/species-risk-registry/virtual_sara/files//cosewic/Sas-NorthernFurSeal-v00-2022-eng.pdf" TargetMode="External"/><Relationship Id="rId10" Type="http://schemas.openxmlformats.org/officeDocument/2006/relationships/hyperlink" Target="https://wildlife-species.az.ec.gc.ca/species-risk-registry/virtual_sara/files//cosewic/Sas-NorthernFurSeal-v00-2022-eng.pdf" TargetMode="External"/><Relationship Id="rId13" Type="http://schemas.openxmlformats.org/officeDocument/2006/relationships/hyperlink" Target="https://wildlife-species.az.ec.gc.ca/species-risk-registry/virtual_sara/files//cosewic/Sas-NorthernFurSeal-v00-2022-eng.pdf" TargetMode="External"/><Relationship Id="rId12" Type="http://schemas.openxmlformats.org/officeDocument/2006/relationships/hyperlink" Target="https://wildlife-species.az.ec.gc.ca/species-risk-registry/virtual_sara/files//cosewic/Sas-NorthernFurSeal-v00-2022-eng.pdf" TargetMode="External"/><Relationship Id="rId15" Type="http://schemas.openxmlformats.org/officeDocument/2006/relationships/hyperlink" Target="https://wildlife-species.az.ec.gc.ca/species-risk-registry/virtual_sara/files//cosewic/Sas-NorthernFurSeal-v00-2022-eng.pdf" TargetMode="External"/><Relationship Id="rId14" Type="http://schemas.openxmlformats.org/officeDocument/2006/relationships/hyperlink" Target="https://wildlife-species.az.ec.gc.ca/species-risk-registry/virtual_sara/files//cosewic/Sas-NorthernFurSeal-v00-2022-eng.pdf" TargetMode="External"/><Relationship Id="rId17" Type="http://schemas.openxmlformats.org/officeDocument/2006/relationships/hyperlink" Target="https://wildlife-species.az.ec.gc.ca/species-risk-registry/virtual_sara/files//cosewic/Sas-NorthernFurSeal-v00-2022-eng.pdf" TargetMode="External"/><Relationship Id="rId16" Type="http://schemas.openxmlformats.org/officeDocument/2006/relationships/hyperlink" Target="https://wildlife-species.az.ec.gc.ca/species-risk-registry/virtual_sara/files//cosewic/Sas-NorthernFurSeal-v00-2022-eng.pdf" TargetMode="External"/><Relationship Id="rId19" Type="http://schemas.openxmlformats.org/officeDocument/2006/relationships/hyperlink" Target="https://wildlife-species.az.ec.gc.ca/species-risk-registry/virtual_sara/files//cosewic/Sas-NorthernFurSeal-v00-2022-eng.pdf" TargetMode="External"/><Relationship Id="rId18" Type="http://schemas.openxmlformats.org/officeDocument/2006/relationships/hyperlink" Target="https://wildlife-species.az.ec.gc.ca/species-risk-registry/virtual_sara/files//cosewic/Sas-NorthernFurSeal-v00-2022-eng.pdf" TargetMode="External"/><Relationship Id="rId84" Type="http://schemas.openxmlformats.org/officeDocument/2006/relationships/hyperlink" Target="https://wildlife-species.az.ec.gc.ca/species-risk-registry/virtual_sara/files//cosewic/Sas-NorthernFurSeal-v00-2022-eng.pdf" TargetMode="External"/><Relationship Id="rId83" Type="http://schemas.openxmlformats.org/officeDocument/2006/relationships/hyperlink" Target="https://wildlife-species.az.ec.gc.ca/species-risk-registry/virtual_sara/files//cosewic/Sas-NorthernFurSeal-v00-2022-eng.pdf" TargetMode="External"/><Relationship Id="rId86" Type="http://schemas.openxmlformats.org/officeDocument/2006/relationships/hyperlink" Target="https://wildlife-species.az.ec.gc.ca/species-risk-registry/virtual_sara/files//cosewic/Sas-NorthernFurSeal-v00-2022-eng.pdf" TargetMode="External"/><Relationship Id="rId85" Type="http://schemas.openxmlformats.org/officeDocument/2006/relationships/hyperlink" Target="https://wildlife-species.az.ec.gc.ca/species-risk-registry/virtual_sara/files//cosewic/Sas-NorthernFurSeal-v00-2022-eng.pdf" TargetMode="External"/><Relationship Id="rId88" Type="http://schemas.openxmlformats.org/officeDocument/2006/relationships/hyperlink" Target="https://wildlife-species.az.ec.gc.ca/species-risk-registry/virtual_sara/files//cosewic/Sas-NorthernFurSeal-v00-2022-eng.pdf" TargetMode="External"/><Relationship Id="rId87" Type="http://schemas.openxmlformats.org/officeDocument/2006/relationships/hyperlink" Target="https://wildlife-species.az.ec.gc.ca/species-risk-registry/virtual_sara/files//cosewic/Sas-NorthernFurSeal-v00-2022-eng.pdf" TargetMode="External"/><Relationship Id="rId89" Type="http://schemas.openxmlformats.org/officeDocument/2006/relationships/hyperlink" Target="https://wildlife-species.az.ec.gc.ca/species-risk-registry/virtual_sara/files//cosewic/Sas-NorthernFurSeal-v00-2022-eng.pdf" TargetMode="External"/><Relationship Id="rId80" Type="http://schemas.openxmlformats.org/officeDocument/2006/relationships/hyperlink" Target="https://wildlife-species.az.ec.gc.ca/species-risk-registry/virtual_sara/files//cosewic/Sas-NorthernFurSeal-v00-2022-eng.pdf" TargetMode="External"/><Relationship Id="rId82" Type="http://schemas.openxmlformats.org/officeDocument/2006/relationships/hyperlink" Target="https://wildlife-species.az.ec.gc.ca/species-risk-registry/virtual_sara/files//cosewic/Sas-NorthernFurSeal-v00-2022-eng.pdf" TargetMode="External"/><Relationship Id="rId81" Type="http://schemas.openxmlformats.org/officeDocument/2006/relationships/hyperlink" Target="https://wildlife-species.az.ec.gc.ca/species-risk-registry/virtual_sara/files//cosewic/Sas-NorthernFurSeal-v00-2022-eng.pdf" TargetMode="External"/><Relationship Id="rId73" Type="http://schemas.openxmlformats.org/officeDocument/2006/relationships/hyperlink" Target="https://wildlife-species.az.ec.gc.ca/species-risk-registry/virtual_sara/files//cosewic/Sas-NorthernFurSeal-v00-2022-eng.pdf" TargetMode="External"/><Relationship Id="rId72" Type="http://schemas.openxmlformats.org/officeDocument/2006/relationships/hyperlink" Target="https://wildlife-species.az.ec.gc.ca/species-risk-registry/virtual_sara/files//cosewic/Sas-NorthernFurSeal-v00-2022-eng.pdf" TargetMode="External"/><Relationship Id="rId75" Type="http://schemas.openxmlformats.org/officeDocument/2006/relationships/hyperlink" Target="https://wildlife-species.az.ec.gc.ca/species-risk-registry/virtual_sara/files//cosewic/Sas-NorthernFurSeal-v00-2022-eng.pdf" TargetMode="External"/><Relationship Id="rId74" Type="http://schemas.openxmlformats.org/officeDocument/2006/relationships/hyperlink" Target="https://wildlife-species.az.ec.gc.ca/species-risk-registry/virtual_sara/files//cosewic/Sas-NorthernFurSeal-v00-2022-eng.pdf" TargetMode="External"/><Relationship Id="rId77" Type="http://schemas.openxmlformats.org/officeDocument/2006/relationships/hyperlink" Target="https://wildlife-species.az.ec.gc.ca/species-risk-registry/virtual_sara/files//cosewic/Sas-NorthernFurSeal-v00-2022-eng.pdf" TargetMode="External"/><Relationship Id="rId76" Type="http://schemas.openxmlformats.org/officeDocument/2006/relationships/hyperlink" Target="https://wildlife-species.az.ec.gc.ca/species-risk-registry/virtual_sara/files//cosewic/Sas-NorthernFurSeal-v00-2022-eng.pdf" TargetMode="External"/><Relationship Id="rId79" Type="http://schemas.openxmlformats.org/officeDocument/2006/relationships/hyperlink" Target="https://wildlife-species.az.ec.gc.ca/species-risk-registry/virtual_sara/files//cosewic/Sas-NorthernFurSeal-v00-2022-eng.pdf" TargetMode="External"/><Relationship Id="rId78" Type="http://schemas.openxmlformats.org/officeDocument/2006/relationships/hyperlink" Target="https://wildlife-species.az.ec.gc.ca/species-risk-registry/virtual_sara/files//cosewic/Sas-NorthernFurSeal-v00-2022-eng.pdf" TargetMode="External"/><Relationship Id="rId71" Type="http://schemas.openxmlformats.org/officeDocument/2006/relationships/hyperlink" Target="https://wildlife-species.az.ec.gc.ca/species-risk-registry/virtual_sara/files//cosewic/Sas-NorthernFurSeal-v00-2022-eng.pdf" TargetMode="External"/><Relationship Id="rId70" Type="http://schemas.openxmlformats.org/officeDocument/2006/relationships/hyperlink" Target="https://wildlife-species.az.ec.gc.ca/species-risk-registry/virtual_sara/files//cosewic/Sas-NorthernFurSeal-v00-2022-eng.pdf" TargetMode="External"/><Relationship Id="rId62" Type="http://schemas.openxmlformats.org/officeDocument/2006/relationships/hyperlink" Target="https://wildlife-species.az.ec.gc.ca/species-risk-registry/virtual_sara/files//cosewic/Sas-NorthernFurSeal-v00-2022-eng.pdf" TargetMode="External"/><Relationship Id="rId61" Type="http://schemas.openxmlformats.org/officeDocument/2006/relationships/hyperlink" Target="https://wildlife-species.az.ec.gc.ca/species-risk-registry/virtual_sara/files//cosewic/Sas-NorthernFurSeal-v00-2022-eng.pdf" TargetMode="External"/><Relationship Id="rId64" Type="http://schemas.openxmlformats.org/officeDocument/2006/relationships/hyperlink" Target="https://wildlife-species.az.ec.gc.ca/species-risk-registry/virtual_sara/files//cosewic/Sas-NorthernFurSeal-v00-2022-eng.pdf" TargetMode="External"/><Relationship Id="rId63" Type="http://schemas.openxmlformats.org/officeDocument/2006/relationships/hyperlink" Target="https://wildlife-species.az.ec.gc.ca/species-risk-registry/virtual_sara/files//cosewic/Sas-NorthernFurSeal-v00-2022-eng.pdf" TargetMode="External"/><Relationship Id="rId66" Type="http://schemas.openxmlformats.org/officeDocument/2006/relationships/hyperlink" Target="https://wildlife-species.az.ec.gc.ca/species-risk-registry/virtual_sara/files//cosewic/Sas-NorthernFurSeal-v00-2022-eng.pdf" TargetMode="External"/><Relationship Id="rId65" Type="http://schemas.openxmlformats.org/officeDocument/2006/relationships/hyperlink" Target="https://wildlife-species.az.ec.gc.ca/species-risk-registry/virtual_sara/files//cosewic/Sas-NorthernFurSeal-v00-2022-eng.pdf" TargetMode="External"/><Relationship Id="rId68" Type="http://schemas.openxmlformats.org/officeDocument/2006/relationships/hyperlink" Target="https://wildlife-species.az.ec.gc.ca/species-risk-registry/virtual_sara/files//cosewic/Sas-NorthernFurSeal-v00-2022-eng.pdf" TargetMode="External"/><Relationship Id="rId67" Type="http://schemas.openxmlformats.org/officeDocument/2006/relationships/hyperlink" Target="https://wildlife-species.az.ec.gc.ca/species-risk-registry/virtual_sara/files//cosewic/Sas-NorthernFurSeal-v00-2022-eng.pdf" TargetMode="External"/><Relationship Id="rId60" Type="http://schemas.openxmlformats.org/officeDocument/2006/relationships/hyperlink" Target="https://wildlife-species.az.ec.gc.ca/species-risk-registry/virtual_sara/files//cosewic/Sas-NorthernFurSeal-v00-2022-eng.pdf" TargetMode="External"/><Relationship Id="rId69" Type="http://schemas.openxmlformats.org/officeDocument/2006/relationships/hyperlink" Target="https://wildlife-species.az.ec.gc.ca/species-risk-registry/virtual_sara/files//cosewic/Sas-NorthernFurSeal-v00-2022-eng.pdf" TargetMode="External"/><Relationship Id="rId51" Type="http://schemas.openxmlformats.org/officeDocument/2006/relationships/hyperlink" Target="https://wildlife-species.az.ec.gc.ca/species-risk-registry/virtual_sara/files//cosewic/Sas-NorthernFurSeal-v00-2022-eng.pdf" TargetMode="External"/><Relationship Id="rId50" Type="http://schemas.openxmlformats.org/officeDocument/2006/relationships/hyperlink" Target="https://wildlife-species.az.ec.gc.ca/species-risk-registry/virtual_sara/files//cosewic/Sas-NorthernFurSeal-v00-2022-eng.pdf" TargetMode="External"/><Relationship Id="rId53" Type="http://schemas.openxmlformats.org/officeDocument/2006/relationships/hyperlink" Target="https://wildlife-species.az.ec.gc.ca/species-risk-registry/virtual_sara/files//cosewic/Sas-NorthernFurSeal-v00-2022-eng.pdf" TargetMode="External"/><Relationship Id="rId52" Type="http://schemas.openxmlformats.org/officeDocument/2006/relationships/hyperlink" Target="https://wildlife-species.az.ec.gc.ca/species-risk-registry/virtual_sara/files//cosewic/Sas-NorthernFurSeal-v00-2022-eng.pdf" TargetMode="External"/><Relationship Id="rId55" Type="http://schemas.openxmlformats.org/officeDocument/2006/relationships/hyperlink" Target="https://wildlife-species.az.ec.gc.ca/species-risk-registry/virtual_sara/files//cosewic/Sas-NorthernFurSeal-v00-2022-eng.pdf" TargetMode="External"/><Relationship Id="rId54" Type="http://schemas.openxmlformats.org/officeDocument/2006/relationships/hyperlink" Target="https://wildlife-species.az.ec.gc.ca/species-risk-registry/virtual_sara/files//cosewic/Sas-NorthernFurSeal-v00-2022-eng.pdf" TargetMode="External"/><Relationship Id="rId57" Type="http://schemas.openxmlformats.org/officeDocument/2006/relationships/hyperlink" Target="https://wildlife-species.az.ec.gc.ca/species-risk-registry/virtual_sara/files//cosewic/Sas-NorthernFurSeal-v00-2022-eng.pdf" TargetMode="External"/><Relationship Id="rId56" Type="http://schemas.openxmlformats.org/officeDocument/2006/relationships/hyperlink" Target="https://wildlife-species.az.ec.gc.ca/species-risk-registry/virtual_sara/files//cosewic/Sas-NorthernFurSeal-v00-2022-eng.pdf" TargetMode="External"/><Relationship Id="rId59" Type="http://schemas.openxmlformats.org/officeDocument/2006/relationships/hyperlink" Target="https://wildlife-species.az.ec.gc.ca/species-risk-registry/virtual_sara/files//cosewic/Sas-NorthernFurSeal-v00-2022-eng.pdf" TargetMode="External"/><Relationship Id="rId58" Type="http://schemas.openxmlformats.org/officeDocument/2006/relationships/hyperlink" Target="https://wildlife-species.az.ec.gc.ca/species-risk-registry/virtual_sara/files//cosewic/Sas-NorthernFurSeal-v00-2022-eng.pdf" TargetMode="External"/><Relationship Id="rId95" Type="http://schemas.openxmlformats.org/officeDocument/2006/relationships/hyperlink" Target="https://wildlife-species.az.ec.gc.ca/species-risk-registry/virtual_sara/files//cosewic/Sas-NorthernFurSeal-v00-2022-eng.pdf" TargetMode="External"/><Relationship Id="rId94" Type="http://schemas.openxmlformats.org/officeDocument/2006/relationships/hyperlink" Target="https://wildlife-species.az.ec.gc.ca/species-risk-registry/virtual_sara/files//cosewic/Sas-NorthernFurSeal-v00-2022-eng.pdf" TargetMode="External"/><Relationship Id="rId97" Type="http://schemas.openxmlformats.org/officeDocument/2006/relationships/hyperlink" Target="https://wildlife-species.az.ec.gc.ca/species-risk-registry/virtual_sara/files//cosewic/Sas-NorthernFurSeal-v00-2022-eng.pdf" TargetMode="External"/><Relationship Id="rId96" Type="http://schemas.openxmlformats.org/officeDocument/2006/relationships/hyperlink" Target="https://wildlife-species.az.ec.gc.ca/species-risk-registry/virtual_sara/files//cosewic/Sas-NorthernFurSeal-v00-2022-eng.pdf" TargetMode="External"/><Relationship Id="rId99" Type="http://schemas.openxmlformats.org/officeDocument/2006/relationships/hyperlink" Target="https://wildlife-species.az.ec.gc.ca/species-risk-registry/virtual_sara/files//cosewic/Sas-NorthernFurSeal-v00-2022-eng.pdf" TargetMode="External"/><Relationship Id="rId98" Type="http://schemas.openxmlformats.org/officeDocument/2006/relationships/hyperlink" Target="https://wildlife-species.az.ec.gc.ca/species-risk-registry/virtual_sara/files//cosewic/Sas-NorthernFurSeal-v00-2022-eng.pdf" TargetMode="External"/><Relationship Id="rId91" Type="http://schemas.openxmlformats.org/officeDocument/2006/relationships/hyperlink" Target="https://wildlife-species.az.ec.gc.ca/species-risk-registry/virtual_sara/files//cosewic/Sas-NorthernFurSeal-v00-2022-eng.pdf" TargetMode="External"/><Relationship Id="rId90" Type="http://schemas.openxmlformats.org/officeDocument/2006/relationships/hyperlink" Target="https://wildlife-species.az.ec.gc.ca/species-risk-registry/virtual_sara/files//cosewic/Sas-NorthernFurSeal-v00-2022-eng.pdf" TargetMode="External"/><Relationship Id="rId93" Type="http://schemas.openxmlformats.org/officeDocument/2006/relationships/hyperlink" Target="https://wildlife-species.az.ec.gc.ca/species-risk-registry/virtual_sara/files//cosewic/Sas-NorthernFurSeal-v00-2022-eng.pdf" TargetMode="External"/><Relationship Id="rId92" Type="http://schemas.openxmlformats.org/officeDocument/2006/relationships/hyperlink" Target="https://wildlife-species.az.ec.gc.ca/species-risk-registry/virtual_sara/files//cosewic/Sas-NorthernFurSeal-v00-2022-eng.pdf" TargetMode="External"/><Relationship Id="rId107" Type="http://schemas.openxmlformats.org/officeDocument/2006/relationships/hyperlink" Target="https://wildlife-species.az.ec.gc.ca/species-risk-registry/virtual_sara/files//cosewic/Sas-NorthernFurSeal-v00-2022-eng.pdf" TargetMode="External"/><Relationship Id="rId106" Type="http://schemas.openxmlformats.org/officeDocument/2006/relationships/hyperlink" Target="https://wildlife-species.az.ec.gc.ca/species-risk-registry/virtual_sara/files//cosewic/Sas-NorthernFurSeal-v00-2022-eng.pdf" TargetMode="External"/><Relationship Id="rId105" Type="http://schemas.openxmlformats.org/officeDocument/2006/relationships/hyperlink" Target="https://wildlife-species.az.ec.gc.ca/species-risk-registry/virtual_sara/files//cosewic/Sas-NorthernFurSeal-v00-2022-eng.pdf" TargetMode="External"/><Relationship Id="rId104" Type="http://schemas.openxmlformats.org/officeDocument/2006/relationships/hyperlink" Target="https://wildlife-species.az.ec.gc.ca/species-risk-registry/virtual_sara/files//cosewic/Sas-NorthernFurSeal-v00-2022-eng.pdf" TargetMode="External"/><Relationship Id="rId109" Type="http://schemas.openxmlformats.org/officeDocument/2006/relationships/hyperlink" Target="https://wildlife-species.az.ec.gc.ca/species-risk-registry/virtual_sara/files//cosewic/Sas-NorthernFurSeal-v00-2022-eng.pdf" TargetMode="External"/><Relationship Id="rId108" Type="http://schemas.openxmlformats.org/officeDocument/2006/relationships/hyperlink" Target="https://wildlife-species.az.ec.gc.ca/species-risk-registry/virtual_sara/files//cosewic/Sas-NorthernFurSeal-v00-2022-eng.pdf" TargetMode="External"/><Relationship Id="rId103" Type="http://schemas.openxmlformats.org/officeDocument/2006/relationships/hyperlink" Target="https://wildlife-species.az.ec.gc.ca/species-risk-registry/virtual_sara/files//cosewic/Sas-NorthernFurSeal-v00-2022-eng.pdf" TargetMode="External"/><Relationship Id="rId102" Type="http://schemas.openxmlformats.org/officeDocument/2006/relationships/hyperlink" Target="https://wildlife-species.az.ec.gc.ca/species-risk-registry/virtual_sara/files//cosewic/Sas-NorthernFurSeal-v00-2022-eng.pdf" TargetMode="External"/><Relationship Id="rId101" Type="http://schemas.openxmlformats.org/officeDocument/2006/relationships/hyperlink" Target="https://wildlife-species.az.ec.gc.ca/species-risk-registry/virtual_sara/files//cosewic/Sas-NorthernFurSeal-v00-2022-eng.pdf" TargetMode="External"/><Relationship Id="rId100" Type="http://schemas.openxmlformats.org/officeDocument/2006/relationships/hyperlink" Target="https://wildlife-species.az.ec.gc.ca/species-risk-registry/virtual_sara/files//cosewic/Sas-NorthernFurSeal-v00-2022-eng.pdf" TargetMode="External"/><Relationship Id="rId121" Type="http://schemas.openxmlformats.org/officeDocument/2006/relationships/hyperlink" Target="https://wildlife-species.az.ec.gc.ca/species-risk-registry/virtual_sara/files//cosewic/Sas-NorthernFurSeal-v00-2022-eng.pdf" TargetMode="External"/><Relationship Id="rId120" Type="http://schemas.openxmlformats.org/officeDocument/2006/relationships/hyperlink" Target="https://wildlife-species.az.ec.gc.ca/species-risk-registry/virtual_sara/files//cosewic/Sas-NorthernFurSeal-v00-2022-eng.pdf" TargetMode="External"/><Relationship Id="rId122" Type="http://schemas.openxmlformats.org/officeDocument/2006/relationships/drawing" Target="../drawings/drawing7.xml"/><Relationship Id="rId118" Type="http://schemas.openxmlformats.org/officeDocument/2006/relationships/hyperlink" Target="https://wildlife-species.az.ec.gc.ca/species-risk-registry/virtual_sara/files//cosewic/Sas-NorthernFurSeal-v00-2022-eng.pdf" TargetMode="External"/><Relationship Id="rId117" Type="http://schemas.openxmlformats.org/officeDocument/2006/relationships/hyperlink" Target="https://wildlife-species.az.ec.gc.ca/species-risk-registry/virtual_sara/files//cosewic/Sas-NorthernFurSeal-v00-2022-eng.pdf" TargetMode="External"/><Relationship Id="rId116" Type="http://schemas.openxmlformats.org/officeDocument/2006/relationships/hyperlink" Target="https://wildlife-species.az.ec.gc.ca/species-risk-registry/virtual_sara/files//cosewic/Sas-NorthernFurSeal-v00-2022-eng.pdf" TargetMode="External"/><Relationship Id="rId115" Type="http://schemas.openxmlformats.org/officeDocument/2006/relationships/hyperlink" Target="https://wildlife-species.az.ec.gc.ca/species-risk-registry/virtual_sara/files//cosewic/Sas-NorthernFurSeal-v00-2022-eng.pdf" TargetMode="External"/><Relationship Id="rId119" Type="http://schemas.openxmlformats.org/officeDocument/2006/relationships/hyperlink" Target="https://wildlife-species.az.ec.gc.ca/species-risk-registry/virtual_sara/files//cosewic/Sas-NorthernFurSeal-v00-2022-eng.pdf" TargetMode="External"/><Relationship Id="rId110" Type="http://schemas.openxmlformats.org/officeDocument/2006/relationships/hyperlink" Target="https://wildlife-species.az.ec.gc.ca/species-risk-registry/virtual_sara/files//cosewic/Sas-NorthernFurSeal-v00-2022-eng.pdf" TargetMode="External"/><Relationship Id="rId114" Type="http://schemas.openxmlformats.org/officeDocument/2006/relationships/hyperlink" Target="https://wildlife-species.az.ec.gc.ca/species-risk-registry/virtual_sara/files//cosewic/Sas-NorthernFurSeal-v00-2022-eng.pdf" TargetMode="External"/><Relationship Id="rId113" Type="http://schemas.openxmlformats.org/officeDocument/2006/relationships/hyperlink" Target="https://wildlife-species.az.ec.gc.ca/species-risk-registry/virtual_sara/files//cosewic/Sas-NorthernFurSeal-v00-2022-eng.pdf" TargetMode="External"/><Relationship Id="rId112" Type="http://schemas.openxmlformats.org/officeDocument/2006/relationships/hyperlink" Target="https://wildlife-species.az.ec.gc.ca/species-risk-registry/virtual_sara/files//cosewic/Sas-NorthernFurSeal-v00-2022-eng.pdf" TargetMode="External"/><Relationship Id="rId111" Type="http://schemas.openxmlformats.org/officeDocument/2006/relationships/hyperlink" Target="https://wildlife-species.az.ec.gc.ca/species-risk-registry/virtual_sara/files//cosewic/Sas-NorthernFurSeal-v00-2022-eng.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media.fisheries.noaa.gov/dam-migration/po2013sehr-owco_508.pdf" TargetMode="External"/><Relationship Id="rId2" Type="http://schemas.openxmlformats.org/officeDocument/2006/relationships/hyperlink" Target="https://media.fisheries.noaa.gov/dam-migration/po2013sehr-owco_508.pdf" TargetMode="External"/><Relationship Id="rId3" Type="http://schemas.openxmlformats.org/officeDocument/2006/relationships/hyperlink" Target="https://media.fisheries.noaa.gov/dam-migration/po2013sehr-owco_508.pdf" TargetMode="External"/><Relationship Id="rId4" Type="http://schemas.openxmlformats.org/officeDocument/2006/relationships/hyperlink" Target="https://media.fisheries.noaa.gov/dam-migration/po2013sehr-owco_508.pdf" TargetMode="External"/><Relationship Id="rId9" Type="http://schemas.openxmlformats.org/officeDocument/2006/relationships/hyperlink" Target="https://media.fisheries.noaa.gov/dam-migration/po2013sehr-owco_508.pdf" TargetMode="External"/><Relationship Id="rId5" Type="http://schemas.openxmlformats.org/officeDocument/2006/relationships/hyperlink" Target="https://media.fisheries.noaa.gov/dam-migration/po2013sehr-owco_508.pdf" TargetMode="External"/><Relationship Id="rId6" Type="http://schemas.openxmlformats.org/officeDocument/2006/relationships/hyperlink" Target="https://media.fisheries.noaa.gov/dam-migration/po2013sehr-owco_508.pdf" TargetMode="External"/><Relationship Id="rId7" Type="http://schemas.openxmlformats.org/officeDocument/2006/relationships/hyperlink" Target="https://media.fisheries.noaa.gov/dam-migration/po2013sehr-owco_508.pdf" TargetMode="External"/><Relationship Id="rId8" Type="http://schemas.openxmlformats.org/officeDocument/2006/relationships/hyperlink" Target="https://media.fisheries.noaa.gov/dam-migration/po2013sehr-owco_508.pdf" TargetMode="External"/><Relationship Id="rId40" Type="http://schemas.openxmlformats.org/officeDocument/2006/relationships/hyperlink" Target="https://media.fisheries.noaa.gov/dam-migration/po2014sehr-ca_508.pdf" TargetMode="External"/><Relationship Id="rId42" Type="http://schemas.openxmlformats.org/officeDocument/2006/relationships/hyperlink" Target="https://media.fisheries.noaa.gov/dam-migration/po2014sehr-ca_508.pdf" TargetMode="External"/><Relationship Id="rId41" Type="http://schemas.openxmlformats.org/officeDocument/2006/relationships/hyperlink" Target="https://media.fisheries.noaa.gov/dam-migration/po2014sehr-ca_508.pdf" TargetMode="External"/><Relationship Id="rId44" Type="http://schemas.openxmlformats.org/officeDocument/2006/relationships/hyperlink" Target="https://media.fisheries.noaa.gov/dam-migration/po2014sehr-ca_508.pdf" TargetMode="External"/><Relationship Id="rId43" Type="http://schemas.openxmlformats.org/officeDocument/2006/relationships/hyperlink" Target="https://media.fisheries.noaa.gov/dam-migration/po2014sehr-ca_508.pdf" TargetMode="External"/><Relationship Id="rId46" Type="http://schemas.openxmlformats.org/officeDocument/2006/relationships/hyperlink" Target="https://media.fisheries.noaa.gov/dam-migration/po2014sehr-ca_508.pdf" TargetMode="External"/><Relationship Id="rId45" Type="http://schemas.openxmlformats.org/officeDocument/2006/relationships/hyperlink" Target="https://media.fisheries.noaa.gov/dam-migration/po2014sehr-ca_508.pdf" TargetMode="External"/><Relationship Id="rId48" Type="http://schemas.openxmlformats.org/officeDocument/2006/relationships/hyperlink" Target="https://media.fisheries.noaa.gov/dam-migration/po2014sehr-ca_508.pdf" TargetMode="External"/><Relationship Id="rId47" Type="http://schemas.openxmlformats.org/officeDocument/2006/relationships/hyperlink" Target="https://media.fisheries.noaa.gov/dam-migration/po2014sehr-ca_508.pdf" TargetMode="External"/><Relationship Id="rId49" Type="http://schemas.openxmlformats.org/officeDocument/2006/relationships/hyperlink" Target="https://media.fisheries.noaa.gov/dam-migration/po2014sehr-ca_508.pdf" TargetMode="External"/><Relationship Id="rId31" Type="http://schemas.openxmlformats.org/officeDocument/2006/relationships/hyperlink" Target="https://media.fisheries.noaa.gov/dam-migration/po2013sehr-owco_508.pdf" TargetMode="External"/><Relationship Id="rId30" Type="http://schemas.openxmlformats.org/officeDocument/2006/relationships/hyperlink" Target="https://media.fisheries.noaa.gov/dam-migration/po2013sehr-owco_508.pdf" TargetMode="External"/><Relationship Id="rId33" Type="http://schemas.openxmlformats.org/officeDocument/2006/relationships/hyperlink" Target="https://media.fisheries.noaa.gov/dam-migration/po2013sehr-owco_508.pdf" TargetMode="External"/><Relationship Id="rId32" Type="http://schemas.openxmlformats.org/officeDocument/2006/relationships/hyperlink" Target="https://media.fisheries.noaa.gov/dam-migration/po2013sehr-owco_508.pdf" TargetMode="External"/><Relationship Id="rId35" Type="http://schemas.openxmlformats.org/officeDocument/2006/relationships/hyperlink" Target="https://media.fisheries.noaa.gov/dam-migration/po2014sehr-ca_508.pdf" TargetMode="External"/><Relationship Id="rId34" Type="http://schemas.openxmlformats.org/officeDocument/2006/relationships/hyperlink" Target="https://media.fisheries.noaa.gov/dam-migration/po2013sehr-owco_508.pdf" TargetMode="External"/><Relationship Id="rId37" Type="http://schemas.openxmlformats.org/officeDocument/2006/relationships/hyperlink" Target="https://media.fisheries.noaa.gov/dam-migration/po2014sehr-ca_508.pdf" TargetMode="External"/><Relationship Id="rId36" Type="http://schemas.openxmlformats.org/officeDocument/2006/relationships/hyperlink" Target="https://media.fisheries.noaa.gov/dam-migration/po2014sehr-ca_508.pdf" TargetMode="External"/><Relationship Id="rId39" Type="http://schemas.openxmlformats.org/officeDocument/2006/relationships/hyperlink" Target="https://media.fisheries.noaa.gov/dam-migration/po2014sehr-ca_508.pdf" TargetMode="External"/><Relationship Id="rId38" Type="http://schemas.openxmlformats.org/officeDocument/2006/relationships/hyperlink" Target="https://media.fisheries.noaa.gov/dam-migration/po2014sehr-ca_508.pdf" TargetMode="External"/><Relationship Id="rId20" Type="http://schemas.openxmlformats.org/officeDocument/2006/relationships/hyperlink" Target="https://media.fisheries.noaa.gov/dam-migration/po2013sehr-owco_508.pdf" TargetMode="External"/><Relationship Id="rId22" Type="http://schemas.openxmlformats.org/officeDocument/2006/relationships/hyperlink" Target="https://media.fisheries.noaa.gov/dam-migration/po2013sehr-owco_508.pdf" TargetMode="External"/><Relationship Id="rId21" Type="http://schemas.openxmlformats.org/officeDocument/2006/relationships/hyperlink" Target="https://media.fisheries.noaa.gov/dam-migration/po2013sehr-owco_508.pdf" TargetMode="External"/><Relationship Id="rId24" Type="http://schemas.openxmlformats.org/officeDocument/2006/relationships/hyperlink" Target="https://media.fisheries.noaa.gov/dam-migration/po2013sehr-owco_508.pdf" TargetMode="External"/><Relationship Id="rId23" Type="http://schemas.openxmlformats.org/officeDocument/2006/relationships/hyperlink" Target="https://media.fisheries.noaa.gov/dam-migration/po2013sehr-owco_508.pdf" TargetMode="External"/><Relationship Id="rId26" Type="http://schemas.openxmlformats.org/officeDocument/2006/relationships/hyperlink" Target="https://media.fisheries.noaa.gov/dam-migration/po2013sehr-owco_508.pdf" TargetMode="External"/><Relationship Id="rId25" Type="http://schemas.openxmlformats.org/officeDocument/2006/relationships/hyperlink" Target="https://media.fisheries.noaa.gov/dam-migration/po2013sehr-owco_508.pdf" TargetMode="External"/><Relationship Id="rId28" Type="http://schemas.openxmlformats.org/officeDocument/2006/relationships/hyperlink" Target="https://media.fisheries.noaa.gov/dam-migration/po2013sehr-owco_508.pdf" TargetMode="External"/><Relationship Id="rId27" Type="http://schemas.openxmlformats.org/officeDocument/2006/relationships/hyperlink" Target="https://media.fisheries.noaa.gov/dam-migration/po2013sehr-owco_508.pdf" TargetMode="External"/><Relationship Id="rId29" Type="http://schemas.openxmlformats.org/officeDocument/2006/relationships/hyperlink" Target="https://media.fisheries.noaa.gov/dam-migration/po2013sehr-owco_508.pdf" TargetMode="External"/><Relationship Id="rId11" Type="http://schemas.openxmlformats.org/officeDocument/2006/relationships/hyperlink" Target="https://media.fisheries.noaa.gov/dam-migration/po2013sehr-owco_508.pdf" TargetMode="External"/><Relationship Id="rId10" Type="http://schemas.openxmlformats.org/officeDocument/2006/relationships/hyperlink" Target="https://media.fisheries.noaa.gov/dam-migration/po2013sehr-owco_508.pdf" TargetMode="External"/><Relationship Id="rId13" Type="http://schemas.openxmlformats.org/officeDocument/2006/relationships/hyperlink" Target="https://media.fisheries.noaa.gov/dam-migration/po2013sehr-owco_508.pdf" TargetMode="External"/><Relationship Id="rId12" Type="http://schemas.openxmlformats.org/officeDocument/2006/relationships/hyperlink" Target="https://media.fisheries.noaa.gov/dam-migration/po2013sehr-owco_508.pdf" TargetMode="External"/><Relationship Id="rId15" Type="http://schemas.openxmlformats.org/officeDocument/2006/relationships/hyperlink" Target="https://media.fisheries.noaa.gov/dam-migration/po2013sehr-owco_508.pdf" TargetMode="External"/><Relationship Id="rId14" Type="http://schemas.openxmlformats.org/officeDocument/2006/relationships/hyperlink" Target="https://media.fisheries.noaa.gov/dam-migration/po2013sehr-owco_508.pdf" TargetMode="External"/><Relationship Id="rId17" Type="http://schemas.openxmlformats.org/officeDocument/2006/relationships/hyperlink" Target="https://media.fisheries.noaa.gov/dam-migration/po2013sehr-owco_508.pdf" TargetMode="External"/><Relationship Id="rId16" Type="http://schemas.openxmlformats.org/officeDocument/2006/relationships/hyperlink" Target="https://media.fisheries.noaa.gov/dam-migration/po2013sehr-owco_508.pdf" TargetMode="External"/><Relationship Id="rId19" Type="http://schemas.openxmlformats.org/officeDocument/2006/relationships/hyperlink" Target="https://media.fisheries.noaa.gov/dam-migration/po2013sehr-owco_508.pdf" TargetMode="External"/><Relationship Id="rId18" Type="http://schemas.openxmlformats.org/officeDocument/2006/relationships/hyperlink" Target="https://media.fisheries.noaa.gov/dam-migration/po2013sehr-owco_508.pdf" TargetMode="External"/><Relationship Id="rId84" Type="http://schemas.openxmlformats.org/officeDocument/2006/relationships/hyperlink" Target="https://media.fisheries.noaa.gov/dam-migration/po2014sehr-ca_508.pdf" TargetMode="External"/><Relationship Id="rId83" Type="http://schemas.openxmlformats.org/officeDocument/2006/relationships/hyperlink" Target="https://media.fisheries.noaa.gov/dam-migration/po2014sehr-ca_508.pdf" TargetMode="External"/><Relationship Id="rId86" Type="http://schemas.openxmlformats.org/officeDocument/2006/relationships/hyperlink" Target="https://media.fisheries.noaa.gov/dam-migration/po2014sehr-ca_508.pdf" TargetMode="External"/><Relationship Id="rId85" Type="http://schemas.openxmlformats.org/officeDocument/2006/relationships/hyperlink" Target="https://media.fisheries.noaa.gov/dam-migration/po2014sehr-ca_508.pdf" TargetMode="External"/><Relationship Id="rId87" Type="http://schemas.openxmlformats.org/officeDocument/2006/relationships/drawing" Target="../drawings/drawing9.xml"/><Relationship Id="rId80" Type="http://schemas.openxmlformats.org/officeDocument/2006/relationships/hyperlink" Target="https://media.fisheries.noaa.gov/dam-migration/po2014sehr-ca_508.pdf" TargetMode="External"/><Relationship Id="rId82" Type="http://schemas.openxmlformats.org/officeDocument/2006/relationships/hyperlink" Target="https://media.fisheries.noaa.gov/dam-migration/po2014sehr-ca_508.pdf" TargetMode="External"/><Relationship Id="rId81" Type="http://schemas.openxmlformats.org/officeDocument/2006/relationships/hyperlink" Target="https://media.fisheries.noaa.gov/dam-migration/po2014sehr-ca_508.pdf" TargetMode="External"/><Relationship Id="rId73" Type="http://schemas.openxmlformats.org/officeDocument/2006/relationships/hyperlink" Target="https://media.fisheries.noaa.gov/dam-migration/po2014sehr-ca_508.pdf" TargetMode="External"/><Relationship Id="rId72" Type="http://schemas.openxmlformats.org/officeDocument/2006/relationships/hyperlink" Target="https://media.fisheries.noaa.gov/dam-migration/po2014sehr-ca_508.pdf" TargetMode="External"/><Relationship Id="rId75" Type="http://schemas.openxmlformats.org/officeDocument/2006/relationships/hyperlink" Target="https://media.fisheries.noaa.gov/dam-migration/po2014sehr-ca_508.pdf" TargetMode="External"/><Relationship Id="rId74" Type="http://schemas.openxmlformats.org/officeDocument/2006/relationships/hyperlink" Target="https://media.fisheries.noaa.gov/dam-migration/po2014sehr-ca_508.pdf" TargetMode="External"/><Relationship Id="rId77" Type="http://schemas.openxmlformats.org/officeDocument/2006/relationships/hyperlink" Target="https://media.fisheries.noaa.gov/dam-migration/po2014sehr-ca_508.pdf" TargetMode="External"/><Relationship Id="rId76" Type="http://schemas.openxmlformats.org/officeDocument/2006/relationships/hyperlink" Target="https://media.fisheries.noaa.gov/dam-migration/po2014sehr-ca_508.pdf" TargetMode="External"/><Relationship Id="rId79" Type="http://schemas.openxmlformats.org/officeDocument/2006/relationships/hyperlink" Target="https://media.fisheries.noaa.gov/dam-migration/po2014sehr-ca_508.pdf" TargetMode="External"/><Relationship Id="rId78" Type="http://schemas.openxmlformats.org/officeDocument/2006/relationships/hyperlink" Target="https://media.fisheries.noaa.gov/dam-migration/po2014sehr-ca_508.pdf" TargetMode="External"/><Relationship Id="rId71" Type="http://schemas.openxmlformats.org/officeDocument/2006/relationships/hyperlink" Target="https://media.fisheries.noaa.gov/dam-migration/po2014sehr-ca_508.pdf" TargetMode="External"/><Relationship Id="rId70" Type="http://schemas.openxmlformats.org/officeDocument/2006/relationships/hyperlink" Target="https://media.fisheries.noaa.gov/dam-migration/po2014sehr-ca_508.pdf" TargetMode="External"/><Relationship Id="rId62" Type="http://schemas.openxmlformats.org/officeDocument/2006/relationships/hyperlink" Target="https://media.fisheries.noaa.gov/dam-migration/po2014sehr-ca_508.pdf" TargetMode="External"/><Relationship Id="rId61" Type="http://schemas.openxmlformats.org/officeDocument/2006/relationships/hyperlink" Target="https://media.fisheries.noaa.gov/dam-migration/po2014sehr-ca_508.pdf" TargetMode="External"/><Relationship Id="rId64" Type="http://schemas.openxmlformats.org/officeDocument/2006/relationships/hyperlink" Target="https://media.fisheries.noaa.gov/dam-migration/po2014sehr-ca_508.pdf" TargetMode="External"/><Relationship Id="rId63" Type="http://schemas.openxmlformats.org/officeDocument/2006/relationships/hyperlink" Target="https://media.fisheries.noaa.gov/dam-migration/po2014sehr-ca_508.pdf" TargetMode="External"/><Relationship Id="rId66" Type="http://schemas.openxmlformats.org/officeDocument/2006/relationships/hyperlink" Target="https://media.fisheries.noaa.gov/dam-migration/po2014sehr-ca_508.pdf" TargetMode="External"/><Relationship Id="rId65" Type="http://schemas.openxmlformats.org/officeDocument/2006/relationships/hyperlink" Target="https://media.fisheries.noaa.gov/dam-migration/po2014sehr-ca_508.pdf" TargetMode="External"/><Relationship Id="rId68" Type="http://schemas.openxmlformats.org/officeDocument/2006/relationships/hyperlink" Target="https://media.fisheries.noaa.gov/dam-migration/po2014sehr-ca_508.pdf" TargetMode="External"/><Relationship Id="rId67" Type="http://schemas.openxmlformats.org/officeDocument/2006/relationships/hyperlink" Target="https://media.fisheries.noaa.gov/dam-migration/po2014sehr-ca_508.pdf" TargetMode="External"/><Relationship Id="rId60" Type="http://schemas.openxmlformats.org/officeDocument/2006/relationships/hyperlink" Target="https://media.fisheries.noaa.gov/dam-migration/po2014sehr-ca_508.pdf" TargetMode="External"/><Relationship Id="rId69" Type="http://schemas.openxmlformats.org/officeDocument/2006/relationships/hyperlink" Target="https://media.fisheries.noaa.gov/dam-migration/po2014sehr-ca_508.pdf" TargetMode="External"/><Relationship Id="rId51" Type="http://schemas.openxmlformats.org/officeDocument/2006/relationships/hyperlink" Target="https://media.fisheries.noaa.gov/dam-migration/po2014sehr-ca_508.pdf" TargetMode="External"/><Relationship Id="rId50" Type="http://schemas.openxmlformats.org/officeDocument/2006/relationships/hyperlink" Target="https://media.fisheries.noaa.gov/dam-migration/po2014sehr-ca_508.pdf" TargetMode="External"/><Relationship Id="rId53" Type="http://schemas.openxmlformats.org/officeDocument/2006/relationships/hyperlink" Target="https://media.fisheries.noaa.gov/dam-migration/po2014sehr-ca_508.pdf" TargetMode="External"/><Relationship Id="rId52" Type="http://schemas.openxmlformats.org/officeDocument/2006/relationships/hyperlink" Target="https://media.fisheries.noaa.gov/dam-migration/po2014sehr-ca_508.pdf" TargetMode="External"/><Relationship Id="rId55" Type="http://schemas.openxmlformats.org/officeDocument/2006/relationships/hyperlink" Target="https://media.fisheries.noaa.gov/dam-migration/po2014sehr-ca_508.pdf" TargetMode="External"/><Relationship Id="rId54" Type="http://schemas.openxmlformats.org/officeDocument/2006/relationships/hyperlink" Target="https://media.fisheries.noaa.gov/dam-migration/po2014sehr-ca_508.pdf" TargetMode="External"/><Relationship Id="rId57" Type="http://schemas.openxmlformats.org/officeDocument/2006/relationships/hyperlink" Target="https://media.fisheries.noaa.gov/dam-migration/po2014sehr-ca_508.pdf" TargetMode="External"/><Relationship Id="rId56" Type="http://schemas.openxmlformats.org/officeDocument/2006/relationships/hyperlink" Target="https://media.fisheries.noaa.gov/dam-migration/po2014sehr-ca_508.pdf" TargetMode="External"/><Relationship Id="rId59" Type="http://schemas.openxmlformats.org/officeDocument/2006/relationships/hyperlink" Target="https://media.fisheries.noaa.gov/dam-migration/po2014sehr-ca_508.pdf" TargetMode="External"/><Relationship Id="rId58" Type="http://schemas.openxmlformats.org/officeDocument/2006/relationships/hyperlink" Target="https://media.fisheries.noaa.gov/dam-migration/po2014sehr-ca_508.pdf"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repository.library.noaa.gov/view/noaa/27826" TargetMode="External"/><Relationship Id="rId2" Type="http://schemas.openxmlformats.org/officeDocument/2006/relationships/hyperlink" Target="https://repository.library.noaa.gov/view/noaa/27104" TargetMode="External"/><Relationship Id="rId3" Type="http://schemas.openxmlformats.org/officeDocument/2006/relationships/hyperlink" Target="https://www.north-slope.org/wp-content/uploads/2022/03/Givens_et_al-2016-Environmetrics.2011_abundance_bowhead_whale_final.pdf" TargetMode="External"/><Relationship Id="rId4" Type="http://schemas.openxmlformats.org/officeDocument/2006/relationships/hyperlink" Target="https://repository.library.noaa.gov/view/noaa/27826" TargetMode="External"/><Relationship Id="rId9" Type="http://schemas.openxmlformats.org/officeDocument/2006/relationships/hyperlink" Target="https://repository.library.noaa.gov/view/noaa/27826" TargetMode="External"/><Relationship Id="rId5" Type="http://schemas.openxmlformats.org/officeDocument/2006/relationships/hyperlink" Target="https://repository.library.noaa.gov/view/noaa/54171" TargetMode="External"/><Relationship Id="rId6" Type="http://schemas.openxmlformats.org/officeDocument/2006/relationships/hyperlink" Target="https://swfsc-publications.fisheries.noaa.gov/publications/CR/2023/2023Eguchi.pdf" TargetMode="External"/><Relationship Id="rId7" Type="http://schemas.openxmlformats.org/officeDocument/2006/relationships/hyperlink" Target="https://swfsc-publications.fisheries.noaa.gov/publications/CR/2023/2023Eguchi.pdf" TargetMode="External"/><Relationship Id="rId8" Type="http://schemas.openxmlformats.org/officeDocument/2006/relationships/hyperlink" Target="https://swfsc-publications.fisheries.noaa.gov/publications/CR/2023/2023Eguchi.pdf" TargetMode="External"/><Relationship Id="rId40" Type="http://schemas.openxmlformats.org/officeDocument/2006/relationships/hyperlink" Target="https://repository.library.noaa.gov/view/noaa/32061" TargetMode="External"/><Relationship Id="rId42" Type="http://schemas.openxmlformats.org/officeDocument/2006/relationships/hyperlink" Target="https://repository.library.noaa.gov/view/noaa/32061" TargetMode="External"/><Relationship Id="rId41" Type="http://schemas.openxmlformats.org/officeDocument/2006/relationships/hyperlink" Target="https://repository.library.noaa.gov/view/noaa/32061" TargetMode="External"/><Relationship Id="rId44" Type="http://schemas.openxmlformats.org/officeDocument/2006/relationships/hyperlink" Target="https://repository.library.noaa.gov/view/noaa/27826" TargetMode="External"/><Relationship Id="rId43" Type="http://schemas.openxmlformats.org/officeDocument/2006/relationships/hyperlink" Target="https://onlinelibrary.wiley.com/doi/10.1111/ddi.12663" TargetMode="External"/><Relationship Id="rId46" Type="http://schemas.openxmlformats.org/officeDocument/2006/relationships/hyperlink" Target="http://ctfs.si.edu/Public/pdfs/LowryConditEtAl_AqMamm2014.pdf" TargetMode="External"/><Relationship Id="rId45" Type="http://schemas.openxmlformats.org/officeDocument/2006/relationships/hyperlink" Target="http://ctfs.si.edu/Public/pdfs/LowryConditEtAl_AqMamm2014.pdf" TargetMode="External"/><Relationship Id="rId48" Type="http://schemas.openxmlformats.org/officeDocument/2006/relationships/hyperlink" Target="https://repository.library.noaa.gov/view/noaa/62458" TargetMode="External"/><Relationship Id="rId47" Type="http://schemas.openxmlformats.org/officeDocument/2006/relationships/hyperlink" Target="http://ctfs.si.edu/Public/pdfs/LowryConditEtAl_AqMamm2014.pdf" TargetMode="External"/><Relationship Id="rId49" Type="http://schemas.openxmlformats.org/officeDocument/2006/relationships/hyperlink" Target="https://www.fisheries.noaa.gov/s3//2023-12/2023-SSLsurveyreport-PR2023-08.pdf" TargetMode="External"/><Relationship Id="rId31" Type="http://schemas.openxmlformats.org/officeDocument/2006/relationships/hyperlink" Target="https://repository.library.noaa.gov/view/noaa/27826" TargetMode="External"/><Relationship Id="rId30" Type="http://schemas.openxmlformats.org/officeDocument/2006/relationships/hyperlink" Target="https://repository.library.noaa.gov/view/noaa/27826" TargetMode="External"/><Relationship Id="rId33" Type="http://schemas.openxmlformats.org/officeDocument/2006/relationships/hyperlink" Target="https://repository.library.noaa.gov/view/noaa/29004" TargetMode="External"/><Relationship Id="rId32" Type="http://schemas.openxmlformats.org/officeDocument/2006/relationships/hyperlink" Target="https://repository.library.noaa.gov/view/noaa/27826" TargetMode="External"/><Relationship Id="rId35" Type="http://schemas.openxmlformats.org/officeDocument/2006/relationships/hyperlink" Target="https://repository.library.noaa.gov/view/noaa/27826" TargetMode="External"/><Relationship Id="rId34" Type="http://schemas.openxmlformats.org/officeDocument/2006/relationships/hyperlink" Target="https://repository.library.noaa.gov/view/noaa/29276" TargetMode="External"/><Relationship Id="rId37" Type="http://schemas.openxmlformats.org/officeDocument/2006/relationships/hyperlink" Target="https://repository.library.noaa.gov/view/noaa/29276" TargetMode="External"/><Relationship Id="rId36" Type="http://schemas.openxmlformats.org/officeDocument/2006/relationships/hyperlink" Target="https://repository.library.noaa.gov/view/noaa/29004" TargetMode="External"/><Relationship Id="rId39" Type="http://schemas.openxmlformats.org/officeDocument/2006/relationships/hyperlink" Target="https://repository.library.noaa.gov/view/noaa/32061" TargetMode="External"/><Relationship Id="rId38" Type="http://schemas.openxmlformats.org/officeDocument/2006/relationships/hyperlink" Target="https://repository.library.noaa.gov/view/noaa/27826" TargetMode="External"/><Relationship Id="rId20" Type="http://schemas.openxmlformats.org/officeDocument/2006/relationships/hyperlink" Target="https://swfsc-publications.fisheries.noaa.gov/publications/TM/SWFSC/NOAA-TM-NMFS-SWFSC-585.pdf" TargetMode="External"/><Relationship Id="rId22" Type="http://schemas.openxmlformats.org/officeDocument/2006/relationships/hyperlink" Target="https://repository.library.noaa.gov/view/noaa/8690" TargetMode="External"/><Relationship Id="rId21" Type="http://schemas.openxmlformats.org/officeDocument/2006/relationships/hyperlink" Target="https://www.adfg.alaska.gov/static/home/library/pdfs/wildlife/research_pdfs/status_belukha_whales_cook_inlet_ch_15_donald_calkins.pdf" TargetMode="External"/><Relationship Id="rId24" Type="http://schemas.openxmlformats.org/officeDocument/2006/relationships/hyperlink" Target="https://apps-afsc.fisheries.noaa.gov/documents/PR2019-09.pdf" TargetMode="External"/><Relationship Id="rId23" Type="http://schemas.openxmlformats.org/officeDocument/2006/relationships/hyperlink" Target="https://spo.nmfs.noaa.gov/sites/default/files/pdf-content/MFR/mfr771/mfr7712.pdf" TargetMode="External"/><Relationship Id="rId26" Type="http://schemas.openxmlformats.org/officeDocument/2006/relationships/hyperlink" Target="https://repository.library.noaa.gov/view/noaa/24756" TargetMode="External"/><Relationship Id="rId25" Type="http://schemas.openxmlformats.org/officeDocument/2006/relationships/hyperlink" Target="https://repository.library.noaa.gov/view/noaa/24756" TargetMode="External"/><Relationship Id="rId28" Type="http://schemas.openxmlformats.org/officeDocument/2006/relationships/hyperlink" Target="https://repository.library.noaa.gov/view/noaa/29004" TargetMode="External"/><Relationship Id="rId27" Type="http://schemas.openxmlformats.org/officeDocument/2006/relationships/hyperlink" Target="https://www.mmc.gov/priority-topics/species-of-concern/southern-resident-killer-whale/population/" TargetMode="External"/><Relationship Id="rId29" Type="http://schemas.openxmlformats.org/officeDocument/2006/relationships/hyperlink" Target="https://repository.library.noaa.gov/view/noaa/29276" TargetMode="External"/><Relationship Id="rId11" Type="http://schemas.openxmlformats.org/officeDocument/2006/relationships/hyperlink" Target="https://repository.library.noaa.gov/view/noaa/22947" TargetMode="External"/><Relationship Id="rId10" Type="http://schemas.openxmlformats.org/officeDocument/2006/relationships/hyperlink" Target="https://repository.library.noaa.gov/view/noaa/27104" TargetMode="External"/><Relationship Id="rId13" Type="http://schemas.openxmlformats.org/officeDocument/2006/relationships/hyperlink" Target="https://repository.library.noaa.gov/view/noaa/22947" TargetMode="External"/><Relationship Id="rId12" Type="http://schemas.openxmlformats.org/officeDocument/2006/relationships/hyperlink" Target="https://repository.library.noaa.gov/view/noaa/22947" TargetMode="External"/><Relationship Id="rId15" Type="http://schemas.openxmlformats.org/officeDocument/2006/relationships/hyperlink" Target="https://repository.library.noaa.gov/view/noaa/27826" TargetMode="External"/><Relationship Id="rId14" Type="http://schemas.openxmlformats.org/officeDocument/2006/relationships/hyperlink" Target="https://swfsc-publications.fisheries.noaa.gov/publications/TM/SWFSC/NOAA-TM-NMFS-SWFSC-585.pdf" TargetMode="External"/><Relationship Id="rId17" Type="http://schemas.openxmlformats.org/officeDocument/2006/relationships/hyperlink" Target="https://repository.library.noaa.gov/view/noaa/41020" TargetMode="External"/><Relationship Id="rId16" Type="http://schemas.openxmlformats.org/officeDocument/2006/relationships/hyperlink" Target="https://swfsc-publications.fisheries.noaa.gov/publications/TM/SWFSC/NOAA-TM-NMFS-SWFSC-585.pdf" TargetMode="External"/><Relationship Id="rId19" Type="http://schemas.openxmlformats.org/officeDocument/2006/relationships/hyperlink" Target="https://repository.library.noaa.gov/view/noaa/27826" TargetMode="External"/><Relationship Id="rId18" Type="http://schemas.openxmlformats.org/officeDocument/2006/relationships/hyperlink" Target="https://swfsc-publications.fisheries.noaa.gov/publications/TM/SWFSC/NOAA-TM-NMFS-SWFSC-585.pdf" TargetMode="External"/><Relationship Id="rId61" Type="http://schemas.openxmlformats.org/officeDocument/2006/relationships/drawing" Target="../drawings/drawing10.xml"/><Relationship Id="rId60" Type="http://schemas.openxmlformats.org/officeDocument/2006/relationships/hyperlink" Target="https://www.fws.gov/sites/default/files/documents/SeaOtter_WASURV2016.pdf" TargetMode="External"/><Relationship Id="rId51" Type="http://schemas.openxmlformats.org/officeDocument/2006/relationships/hyperlink" Target="https://www.fisheries.noaa.gov/s3//2023-12/2023-SSLsurveyreport-PR2023-08.pdf" TargetMode="External"/><Relationship Id="rId50" Type="http://schemas.openxmlformats.org/officeDocument/2006/relationships/hyperlink" Target="https://www.fisheries.noaa.gov/s3//2023-12/2023-SSLsurveyreport-PR2023-08.pdf" TargetMode="External"/><Relationship Id="rId53" Type="http://schemas.openxmlformats.org/officeDocument/2006/relationships/hyperlink" Target="https://www.researchgate.net/publication/229660031_Trends_in_abundance_and_current_status_of_harbor_seals_in_Oregon_1977-2003/link/5c82963a299bf1268d485024/download?_tp=eyJjb250ZXh0Ijp7ImZpcnN0UGFnZSI6InB1YmxpY2F0aW9uIiwicGFnZSI6InB1YmxpY2F0aW9uIn19" TargetMode="External"/><Relationship Id="rId52" Type="http://schemas.openxmlformats.org/officeDocument/2006/relationships/hyperlink" Target="https://www.fisheries.noaa.gov/s3//2023-12/2023-SSLsurveyreport-PR2023-08.pdf" TargetMode="External"/><Relationship Id="rId55" Type="http://schemas.openxmlformats.org/officeDocument/2006/relationships/hyperlink" Target="https://swfsc-publications.fisheries.noaa.gov/publications/CR/2008/08Low.pdf" TargetMode="External"/><Relationship Id="rId54" Type="http://schemas.openxmlformats.org/officeDocument/2006/relationships/hyperlink" Target="https://wdfw.wa.gov/sites/default/files/publications/00431/wdfw00431.pdf" TargetMode="External"/><Relationship Id="rId57" Type="http://schemas.openxmlformats.org/officeDocument/2006/relationships/hyperlink" Target="https://swfsc-publications.fisheries.noaa.gov/publications/CR/2008/08Low.pdf" TargetMode="External"/><Relationship Id="rId56" Type="http://schemas.openxmlformats.org/officeDocument/2006/relationships/hyperlink" Target="https://swfsc-publications.fisheries.noaa.gov/publications/CR/2008/08Low.pdf" TargetMode="External"/><Relationship Id="rId59" Type="http://schemas.openxmlformats.org/officeDocument/2006/relationships/hyperlink" Target="https://pubs.usgs.gov/ds/1118/ds1118.pdf" TargetMode="External"/><Relationship Id="rId58" Type="http://schemas.openxmlformats.org/officeDocument/2006/relationships/hyperlink" Target="https://wdfw.wa.gov/sites/default/files/publications/00431/wdfw00431.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21.38"/>
    <col customWidth="1" min="3" max="3" width="26.38"/>
  </cols>
  <sheetData>
    <row r="1">
      <c r="A1" s="2" t="s">
        <v>0</v>
      </c>
      <c r="B1" s="2" t="s">
        <v>5</v>
      </c>
      <c r="C1" s="2" t="s">
        <v>7</v>
      </c>
      <c r="D1" s="4"/>
      <c r="E1" s="4"/>
      <c r="F1" s="4"/>
      <c r="G1" s="4"/>
      <c r="H1" s="4"/>
      <c r="I1" s="4"/>
      <c r="J1" s="4"/>
      <c r="K1" s="4"/>
      <c r="L1" s="4"/>
      <c r="M1" s="4"/>
      <c r="N1" s="4"/>
      <c r="O1" s="4"/>
      <c r="P1" s="4"/>
      <c r="Q1" s="4"/>
      <c r="R1" s="4"/>
      <c r="S1" s="4"/>
      <c r="T1" s="4"/>
      <c r="U1" s="4"/>
      <c r="V1" s="4"/>
      <c r="W1" s="4"/>
      <c r="X1" s="4"/>
      <c r="Y1" s="4"/>
      <c r="Z1" s="4"/>
    </row>
    <row r="2">
      <c r="A2" s="7" t="s">
        <v>14</v>
      </c>
      <c r="B2" s="7" t="s">
        <v>15</v>
      </c>
      <c r="C2" s="7" t="s">
        <v>16</v>
      </c>
      <c r="D2" s="7" t="s">
        <v>17</v>
      </c>
      <c r="E2" s="8"/>
      <c r="F2" s="8"/>
      <c r="G2" s="8"/>
      <c r="H2" s="8"/>
      <c r="I2" s="8"/>
      <c r="J2" s="8"/>
      <c r="K2" s="8"/>
      <c r="L2" s="8"/>
      <c r="M2" s="8"/>
      <c r="N2" s="8"/>
      <c r="O2" s="8"/>
      <c r="P2" s="8"/>
      <c r="Q2" s="8"/>
      <c r="R2" s="8"/>
      <c r="S2" s="8"/>
      <c r="T2" s="8"/>
      <c r="U2" s="8"/>
      <c r="V2" s="8"/>
      <c r="W2" s="8"/>
      <c r="X2" s="8"/>
      <c r="Y2" s="8"/>
      <c r="Z2" s="8"/>
    </row>
    <row r="3">
      <c r="A3" s="7" t="s">
        <v>18</v>
      </c>
      <c r="B3" s="7" t="s">
        <v>15</v>
      </c>
      <c r="C3" s="7" t="s">
        <v>16</v>
      </c>
      <c r="D3" s="8"/>
      <c r="E3" s="8"/>
      <c r="F3" s="8"/>
      <c r="G3" s="8"/>
      <c r="H3" s="8"/>
      <c r="I3" s="8"/>
      <c r="J3" s="8"/>
      <c r="K3" s="8"/>
      <c r="L3" s="8"/>
      <c r="M3" s="8"/>
      <c r="N3" s="8"/>
      <c r="O3" s="8"/>
      <c r="P3" s="8"/>
      <c r="Q3" s="8"/>
      <c r="R3" s="8"/>
      <c r="S3" s="8"/>
      <c r="T3" s="8"/>
      <c r="U3" s="8"/>
      <c r="V3" s="8"/>
      <c r="W3" s="8"/>
      <c r="X3" s="8"/>
      <c r="Y3" s="8"/>
      <c r="Z3" s="8"/>
    </row>
    <row r="4">
      <c r="A4" s="11" t="s">
        <v>24</v>
      </c>
      <c r="B4" s="11" t="s">
        <v>15</v>
      </c>
      <c r="C4" s="11" t="s">
        <v>16</v>
      </c>
    </row>
    <row r="5">
      <c r="A5" s="13" t="s">
        <v>25</v>
      </c>
      <c r="B5" s="13" t="s">
        <v>15</v>
      </c>
      <c r="C5" s="13" t="s">
        <v>16</v>
      </c>
      <c r="D5" s="13" t="s">
        <v>27</v>
      </c>
      <c r="E5" s="14"/>
      <c r="F5" s="14"/>
      <c r="G5" s="14"/>
      <c r="H5" s="14"/>
      <c r="I5" s="14"/>
      <c r="J5" s="14"/>
      <c r="K5" s="14"/>
      <c r="L5" s="14"/>
      <c r="M5" s="14"/>
      <c r="N5" s="14"/>
      <c r="O5" s="14"/>
      <c r="P5" s="14"/>
      <c r="Q5" s="14"/>
      <c r="R5" s="14"/>
      <c r="S5" s="14"/>
      <c r="T5" s="14"/>
      <c r="U5" s="14"/>
      <c r="V5" s="14"/>
      <c r="W5" s="14"/>
      <c r="X5" s="14"/>
      <c r="Y5" s="14"/>
      <c r="Z5" s="14"/>
    </row>
    <row r="6">
      <c r="A6" s="7" t="s">
        <v>28</v>
      </c>
      <c r="B6" s="7" t="s">
        <v>15</v>
      </c>
      <c r="C6" s="7" t="s">
        <v>16</v>
      </c>
      <c r="D6" s="7" t="s">
        <v>29</v>
      </c>
      <c r="E6" s="8"/>
      <c r="F6" s="8"/>
      <c r="G6" s="8"/>
      <c r="H6" s="8"/>
      <c r="I6" s="8"/>
      <c r="J6" s="8"/>
      <c r="K6" s="8"/>
      <c r="L6" s="8"/>
      <c r="M6" s="8"/>
      <c r="N6" s="8"/>
      <c r="O6" s="8"/>
      <c r="P6" s="8"/>
      <c r="Q6" s="8"/>
      <c r="R6" s="8"/>
      <c r="S6" s="8"/>
      <c r="T6" s="8"/>
      <c r="U6" s="8"/>
      <c r="V6" s="8"/>
      <c r="W6" s="8"/>
      <c r="X6" s="8"/>
      <c r="Y6" s="8"/>
      <c r="Z6" s="8"/>
    </row>
    <row r="7">
      <c r="A7" s="11" t="s">
        <v>30</v>
      </c>
      <c r="B7" s="11" t="s">
        <v>15</v>
      </c>
      <c r="C7" s="11" t="s">
        <v>16</v>
      </c>
      <c r="D7" s="11" t="s">
        <v>29</v>
      </c>
    </row>
    <row r="8">
      <c r="A8" s="13" t="s">
        <v>31</v>
      </c>
      <c r="B8" s="13" t="s">
        <v>15</v>
      </c>
      <c r="C8" s="13" t="s">
        <v>16</v>
      </c>
      <c r="D8" s="13" t="s">
        <v>32</v>
      </c>
      <c r="E8" s="14"/>
      <c r="F8" s="14"/>
      <c r="G8" s="14"/>
      <c r="H8" s="14"/>
      <c r="I8" s="14"/>
      <c r="J8" s="14"/>
      <c r="K8" s="14"/>
      <c r="L8" s="14"/>
      <c r="M8" s="14"/>
      <c r="N8" s="14"/>
      <c r="O8" s="14"/>
      <c r="P8" s="14"/>
      <c r="Q8" s="14"/>
      <c r="R8" s="14"/>
      <c r="S8" s="14"/>
      <c r="T8" s="14"/>
      <c r="U8" s="14"/>
      <c r="V8" s="14"/>
      <c r="W8" s="14"/>
      <c r="X8" s="14"/>
      <c r="Y8" s="14"/>
      <c r="Z8" s="14"/>
    </row>
    <row r="9">
      <c r="A9" s="13" t="s">
        <v>34</v>
      </c>
      <c r="B9" s="13" t="s">
        <v>15</v>
      </c>
      <c r="C9" s="13" t="s">
        <v>16</v>
      </c>
      <c r="D9" s="13" t="s">
        <v>32</v>
      </c>
      <c r="E9" s="14"/>
      <c r="F9" s="14"/>
      <c r="G9" s="14"/>
      <c r="H9" s="14"/>
      <c r="I9" s="14"/>
      <c r="J9" s="14"/>
      <c r="K9" s="14"/>
      <c r="L9" s="14"/>
      <c r="M9" s="14"/>
      <c r="N9" s="14"/>
      <c r="O9" s="14"/>
      <c r="P9" s="14"/>
      <c r="Q9" s="14"/>
      <c r="R9" s="14"/>
      <c r="S9" s="14"/>
      <c r="T9" s="14"/>
      <c r="U9" s="14"/>
      <c r="V9" s="14"/>
      <c r="W9" s="14"/>
      <c r="X9" s="14"/>
      <c r="Y9" s="14"/>
      <c r="Z9" s="14"/>
    </row>
    <row r="10">
      <c r="A10" s="13" t="s">
        <v>37</v>
      </c>
      <c r="B10" s="13" t="s">
        <v>15</v>
      </c>
      <c r="C10" s="13" t="s">
        <v>16</v>
      </c>
      <c r="D10" s="13" t="s">
        <v>32</v>
      </c>
      <c r="E10" s="14"/>
      <c r="F10" s="14"/>
      <c r="G10" s="14"/>
      <c r="H10" s="14"/>
      <c r="I10" s="14"/>
      <c r="J10" s="14"/>
      <c r="K10" s="14"/>
      <c r="L10" s="14"/>
      <c r="M10" s="14"/>
      <c r="N10" s="14"/>
      <c r="O10" s="14"/>
      <c r="P10" s="14"/>
      <c r="Q10" s="14"/>
      <c r="R10" s="14"/>
      <c r="S10" s="14"/>
      <c r="T10" s="14"/>
      <c r="U10" s="14"/>
      <c r="V10" s="14"/>
      <c r="W10" s="14"/>
      <c r="X10" s="14"/>
      <c r="Y10" s="14"/>
      <c r="Z10" s="14"/>
    </row>
    <row r="11">
      <c r="A11" s="13" t="s">
        <v>41</v>
      </c>
      <c r="B11" s="13" t="s">
        <v>15</v>
      </c>
      <c r="C11" s="13" t="s">
        <v>16</v>
      </c>
      <c r="D11" s="13" t="s">
        <v>32</v>
      </c>
      <c r="E11" s="14"/>
      <c r="F11" s="14"/>
      <c r="G11" s="14"/>
      <c r="H11" s="14"/>
      <c r="I11" s="14"/>
      <c r="J11" s="14"/>
      <c r="K11" s="14"/>
      <c r="L11" s="14"/>
      <c r="M11" s="14"/>
      <c r="N11" s="14"/>
      <c r="O11" s="14"/>
      <c r="P11" s="14"/>
      <c r="Q11" s="14"/>
      <c r="R11" s="14"/>
      <c r="S11" s="14"/>
      <c r="T11" s="14"/>
      <c r="U11" s="14"/>
      <c r="V11" s="14"/>
      <c r="W11" s="14"/>
      <c r="X11" s="14"/>
      <c r="Y11" s="14"/>
      <c r="Z11" s="14"/>
    </row>
    <row r="12">
      <c r="A12" s="16" t="s">
        <v>42</v>
      </c>
      <c r="B12" s="16" t="s">
        <v>46</v>
      </c>
      <c r="C12" s="16" t="s">
        <v>47</v>
      </c>
      <c r="D12" s="17"/>
      <c r="E12" s="17"/>
      <c r="F12" s="17"/>
      <c r="G12" s="17"/>
      <c r="H12" s="17"/>
      <c r="I12" s="17"/>
      <c r="J12" s="17"/>
      <c r="K12" s="17"/>
      <c r="L12" s="17"/>
      <c r="M12" s="17"/>
      <c r="N12" s="17"/>
      <c r="O12" s="17"/>
      <c r="P12" s="17"/>
      <c r="Q12" s="17"/>
      <c r="R12" s="17"/>
      <c r="S12" s="17"/>
      <c r="T12" s="17"/>
      <c r="U12" s="17"/>
      <c r="V12" s="17"/>
      <c r="W12" s="17"/>
      <c r="X12" s="17"/>
      <c r="Y12" s="17"/>
      <c r="Z12" s="17"/>
    </row>
    <row r="13">
      <c r="A13" s="9" t="s">
        <v>49</v>
      </c>
      <c r="B13" s="9" t="s">
        <v>15</v>
      </c>
      <c r="C13" s="9" t="s">
        <v>50</v>
      </c>
      <c r="D13" s="9" t="s">
        <v>52</v>
      </c>
      <c r="E13" s="20"/>
      <c r="F13" s="20"/>
      <c r="G13" s="20"/>
      <c r="H13" s="20"/>
      <c r="I13" s="20"/>
      <c r="J13" s="20"/>
      <c r="K13" s="20"/>
      <c r="L13" s="20"/>
      <c r="M13" s="20"/>
      <c r="N13" s="20"/>
      <c r="O13" s="20"/>
      <c r="P13" s="20"/>
      <c r="Q13" s="20"/>
      <c r="R13" s="20"/>
      <c r="S13" s="20"/>
      <c r="T13" s="20"/>
      <c r="U13" s="20"/>
      <c r="V13" s="20"/>
      <c r="W13" s="20"/>
      <c r="X13" s="20"/>
      <c r="Y13" s="20"/>
      <c r="Z13" s="20"/>
    </row>
    <row r="14">
      <c r="A14" s="9" t="s">
        <v>55</v>
      </c>
      <c r="B14" s="9" t="s">
        <v>15</v>
      </c>
      <c r="C14" s="9" t="s">
        <v>50</v>
      </c>
      <c r="D14" s="9" t="s">
        <v>52</v>
      </c>
      <c r="E14" s="20"/>
      <c r="F14" s="20"/>
      <c r="G14" s="20"/>
      <c r="H14" s="20"/>
      <c r="I14" s="20"/>
      <c r="J14" s="20"/>
      <c r="K14" s="20"/>
      <c r="L14" s="20"/>
      <c r="M14" s="20"/>
      <c r="N14" s="20"/>
      <c r="O14" s="20"/>
      <c r="P14" s="20"/>
      <c r="Q14" s="20"/>
      <c r="R14" s="20"/>
      <c r="S14" s="20"/>
      <c r="T14" s="20"/>
      <c r="U14" s="20"/>
      <c r="V14" s="20"/>
      <c r="W14" s="20"/>
      <c r="X14" s="20"/>
      <c r="Y14" s="20"/>
      <c r="Z14" s="20"/>
    </row>
    <row r="15">
      <c r="A15" s="16" t="s">
        <v>59</v>
      </c>
      <c r="B15" s="16" t="s">
        <v>46</v>
      </c>
      <c r="C15" s="16" t="s">
        <v>47</v>
      </c>
      <c r="D15" s="17"/>
      <c r="E15" s="17"/>
      <c r="F15" s="17"/>
      <c r="G15" s="17"/>
      <c r="H15" s="17"/>
      <c r="I15" s="17"/>
      <c r="J15" s="17"/>
      <c r="K15" s="17"/>
      <c r="L15" s="17"/>
      <c r="M15" s="17"/>
      <c r="N15" s="17"/>
      <c r="O15" s="17"/>
      <c r="P15" s="17"/>
      <c r="Q15" s="17"/>
      <c r="R15" s="17"/>
      <c r="S15" s="17"/>
      <c r="T15" s="17"/>
      <c r="U15" s="17"/>
      <c r="V15" s="17"/>
      <c r="W15" s="17"/>
      <c r="X15" s="17"/>
      <c r="Y15" s="17"/>
      <c r="Z15" s="17"/>
    </row>
    <row r="16">
      <c r="A16" s="9" t="s">
        <v>64</v>
      </c>
      <c r="B16" s="9" t="s">
        <v>15</v>
      </c>
      <c r="C16" s="9" t="s">
        <v>16</v>
      </c>
      <c r="D16" s="9" t="s">
        <v>65</v>
      </c>
      <c r="E16" s="20"/>
      <c r="F16" s="20"/>
      <c r="G16" s="20"/>
      <c r="H16" s="20"/>
      <c r="I16" s="20"/>
      <c r="J16" s="20"/>
      <c r="K16" s="20"/>
      <c r="L16" s="20"/>
      <c r="M16" s="20"/>
      <c r="N16" s="20"/>
      <c r="O16" s="20"/>
      <c r="P16" s="20"/>
      <c r="Q16" s="20"/>
      <c r="R16" s="20"/>
      <c r="S16" s="20"/>
      <c r="T16" s="20"/>
      <c r="U16" s="20"/>
      <c r="V16" s="20"/>
      <c r="W16" s="20"/>
      <c r="X16" s="20"/>
      <c r="Y16" s="20"/>
      <c r="Z16" s="20"/>
    </row>
    <row r="17">
      <c r="A17" s="9" t="s">
        <v>69</v>
      </c>
      <c r="B17" s="9" t="s">
        <v>15</v>
      </c>
      <c r="C17" s="9" t="s">
        <v>50</v>
      </c>
      <c r="D17" s="9" t="s">
        <v>52</v>
      </c>
      <c r="E17" s="20"/>
      <c r="F17" s="20"/>
      <c r="G17" s="20"/>
      <c r="H17" s="20"/>
      <c r="I17" s="20"/>
      <c r="J17" s="20"/>
      <c r="K17" s="20"/>
      <c r="L17" s="20"/>
      <c r="M17" s="20"/>
      <c r="N17" s="20"/>
      <c r="O17" s="20"/>
      <c r="P17" s="20"/>
      <c r="Q17" s="20"/>
      <c r="R17" s="20"/>
      <c r="S17" s="20"/>
      <c r="T17" s="20"/>
      <c r="U17" s="20"/>
      <c r="V17" s="20"/>
      <c r="W17" s="20"/>
      <c r="X17" s="20"/>
      <c r="Y17" s="20"/>
      <c r="Z17" s="20"/>
    </row>
    <row r="18">
      <c r="A18" s="9" t="s">
        <v>75</v>
      </c>
      <c r="B18" s="9" t="s">
        <v>15</v>
      </c>
      <c r="C18" s="9" t="s">
        <v>50</v>
      </c>
      <c r="D18" s="9" t="s">
        <v>52</v>
      </c>
      <c r="E18" s="20"/>
      <c r="F18" s="20"/>
      <c r="G18" s="20"/>
      <c r="H18" s="20"/>
      <c r="I18" s="20"/>
      <c r="J18" s="20"/>
      <c r="K18" s="20"/>
      <c r="L18" s="20"/>
      <c r="M18" s="20"/>
      <c r="N18" s="20"/>
      <c r="O18" s="20"/>
      <c r="P18" s="20"/>
      <c r="Q18" s="20"/>
      <c r="R18" s="20"/>
      <c r="S18" s="20"/>
      <c r="T18" s="20"/>
      <c r="U18" s="20"/>
      <c r="V18" s="20"/>
      <c r="W18" s="20"/>
      <c r="X18" s="20"/>
      <c r="Y18" s="20"/>
      <c r="Z18" s="20"/>
    </row>
    <row r="19">
      <c r="A19" s="9" t="s">
        <v>78</v>
      </c>
      <c r="B19" s="9" t="s">
        <v>15</v>
      </c>
      <c r="C19" s="9" t="s">
        <v>50</v>
      </c>
      <c r="D19" s="9" t="s">
        <v>52</v>
      </c>
      <c r="E19" s="20"/>
      <c r="F19" s="20"/>
      <c r="G19" s="20"/>
      <c r="H19" s="20"/>
      <c r="I19" s="20"/>
      <c r="J19" s="20"/>
      <c r="K19" s="20"/>
      <c r="L19" s="20"/>
      <c r="M19" s="20"/>
      <c r="N19" s="20"/>
      <c r="O19" s="20"/>
      <c r="P19" s="20"/>
      <c r="Q19" s="20"/>
      <c r="R19" s="20"/>
      <c r="S19" s="20"/>
      <c r="T19" s="20"/>
      <c r="U19" s="20"/>
      <c r="V19" s="20"/>
      <c r="W19" s="20"/>
      <c r="X19" s="20"/>
      <c r="Y19" s="20"/>
      <c r="Z19" s="20"/>
    </row>
    <row r="20">
      <c r="A20" s="9" t="s">
        <v>82</v>
      </c>
      <c r="B20" s="9" t="s">
        <v>15</v>
      </c>
      <c r="C20" s="9" t="s">
        <v>50</v>
      </c>
      <c r="D20" s="9" t="s">
        <v>52</v>
      </c>
      <c r="E20" s="20"/>
      <c r="F20" s="20"/>
      <c r="G20" s="20"/>
      <c r="H20" s="20"/>
      <c r="I20" s="20"/>
      <c r="J20" s="20"/>
      <c r="K20" s="20"/>
      <c r="L20" s="20"/>
      <c r="M20" s="20"/>
      <c r="N20" s="20"/>
      <c r="O20" s="20"/>
      <c r="P20" s="20"/>
      <c r="Q20" s="20"/>
      <c r="R20" s="20"/>
      <c r="S20" s="20"/>
      <c r="T20" s="20"/>
      <c r="U20" s="20"/>
      <c r="V20" s="20"/>
      <c r="W20" s="20"/>
      <c r="X20" s="20"/>
      <c r="Y20" s="20"/>
      <c r="Z20" s="20"/>
    </row>
    <row r="21">
      <c r="A21" s="9" t="s">
        <v>87</v>
      </c>
      <c r="B21" s="9" t="s">
        <v>15</v>
      </c>
      <c r="C21" s="9" t="s">
        <v>50</v>
      </c>
      <c r="D21" s="9" t="s">
        <v>52</v>
      </c>
      <c r="E21" s="20"/>
      <c r="F21" s="20"/>
      <c r="G21" s="20"/>
      <c r="H21" s="20"/>
      <c r="I21" s="20"/>
      <c r="J21" s="20"/>
      <c r="K21" s="20"/>
      <c r="L21" s="20"/>
      <c r="M21" s="20"/>
      <c r="N21" s="20"/>
      <c r="O21" s="20"/>
      <c r="P21" s="20"/>
      <c r="Q21" s="20"/>
      <c r="R21" s="20"/>
      <c r="S21" s="20"/>
      <c r="T21" s="20"/>
      <c r="U21" s="20"/>
      <c r="V21" s="20"/>
      <c r="W21" s="20"/>
      <c r="X21" s="20"/>
      <c r="Y21" s="20"/>
      <c r="Z21" s="20"/>
    </row>
    <row r="22">
      <c r="A22" s="16" t="s">
        <v>93</v>
      </c>
      <c r="B22" s="16" t="s">
        <v>46</v>
      </c>
      <c r="C22" s="16" t="s">
        <v>47</v>
      </c>
      <c r="D22" s="17"/>
      <c r="E22" s="17"/>
      <c r="F22" s="17"/>
      <c r="G22" s="17"/>
      <c r="H22" s="17"/>
      <c r="I22" s="17"/>
      <c r="J22" s="17"/>
      <c r="K22" s="17"/>
      <c r="L22" s="17"/>
      <c r="M22" s="17"/>
      <c r="N22" s="17"/>
      <c r="O22" s="17"/>
      <c r="P22" s="17"/>
      <c r="Q22" s="17"/>
      <c r="R22" s="17"/>
      <c r="S22" s="17"/>
      <c r="T22" s="17"/>
      <c r="U22" s="17"/>
      <c r="V22" s="17"/>
      <c r="W22" s="17"/>
      <c r="X22" s="17"/>
      <c r="Y22" s="17"/>
      <c r="Z22" s="17"/>
    </row>
    <row r="23">
      <c r="A23" s="9" t="s">
        <v>97</v>
      </c>
      <c r="B23" s="9" t="s">
        <v>15</v>
      </c>
      <c r="C23" s="9" t="s">
        <v>16</v>
      </c>
      <c r="D23" s="9" t="s">
        <v>98</v>
      </c>
      <c r="E23" s="20"/>
      <c r="F23" s="20"/>
      <c r="G23" s="20"/>
      <c r="H23" s="20"/>
      <c r="I23" s="20"/>
      <c r="J23" s="20"/>
      <c r="K23" s="20"/>
      <c r="L23" s="20"/>
      <c r="M23" s="20"/>
      <c r="N23" s="20"/>
      <c r="O23" s="20"/>
      <c r="P23" s="20"/>
      <c r="Q23" s="20"/>
      <c r="R23" s="20"/>
      <c r="S23" s="20"/>
      <c r="T23" s="20"/>
      <c r="U23" s="20"/>
      <c r="V23" s="20"/>
      <c r="W23" s="20"/>
      <c r="X23" s="20"/>
      <c r="Y23" s="20"/>
      <c r="Z23" s="20"/>
    </row>
    <row r="24">
      <c r="A24" s="16" t="s">
        <v>101</v>
      </c>
      <c r="B24" s="16" t="s">
        <v>46</v>
      </c>
      <c r="C24" s="16" t="s">
        <v>47</v>
      </c>
      <c r="D24" s="17"/>
      <c r="E24" s="17"/>
      <c r="F24" s="17"/>
      <c r="G24" s="17"/>
      <c r="H24" s="17"/>
      <c r="I24" s="17"/>
      <c r="J24" s="17"/>
      <c r="K24" s="17"/>
      <c r="L24" s="17"/>
      <c r="M24" s="17"/>
      <c r="N24" s="17"/>
      <c r="O24" s="17"/>
      <c r="P24" s="17"/>
      <c r="Q24" s="17"/>
      <c r="R24" s="17"/>
      <c r="S24" s="17"/>
      <c r="T24" s="17"/>
      <c r="U24" s="17"/>
      <c r="V24" s="17"/>
      <c r="W24" s="17"/>
      <c r="X24" s="17"/>
      <c r="Y24" s="17"/>
      <c r="Z24" s="17"/>
    </row>
    <row r="25">
      <c r="A25" s="13" t="s">
        <v>102</v>
      </c>
      <c r="B25" s="13" t="s">
        <v>15</v>
      </c>
      <c r="C25" s="13" t="s">
        <v>103</v>
      </c>
      <c r="D25" s="13" t="s">
        <v>104</v>
      </c>
      <c r="E25" s="14"/>
      <c r="F25" s="14"/>
      <c r="G25" s="14"/>
      <c r="H25" s="14"/>
      <c r="I25" s="14"/>
      <c r="J25" s="14"/>
      <c r="K25" s="14"/>
      <c r="L25" s="14"/>
      <c r="M25" s="14"/>
      <c r="N25" s="14"/>
      <c r="O25" s="14"/>
      <c r="P25" s="14"/>
      <c r="Q25" s="14"/>
      <c r="R25" s="14"/>
      <c r="S25" s="14"/>
      <c r="T25" s="14"/>
      <c r="U25" s="14"/>
      <c r="V25" s="14"/>
      <c r="W25" s="14"/>
      <c r="X25" s="14"/>
      <c r="Y25" s="14"/>
      <c r="Z25" s="14"/>
    </row>
    <row r="26">
      <c r="A26" s="13" t="s">
        <v>106</v>
      </c>
      <c r="B26" s="13" t="s">
        <v>15</v>
      </c>
      <c r="C26" s="13" t="s">
        <v>103</v>
      </c>
      <c r="D26" s="13" t="s">
        <v>104</v>
      </c>
      <c r="E26" s="14"/>
      <c r="F26" s="14"/>
      <c r="G26" s="14"/>
      <c r="H26" s="14"/>
      <c r="I26" s="14"/>
      <c r="J26" s="14"/>
      <c r="K26" s="14"/>
      <c r="L26" s="14"/>
      <c r="M26" s="14"/>
      <c r="N26" s="14"/>
      <c r="O26" s="14"/>
      <c r="P26" s="14"/>
      <c r="Q26" s="14"/>
      <c r="R26" s="14"/>
      <c r="S26" s="14"/>
      <c r="T26" s="14"/>
      <c r="U26" s="14"/>
      <c r="V26" s="14"/>
      <c r="W26" s="14"/>
      <c r="X26" s="14"/>
      <c r="Y26" s="14"/>
      <c r="Z26" s="14"/>
    </row>
    <row r="27">
      <c r="A27" s="13" t="s">
        <v>112</v>
      </c>
      <c r="B27" s="13" t="s">
        <v>15</v>
      </c>
      <c r="C27" s="13" t="s">
        <v>103</v>
      </c>
      <c r="D27" s="13" t="s">
        <v>104</v>
      </c>
      <c r="E27" s="14"/>
      <c r="F27" s="14"/>
      <c r="G27" s="14"/>
      <c r="H27" s="14"/>
      <c r="I27" s="14"/>
      <c r="J27" s="14"/>
      <c r="K27" s="14"/>
      <c r="L27" s="14"/>
      <c r="M27" s="14"/>
      <c r="N27" s="14"/>
      <c r="O27" s="14"/>
      <c r="P27" s="14"/>
      <c r="Q27" s="14"/>
      <c r="R27" s="14"/>
      <c r="S27" s="14"/>
      <c r="T27" s="14"/>
      <c r="U27" s="14"/>
      <c r="V27" s="14"/>
      <c r="W27" s="14"/>
      <c r="X27" s="14"/>
      <c r="Y27" s="14"/>
      <c r="Z27" s="14"/>
    </row>
    <row r="28">
      <c r="A28" s="16" t="s">
        <v>114</v>
      </c>
      <c r="B28" s="16" t="s">
        <v>46</v>
      </c>
      <c r="C28" s="16" t="s">
        <v>47</v>
      </c>
      <c r="D28" s="17"/>
      <c r="E28" s="17"/>
      <c r="F28" s="17"/>
      <c r="G28" s="17"/>
      <c r="H28" s="17"/>
      <c r="I28" s="17"/>
      <c r="J28" s="17"/>
      <c r="K28" s="17"/>
      <c r="L28" s="17"/>
      <c r="M28" s="17"/>
      <c r="N28" s="17"/>
      <c r="O28" s="17"/>
      <c r="P28" s="17"/>
      <c r="Q28" s="17"/>
      <c r="R28" s="17"/>
      <c r="S28" s="17"/>
      <c r="T28" s="17"/>
      <c r="U28" s="17"/>
      <c r="V28" s="17"/>
      <c r="W28" s="17"/>
      <c r="X28" s="17"/>
      <c r="Y28" s="17"/>
      <c r="Z28" s="17"/>
    </row>
    <row r="29">
      <c r="A29" s="16" t="s">
        <v>116</v>
      </c>
      <c r="B29" s="16" t="s">
        <v>46</v>
      </c>
      <c r="C29" s="16" t="s">
        <v>47</v>
      </c>
      <c r="D29" s="17"/>
      <c r="E29" s="17"/>
      <c r="F29" s="17"/>
      <c r="G29" s="17"/>
      <c r="H29" s="17"/>
      <c r="I29" s="17"/>
      <c r="J29" s="17"/>
      <c r="K29" s="17"/>
      <c r="L29" s="17"/>
      <c r="M29" s="17"/>
      <c r="N29" s="17"/>
      <c r="O29" s="17"/>
      <c r="P29" s="17"/>
      <c r="Q29" s="17"/>
      <c r="R29" s="17"/>
      <c r="S29" s="17"/>
      <c r="T29" s="17"/>
      <c r="U29" s="17"/>
      <c r="V29" s="17"/>
      <c r="W29" s="17"/>
      <c r="X29" s="17"/>
      <c r="Y29" s="17"/>
      <c r="Z29" s="17"/>
    </row>
    <row r="30">
      <c r="A30" s="9" t="s">
        <v>119</v>
      </c>
      <c r="B30" s="9" t="s">
        <v>15</v>
      </c>
      <c r="C30" s="9" t="s">
        <v>50</v>
      </c>
      <c r="D30" s="9" t="s">
        <v>52</v>
      </c>
      <c r="E30" s="20"/>
      <c r="F30" s="20"/>
      <c r="G30" s="20"/>
      <c r="H30" s="20"/>
      <c r="I30" s="20"/>
      <c r="J30" s="20"/>
      <c r="K30" s="20"/>
      <c r="L30" s="20"/>
      <c r="M30" s="20"/>
      <c r="N30" s="20"/>
      <c r="O30" s="20"/>
      <c r="P30" s="20"/>
      <c r="Q30" s="20"/>
      <c r="R30" s="20"/>
      <c r="S30" s="20"/>
      <c r="T30" s="20"/>
      <c r="U30" s="20"/>
      <c r="V30" s="20"/>
      <c r="W30" s="20"/>
      <c r="X30" s="20"/>
      <c r="Y30" s="20"/>
      <c r="Z30" s="20"/>
    </row>
    <row r="31">
      <c r="A31" s="7" t="s">
        <v>123</v>
      </c>
      <c r="B31" s="7" t="s">
        <v>15</v>
      </c>
      <c r="C31" s="7" t="s">
        <v>16</v>
      </c>
      <c r="D31" s="8"/>
      <c r="E31" s="8"/>
      <c r="F31" s="8"/>
      <c r="G31" s="8"/>
      <c r="H31" s="8"/>
      <c r="I31" s="8"/>
      <c r="J31" s="8"/>
      <c r="K31" s="8"/>
      <c r="L31" s="8"/>
      <c r="M31" s="8"/>
      <c r="N31" s="8"/>
      <c r="O31" s="8"/>
      <c r="P31" s="8"/>
      <c r="Q31" s="8"/>
      <c r="R31" s="8"/>
      <c r="S31" s="8"/>
      <c r="T31" s="8"/>
      <c r="U31" s="8"/>
      <c r="V31" s="8"/>
      <c r="W31" s="8"/>
      <c r="X31" s="8"/>
      <c r="Y31" s="8"/>
      <c r="Z31" s="8"/>
    </row>
    <row r="32">
      <c r="A32" s="7" t="s">
        <v>128</v>
      </c>
      <c r="B32" s="7" t="s">
        <v>15</v>
      </c>
      <c r="C32" s="7" t="s">
        <v>16</v>
      </c>
      <c r="D32" s="8"/>
      <c r="E32" s="8"/>
      <c r="F32" s="8"/>
      <c r="G32" s="8"/>
      <c r="H32" s="8"/>
      <c r="I32" s="8"/>
      <c r="J32" s="8"/>
      <c r="K32" s="8"/>
      <c r="L32" s="8"/>
      <c r="M32" s="8"/>
      <c r="N32" s="8"/>
      <c r="O32" s="8"/>
      <c r="P32" s="8"/>
      <c r="Q32" s="8"/>
      <c r="R32" s="8"/>
      <c r="S32" s="8"/>
      <c r="T32" s="8"/>
      <c r="U32" s="8"/>
      <c r="V32" s="8"/>
      <c r="W32" s="8"/>
      <c r="X32" s="8"/>
      <c r="Y32" s="8"/>
      <c r="Z32" s="8"/>
    </row>
    <row r="33">
      <c r="A33" s="7" t="s">
        <v>131</v>
      </c>
      <c r="B33" s="7" t="s">
        <v>15</v>
      </c>
      <c r="C33" s="7" t="s">
        <v>16</v>
      </c>
      <c r="D33" s="8"/>
      <c r="E33" s="8"/>
      <c r="F33" s="8"/>
      <c r="G33" s="8"/>
      <c r="H33" s="8"/>
      <c r="I33" s="8"/>
      <c r="J33" s="8"/>
      <c r="K33" s="8"/>
      <c r="L33" s="8"/>
      <c r="M33" s="8"/>
      <c r="N33" s="8"/>
      <c r="O33" s="8"/>
      <c r="P33" s="8"/>
      <c r="Q33" s="8"/>
      <c r="R33" s="8"/>
      <c r="S33" s="8"/>
      <c r="T33" s="8"/>
      <c r="U33" s="8"/>
      <c r="V33" s="8"/>
      <c r="W33" s="8"/>
      <c r="X33" s="8"/>
      <c r="Y33" s="8"/>
      <c r="Z33" s="8"/>
    </row>
    <row r="34">
      <c r="A34" s="9" t="s">
        <v>134</v>
      </c>
      <c r="B34" s="9" t="s">
        <v>15</v>
      </c>
      <c r="C34" s="9" t="s">
        <v>50</v>
      </c>
      <c r="D34" s="20"/>
      <c r="E34" s="20"/>
      <c r="F34" s="20"/>
      <c r="G34" s="20"/>
      <c r="H34" s="20"/>
      <c r="I34" s="20"/>
      <c r="J34" s="20"/>
      <c r="K34" s="20"/>
      <c r="L34" s="20"/>
      <c r="M34" s="20"/>
      <c r="N34" s="20"/>
      <c r="O34" s="20"/>
      <c r="P34" s="20"/>
      <c r="Q34" s="20"/>
      <c r="R34" s="20"/>
      <c r="S34" s="20"/>
      <c r="T34" s="20"/>
      <c r="U34" s="20"/>
      <c r="V34" s="20"/>
      <c r="W34" s="20"/>
      <c r="X34" s="20"/>
      <c r="Y34" s="20"/>
      <c r="Z34" s="20"/>
    </row>
    <row r="35">
      <c r="A35" s="16" t="s">
        <v>137</v>
      </c>
      <c r="B35" s="16" t="s">
        <v>46</v>
      </c>
      <c r="C35" s="16" t="s">
        <v>47</v>
      </c>
      <c r="D35" s="17"/>
      <c r="E35" s="17"/>
      <c r="F35" s="17"/>
      <c r="G35" s="17"/>
      <c r="H35" s="17"/>
      <c r="I35" s="17"/>
      <c r="J35" s="17"/>
      <c r="K35" s="17"/>
      <c r="L35" s="17"/>
      <c r="M35" s="17"/>
      <c r="N35" s="17"/>
      <c r="O35" s="17"/>
      <c r="P35" s="17"/>
      <c r="Q35" s="17"/>
      <c r="R35" s="17"/>
      <c r="S35" s="17"/>
      <c r="T35" s="17"/>
      <c r="U35" s="17"/>
      <c r="V35" s="17"/>
      <c r="W35" s="17"/>
      <c r="X35" s="17"/>
      <c r="Y35" s="17"/>
      <c r="Z35" s="17"/>
    </row>
    <row r="36">
      <c r="A36" s="9" t="s">
        <v>142</v>
      </c>
      <c r="B36" s="9" t="s">
        <v>15</v>
      </c>
      <c r="C36" s="9" t="s">
        <v>50</v>
      </c>
      <c r="D36" s="9" t="s">
        <v>52</v>
      </c>
      <c r="E36" s="20"/>
      <c r="F36" s="20"/>
      <c r="G36" s="20"/>
      <c r="H36" s="20"/>
      <c r="I36" s="20"/>
      <c r="J36" s="20"/>
      <c r="K36" s="20"/>
      <c r="L36" s="20"/>
      <c r="M36" s="20"/>
      <c r="N36" s="20"/>
      <c r="O36" s="20"/>
      <c r="P36" s="20"/>
      <c r="Q36" s="20"/>
      <c r="R36" s="20"/>
      <c r="S36" s="20"/>
      <c r="T36" s="20"/>
      <c r="U36" s="20"/>
      <c r="V36" s="20"/>
      <c r="W36" s="20"/>
      <c r="X36" s="20"/>
      <c r="Y36" s="20"/>
      <c r="Z36" s="20"/>
    </row>
    <row r="37">
      <c r="A37" s="37" t="s">
        <v>147</v>
      </c>
      <c r="B37" s="37" t="s">
        <v>46</v>
      </c>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7" t="s">
        <v>148</v>
      </c>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37" t="s">
        <v>150</v>
      </c>
      <c r="B39" s="37" t="s">
        <v>46</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11" t="s">
        <v>153</v>
      </c>
    </row>
    <row r="41">
      <c r="A41" s="11" t="s">
        <v>155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8.75"/>
    <col customWidth="1" min="3" max="3" width="56.0"/>
    <col customWidth="1" min="5" max="6" width="23.63"/>
    <col customWidth="1" min="7" max="7" width="51.25"/>
    <col customWidth="1" min="8" max="8" width="21.13"/>
    <col customWidth="1" min="9" max="9" width="13.0"/>
    <col customWidth="1" min="10" max="10" width="45.63"/>
    <col customWidth="1" min="11" max="11" width="13.13"/>
    <col customWidth="1" min="12" max="12" width="18.88"/>
    <col customWidth="1" min="13" max="13" width="30.75"/>
    <col customWidth="1" min="14" max="14" width="18.75"/>
    <col customWidth="1" min="15" max="15" width="38.5"/>
    <col customWidth="1" min="16" max="16" width="23.5"/>
    <col customWidth="1" min="17" max="18" width="27.75"/>
    <col customWidth="1" min="19" max="19" width="56.38"/>
  </cols>
  <sheetData>
    <row r="1" ht="22.5" customHeight="1">
      <c r="A1" s="18" t="s">
        <v>43</v>
      </c>
      <c r="B1" s="18" t="s">
        <v>51</v>
      </c>
      <c r="C1" s="18" t="s">
        <v>54</v>
      </c>
      <c r="D1" s="18" t="s">
        <v>56</v>
      </c>
      <c r="E1" s="18" t="s">
        <v>58</v>
      </c>
      <c r="F1" s="24" t="s">
        <v>63</v>
      </c>
      <c r="G1" s="18" t="s">
        <v>67</v>
      </c>
      <c r="H1" s="18" t="s">
        <v>73</v>
      </c>
      <c r="I1" s="18" t="s">
        <v>76</v>
      </c>
      <c r="J1" s="18" t="s">
        <v>77</v>
      </c>
      <c r="K1" s="18" t="s">
        <v>79</v>
      </c>
      <c r="L1" s="18" t="s">
        <v>80</v>
      </c>
      <c r="M1" s="18" t="s">
        <v>83</v>
      </c>
      <c r="N1" s="18" t="s">
        <v>85</v>
      </c>
      <c r="O1" s="18" t="s">
        <v>90</v>
      </c>
      <c r="P1" s="18" t="s">
        <v>94</v>
      </c>
      <c r="Q1" s="18" t="s">
        <v>96</v>
      </c>
      <c r="R1" s="18" t="s">
        <v>99</v>
      </c>
      <c r="S1" s="18" t="s">
        <v>100</v>
      </c>
      <c r="T1" s="4"/>
      <c r="U1" s="4"/>
      <c r="V1" s="4"/>
      <c r="W1" s="4"/>
      <c r="X1" s="4"/>
      <c r="Y1" s="4"/>
      <c r="Z1" s="4"/>
      <c r="AA1" s="4"/>
      <c r="AB1" s="4"/>
      <c r="AC1" s="4"/>
      <c r="AD1" s="4"/>
      <c r="AE1" s="4"/>
    </row>
    <row r="2" ht="22.5" customHeight="1">
      <c r="A2" s="32" t="s">
        <v>107</v>
      </c>
      <c r="B2" s="32">
        <v>2019.0</v>
      </c>
      <c r="C2" s="32" t="s">
        <v>113</v>
      </c>
      <c r="D2" s="32">
        <v>2018.0</v>
      </c>
      <c r="E2" s="32">
        <v>233515.0</v>
      </c>
      <c r="F2" s="34" t="s">
        <v>117</v>
      </c>
      <c r="G2" s="32" t="s">
        <v>118</v>
      </c>
      <c r="H2" s="32">
        <v>1.0</v>
      </c>
      <c r="I2" s="32">
        <v>14011.0</v>
      </c>
      <c r="J2" s="32" t="s">
        <v>126</v>
      </c>
      <c r="K2" s="32" t="s">
        <v>129</v>
      </c>
      <c r="L2" s="32">
        <v>183481.0</v>
      </c>
      <c r="M2" s="32" t="s">
        <v>132</v>
      </c>
      <c r="N2" s="32" t="s">
        <v>133</v>
      </c>
      <c r="O2" s="35" t="s">
        <v>135</v>
      </c>
      <c r="P2" s="35" t="s">
        <v>139</v>
      </c>
      <c r="Q2" s="32" t="s">
        <v>140</v>
      </c>
      <c r="R2" s="32" t="s">
        <v>144</v>
      </c>
    </row>
    <row r="3" ht="22.5" customHeight="1">
      <c r="A3" s="32" t="s">
        <v>107</v>
      </c>
      <c r="B3" s="32">
        <v>2015.0</v>
      </c>
      <c r="C3" s="32" t="s">
        <v>18</v>
      </c>
      <c r="D3" s="32">
        <v>2012.0</v>
      </c>
      <c r="E3" s="32">
        <v>27348.0</v>
      </c>
      <c r="F3" s="34" t="s">
        <v>162</v>
      </c>
      <c r="G3" s="32" t="s">
        <v>163</v>
      </c>
      <c r="H3" s="32">
        <v>1.0</v>
      </c>
      <c r="I3" s="32">
        <v>1641.0</v>
      </c>
      <c r="J3" s="32" t="s">
        <v>126</v>
      </c>
      <c r="K3" s="32" t="s">
        <v>129</v>
      </c>
      <c r="L3" s="32" t="s">
        <v>170</v>
      </c>
      <c r="M3" s="32" t="s">
        <v>171</v>
      </c>
      <c r="N3" s="32" t="s">
        <v>173</v>
      </c>
      <c r="O3" s="35" t="s">
        <v>174</v>
      </c>
      <c r="P3" s="35" t="s">
        <v>175</v>
      </c>
      <c r="Q3" s="32" t="s">
        <v>140</v>
      </c>
      <c r="R3" s="32" t="s">
        <v>144</v>
      </c>
    </row>
    <row r="4" ht="22.5" customHeight="1">
      <c r="A4" s="32" t="s">
        <v>107</v>
      </c>
      <c r="B4" s="32">
        <v>2014.0</v>
      </c>
      <c r="C4" s="32" t="s">
        <v>183</v>
      </c>
      <c r="D4" s="32" t="s">
        <v>170</v>
      </c>
      <c r="E4" s="32" t="s">
        <v>170</v>
      </c>
      <c r="F4" s="34" t="s">
        <v>170</v>
      </c>
      <c r="G4" s="32" t="s">
        <v>190</v>
      </c>
      <c r="H4" s="32" t="s">
        <v>170</v>
      </c>
      <c r="I4" s="32" t="s">
        <v>170</v>
      </c>
      <c r="J4" s="32" t="s">
        <v>195</v>
      </c>
      <c r="K4" s="32" t="s">
        <v>129</v>
      </c>
      <c r="L4" s="32" t="s">
        <v>170</v>
      </c>
      <c r="M4" s="32" t="s">
        <v>198</v>
      </c>
      <c r="N4" s="32" t="s">
        <v>199</v>
      </c>
      <c r="O4" s="35" t="s">
        <v>200</v>
      </c>
      <c r="P4" s="35" t="s">
        <v>202</v>
      </c>
      <c r="Q4" s="32" t="s">
        <v>140</v>
      </c>
      <c r="R4" s="32" t="s">
        <v>144</v>
      </c>
    </row>
    <row r="5" ht="22.5" customHeight="1">
      <c r="A5" s="32" t="s">
        <v>107</v>
      </c>
      <c r="B5" s="32">
        <v>2014.0</v>
      </c>
      <c r="C5" s="32" t="s">
        <v>206</v>
      </c>
      <c r="D5" s="32" t="s">
        <v>170</v>
      </c>
      <c r="E5" s="32" t="s">
        <v>170</v>
      </c>
      <c r="F5" s="34" t="s">
        <v>170</v>
      </c>
      <c r="G5" s="32" t="s">
        <v>210</v>
      </c>
      <c r="H5" s="32" t="s">
        <v>170</v>
      </c>
      <c r="I5" s="32" t="s">
        <v>170</v>
      </c>
      <c r="J5" s="32" t="s">
        <v>211</v>
      </c>
      <c r="K5" s="32" t="s">
        <v>129</v>
      </c>
      <c r="L5" s="32" t="s">
        <v>170</v>
      </c>
      <c r="M5" s="32" t="s">
        <v>198</v>
      </c>
      <c r="N5" s="32" t="s">
        <v>199</v>
      </c>
      <c r="O5" s="35" t="s">
        <v>200</v>
      </c>
      <c r="P5" s="35" t="s">
        <v>202</v>
      </c>
      <c r="Q5" s="32" t="s">
        <v>140</v>
      </c>
      <c r="R5" s="32" t="s">
        <v>144</v>
      </c>
      <c r="S5" s="32" t="s">
        <v>216</v>
      </c>
    </row>
    <row r="6" ht="22.5" customHeight="1">
      <c r="A6" s="32" t="s">
        <v>107</v>
      </c>
      <c r="B6" s="32">
        <v>2014.0</v>
      </c>
      <c r="C6" s="32" t="s">
        <v>218</v>
      </c>
      <c r="D6" s="32" t="s">
        <v>170</v>
      </c>
      <c r="E6" s="32" t="s">
        <v>170</v>
      </c>
      <c r="F6" s="34" t="s">
        <v>170</v>
      </c>
      <c r="G6" s="32" t="s">
        <v>223</v>
      </c>
      <c r="H6" s="32" t="s">
        <v>170</v>
      </c>
      <c r="I6" s="32" t="s">
        <v>170</v>
      </c>
      <c r="J6" s="32" t="s">
        <v>211</v>
      </c>
      <c r="K6" s="32" t="s">
        <v>129</v>
      </c>
      <c r="L6" s="32" t="s">
        <v>170</v>
      </c>
      <c r="M6" s="32" t="s">
        <v>198</v>
      </c>
      <c r="N6" s="32" t="s">
        <v>230</v>
      </c>
      <c r="O6" s="35" t="s">
        <v>231</v>
      </c>
      <c r="P6" s="35" t="s">
        <v>232</v>
      </c>
      <c r="Q6" s="32" t="s">
        <v>140</v>
      </c>
      <c r="R6" s="32" t="s">
        <v>144</v>
      </c>
      <c r="S6" s="32" t="s">
        <v>238</v>
      </c>
    </row>
    <row r="7" ht="22.5" customHeight="1">
      <c r="A7" s="32" t="s">
        <v>107</v>
      </c>
      <c r="B7" s="32">
        <v>2022.0</v>
      </c>
      <c r="C7" s="32" t="s">
        <v>28</v>
      </c>
      <c r="D7" s="32">
        <v>2013.0</v>
      </c>
      <c r="E7" s="32">
        <v>85369.0</v>
      </c>
      <c r="F7" s="34" t="s">
        <v>242</v>
      </c>
      <c r="G7" s="32" t="s">
        <v>244</v>
      </c>
      <c r="H7" s="32">
        <v>1.0</v>
      </c>
      <c r="I7" s="32">
        <v>5122.0</v>
      </c>
      <c r="J7" s="32" t="s">
        <v>126</v>
      </c>
      <c r="K7" s="32" t="s">
        <v>129</v>
      </c>
      <c r="L7" s="32" t="s">
        <v>170</v>
      </c>
      <c r="M7" s="32" t="s">
        <v>171</v>
      </c>
      <c r="N7" s="32" t="s">
        <v>250</v>
      </c>
      <c r="O7" s="35" t="s">
        <v>253</v>
      </c>
      <c r="P7" s="35" t="s">
        <v>255</v>
      </c>
      <c r="Q7" s="32" t="s">
        <v>140</v>
      </c>
      <c r="R7" s="32" t="s">
        <v>144</v>
      </c>
    </row>
    <row r="8" ht="22.5" customHeight="1">
      <c r="A8" s="32" t="s">
        <v>107</v>
      </c>
      <c r="B8" s="32">
        <v>2020.0</v>
      </c>
      <c r="C8" s="32" t="s">
        <v>148</v>
      </c>
      <c r="D8" s="32">
        <v>2013.0</v>
      </c>
      <c r="E8" s="32">
        <v>31019.0</v>
      </c>
      <c r="F8" s="34" t="s">
        <v>162</v>
      </c>
      <c r="G8" s="32" t="s">
        <v>262</v>
      </c>
      <c r="H8" s="32">
        <v>0.5</v>
      </c>
      <c r="I8" s="32" t="s">
        <v>263</v>
      </c>
      <c r="J8" s="32" t="s">
        <v>126</v>
      </c>
      <c r="K8" s="32" t="s">
        <v>132</v>
      </c>
      <c r="L8" s="32" t="s">
        <v>170</v>
      </c>
      <c r="M8" s="32" t="s">
        <v>171</v>
      </c>
      <c r="N8" s="32" t="s">
        <v>272</v>
      </c>
      <c r="O8" s="35" t="s">
        <v>174</v>
      </c>
      <c r="P8" s="35" t="s">
        <v>273</v>
      </c>
      <c r="Q8" s="32" t="s">
        <v>274</v>
      </c>
      <c r="R8" s="32" t="s">
        <v>275</v>
      </c>
      <c r="S8" s="32" t="s">
        <v>276</v>
      </c>
    </row>
    <row r="9" ht="22.5" customHeight="1">
      <c r="A9" s="32" t="s">
        <v>107</v>
      </c>
      <c r="B9" s="32">
        <v>2015.0</v>
      </c>
      <c r="C9" s="32" t="s">
        <v>30</v>
      </c>
      <c r="D9" s="32">
        <v>2013.0</v>
      </c>
      <c r="E9" s="32">
        <v>7524.0</v>
      </c>
      <c r="F9" s="34" t="s">
        <v>162</v>
      </c>
      <c r="G9" s="32" t="s">
        <v>283</v>
      </c>
      <c r="H9" s="32">
        <v>1.0</v>
      </c>
      <c r="I9" s="32">
        <v>451.0</v>
      </c>
      <c r="J9" s="32" t="s">
        <v>286</v>
      </c>
      <c r="K9" s="32" t="s">
        <v>129</v>
      </c>
      <c r="L9" s="32" t="s">
        <v>170</v>
      </c>
      <c r="M9" s="32" t="s">
        <v>171</v>
      </c>
      <c r="N9" s="32" t="s">
        <v>287</v>
      </c>
      <c r="O9" s="35" t="s">
        <v>288</v>
      </c>
      <c r="P9" s="35" t="s">
        <v>289</v>
      </c>
      <c r="Q9" s="32" t="s">
        <v>140</v>
      </c>
      <c r="R9" s="32" t="s">
        <v>144</v>
      </c>
    </row>
    <row r="10" ht="22.5" customHeight="1">
      <c r="A10" s="32" t="s">
        <v>107</v>
      </c>
      <c r="B10" s="60">
        <v>2024.0</v>
      </c>
      <c r="C10" s="60" t="s">
        <v>294</v>
      </c>
      <c r="D10" s="60">
        <v>2021.0</v>
      </c>
      <c r="E10" s="60">
        <v>1444.0</v>
      </c>
      <c r="F10" s="61" t="s">
        <v>295</v>
      </c>
      <c r="G10" s="60" t="s">
        <v>296</v>
      </c>
      <c r="H10" s="60">
        <v>0.1</v>
      </c>
      <c r="I10" s="60">
        <v>5.1</v>
      </c>
      <c r="J10" s="60" t="s">
        <v>298</v>
      </c>
      <c r="K10" s="60" t="s">
        <v>132</v>
      </c>
      <c r="L10" s="60" t="s">
        <v>170</v>
      </c>
      <c r="M10" s="60" t="s">
        <v>129</v>
      </c>
      <c r="N10" s="60" t="s">
        <v>304</v>
      </c>
      <c r="O10" s="63" t="s">
        <v>305</v>
      </c>
      <c r="P10" s="63" t="s">
        <v>306</v>
      </c>
      <c r="Q10" s="60" t="s">
        <v>274</v>
      </c>
      <c r="R10" s="60" t="s">
        <v>308</v>
      </c>
      <c r="S10" s="64"/>
    </row>
    <row r="11" ht="22.5" customHeight="1">
      <c r="A11" s="32" t="s">
        <v>107</v>
      </c>
      <c r="B11" s="60">
        <v>2022.0</v>
      </c>
      <c r="C11" s="60" t="s">
        <v>312</v>
      </c>
      <c r="D11" s="60">
        <v>2012.0</v>
      </c>
      <c r="E11" s="60">
        <v>2698.0</v>
      </c>
      <c r="F11" s="61" t="s">
        <v>313</v>
      </c>
      <c r="G11" s="60" t="s">
        <v>315</v>
      </c>
      <c r="H11" s="60">
        <v>0.5</v>
      </c>
      <c r="I11" s="60">
        <v>65.0</v>
      </c>
      <c r="J11" s="60" t="s">
        <v>126</v>
      </c>
      <c r="K11" s="60" t="s">
        <v>129</v>
      </c>
      <c r="L11" s="60" t="s">
        <v>170</v>
      </c>
      <c r="M11" s="60" t="s">
        <v>171</v>
      </c>
      <c r="N11" s="60" t="s">
        <v>321</v>
      </c>
      <c r="O11" s="63">
        <v>0.0</v>
      </c>
      <c r="P11" s="63">
        <v>0.0</v>
      </c>
      <c r="Q11" s="60" t="s">
        <v>140</v>
      </c>
      <c r="R11" s="60" t="s">
        <v>144</v>
      </c>
      <c r="S11" s="64"/>
    </row>
    <row r="12" ht="22.5" customHeight="1">
      <c r="A12" s="32" t="s">
        <v>107</v>
      </c>
      <c r="B12" s="60">
        <v>2022.0</v>
      </c>
      <c r="C12" s="60" t="s">
        <v>327</v>
      </c>
      <c r="D12" s="60">
        <v>2013.0</v>
      </c>
      <c r="E12" s="60">
        <v>2421.0</v>
      </c>
      <c r="F12" s="61" t="s">
        <v>313</v>
      </c>
      <c r="G12" s="60" t="s">
        <v>333</v>
      </c>
      <c r="H12" s="60">
        <v>0.5</v>
      </c>
      <c r="I12" s="60">
        <v>35.0</v>
      </c>
      <c r="J12" s="60" t="s">
        <v>126</v>
      </c>
      <c r="K12" s="60" t="s">
        <v>129</v>
      </c>
      <c r="L12" s="60" t="s">
        <v>170</v>
      </c>
      <c r="M12" s="60" t="s">
        <v>171</v>
      </c>
      <c r="N12" s="60" t="s">
        <v>272</v>
      </c>
      <c r="O12" s="63" t="s">
        <v>338</v>
      </c>
      <c r="P12" s="63" t="s">
        <v>340</v>
      </c>
      <c r="Q12" s="60" t="s">
        <v>140</v>
      </c>
      <c r="R12" s="60" t="s">
        <v>144</v>
      </c>
      <c r="S12" s="64"/>
    </row>
    <row r="13" ht="22.5" customHeight="1">
      <c r="A13" s="32" t="s">
        <v>107</v>
      </c>
      <c r="B13" s="60">
        <v>2022.0</v>
      </c>
      <c r="C13" s="60" t="s">
        <v>344</v>
      </c>
      <c r="D13" s="60">
        <v>2017.0</v>
      </c>
      <c r="E13" s="60">
        <v>4811.0</v>
      </c>
      <c r="F13" s="61" t="s">
        <v>313</v>
      </c>
      <c r="G13" s="60" t="s">
        <v>349</v>
      </c>
      <c r="H13" s="60">
        <v>0.5</v>
      </c>
      <c r="I13" s="60">
        <v>73.0</v>
      </c>
      <c r="J13" s="60" t="s">
        <v>126</v>
      </c>
      <c r="K13" s="60" t="s">
        <v>129</v>
      </c>
      <c r="L13" s="60" t="s">
        <v>170</v>
      </c>
      <c r="M13" s="60" t="s">
        <v>171</v>
      </c>
      <c r="N13" s="60" t="s">
        <v>321</v>
      </c>
      <c r="O13" s="63" t="s">
        <v>338</v>
      </c>
      <c r="P13" s="63" t="s">
        <v>355</v>
      </c>
      <c r="Q13" s="60" t="s">
        <v>140</v>
      </c>
      <c r="R13" s="60" t="s">
        <v>144</v>
      </c>
      <c r="S13" s="64"/>
    </row>
    <row r="14" ht="22.5" customHeight="1">
      <c r="A14" s="32" t="s">
        <v>107</v>
      </c>
      <c r="B14" s="60">
        <v>2024.0</v>
      </c>
      <c r="C14" s="60" t="s">
        <v>363</v>
      </c>
      <c r="D14" s="60">
        <v>2016.0</v>
      </c>
      <c r="E14" s="60">
        <v>9759.0</v>
      </c>
      <c r="F14" s="61" t="s">
        <v>313</v>
      </c>
      <c r="G14" s="60" t="s">
        <v>367</v>
      </c>
      <c r="H14" s="60">
        <v>1.0</v>
      </c>
      <c r="I14" s="60">
        <v>195.0</v>
      </c>
      <c r="J14" s="60" t="s">
        <v>171</v>
      </c>
      <c r="K14" s="60" t="s">
        <v>129</v>
      </c>
      <c r="L14" s="60" t="s">
        <v>170</v>
      </c>
      <c r="M14" s="60" t="s">
        <v>132</v>
      </c>
      <c r="N14" s="60" t="s">
        <v>304</v>
      </c>
      <c r="O14" s="63">
        <v>0.0</v>
      </c>
      <c r="P14" s="63">
        <v>0.0</v>
      </c>
      <c r="Q14" s="60" t="s">
        <v>140</v>
      </c>
      <c r="R14" s="60" t="s">
        <v>144</v>
      </c>
      <c r="S14" s="64"/>
    </row>
    <row r="15" ht="22.5" customHeight="1">
      <c r="A15" s="32" t="s">
        <v>107</v>
      </c>
      <c r="B15" s="60">
        <v>2024.0</v>
      </c>
      <c r="C15" s="60" t="s">
        <v>378</v>
      </c>
      <c r="D15" s="60">
        <v>2023.0</v>
      </c>
      <c r="E15" s="60">
        <v>5332.0</v>
      </c>
      <c r="F15" s="61" t="s">
        <v>313</v>
      </c>
      <c r="G15" s="60" t="s">
        <v>367</v>
      </c>
      <c r="H15" s="60">
        <v>0.5</v>
      </c>
      <c r="I15" s="60">
        <v>53.0</v>
      </c>
      <c r="J15" s="60" t="s">
        <v>171</v>
      </c>
      <c r="K15" s="60" t="s">
        <v>129</v>
      </c>
      <c r="L15" s="60" t="s">
        <v>170</v>
      </c>
      <c r="M15" s="60" t="s">
        <v>171</v>
      </c>
      <c r="N15" s="60" t="s">
        <v>304</v>
      </c>
      <c r="O15" s="63">
        <v>0.0</v>
      </c>
      <c r="P15" s="63">
        <v>0.0</v>
      </c>
      <c r="Q15" s="60" t="s">
        <v>140</v>
      </c>
      <c r="R15" s="60" t="s">
        <v>144</v>
      </c>
      <c r="S15" s="64"/>
    </row>
    <row r="16" ht="22.5" customHeight="1">
      <c r="A16" s="32" t="s">
        <v>107</v>
      </c>
      <c r="B16" s="60">
        <v>2024.0</v>
      </c>
      <c r="C16" s="60" t="s">
        <v>397</v>
      </c>
      <c r="D16" s="60">
        <v>2023.0</v>
      </c>
      <c r="E16" s="60">
        <v>16068.0</v>
      </c>
      <c r="F16" s="61" t="s">
        <v>313</v>
      </c>
      <c r="G16" s="60" t="s">
        <v>367</v>
      </c>
      <c r="H16" s="60">
        <v>0.5</v>
      </c>
      <c r="I16" s="60">
        <v>161.0</v>
      </c>
      <c r="J16" s="60" t="s">
        <v>171</v>
      </c>
      <c r="K16" s="60" t="s">
        <v>129</v>
      </c>
      <c r="L16" s="60" t="s">
        <v>170</v>
      </c>
      <c r="M16" s="60" t="s">
        <v>171</v>
      </c>
      <c r="N16" s="60" t="s">
        <v>403</v>
      </c>
      <c r="O16" s="63" t="s">
        <v>406</v>
      </c>
      <c r="P16" s="63" t="s">
        <v>409</v>
      </c>
      <c r="Q16" s="60" t="s">
        <v>140</v>
      </c>
      <c r="R16" s="60" t="s">
        <v>144</v>
      </c>
      <c r="S16" s="64"/>
    </row>
    <row r="17" ht="22.5" customHeight="1">
      <c r="A17" s="32" t="s">
        <v>107</v>
      </c>
      <c r="B17" s="60">
        <v>2017.0</v>
      </c>
      <c r="C17" s="60" t="s">
        <v>42</v>
      </c>
      <c r="D17" s="60">
        <v>2015.0</v>
      </c>
      <c r="E17" s="60">
        <v>8308.0</v>
      </c>
      <c r="F17" s="61" t="s">
        <v>313</v>
      </c>
      <c r="G17" s="60" t="s">
        <v>367</v>
      </c>
      <c r="H17" s="60">
        <v>0.4</v>
      </c>
      <c r="I17" s="60">
        <v>66.0</v>
      </c>
      <c r="J17" s="60" t="s">
        <v>171</v>
      </c>
      <c r="K17" s="60" t="s">
        <v>129</v>
      </c>
      <c r="L17" s="60" t="s">
        <v>170</v>
      </c>
      <c r="M17" s="60" t="s">
        <v>171</v>
      </c>
      <c r="N17" s="60" t="s">
        <v>422</v>
      </c>
      <c r="O17" s="63" t="s">
        <v>425</v>
      </c>
      <c r="P17" s="63" t="s">
        <v>426</v>
      </c>
      <c r="Q17" s="60" t="s">
        <v>140</v>
      </c>
      <c r="R17" s="60" t="s">
        <v>144</v>
      </c>
      <c r="S17" s="64"/>
    </row>
    <row r="18" ht="22.5" customHeight="1">
      <c r="A18" s="32" t="s">
        <v>107</v>
      </c>
      <c r="B18" s="60">
        <v>2022.0</v>
      </c>
      <c r="C18" s="60" t="s">
        <v>434</v>
      </c>
      <c r="D18" s="60">
        <v>2018.0</v>
      </c>
      <c r="E18" s="60">
        <v>10286.0</v>
      </c>
      <c r="F18" s="61" t="s">
        <v>436</v>
      </c>
      <c r="G18" s="60" t="s">
        <v>367</v>
      </c>
      <c r="H18" s="60">
        <v>0.48</v>
      </c>
      <c r="I18" s="60">
        <v>99.0</v>
      </c>
      <c r="J18" s="60" t="s">
        <v>171</v>
      </c>
      <c r="K18" s="60" t="s">
        <v>129</v>
      </c>
      <c r="L18" s="60" t="s">
        <v>170</v>
      </c>
      <c r="M18" s="60" t="s">
        <v>171</v>
      </c>
      <c r="N18" s="60" t="s">
        <v>250</v>
      </c>
      <c r="O18" s="63" t="s">
        <v>446</v>
      </c>
      <c r="P18" s="63" t="s">
        <v>448</v>
      </c>
      <c r="Q18" s="60" t="s">
        <v>140</v>
      </c>
      <c r="R18" s="60" t="s">
        <v>144</v>
      </c>
      <c r="S18" s="64"/>
    </row>
    <row r="19" ht="22.5" customHeight="1">
      <c r="A19" s="32" t="s">
        <v>107</v>
      </c>
      <c r="B19" s="60">
        <v>2022.0</v>
      </c>
      <c r="C19" s="60" t="s">
        <v>454</v>
      </c>
      <c r="D19" s="60">
        <v>2018.0</v>
      </c>
      <c r="E19" s="60">
        <v>29090.0</v>
      </c>
      <c r="F19" s="61" t="s">
        <v>436</v>
      </c>
      <c r="G19" s="60" t="s">
        <v>367</v>
      </c>
      <c r="H19" s="60">
        <v>0.48</v>
      </c>
      <c r="I19" s="60">
        <v>279.0</v>
      </c>
      <c r="J19" s="60" t="s">
        <v>171</v>
      </c>
      <c r="K19" s="60" t="s">
        <v>129</v>
      </c>
      <c r="L19" s="60" t="s">
        <v>170</v>
      </c>
      <c r="M19" s="60" t="s">
        <v>171</v>
      </c>
      <c r="N19" s="60" t="s">
        <v>250</v>
      </c>
      <c r="O19" s="63" t="s">
        <v>446</v>
      </c>
      <c r="P19" s="63" t="s">
        <v>472</v>
      </c>
      <c r="Q19" s="60" t="s">
        <v>140</v>
      </c>
      <c r="R19" s="60" t="s">
        <v>144</v>
      </c>
      <c r="S19" s="64"/>
    </row>
    <row r="20" ht="22.5" customHeight="1">
      <c r="A20" s="32" t="s">
        <v>107</v>
      </c>
      <c r="B20" s="60">
        <v>2017.0</v>
      </c>
      <c r="C20" s="60" t="s">
        <v>477</v>
      </c>
      <c r="D20" s="60">
        <v>2014.0</v>
      </c>
      <c r="E20" s="60">
        <v>4817.0</v>
      </c>
      <c r="F20" s="61" t="s">
        <v>483</v>
      </c>
      <c r="G20" s="60" t="s">
        <v>367</v>
      </c>
      <c r="H20" s="60">
        <v>0.48</v>
      </c>
      <c r="I20" s="60">
        <v>46.0</v>
      </c>
      <c r="J20" s="60" t="s">
        <v>171</v>
      </c>
      <c r="K20" s="60" t="s">
        <v>129</v>
      </c>
      <c r="L20" s="60" t="s">
        <v>170</v>
      </c>
      <c r="M20" s="60" t="s">
        <v>171</v>
      </c>
      <c r="N20" s="60" t="s">
        <v>496</v>
      </c>
      <c r="O20" s="63" t="s">
        <v>497</v>
      </c>
      <c r="P20" s="63" t="s">
        <v>499</v>
      </c>
      <c r="Q20" s="60" t="s">
        <v>140</v>
      </c>
      <c r="R20" s="60" t="s">
        <v>144</v>
      </c>
      <c r="S20" s="64"/>
    </row>
    <row r="21" ht="22.5" customHeight="1">
      <c r="A21" s="32" t="s">
        <v>107</v>
      </c>
      <c r="B21" s="60">
        <v>2017.0</v>
      </c>
      <c r="C21" s="60" t="s">
        <v>510</v>
      </c>
      <c r="D21" s="60">
        <v>2011.0</v>
      </c>
      <c r="E21" s="60">
        <v>346.0</v>
      </c>
      <c r="F21" s="61" t="s">
        <v>517</v>
      </c>
      <c r="G21" s="60" t="s">
        <v>367</v>
      </c>
      <c r="H21" s="60">
        <v>0.48</v>
      </c>
      <c r="I21" s="60">
        <v>3.3</v>
      </c>
      <c r="J21" s="60" t="s">
        <v>126</v>
      </c>
      <c r="K21" s="60" t="s">
        <v>129</v>
      </c>
      <c r="L21" s="60" t="s">
        <v>170</v>
      </c>
      <c r="M21" s="60" t="s">
        <v>171</v>
      </c>
      <c r="N21" s="60" t="s">
        <v>531</v>
      </c>
      <c r="O21" s="63" t="s">
        <v>533</v>
      </c>
      <c r="P21" s="63" t="s">
        <v>535</v>
      </c>
      <c r="Q21" s="60" t="s">
        <v>140</v>
      </c>
      <c r="R21" s="60" t="s">
        <v>144</v>
      </c>
      <c r="S21" s="64"/>
    </row>
    <row r="22" ht="22.5" customHeight="1">
      <c r="A22" s="32" t="s">
        <v>107</v>
      </c>
      <c r="B22" s="60">
        <v>2022.0</v>
      </c>
      <c r="C22" s="60" t="s">
        <v>540</v>
      </c>
      <c r="D22" s="60">
        <v>2018.0</v>
      </c>
      <c r="E22" s="60">
        <v>2048.0</v>
      </c>
      <c r="F22" s="61" t="s">
        <v>436</v>
      </c>
      <c r="G22" s="60" t="s">
        <v>367</v>
      </c>
      <c r="H22" s="60">
        <v>0.48</v>
      </c>
      <c r="I22" s="60">
        <v>19.7</v>
      </c>
      <c r="J22" s="60" t="s">
        <v>171</v>
      </c>
      <c r="K22" s="60" t="s">
        <v>129</v>
      </c>
      <c r="L22" s="60" t="s">
        <v>170</v>
      </c>
      <c r="M22" s="60" t="s">
        <v>171</v>
      </c>
      <c r="N22" s="60" t="s">
        <v>250</v>
      </c>
      <c r="O22" s="63" t="s">
        <v>557</v>
      </c>
      <c r="P22" s="63" t="s">
        <v>558</v>
      </c>
      <c r="Q22" s="60" t="s">
        <v>140</v>
      </c>
      <c r="R22" s="60" t="s">
        <v>144</v>
      </c>
      <c r="S22" s="64"/>
    </row>
    <row r="23" ht="22.5" customHeight="1">
      <c r="A23" s="32" t="s">
        <v>107</v>
      </c>
      <c r="B23" s="60">
        <v>2022.0</v>
      </c>
      <c r="C23" s="60" t="s">
        <v>563</v>
      </c>
      <c r="D23" s="60">
        <v>2018.0</v>
      </c>
      <c r="E23" s="60">
        <v>23448.0</v>
      </c>
      <c r="F23" s="61" t="s">
        <v>436</v>
      </c>
      <c r="G23" s="60" t="s">
        <v>367</v>
      </c>
      <c r="H23" s="60">
        <v>0.48</v>
      </c>
      <c r="I23" s="60">
        <v>225.0</v>
      </c>
      <c r="J23" s="60" t="s">
        <v>171</v>
      </c>
      <c r="K23" s="60" t="s">
        <v>129</v>
      </c>
      <c r="L23" s="60" t="s">
        <v>170</v>
      </c>
      <c r="M23" s="60" t="s">
        <v>171</v>
      </c>
      <c r="N23" s="60" t="s">
        <v>321</v>
      </c>
      <c r="O23" s="63" t="s">
        <v>533</v>
      </c>
      <c r="P23" s="63" t="s">
        <v>573</v>
      </c>
      <c r="Q23" s="60" t="s">
        <v>140</v>
      </c>
      <c r="R23" s="60" t="s">
        <v>144</v>
      </c>
      <c r="S23" s="64"/>
    </row>
    <row r="24" ht="22.5" customHeight="1">
      <c r="A24" s="32" t="s">
        <v>107</v>
      </c>
      <c r="B24" s="60">
        <v>2022.0</v>
      </c>
      <c r="C24" s="60" t="s">
        <v>577</v>
      </c>
      <c r="D24" s="60">
        <v>2018.0</v>
      </c>
      <c r="E24" s="60">
        <v>888971.0</v>
      </c>
      <c r="F24" s="61" t="s">
        <v>436</v>
      </c>
      <c r="G24" s="60" t="s">
        <v>367</v>
      </c>
      <c r="H24" s="60">
        <v>0.5</v>
      </c>
      <c r="I24" s="60">
        <v>8889.0</v>
      </c>
      <c r="J24" s="60" t="s">
        <v>584</v>
      </c>
      <c r="K24" s="60" t="s">
        <v>129</v>
      </c>
      <c r="L24" s="60" t="s">
        <v>170</v>
      </c>
      <c r="M24" s="60" t="s">
        <v>171</v>
      </c>
      <c r="N24" s="60" t="s">
        <v>321</v>
      </c>
      <c r="O24" s="63" t="s">
        <v>174</v>
      </c>
      <c r="P24" s="63" t="s">
        <v>586</v>
      </c>
      <c r="Q24" s="60" t="s">
        <v>140</v>
      </c>
      <c r="R24" s="60" t="s">
        <v>144</v>
      </c>
      <c r="S24" s="64"/>
    </row>
    <row r="25" ht="22.5" customHeight="1">
      <c r="A25" s="32" t="s">
        <v>107</v>
      </c>
      <c r="B25" s="60">
        <v>2022.0</v>
      </c>
      <c r="C25" s="60" t="s">
        <v>82</v>
      </c>
      <c r="D25" s="60">
        <v>2018.0</v>
      </c>
      <c r="E25" s="60">
        <v>69636.0</v>
      </c>
      <c r="F25" s="61" t="s">
        <v>436</v>
      </c>
      <c r="G25" s="60" t="s">
        <v>367</v>
      </c>
      <c r="H25" s="60">
        <v>0.48</v>
      </c>
      <c r="I25" s="60">
        <v>668.0</v>
      </c>
      <c r="J25" s="60" t="s">
        <v>171</v>
      </c>
      <c r="K25" s="60" t="s">
        <v>129</v>
      </c>
      <c r="L25" s="60" t="s">
        <v>170</v>
      </c>
      <c r="M25" s="60" t="s">
        <v>171</v>
      </c>
      <c r="N25" s="60" t="s">
        <v>321</v>
      </c>
      <c r="O25" s="63" t="s">
        <v>601</v>
      </c>
      <c r="P25" s="63" t="s">
        <v>602</v>
      </c>
      <c r="Q25" s="60" t="s">
        <v>140</v>
      </c>
      <c r="R25" s="60" t="s">
        <v>144</v>
      </c>
      <c r="S25" s="64"/>
    </row>
    <row r="26" ht="22.5" customHeight="1">
      <c r="A26" s="32" t="s">
        <v>107</v>
      </c>
      <c r="B26" s="60">
        <v>2022.0</v>
      </c>
      <c r="C26" s="60" t="s">
        <v>609</v>
      </c>
      <c r="D26" s="60">
        <v>2018.0</v>
      </c>
      <c r="E26" s="60">
        <v>17024.0</v>
      </c>
      <c r="F26" s="61" t="s">
        <v>436</v>
      </c>
      <c r="G26" s="60" t="s">
        <v>367</v>
      </c>
      <c r="H26" s="60">
        <v>0.48</v>
      </c>
      <c r="I26" s="60">
        <v>163.0</v>
      </c>
      <c r="J26" s="60" t="s">
        <v>171</v>
      </c>
      <c r="K26" s="60" t="s">
        <v>129</v>
      </c>
      <c r="L26" s="60" t="s">
        <v>170</v>
      </c>
      <c r="M26" s="60" t="s">
        <v>171</v>
      </c>
      <c r="N26" s="60" t="s">
        <v>250</v>
      </c>
      <c r="O26" s="63" t="s">
        <v>446</v>
      </c>
      <c r="P26" s="63" t="s">
        <v>622</v>
      </c>
      <c r="Q26" s="60" t="s">
        <v>140</v>
      </c>
      <c r="R26" s="60" t="s">
        <v>144</v>
      </c>
      <c r="S26" s="64"/>
    </row>
    <row r="27" ht="22.5" customHeight="1">
      <c r="A27" s="32" t="s">
        <v>107</v>
      </c>
      <c r="B27" s="60">
        <v>2022.0</v>
      </c>
      <c r="C27" s="60" t="s">
        <v>93</v>
      </c>
      <c r="D27" s="60">
        <v>2012.0</v>
      </c>
      <c r="E27" s="60">
        <v>276.0</v>
      </c>
      <c r="F27" s="61" t="s">
        <v>517</v>
      </c>
      <c r="G27" s="60" t="s">
        <v>630</v>
      </c>
      <c r="H27" s="60">
        <v>0.5</v>
      </c>
      <c r="I27" s="60">
        <v>2.8</v>
      </c>
      <c r="J27" s="60" t="s">
        <v>634</v>
      </c>
      <c r="K27" s="60" t="s">
        <v>129</v>
      </c>
      <c r="L27" s="60" t="s">
        <v>170</v>
      </c>
      <c r="M27" s="60" t="s">
        <v>171</v>
      </c>
      <c r="N27" s="60" t="s">
        <v>637</v>
      </c>
      <c r="O27" s="63">
        <v>0.0</v>
      </c>
      <c r="P27" s="63">
        <v>0.0</v>
      </c>
      <c r="Q27" s="60" t="s">
        <v>140</v>
      </c>
      <c r="R27" s="60" t="s">
        <v>144</v>
      </c>
      <c r="S27" s="64"/>
    </row>
    <row r="28" ht="22.5" customHeight="1">
      <c r="A28" s="32" t="s">
        <v>107</v>
      </c>
      <c r="B28" s="60">
        <v>2023.0</v>
      </c>
      <c r="C28" s="60" t="s">
        <v>639</v>
      </c>
      <c r="D28" s="60">
        <v>2021.0</v>
      </c>
      <c r="E28" s="60">
        <v>74.0</v>
      </c>
      <c r="F28" s="61" t="s">
        <v>640</v>
      </c>
      <c r="G28" s="60" t="s">
        <v>641</v>
      </c>
      <c r="H28" s="60">
        <v>0.1</v>
      </c>
      <c r="I28" s="60">
        <v>0.13</v>
      </c>
      <c r="J28" s="60" t="s">
        <v>642</v>
      </c>
      <c r="K28" s="60" t="s">
        <v>132</v>
      </c>
      <c r="L28" s="60" t="s">
        <v>170</v>
      </c>
      <c r="M28" s="60" t="s">
        <v>171</v>
      </c>
      <c r="N28" s="60" t="s">
        <v>647</v>
      </c>
      <c r="O28" s="35" t="s">
        <v>170</v>
      </c>
      <c r="P28" s="63" t="s">
        <v>170</v>
      </c>
      <c r="Q28" s="60" t="s">
        <v>274</v>
      </c>
      <c r="R28" s="60" t="s">
        <v>308</v>
      </c>
      <c r="S28" s="64"/>
    </row>
    <row r="29" ht="22.5" customHeight="1">
      <c r="A29" s="32" t="s">
        <v>107</v>
      </c>
      <c r="B29" s="60">
        <v>2017.0</v>
      </c>
      <c r="C29" s="60" t="s">
        <v>650</v>
      </c>
      <c r="D29" s="60">
        <v>2014.0</v>
      </c>
      <c r="E29" s="60">
        <v>466.0</v>
      </c>
      <c r="F29" s="61" t="s">
        <v>483</v>
      </c>
      <c r="G29" s="60" t="s">
        <v>367</v>
      </c>
      <c r="H29" s="60">
        <v>0.48</v>
      </c>
      <c r="I29" s="60">
        <v>4.5</v>
      </c>
      <c r="J29" s="60" t="s">
        <v>171</v>
      </c>
      <c r="K29" s="60" t="s">
        <v>129</v>
      </c>
      <c r="L29" s="60" t="s">
        <v>170</v>
      </c>
      <c r="M29" s="60" t="s">
        <v>171</v>
      </c>
      <c r="N29" s="60" t="s">
        <v>496</v>
      </c>
      <c r="O29" s="91" t="s">
        <v>652</v>
      </c>
      <c r="P29" s="63" t="s">
        <v>653</v>
      </c>
      <c r="Q29" s="60" t="s">
        <v>140</v>
      </c>
      <c r="R29" s="60" t="s">
        <v>144</v>
      </c>
      <c r="S29" s="64"/>
    </row>
    <row r="30" ht="22.5" customHeight="1">
      <c r="A30" s="32" t="s">
        <v>107</v>
      </c>
      <c r="B30" s="60">
        <v>2022.0</v>
      </c>
      <c r="C30" s="60" t="s">
        <v>654</v>
      </c>
      <c r="D30" s="60">
        <v>2022.0</v>
      </c>
      <c r="E30" s="60">
        <v>894.0</v>
      </c>
      <c r="F30" s="61" t="s">
        <v>436</v>
      </c>
      <c r="G30" s="60" t="s">
        <v>367</v>
      </c>
      <c r="H30" s="60">
        <v>0.5</v>
      </c>
      <c r="I30" s="60">
        <v>8.9</v>
      </c>
      <c r="J30" s="60" t="s">
        <v>126</v>
      </c>
      <c r="K30" s="60" t="s">
        <v>129</v>
      </c>
      <c r="L30" s="60" t="s">
        <v>170</v>
      </c>
      <c r="M30" s="60" t="s">
        <v>171</v>
      </c>
      <c r="N30" s="60" t="s">
        <v>321</v>
      </c>
      <c r="O30" s="91">
        <v>0.0</v>
      </c>
      <c r="P30" s="63" t="s">
        <v>340</v>
      </c>
      <c r="Q30" s="60" t="s">
        <v>140</v>
      </c>
      <c r="R30" s="60" t="s">
        <v>144</v>
      </c>
      <c r="S30" s="64"/>
    </row>
    <row r="31" ht="22.5" customHeight="1">
      <c r="A31" s="32" t="s">
        <v>107</v>
      </c>
      <c r="B31" s="60">
        <v>2018.0</v>
      </c>
      <c r="C31" s="60" t="s">
        <v>658</v>
      </c>
      <c r="D31" s="60">
        <v>2014.0</v>
      </c>
      <c r="E31" s="60">
        <v>1967.0</v>
      </c>
      <c r="F31" s="61" t="s">
        <v>483</v>
      </c>
      <c r="G31" s="60" t="s">
        <v>367</v>
      </c>
      <c r="H31" s="60">
        <v>0.5</v>
      </c>
      <c r="I31" s="60">
        <v>20.0</v>
      </c>
      <c r="J31" s="60" t="s">
        <v>126</v>
      </c>
      <c r="K31" s="60" t="s">
        <v>129</v>
      </c>
      <c r="L31" s="60" t="s">
        <v>170</v>
      </c>
      <c r="M31" s="60" t="s">
        <v>171</v>
      </c>
      <c r="N31" s="60" t="s">
        <v>660</v>
      </c>
      <c r="O31" s="91" t="s">
        <v>663</v>
      </c>
      <c r="P31" s="63" t="s">
        <v>664</v>
      </c>
      <c r="Q31" s="60" t="s">
        <v>140</v>
      </c>
      <c r="R31" s="60" t="s">
        <v>144</v>
      </c>
      <c r="S31" s="60" t="s">
        <v>665</v>
      </c>
    </row>
    <row r="32" ht="22.5" customHeight="1">
      <c r="A32" s="60" t="s">
        <v>107</v>
      </c>
      <c r="B32" s="60">
        <v>2022.0</v>
      </c>
      <c r="C32" s="60" t="s">
        <v>667</v>
      </c>
      <c r="D32" s="60">
        <v>2016.0</v>
      </c>
      <c r="E32" s="60">
        <v>4214.0</v>
      </c>
      <c r="F32" s="61" t="s">
        <v>668</v>
      </c>
      <c r="G32" s="60" t="s">
        <v>367</v>
      </c>
      <c r="H32" s="60">
        <v>0.5</v>
      </c>
      <c r="I32" s="60">
        <v>42.0</v>
      </c>
      <c r="J32" s="60" t="s">
        <v>642</v>
      </c>
      <c r="K32" s="60" t="s">
        <v>129</v>
      </c>
      <c r="L32" s="60" t="s">
        <v>170</v>
      </c>
      <c r="M32" s="60" t="s">
        <v>171</v>
      </c>
      <c r="N32" s="60" t="s">
        <v>670</v>
      </c>
      <c r="O32" s="91" t="s">
        <v>663</v>
      </c>
      <c r="P32" s="63" t="s">
        <v>671</v>
      </c>
      <c r="Q32" s="60" t="s">
        <v>140</v>
      </c>
      <c r="R32" s="60" t="s">
        <v>144</v>
      </c>
      <c r="S32" s="60"/>
    </row>
    <row r="33" ht="22.5" customHeight="1">
      <c r="A33" s="60" t="s">
        <v>107</v>
      </c>
      <c r="B33" s="60">
        <v>2017.0</v>
      </c>
      <c r="C33" s="60" t="s">
        <v>672</v>
      </c>
      <c r="D33" s="60">
        <v>2014.0</v>
      </c>
      <c r="E33" s="60">
        <v>1924.0</v>
      </c>
      <c r="F33" s="61" t="s">
        <v>483</v>
      </c>
      <c r="G33" s="60" t="s">
        <v>367</v>
      </c>
      <c r="H33" s="60">
        <v>0.5</v>
      </c>
      <c r="I33" s="60">
        <v>19.0</v>
      </c>
      <c r="J33" s="60" t="s">
        <v>171</v>
      </c>
      <c r="K33" s="60" t="s">
        <v>129</v>
      </c>
      <c r="L33" s="60" t="s">
        <v>170</v>
      </c>
      <c r="M33" s="60" t="s">
        <v>171</v>
      </c>
      <c r="N33" s="60" t="s">
        <v>531</v>
      </c>
      <c r="O33" s="91" t="s">
        <v>663</v>
      </c>
      <c r="P33" s="63">
        <v>0.0</v>
      </c>
      <c r="Q33" s="60" t="s">
        <v>140</v>
      </c>
      <c r="R33" s="60" t="s">
        <v>144</v>
      </c>
      <c r="S33" s="60"/>
    </row>
    <row r="34" ht="22.5" customHeight="1">
      <c r="A34" s="60" t="s">
        <v>107</v>
      </c>
      <c r="B34" s="60">
        <v>2017.0</v>
      </c>
      <c r="C34" s="60" t="s">
        <v>675</v>
      </c>
      <c r="D34" s="60" t="s">
        <v>170</v>
      </c>
      <c r="E34" s="60" t="s">
        <v>170</v>
      </c>
      <c r="F34" s="61" t="s">
        <v>170</v>
      </c>
      <c r="G34" s="60" t="s">
        <v>367</v>
      </c>
      <c r="H34" s="60">
        <v>0.5</v>
      </c>
      <c r="I34" s="60" t="s">
        <v>170</v>
      </c>
      <c r="J34" s="60" t="s">
        <v>171</v>
      </c>
      <c r="K34" s="60" t="s">
        <v>129</v>
      </c>
      <c r="L34" s="60" t="s">
        <v>170</v>
      </c>
      <c r="M34" s="60" t="s">
        <v>171</v>
      </c>
      <c r="N34" s="60" t="s">
        <v>531</v>
      </c>
      <c r="O34" s="91" t="s">
        <v>663</v>
      </c>
      <c r="P34" s="63">
        <v>0.0</v>
      </c>
      <c r="Q34" s="60" t="s">
        <v>140</v>
      </c>
      <c r="R34" s="60" t="s">
        <v>144</v>
      </c>
      <c r="S34" s="60"/>
    </row>
    <row r="35" ht="22.5" customHeight="1">
      <c r="A35" s="60" t="s">
        <v>107</v>
      </c>
      <c r="B35" s="60">
        <v>2024.0</v>
      </c>
      <c r="C35" s="60" t="s">
        <v>676</v>
      </c>
      <c r="D35" s="60">
        <v>2018.0</v>
      </c>
      <c r="E35" s="60">
        <v>2011.0</v>
      </c>
      <c r="F35" s="61" t="s">
        <v>436</v>
      </c>
      <c r="G35" s="60" t="s">
        <v>367</v>
      </c>
      <c r="H35" s="60">
        <v>0.1</v>
      </c>
      <c r="I35" s="60">
        <v>4.0</v>
      </c>
      <c r="J35" s="60" t="s">
        <v>171</v>
      </c>
      <c r="K35" s="60" t="s">
        <v>132</v>
      </c>
      <c r="L35" s="60" t="s">
        <v>170</v>
      </c>
      <c r="M35" s="60" t="s">
        <v>171</v>
      </c>
      <c r="N35" s="60" t="s">
        <v>677</v>
      </c>
      <c r="O35" s="91" t="s">
        <v>446</v>
      </c>
      <c r="P35" s="63" t="s">
        <v>678</v>
      </c>
      <c r="Q35" s="60" t="s">
        <v>274</v>
      </c>
      <c r="R35" s="60" t="s">
        <v>308</v>
      </c>
      <c r="S35" s="60"/>
    </row>
    <row r="36" ht="22.5" customHeight="1">
      <c r="A36" s="60" t="s">
        <v>107</v>
      </c>
      <c r="B36" s="60">
        <v>2021.0</v>
      </c>
      <c r="C36" s="60" t="s">
        <v>679</v>
      </c>
      <c r="D36" s="60">
        <v>2016.0</v>
      </c>
      <c r="E36" s="60">
        <v>25849.0</v>
      </c>
      <c r="F36" s="61" t="s">
        <v>680</v>
      </c>
      <c r="G36" s="60" t="s">
        <v>681</v>
      </c>
      <c r="H36" s="60">
        <v>1.0</v>
      </c>
      <c r="I36" s="60">
        <v>801.0</v>
      </c>
      <c r="J36" s="60" t="s">
        <v>126</v>
      </c>
      <c r="K36" s="60" t="s">
        <v>129</v>
      </c>
      <c r="L36" s="60" t="s">
        <v>170</v>
      </c>
      <c r="M36" s="60" t="s">
        <v>132</v>
      </c>
      <c r="N36" s="60" t="s">
        <v>682</v>
      </c>
      <c r="O36" s="35" t="s">
        <v>683</v>
      </c>
      <c r="P36" s="63" t="s">
        <v>684</v>
      </c>
      <c r="Q36" s="60" t="s">
        <v>140</v>
      </c>
      <c r="R36" s="60" t="s">
        <v>144</v>
      </c>
      <c r="S36" s="60" t="s">
        <v>685</v>
      </c>
    </row>
    <row r="37" ht="22.5" customHeight="1">
      <c r="A37" s="60" t="s">
        <v>107</v>
      </c>
      <c r="B37" s="60">
        <v>2021.0</v>
      </c>
      <c r="C37" s="60" t="s">
        <v>686</v>
      </c>
      <c r="D37" s="60">
        <v>2016.0</v>
      </c>
      <c r="E37" s="60">
        <v>271.0</v>
      </c>
      <c r="F37" s="61" t="s">
        <v>517</v>
      </c>
      <c r="G37" s="60" t="s">
        <v>687</v>
      </c>
      <c r="H37" s="60">
        <v>0.1</v>
      </c>
      <c r="I37" s="60">
        <v>0.12</v>
      </c>
      <c r="J37" s="60" t="s">
        <v>688</v>
      </c>
      <c r="K37" s="60" t="s">
        <v>132</v>
      </c>
      <c r="L37" s="60" t="s">
        <v>170</v>
      </c>
      <c r="M37" s="60" t="s">
        <v>171</v>
      </c>
      <c r="N37" s="32" t="s">
        <v>170</v>
      </c>
      <c r="O37" s="35" t="s">
        <v>170</v>
      </c>
      <c r="P37" s="35" t="s">
        <v>170</v>
      </c>
      <c r="Q37" s="60" t="s">
        <v>274</v>
      </c>
      <c r="R37" s="60" t="s">
        <v>308</v>
      </c>
      <c r="S37" s="60"/>
    </row>
    <row r="38" ht="22.5" customHeight="1">
      <c r="A38" s="60" t="s">
        <v>107</v>
      </c>
      <c r="B38" s="60">
        <v>2023.0</v>
      </c>
      <c r="C38" s="60" t="s">
        <v>691</v>
      </c>
      <c r="D38" s="60">
        <v>2021.0</v>
      </c>
      <c r="E38" s="60">
        <v>1496.0</v>
      </c>
      <c r="F38" s="61" t="s">
        <v>517</v>
      </c>
      <c r="G38" s="60" t="s">
        <v>692</v>
      </c>
      <c r="H38" s="60">
        <v>0.1</v>
      </c>
      <c r="I38" s="60">
        <v>3.5</v>
      </c>
      <c r="J38" s="60" t="s">
        <v>171</v>
      </c>
      <c r="K38" s="60" t="s">
        <v>132</v>
      </c>
      <c r="L38" s="60" t="s">
        <v>170</v>
      </c>
      <c r="M38" s="60" t="s">
        <v>171</v>
      </c>
      <c r="N38" s="94" t="s">
        <v>670</v>
      </c>
      <c r="O38" s="91" t="s">
        <v>693</v>
      </c>
      <c r="P38" s="91" t="s">
        <v>694</v>
      </c>
      <c r="Q38" s="60" t="s">
        <v>274</v>
      </c>
      <c r="R38" s="60" t="s">
        <v>308</v>
      </c>
      <c r="S38" s="60"/>
    </row>
    <row r="39" ht="22.5" customHeight="1">
      <c r="A39" s="60" t="s">
        <v>107</v>
      </c>
      <c r="B39" s="60">
        <v>2023.0</v>
      </c>
      <c r="C39" s="60" t="s">
        <v>695</v>
      </c>
      <c r="D39" s="60">
        <v>2021.0</v>
      </c>
      <c r="E39" s="60">
        <v>3185.0</v>
      </c>
      <c r="F39" s="61" t="s">
        <v>517</v>
      </c>
      <c r="G39" s="60" t="s">
        <v>692</v>
      </c>
      <c r="H39" s="60">
        <v>0.5</v>
      </c>
      <c r="I39" s="60">
        <v>43.0</v>
      </c>
      <c r="J39" s="60" t="s">
        <v>171</v>
      </c>
      <c r="K39" s="60" t="s">
        <v>132</v>
      </c>
      <c r="L39" s="60" t="s">
        <v>170</v>
      </c>
      <c r="M39" s="60" t="s">
        <v>171</v>
      </c>
      <c r="N39" s="94" t="s">
        <v>670</v>
      </c>
      <c r="O39" s="91" t="s">
        <v>696</v>
      </c>
      <c r="P39" s="91" t="s">
        <v>697</v>
      </c>
      <c r="Q39" s="60" t="s">
        <v>274</v>
      </c>
      <c r="R39" s="60" t="s">
        <v>275</v>
      </c>
      <c r="S39" s="60"/>
    </row>
    <row r="40" ht="22.5" customHeight="1">
      <c r="A40" s="60" t="s">
        <v>107</v>
      </c>
      <c r="B40" s="60">
        <v>2024.0</v>
      </c>
      <c r="C40" s="60" t="s">
        <v>698</v>
      </c>
      <c r="D40" s="60">
        <v>2018.0</v>
      </c>
      <c r="E40" s="60">
        <v>1767.0</v>
      </c>
      <c r="F40" s="61" t="s">
        <v>517</v>
      </c>
      <c r="G40" s="60" t="s">
        <v>367</v>
      </c>
      <c r="H40" s="60">
        <v>0.2</v>
      </c>
      <c r="I40" s="60">
        <v>4.1</v>
      </c>
      <c r="J40" s="60" t="s">
        <v>171</v>
      </c>
      <c r="K40" s="60" t="s">
        <v>132</v>
      </c>
      <c r="L40" s="60" t="s">
        <v>170</v>
      </c>
      <c r="M40" s="60" t="s">
        <v>171</v>
      </c>
      <c r="N40" s="94" t="s">
        <v>304</v>
      </c>
      <c r="O40" s="91" t="s">
        <v>699</v>
      </c>
      <c r="P40" s="91" t="s">
        <v>700</v>
      </c>
      <c r="Q40" s="60" t="s">
        <v>274</v>
      </c>
      <c r="R40" s="60" t="s">
        <v>308</v>
      </c>
      <c r="S40" s="60"/>
    </row>
    <row r="41" ht="22.5" customHeight="1">
      <c r="A41" s="60" t="s">
        <v>107</v>
      </c>
      <c r="B41" s="60">
        <v>2024.0</v>
      </c>
      <c r="C41" s="60" t="s">
        <v>704</v>
      </c>
      <c r="D41" s="60">
        <v>2018.0</v>
      </c>
      <c r="E41" s="60">
        <v>7970.0</v>
      </c>
      <c r="F41" s="61" t="s">
        <v>436</v>
      </c>
      <c r="G41" s="60" t="s">
        <v>367</v>
      </c>
      <c r="H41" s="60">
        <v>0.5</v>
      </c>
      <c r="I41" s="60">
        <v>80.0</v>
      </c>
      <c r="J41" s="60" t="s">
        <v>126</v>
      </c>
      <c r="K41" s="60" t="s">
        <v>132</v>
      </c>
      <c r="L41" s="60" t="s">
        <v>170</v>
      </c>
      <c r="M41" s="60" t="s">
        <v>171</v>
      </c>
      <c r="N41" s="94" t="s">
        <v>304</v>
      </c>
      <c r="O41" s="91" t="s">
        <v>699</v>
      </c>
      <c r="P41" s="91" t="s">
        <v>706</v>
      </c>
      <c r="Q41" s="60" t="s">
        <v>274</v>
      </c>
      <c r="R41" s="60" t="s">
        <v>308</v>
      </c>
      <c r="S41" s="60"/>
    </row>
    <row r="42" ht="22.5" customHeight="1">
      <c r="A42" s="60" t="s">
        <v>107</v>
      </c>
      <c r="B42" s="60">
        <v>2024.0</v>
      </c>
      <c r="C42" s="60" t="s">
        <v>707</v>
      </c>
      <c r="D42" s="60">
        <v>2014.0</v>
      </c>
      <c r="E42" s="60">
        <v>625.0</v>
      </c>
      <c r="F42" s="61" t="s">
        <v>483</v>
      </c>
      <c r="G42" s="60" t="s">
        <v>367</v>
      </c>
      <c r="H42" s="60">
        <v>0.1</v>
      </c>
      <c r="I42" s="60">
        <v>1.25</v>
      </c>
      <c r="J42" s="60" t="s">
        <v>171</v>
      </c>
      <c r="K42" s="60" t="s">
        <v>132</v>
      </c>
      <c r="L42" s="60" t="s">
        <v>170</v>
      </c>
      <c r="M42" s="60" t="s">
        <v>171</v>
      </c>
      <c r="N42" s="94" t="s">
        <v>304</v>
      </c>
      <c r="O42" s="91" t="s">
        <v>663</v>
      </c>
      <c r="P42" s="91">
        <v>0.0</v>
      </c>
      <c r="Q42" s="60" t="s">
        <v>274</v>
      </c>
      <c r="R42" s="60" t="s">
        <v>308</v>
      </c>
      <c r="S42" s="60"/>
    </row>
    <row r="43" ht="22.5" customHeight="1">
      <c r="A43" s="60" t="s">
        <v>107</v>
      </c>
      <c r="B43" s="60">
        <v>2024.0</v>
      </c>
      <c r="C43" s="60" t="s">
        <v>708</v>
      </c>
      <c r="D43" s="60">
        <v>2018.0</v>
      </c>
      <c r="E43" s="60">
        <v>509.0</v>
      </c>
      <c r="F43" s="61" t="s">
        <v>436</v>
      </c>
      <c r="G43" s="60" t="s">
        <v>367</v>
      </c>
      <c r="H43" s="60">
        <v>0.4</v>
      </c>
      <c r="I43" s="60">
        <v>4.1</v>
      </c>
      <c r="J43" s="60" t="s">
        <v>171</v>
      </c>
      <c r="K43" s="60" t="s">
        <v>129</v>
      </c>
      <c r="L43" s="60" t="s">
        <v>170</v>
      </c>
      <c r="M43" s="60" t="s">
        <v>171</v>
      </c>
      <c r="N43" s="94" t="s">
        <v>304</v>
      </c>
      <c r="O43" s="91" t="s">
        <v>709</v>
      </c>
      <c r="P43" s="91" t="s">
        <v>711</v>
      </c>
      <c r="Q43" s="60" t="s">
        <v>140</v>
      </c>
      <c r="R43" s="60" t="s">
        <v>144</v>
      </c>
      <c r="S43" s="60"/>
    </row>
    <row r="44" ht="22.5" customHeight="1">
      <c r="A44" s="60" t="s">
        <v>107</v>
      </c>
      <c r="B44" s="60">
        <v>2015.0</v>
      </c>
      <c r="C44" s="60" t="s">
        <v>713</v>
      </c>
      <c r="D44" s="60" t="s">
        <v>170</v>
      </c>
      <c r="E44" s="60" t="s">
        <v>170</v>
      </c>
      <c r="F44" s="61" t="s">
        <v>170</v>
      </c>
      <c r="G44" s="61" t="s">
        <v>170</v>
      </c>
      <c r="H44" s="61" t="s">
        <v>170</v>
      </c>
      <c r="I44" s="61" t="s">
        <v>170</v>
      </c>
      <c r="J44" s="60" t="s">
        <v>171</v>
      </c>
      <c r="K44" s="60" t="s">
        <v>129</v>
      </c>
      <c r="L44" s="60" t="s">
        <v>170</v>
      </c>
      <c r="M44" s="60" t="s">
        <v>171</v>
      </c>
      <c r="N44" s="94" t="s">
        <v>714</v>
      </c>
      <c r="O44" s="91" t="s">
        <v>663</v>
      </c>
      <c r="P44" s="91">
        <v>0.0</v>
      </c>
      <c r="Q44" s="60" t="s">
        <v>140</v>
      </c>
      <c r="R44" s="60" t="s">
        <v>144</v>
      </c>
      <c r="S44" s="60"/>
    </row>
    <row r="45" ht="22.5" customHeight="1">
      <c r="A45" s="60" t="s">
        <v>107</v>
      </c>
      <c r="B45" s="60">
        <v>2024.0</v>
      </c>
      <c r="C45" s="60" t="s">
        <v>715</v>
      </c>
      <c r="D45" s="60">
        <v>2020.0</v>
      </c>
      <c r="E45" s="60">
        <v>56782.0</v>
      </c>
      <c r="F45" s="61" t="s">
        <v>436</v>
      </c>
      <c r="G45" s="60" t="s">
        <v>367</v>
      </c>
      <c r="H45" s="61">
        <v>0.45</v>
      </c>
      <c r="I45" s="61">
        <v>511.0</v>
      </c>
      <c r="J45" s="60" t="s">
        <v>171</v>
      </c>
      <c r="K45" s="60" t="s">
        <v>129</v>
      </c>
      <c r="L45" s="60" t="s">
        <v>170</v>
      </c>
      <c r="M45" s="60" t="s">
        <v>171</v>
      </c>
      <c r="N45" s="94" t="s">
        <v>304</v>
      </c>
      <c r="O45" s="91" t="s">
        <v>652</v>
      </c>
      <c r="P45" s="91" t="s">
        <v>409</v>
      </c>
      <c r="Q45" s="60" t="s">
        <v>140</v>
      </c>
      <c r="R45" s="60" t="s">
        <v>144</v>
      </c>
      <c r="S45" s="60"/>
    </row>
    <row r="46" ht="22.5" customHeight="1">
      <c r="A46" s="60" t="s">
        <v>107</v>
      </c>
      <c r="B46" s="60">
        <v>2011.0</v>
      </c>
      <c r="C46" s="60" t="s">
        <v>716</v>
      </c>
      <c r="D46" s="60" t="s">
        <v>170</v>
      </c>
      <c r="E46" s="60" t="s">
        <v>717</v>
      </c>
      <c r="F46" s="61" t="s">
        <v>170</v>
      </c>
      <c r="G46" s="60" t="s">
        <v>367</v>
      </c>
      <c r="H46" s="61">
        <v>0.4</v>
      </c>
      <c r="I46" s="61" t="s">
        <v>718</v>
      </c>
      <c r="J46" s="60" t="s">
        <v>171</v>
      </c>
      <c r="K46" s="60" t="s">
        <v>129</v>
      </c>
      <c r="L46" s="60" t="s">
        <v>170</v>
      </c>
      <c r="M46" s="60" t="s">
        <v>171</v>
      </c>
      <c r="N46" s="94" t="s">
        <v>719</v>
      </c>
      <c r="O46" s="91" t="s">
        <v>663</v>
      </c>
      <c r="P46" s="91" t="s">
        <v>720</v>
      </c>
      <c r="Q46" s="60" t="s">
        <v>140</v>
      </c>
      <c r="R46" s="60" t="s">
        <v>144</v>
      </c>
      <c r="S46" s="60"/>
    </row>
    <row r="47" ht="22.5" customHeight="1">
      <c r="A47" s="60" t="s">
        <v>107</v>
      </c>
      <c r="B47" s="60">
        <v>2024.0</v>
      </c>
      <c r="C47" s="60" t="s">
        <v>722</v>
      </c>
      <c r="D47" s="60">
        <v>2020.0</v>
      </c>
      <c r="E47" s="60">
        <v>5283.0</v>
      </c>
      <c r="F47" s="61" t="s">
        <v>436</v>
      </c>
      <c r="G47" s="60" t="s">
        <v>367</v>
      </c>
      <c r="H47" s="61">
        <v>0.5</v>
      </c>
      <c r="I47" s="61">
        <v>53.0</v>
      </c>
      <c r="J47" s="60" t="s">
        <v>171</v>
      </c>
      <c r="K47" s="60" t="s">
        <v>129</v>
      </c>
      <c r="L47" s="60" t="s">
        <v>170</v>
      </c>
      <c r="M47" s="60" t="s">
        <v>171</v>
      </c>
      <c r="N47" s="94" t="s">
        <v>304</v>
      </c>
      <c r="O47" s="91" t="s">
        <v>652</v>
      </c>
      <c r="P47" s="91">
        <v>0.0</v>
      </c>
      <c r="Q47" s="60" t="s">
        <v>140</v>
      </c>
      <c r="R47" s="60" t="s">
        <v>144</v>
      </c>
      <c r="S47" s="60"/>
    </row>
    <row r="48" ht="22.5" customHeight="1">
      <c r="A48" s="60" t="s">
        <v>107</v>
      </c>
      <c r="B48" s="60">
        <v>2024.0</v>
      </c>
      <c r="C48" s="60" t="s">
        <v>723</v>
      </c>
      <c r="D48" s="60">
        <v>2018.0</v>
      </c>
      <c r="E48" s="60">
        <v>92.0</v>
      </c>
      <c r="F48" s="61" t="s">
        <v>517</v>
      </c>
      <c r="G48" s="60" t="s">
        <v>367</v>
      </c>
      <c r="H48" s="61">
        <v>0.5</v>
      </c>
      <c r="I48" s="61">
        <v>0.9</v>
      </c>
      <c r="J48" s="60" t="s">
        <v>724</v>
      </c>
      <c r="K48" s="60" t="s">
        <v>129</v>
      </c>
      <c r="L48" s="60" t="s">
        <v>170</v>
      </c>
      <c r="M48" s="60" t="s">
        <v>171</v>
      </c>
      <c r="N48" s="94" t="s">
        <v>304</v>
      </c>
      <c r="O48" s="91" t="s">
        <v>652</v>
      </c>
      <c r="P48" s="91" t="s">
        <v>725</v>
      </c>
      <c r="Q48" s="60" t="s">
        <v>140</v>
      </c>
      <c r="R48" s="60" t="s">
        <v>144</v>
      </c>
      <c r="S48" s="60"/>
    </row>
    <row r="49" ht="22.5" customHeight="1">
      <c r="A49" s="60" t="s">
        <v>107</v>
      </c>
      <c r="B49" s="60">
        <v>2024.0</v>
      </c>
      <c r="C49" s="60" t="s">
        <v>726</v>
      </c>
      <c r="D49" s="60">
        <v>2018.0</v>
      </c>
      <c r="E49" s="60">
        <v>97.0</v>
      </c>
      <c r="F49" s="61" t="s">
        <v>517</v>
      </c>
      <c r="G49" s="60" t="s">
        <v>367</v>
      </c>
      <c r="H49" s="61">
        <v>0.5</v>
      </c>
      <c r="I49" s="61">
        <v>1.0</v>
      </c>
      <c r="J49" s="60" t="s">
        <v>724</v>
      </c>
      <c r="K49" s="60" t="s">
        <v>129</v>
      </c>
      <c r="L49" s="60" t="s">
        <v>170</v>
      </c>
      <c r="M49" s="60" t="s">
        <v>171</v>
      </c>
      <c r="N49" s="94" t="s">
        <v>304</v>
      </c>
      <c r="O49" s="91" t="s">
        <v>652</v>
      </c>
      <c r="P49" s="91" t="s">
        <v>725</v>
      </c>
      <c r="Q49" s="60" t="s">
        <v>140</v>
      </c>
      <c r="R49" s="60" t="s">
        <v>144</v>
      </c>
      <c r="S49" s="60"/>
    </row>
    <row r="50" ht="22.5" customHeight="1">
      <c r="A50" s="60" t="s">
        <v>107</v>
      </c>
      <c r="B50" s="60">
        <v>2024.0</v>
      </c>
      <c r="C50" s="60" t="s">
        <v>732</v>
      </c>
      <c r="D50" s="60">
        <v>2018.0</v>
      </c>
      <c r="E50" s="60">
        <v>64.0</v>
      </c>
      <c r="F50" s="61" t="s">
        <v>517</v>
      </c>
      <c r="G50" s="60" t="s">
        <v>367</v>
      </c>
      <c r="H50" s="61">
        <v>0.5</v>
      </c>
      <c r="I50" s="61">
        <v>0.6</v>
      </c>
      <c r="J50" s="60" t="s">
        <v>724</v>
      </c>
      <c r="K50" s="60" t="s">
        <v>129</v>
      </c>
      <c r="L50" s="60" t="s">
        <v>170</v>
      </c>
      <c r="M50" s="60" t="s">
        <v>171</v>
      </c>
      <c r="N50" s="94" t="s">
        <v>739</v>
      </c>
      <c r="O50" s="91" t="s">
        <v>652</v>
      </c>
      <c r="P50" s="91" t="s">
        <v>725</v>
      </c>
      <c r="Q50" s="60" t="s">
        <v>140</v>
      </c>
      <c r="R50" s="60" t="s">
        <v>144</v>
      </c>
      <c r="S50" s="60"/>
    </row>
    <row r="51" ht="22.5" customHeight="1">
      <c r="A51" s="60" t="s">
        <v>107</v>
      </c>
      <c r="B51" s="60">
        <v>2024.0</v>
      </c>
      <c r="C51" s="60" t="s">
        <v>741</v>
      </c>
      <c r="D51" s="60">
        <v>2018.0</v>
      </c>
      <c r="E51" s="60">
        <v>96.0</v>
      </c>
      <c r="F51" s="61" t="s">
        <v>517</v>
      </c>
      <c r="G51" s="60" t="s">
        <v>367</v>
      </c>
      <c r="H51" s="61">
        <v>0.5</v>
      </c>
      <c r="I51" s="61">
        <v>1.0</v>
      </c>
      <c r="J51" s="60" t="s">
        <v>745</v>
      </c>
      <c r="K51" s="60" t="s">
        <v>129</v>
      </c>
      <c r="L51" s="60" t="s">
        <v>170</v>
      </c>
      <c r="M51" s="60" t="s">
        <v>171</v>
      </c>
      <c r="N51" s="94" t="s">
        <v>739</v>
      </c>
      <c r="O51" s="91" t="s">
        <v>652</v>
      </c>
      <c r="P51" s="91" t="s">
        <v>725</v>
      </c>
      <c r="Q51" s="60" t="s">
        <v>140</v>
      </c>
      <c r="R51" s="60" t="s">
        <v>144</v>
      </c>
      <c r="S51" s="60"/>
    </row>
    <row r="52" ht="22.5" customHeight="1">
      <c r="A52" s="60" t="s">
        <v>107</v>
      </c>
      <c r="B52" s="60">
        <v>2024.0</v>
      </c>
      <c r="C52" s="60" t="s">
        <v>751</v>
      </c>
      <c r="D52" s="60">
        <v>2020.0</v>
      </c>
      <c r="E52" s="60">
        <v>15783.0</v>
      </c>
      <c r="F52" s="61" t="s">
        <v>436</v>
      </c>
      <c r="G52" s="60" t="s">
        <v>367</v>
      </c>
      <c r="H52" s="61">
        <v>0.5</v>
      </c>
      <c r="I52" s="61">
        <v>158.0</v>
      </c>
      <c r="J52" s="60" t="s">
        <v>171</v>
      </c>
      <c r="K52" s="60" t="s">
        <v>129</v>
      </c>
      <c r="L52" s="60" t="s">
        <v>170</v>
      </c>
      <c r="M52" s="60" t="s">
        <v>171</v>
      </c>
      <c r="N52" s="94" t="s">
        <v>739</v>
      </c>
      <c r="O52" s="91" t="s">
        <v>652</v>
      </c>
      <c r="P52" s="91" t="s">
        <v>725</v>
      </c>
      <c r="Q52" s="60" t="s">
        <v>140</v>
      </c>
      <c r="R52" s="60" t="s">
        <v>144</v>
      </c>
      <c r="S52" s="60"/>
    </row>
    <row r="53" ht="22.5" customHeight="1">
      <c r="A53" s="60" t="s">
        <v>107</v>
      </c>
      <c r="B53" s="60">
        <v>2024.0</v>
      </c>
      <c r="C53" s="60" t="s">
        <v>764</v>
      </c>
      <c r="D53" s="60" t="s">
        <v>170</v>
      </c>
      <c r="E53" s="60" t="s">
        <v>170</v>
      </c>
      <c r="F53" s="61" t="s">
        <v>170</v>
      </c>
      <c r="G53" s="60" t="s">
        <v>367</v>
      </c>
      <c r="H53" s="61">
        <v>0.5</v>
      </c>
      <c r="I53" s="61" t="s">
        <v>170</v>
      </c>
      <c r="J53" s="60" t="s">
        <v>171</v>
      </c>
      <c r="K53" s="60" t="s">
        <v>129</v>
      </c>
      <c r="L53" s="60" t="s">
        <v>170</v>
      </c>
      <c r="M53" s="60" t="s">
        <v>171</v>
      </c>
      <c r="N53" s="94" t="s">
        <v>739</v>
      </c>
      <c r="O53" s="91" t="s">
        <v>652</v>
      </c>
      <c r="P53" s="91">
        <v>0.0</v>
      </c>
      <c r="Q53" s="60" t="s">
        <v>140</v>
      </c>
      <c r="R53" s="60" t="s">
        <v>144</v>
      </c>
      <c r="S53" s="60"/>
    </row>
    <row r="54" ht="22.5" customHeight="1">
      <c r="A54" s="60" t="s">
        <v>107</v>
      </c>
      <c r="B54" s="60">
        <v>2024.0</v>
      </c>
      <c r="C54" s="60" t="s">
        <v>775</v>
      </c>
      <c r="D54" s="60" t="s">
        <v>170</v>
      </c>
      <c r="E54" s="60" t="s">
        <v>170</v>
      </c>
      <c r="F54" s="61" t="s">
        <v>170</v>
      </c>
      <c r="G54" s="60" t="s">
        <v>367</v>
      </c>
      <c r="H54" s="61">
        <v>0.5</v>
      </c>
      <c r="I54" s="61" t="s">
        <v>170</v>
      </c>
      <c r="J54" s="60" t="s">
        <v>171</v>
      </c>
      <c r="K54" s="60" t="s">
        <v>129</v>
      </c>
      <c r="L54" s="60" t="s">
        <v>170</v>
      </c>
      <c r="M54" s="60" t="s">
        <v>171</v>
      </c>
      <c r="N54" s="94" t="s">
        <v>739</v>
      </c>
      <c r="O54" s="91" t="s">
        <v>652</v>
      </c>
      <c r="P54" s="91">
        <v>0.0</v>
      </c>
      <c r="Q54" s="60" t="s">
        <v>140</v>
      </c>
      <c r="R54" s="60" t="s">
        <v>144</v>
      </c>
      <c r="S54" s="60"/>
    </row>
    <row r="55" ht="22.5" customHeight="1">
      <c r="A55" s="60" t="s">
        <v>107</v>
      </c>
      <c r="B55" s="60">
        <v>2024.0</v>
      </c>
      <c r="C55" s="60" t="s">
        <v>785</v>
      </c>
      <c r="D55" s="60" t="s">
        <v>170</v>
      </c>
      <c r="E55" s="60" t="s">
        <v>170</v>
      </c>
      <c r="F55" s="61" t="s">
        <v>170</v>
      </c>
      <c r="G55" s="60" t="s">
        <v>367</v>
      </c>
      <c r="H55" s="61">
        <v>0.5</v>
      </c>
      <c r="I55" s="61" t="s">
        <v>170</v>
      </c>
      <c r="J55" s="60" t="s">
        <v>171</v>
      </c>
      <c r="K55" s="60" t="s">
        <v>129</v>
      </c>
      <c r="L55" s="60" t="s">
        <v>170</v>
      </c>
      <c r="M55" s="60" t="s">
        <v>171</v>
      </c>
      <c r="N55" s="94" t="s">
        <v>739</v>
      </c>
      <c r="O55" s="91" t="s">
        <v>652</v>
      </c>
      <c r="P55" s="91">
        <v>0.0</v>
      </c>
      <c r="Q55" s="60" t="s">
        <v>140</v>
      </c>
      <c r="R55" s="60" t="s">
        <v>144</v>
      </c>
      <c r="S55" s="60"/>
    </row>
    <row r="56" ht="22.5" customHeight="1">
      <c r="A56" s="60" t="s">
        <v>107</v>
      </c>
      <c r="B56" s="60">
        <v>2024.0</v>
      </c>
      <c r="C56" s="60" t="s">
        <v>795</v>
      </c>
      <c r="D56" s="60">
        <v>2020.0</v>
      </c>
      <c r="E56" s="60">
        <v>53839.0</v>
      </c>
      <c r="F56" s="61" t="s">
        <v>436</v>
      </c>
      <c r="G56" s="60" t="s">
        <v>367</v>
      </c>
      <c r="H56" s="61">
        <v>0.5</v>
      </c>
      <c r="I56" s="61">
        <v>538.0</v>
      </c>
      <c r="J56" s="60" t="s">
        <v>171</v>
      </c>
      <c r="K56" s="60" t="s">
        <v>129</v>
      </c>
      <c r="L56" s="60" t="s">
        <v>170</v>
      </c>
      <c r="M56" s="60" t="s">
        <v>171</v>
      </c>
      <c r="N56" s="94" t="s">
        <v>739</v>
      </c>
      <c r="O56" s="91" t="s">
        <v>652</v>
      </c>
      <c r="P56" s="91">
        <v>0.0</v>
      </c>
      <c r="Q56" s="60" t="s">
        <v>140</v>
      </c>
      <c r="R56" s="60" t="s">
        <v>144</v>
      </c>
      <c r="S56" s="60"/>
    </row>
    <row r="57" ht="22.5" customHeight="1">
      <c r="A57" s="60" t="s">
        <v>107</v>
      </c>
      <c r="B57" s="60">
        <v>2019.0</v>
      </c>
      <c r="C57" s="60" t="s">
        <v>807</v>
      </c>
      <c r="D57" s="60">
        <v>2012.0</v>
      </c>
      <c r="E57" s="60">
        <v>617.0</v>
      </c>
      <c r="F57" s="61" t="s">
        <v>483</v>
      </c>
      <c r="G57" s="60" t="s">
        <v>367</v>
      </c>
      <c r="H57" s="61">
        <v>0.5</v>
      </c>
      <c r="I57" s="61">
        <v>6.2</v>
      </c>
      <c r="J57" s="60" t="s">
        <v>171</v>
      </c>
      <c r="K57" s="60" t="s">
        <v>129</v>
      </c>
      <c r="L57" s="60" t="s">
        <v>170</v>
      </c>
      <c r="M57" s="60" t="s">
        <v>171</v>
      </c>
      <c r="N57" s="94" t="s">
        <v>637</v>
      </c>
      <c r="O57" s="91" t="s">
        <v>652</v>
      </c>
      <c r="P57" s="91">
        <v>0.0</v>
      </c>
      <c r="Q57" s="60" t="s">
        <v>140</v>
      </c>
      <c r="R57" s="60" t="s">
        <v>144</v>
      </c>
      <c r="S57" s="60"/>
    </row>
    <row r="58" ht="22.5" customHeight="1">
      <c r="A58" s="60" t="s">
        <v>107</v>
      </c>
      <c r="B58" s="60">
        <v>2019.0</v>
      </c>
      <c r="C58" s="60" t="s">
        <v>821</v>
      </c>
      <c r="D58" s="60" t="s">
        <v>170</v>
      </c>
      <c r="E58" s="60" t="s">
        <v>170</v>
      </c>
      <c r="F58" s="61" t="s">
        <v>170</v>
      </c>
      <c r="G58" s="60" t="s">
        <v>367</v>
      </c>
      <c r="H58" s="61">
        <v>0.5</v>
      </c>
      <c r="I58" s="61" t="s">
        <v>170</v>
      </c>
      <c r="J58" s="60" t="s">
        <v>171</v>
      </c>
      <c r="K58" s="60" t="s">
        <v>129</v>
      </c>
      <c r="L58" s="60" t="s">
        <v>170</v>
      </c>
      <c r="M58" s="60" t="s">
        <v>171</v>
      </c>
      <c r="N58" s="94" t="s">
        <v>637</v>
      </c>
      <c r="O58" s="91" t="s">
        <v>652</v>
      </c>
      <c r="P58" s="91">
        <v>0.0</v>
      </c>
      <c r="Q58" s="60" t="s">
        <v>140</v>
      </c>
      <c r="R58" s="60" t="s">
        <v>144</v>
      </c>
      <c r="S58" s="60"/>
    </row>
    <row r="59" ht="22.5" customHeight="1">
      <c r="A59" s="60" t="s">
        <v>107</v>
      </c>
      <c r="B59" s="60">
        <v>2019.0</v>
      </c>
      <c r="C59" s="60" t="s">
        <v>844</v>
      </c>
      <c r="D59" s="60" t="s">
        <v>170</v>
      </c>
      <c r="E59" s="60" t="s">
        <v>170</v>
      </c>
      <c r="F59" s="61" t="s">
        <v>170</v>
      </c>
      <c r="G59" s="60" t="s">
        <v>367</v>
      </c>
      <c r="H59" s="61">
        <v>0.5</v>
      </c>
      <c r="I59" s="61" t="s">
        <v>170</v>
      </c>
      <c r="J59" s="60" t="s">
        <v>171</v>
      </c>
      <c r="K59" s="60" t="s">
        <v>129</v>
      </c>
      <c r="L59" s="60" t="s">
        <v>170</v>
      </c>
      <c r="M59" s="60" t="s">
        <v>171</v>
      </c>
      <c r="N59" s="94" t="s">
        <v>637</v>
      </c>
      <c r="O59" s="91" t="s">
        <v>652</v>
      </c>
      <c r="P59" s="91">
        <v>0.0</v>
      </c>
      <c r="Q59" s="60" t="s">
        <v>140</v>
      </c>
      <c r="R59" s="60" t="s">
        <v>144</v>
      </c>
      <c r="S59" s="60"/>
    </row>
    <row r="60" ht="22.5" customHeight="1">
      <c r="A60" s="60" t="s">
        <v>107</v>
      </c>
      <c r="B60" s="60">
        <v>2019.0</v>
      </c>
      <c r="C60" s="60" t="s">
        <v>850</v>
      </c>
      <c r="D60" s="60" t="s">
        <v>170</v>
      </c>
      <c r="E60" s="60" t="s">
        <v>170</v>
      </c>
      <c r="F60" s="61" t="s">
        <v>170</v>
      </c>
      <c r="G60" s="60" t="s">
        <v>367</v>
      </c>
      <c r="H60" s="61">
        <v>0.5</v>
      </c>
      <c r="I60" s="61" t="s">
        <v>170</v>
      </c>
      <c r="J60" s="60" t="s">
        <v>171</v>
      </c>
      <c r="K60" s="60" t="s">
        <v>129</v>
      </c>
      <c r="L60" s="60" t="s">
        <v>170</v>
      </c>
      <c r="M60" s="60" t="s">
        <v>171</v>
      </c>
      <c r="N60" s="94" t="s">
        <v>637</v>
      </c>
      <c r="O60" s="91" t="s">
        <v>652</v>
      </c>
      <c r="P60" s="91">
        <v>0.0</v>
      </c>
      <c r="Q60" s="60" t="s">
        <v>140</v>
      </c>
      <c r="R60" s="60" t="s">
        <v>144</v>
      </c>
      <c r="S60" s="60"/>
    </row>
    <row r="61" ht="22.5" customHeight="1">
      <c r="A61" s="60" t="s">
        <v>107</v>
      </c>
      <c r="B61" s="60">
        <v>2019.0</v>
      </c>
      <c r="C61" s="60" t="s">
        <v>853</v>
      </c>
      <c r="D61" s="60" t="s">
        <v>170</v>
      </c>
      <c r="E61" s="60" t="s">
        <v>170</v>
      </c>
      <c r="F61" s="61" t="s">
        <v>170</v>
      </c>
      <c r="G61" s="60" t="s">
        <v>367</v>
      </c>
      <c r="H61" s="61">
        <v>0.5</v>
      </c>
      <c r="I61" s="61" t="s">
        <v>170</v>
      </c>
      <c r="J61" s="60" t="s">
        <v>171</v>
      </c>
      <c r="K61" s="60" t="s">
        <v>129</v>
      </c>
      <c r="L61" s="60" t="s">
        <v>170</v>
      </c>
      <c r="M61" s="60" t="s">
        <v>171</v>
      </c>
      <c r="N61" s="94" t="s">
        <v>637</v>
      </c>
      <c r="O61" s="91" t="s">
        <v>652</v>
      </c>
      <c r="P61" s="91">
        <v>0.0</v>
      </c>
      <c r="Q61" s="60" t="s">
        <v>140</v>
      </c>
      <c r="R61" s="60" t="s">
        <v>144</v>
      </c>
      <c r="S61" s="60"/>
    </row>
    <row r="62" ht="22.5" customHeight="1">
      <c r="A62" s="60" t="s">
        <v>107</v>
      </c>
      <c r="B62" s="60">
        <v>2019.0</v>
      </c>
      <c r="C62" s="60" t="s">
        <v>861</v>
      </c>
      <c r="D62" s="60" t="s">
        <v>170</v>
      </c>
      <c r="E62" s="60" t="s">
        <v>170</v>
      </c>
      <c r="F62" s="61" t="s">
        <v>170</v>
      </c>
      <c r="G62" s="60" t="s">
        <v>367</v>
      </c>
      <c r="H62" s="61">
        <v>0.5</v>
      </c>
      <c r="I62" s="61" t="s">
        <v>170</v>
      </c>
      <c r="J62" s="60" t="s">
        <v>171</v>
      </c>
      <c r="K62" s="60" t="s">
        <v>129</v>
      </c>
      <c r="L62" s="60" t="s">
        <v>170</v>
      </c>
      <c r="M62" s="60" t="s">
        <v>171</v>
      </c>
      <c r="N62" s="94" t="s">
        <v>637</v>
      </c>
      <c r="O62" s="91" t="s">
        <v>652</v>
      </c>
      <c r="P62" s="91">
        <v>0.0</v>
      </c>
      <c r="Q62" s="60" t="s">
        <v>140</v>
      </c>
      <c r="R62" s="60" t="s">
        <v>144</v>
      </c>
      <c r="S62" s="60"/>
    </row>
    <row r="63" ht="22.5" customHeight="1">
      <c r="A63" s="60" t="s">
        <v>107</v>
      </c>
      <c r="B63" s="60">
        <v>2019.0</v>
      </c>
      <c r="C63" s="60" t="s">
        <v>872</v>
      </c>
      <c r="D63" s="60" t="s">
        <v>170</v>
      </c>
      <c r="E63" s="60" t="s">
        <v>874</v>
      </c>
      <c r="F63" s="61" t="s">
        <v>170</v>
      </c>
      <c r="G63" s="60" t="s">
        <v>367</v>
      </c>
      <c r="H63" s="61">
        <v>0.5</v>
      </c>
      <c r="I63" s="61" t="s">
        <v>878</v>
      </c>
      <c r="J63" s="60" t="s">
        <v>171</v>
      </c>
      <c r="K63" s="60" t="s">
        <v>129</v>
      </c>
      <c r="L63" s="60" t="s">
        <v>170</v>
      </c>
      <c r="M63" s="60" t="s">
        <v>171</v>
      </c>
      <c r="N63" s="94" t="s">
        <v>637</v>
      </c>
      <c r="O63" s="91" t="s">
        <v>652</v>
      </c>
      <c r="P63" s="91">
        <v>0.0</v>
      </c>
      <c r="Q63" s="60" t="s">
        <v>140</v>
      </c>
      <c r="R63" s="60" t="s">
        <v>144</v>
      </c>
      <c r="S63" s="60"/>
    </row>
    <row r="64" ht="22.5" customHeight="1">
      <c r="A64" s="60" t="s">
        <v>107</v>
      </c>
      <c r="B64" s="60">
        <v>2024.0</v>
      </c>
      <c r="C64" s="60" t="s">
        <v>887</v>
      </c>
      <c r="D64" s="60">
        <v>2020.0</v>
      </c>
      <c r="E64" s="60">
        <v>51055.0</v>
      </c>
      <c r="F64" s="61" t="s">
        <v>436</v>
      </c>
      <c r="G64" s="60" t="s">
        <v>367</v>
      </c>
      <c r="H64" s="61">
        <v>0.5</v>
      </c>
      <c r="I64" s="61">
        <v>511.0</v>
      </c>
      <c r="J64" s="60" t="s">
        <v>171</v>
      </c>
      <c r="K64" s="60" t="s">
        <v>129</v>
      </c>
      <c r="L64" s="60" t="s">
        <v>170</v>
      </c>
      <c r="M64" s="60" t="s">
        <v>171</v>
      </c>
      <c r="N64" s="94" t="s">
        <v>304</v>
      </c>
      <c r="O64" s="91" t="s">
        <v>652</v>
      </c>
      <c r="P64" s="91">
        <v>0.0</v>
      </c>
      <c r="Q64" s="60" t="s">
        <v>140</v>
      </c>
      <c r="R64" s="60" t="s">
        <v>144</v>
      </c>
      <c r="S64" s="60"/>
    </row>
    <row r="65" ht="22.5" customHeight="1">
      <c r="A65" s="60" t="s">
        <v>107</v>
      </c>
      <c r="B65" s="60">
        <v>2021.0</v>
      </c>
      <c r="C65" s="60" t="s">
        <v>892</v>
      </c>
      <c r="D65" s="60">
        <v>2017.0</v>
      </c>
      <c r="E65" s="60">
        <v>24068.0</v>
      </c>
      <c r="F65" s="61" t="s">
        <v>483</v>
      </c>
      <c r="G65" s="60" t="s">
        <v>367</v>
      </c>
      <c r="H65" s="61">
        <v>0.5</v>
      </c>
      <c r="I65" s="61">
        <v>241.0</v>
      </c>
      <c r="J65" s="60" t="s">
        <v>171</v>
      </c>
      <c r="K65" s="60" t="s">
        <v>129</v>
      </c>
      <c r="L65" s="60" t="s">
        <v>170</v>
      </c>
      <c r="M65" s="60" t="s">
        <v>171</v>
      </c>
      <c r="N65" s="94" t="s">
        <v>682</v>
      </c>
      <c r="O65" s="91" t="s">
        <v>652</v>
      </c>
      <c r="P65" s="91">
        <v>0.0</v>
      </c>
      <c r="Q65" s="60" t="s">
        <v>140</v>
      </c>
      <c r="R65" s="60" t="s">
        <v>144</v>
      </c>
      <c r="S65" s="60"/>
    </row>
    <row r="66" ht="22.5" customHeight="1">
      <c r="A66" s="60" t="s">
        <v>107</v>
      </c>
      <c r="B66" s="60">
        <v>2021.0</v>
      </c>
      <c r="C66" s="60" t="s">
        <v>898</v>
      </c>
      <c r="D66" s="60" t="s">
        <v>170</v>
      </c>
      <c r="E66" s="60" t="s">
        <v>170</v>
      </c>
      <c r="F66" s="61" t="s">
        <v>170</v>
      </c>
      <c r="G66" s="60" t="s">
        <v>367</v>
      </c>
      <c r="H66" s="61">
        <v>0.5</v>
      </c>
      <c r="I66" s="61" t="s">
        <v>170</v>
      </c>
      <c r="J66" s="60" t="s">
        <v>171</v>
      </c>
      <c r="K66" s="60" t="s">
        <v>129</v>
      </c>
      <c r="L66" s="60" t="s">
        <v>170</v>
      </c>
      <c r="M66" s="60" t="s">
        <v>171</v>
      </c>
      <c r="N66" s="94" t="s">
        <v>682</v>
      </c>
      <c r="O66" s="91" t="s">
        <v>652</v>
      </c>
      <c r="P66" s="91">
        <v>0.0</v>
      </c>
      <c r="Q66" s="60" t="s">
        <v>140</v>
      </c>
      <c r="R66" s="60" t="s">
        <v>144</v>
      </c>
      <c r="S66" s="60"/>
    </row>
    <row r="67" ht="22.5" customHeight="1">
      <c r="A67" s="60" t="s">
        <v>107</v>
      </c>
      <c r="B67" s="60">
        <v>2021.0</v>
      </c>
      <c r="C67" s="60" t="s">
        <v>901</v>
      </c>
      <c r="D67" s="60">
        <v>2017.0</v>
      </c>
      <c r="E67" s="60">
        <v>23301.0</v>
      </c>
      <c r="F67" s="61" t="s">
        <v>483</v>
      </c>
      <c r="G67" s="60" t="s">
        <v>367</v>
      </c>
      <c r="H67" s="61">
        <v>0.5</v>
      </c>
      <c r="I67" s="61">
        <v>233.0</v>
      </c>
      <c r="J67" s="60" t="s">
        <v>171</v>
      </c>
      <c r="K67" s="60" t="s">
        <v>129</v>
      </c>
      <c r="L67" s="60" t="s">
        <v>170</v>
      </c>
      <c r="M67" s="60" t="s">
        <v>171</v>
      </c>
      <c r="N67" s="94" t="s">
        <v>682</v>
      </c>
      <c r="O67" s="91" t="s">
        <v>652</v>
      </c>
      <c r="P67" s="91">
        <v>0.0</v>
      </c>
      <c r="Q67" s="60" t="s">
        <v>140</v>
      </c>
      <c r="R67" s="60" t="s">
        <v>144</v>
      </c>
      <c r="S67" s="60"/>
    </row>
    <row r="68" ht="22.5" customHeight="1">
      <c r="A68" s="60" t="s">
        <v>107</v>
      </c>
      <c r="B68" s="60">
        <v>2021.0</v>
      </c>
      <c r="C68" s="60" t="s">
        <v>903</v>
      </c>
      <c r="D68" s="60">
        <v>2017.0</v>
      </c>
      <c r="E68" s="60">
        <v>5885.0</v>
      </c>
      <c r="F68" s="61" t="s">
        <v>483</v>
      </c>
      <c r="G68" s="60" t="s">
        <v>367</v>
      </c>
      <c r="H68" s="61">
        <v>0.5</v>
      </c>
      <c r="I68" s="61">
        <v>59.0</v>
      </c>
      <c r="J68" s="60" t="s">
        <v>171</v>
      </c>
      <c r="K68" s="60" t="s">
        <v>129</v>
      </c>
      <c r="L68" s="60" t="s">
        <v>170</v>
      </c>
      <c r="M68" s="60" t="s">
        <v>171</v>
      </c>
      <c r="N68" s="94" t="s">
        <v>682</v>
      </c>
      <c r="O68" s="91" t="s">
        <v>652</v>
      </c>
      <c r="P68" s="91">
        <v>0.0</v>
      </c>
      <c r="Q68" s="60" t="s">
        <v>140</v>
      </c>
      <c r="R68" s="60" t="s">
        <v>144</v>
      </c>
      <c r="S68" s="60"/>
    </row>
    <row r="69" ht="22.5" customHeight="1">
      <c r="A69" s="60" t="s">
        <v>107</v>
      </c>
      <c r="B69" s="60">
        <v>2024.0</v>
      </c>
      <c r="C69" s="60" t="s">
        <v>904</v>
      </c>
      <c r="D69" s="60">
        <v>2015.0</v>
      </c>
      <c r="E69" s="60">
        <v>149.0</v>
      </c>
      <c r="F69" s="61" t="s">
        <v>906</v>
      </c>
      <c r="G69" s="60" t="s">
        <v>367</v>
      </c>
      <c r="H69" s="61">
        <v>0.1</v>
      </c>
      <c r="I69" s="61">
        <v>0.3</v>
      </c>
      <c r="J69" s="60" t="s">
        <v>642</v>
      </c>
      <c r="K69" s="60" t="s">
        <v>132</v>
      </c>
      <c r="L69" s="60" t="s">
        <v>170</v>
      </c>
      <c r="M69" s="60" t="s">
        <v>171</v>
      </c>
      <c r="N69" s="94" t="s">
        <v>304</v>
      </c>
      <c r="O69" s="91" t="s">
        <v>663</v>
      </c>
      <c r="P69" s="91">
        <v>0.1</v>
      </c>
      <c r="Q69" s="60" t="s">
        <v>274</v>
      </c>
      <c r="R69" s="60" t="s">
        <v>308</v>
      </c>
      <c r="S69" s="60"/>
    </row>
    <row r="70" ht="22.5" customHeight="1">
      <c r="A70" s="60" t="s">
        <v>107</v>
      </c>
      <c r="B70" s="60">
        <v>2024.0</v>
      </c>
      <c r="C70" s="60" t="s">
        <v>907</v>
      </c>
      <c r="D70" s="60">
        <v>2017.0</v>
      </c>
      <c r="E70" s="60">
        <v>4152.0</v>
      </c>
      <c r="F70" s="61" t="s">
        <v>483</v>
      </c>
      <c r="G70" s="60" t="s">
        <v>367</v>
      </c>
      <c r="H70" s="61">
        <v>0.44</v>
      </c>
      <c r="I70" s="61">
        <v>36.0</v>
      </c>
      <c r="J70" s="60" t="s">
        <v>171</v>
      </c>
      <c r="K70" s="60" t="s">
        <v>129</v>
      </c>
      <c r="L70" s="60" t="s">
        <v>170</v>
      </c>
      <c r="M70" s="60" t="s">
        <v>171</v>
      </c>
      <c r="N70" s="94" t="s">
        <v>304</v>
      </c>
      <c r="O70" s="91" t="s">
        <v>663</v>
      </c>
      <c r="P70" s="91">
        <v>47.0</v>
      </c>
      <c r="Q70" s="60" t="s">
        <v>140</v>
      </c>
      <c r="R70" s="60" t="s">
        <v>144</v>
      </c>
      <c r="S70" s="60"/>
    </row>
    <row r="71" ht="22.5" customHeight="1">
      <c r="A71" s="60" t="s">
        <v>107</v>
      </c>
      <c r="B71" s="60">
        <v>2024.0</v>
      </c>
      <c r="C71" s="60" t="s">
        <v>908</v>
      </c>
      <c r="D71" s="60">
        <v>2017.0</v>
      </c>
      <c r="E71" s="60">
        <v>178.0</v>
      </c>
      <c r="F71" s="61" t="s">
        <v>483</v>
      </c>
      <c r="G71" s="60" t="s">
        <v>367</v>
      </c>
      <c r="H71" s="61">
        <v>0.4</v>
      </c>
      <c r="I71" s="61">
        <v>1.43</v>
      </c>
      <c r="J71" s="60" t="s">
        <v>171</v>
      </c>
      <c r="K71" s="60" t="s">
        <v>129</v>
      </c>
      <c r="L71" s="60" t="s">
        <v>170</v>
      </c>
      <c r="M71" s="60" t="s">
        <v>171</v>
      </c>
      <c r="N71" s="94" t="s">
        <v>739</v>
      </c>
      <c r="O71" s="91" t="s">
        <v>663</v>
      </c>
      <c r="P71" s="91">
        <v>0.16</v>
      </c>
      <c r="Q71" s="60" t="s">
        <v>140</v>
      </c>
      <c r="R71" s="60" t="s">
        <v>144</v>
      </c>
      <c r="S71" s="60"/>
    </row>
    <row r="72" ht="22.5" customHeight="1">
      <c r="A72" s="60" t="s">
        <v>107</v>
      </c>
      <c r="B72" s="60">
        <v>2012.0</v>
      </c>
      <c r="C72" s="60" t="s">
        <v>909</v>
      </c>
      <c r="D72" s="60">
        <v>2005.0</v>
      </c>
      <c r="E72" s="60">
        <v>806.0</v>
      </c>
      <c r="F72" s="61" t="s">
        <v>483</v>
      </c>
      <c r="G72" s="60" t="s">
        <v>367</v>
      </c>
      <c r="H72" s="61">
        <v>0.4</v>
      </c>
      <c r="I72" s="61">
        <v>6.4</v>
      </c>
      <c r="J72" s="60" t="s">
        <v>171</v>
      </c>
      <c r="K72" s="60" t="s">
        <v>129</v>
      </c>
      <c r="L72" s="60" t="s">
        <v>170</v>
      </c>
      <c r="M72" s="60" t="s">
        <v>171</v>
      </c>
      <c r="N72" s="94" t="s">
        <v>911</v>
      </c>
      <c r="O72" s="91" t="s">
        <v>663</v>
      </c>
      <c r="P72" s="91">
        <v>0.3</v>
      </c>
      <c r="Q72" s="60" t="s">
        <v>140</v>
      </c>
      <c r="R72" s="60" t="s">
        <v>144</v>
      </c>
      <c r="S72" s="60"/>
    </row>
    <row r="73" ht="22.5" customHeight="1">
      <c r="A73" s="60" t="s">
        <v>107</v>
      </c>
      <c r="B73" s="60">
        <v>2011.0</v>
      </c>
      <c r="C73" s="60" t="s">
        <v>912</v>
      </c>
      <c r="D73" s="60" t="s">
        <v>170</v>
      </c>
      <c r="E73" s="60" t="s">
        <v>913</v>
      </c>
      <c r="F73" s="60" t="s">
        <v>170</v>
      </c>
      <c r="G73" s="60" t="s">
        <v>367</v>
      </c>
      <c r="H73" s="61">
        <v>0.4</v>
      </c>
      <c r="I73" s="61" t="s">
        <v>914</v>
      </c>
      <c r="J73" s="60" t="s">
        <v>171</v>
      </c>
      <c r="K73" s="60" t="s">
        <v>129</v>
      </c>
      <c r="L73" s="60" t="s">
        <v>170</v>
      </c>
      <c r="M73" s="60" t="s">
        <v>171</v>
      </c>
      <c r="N73" s="94" t="s">
        <v>719</v>
      </c>
      <c r="O73" s="91" t="s">
        <v>663</v>
      </c>
      <c r="P73" s="91">
        <v>7.8</v>
      </c>
      <c r="Q73" s="60" t="s">
        <v>140</v>
      </c>
      <c r="R73" s="60" t="s">
        <v>144</v>
      </c>
      <c r="S73" s="60"/>
    </row>
    <row r="74" ht="22.5" customHeight="1">
      <c r="A74" s="60" t="s">
        <v>107</v>
      </c>
      <c r="B74" s="60">
        <v>2021.0</v>
      </c>
      <c r="C74" s="60" t="s">
        <v>915</v>
      </c>
      <c r="D74" s="60">
        <v>2017.0</v>
      </c>
      <c r="E74" s="60">
        <v>78.0</v>
      </c>
      <c r="F74" s="61" t="s">
        <v>483</v>
      </c>
      <c r="G74" s="60" t="s">
        <v>367</v>
      </c>
      <c r="H74" s="61">
        <v>0.5</v>
      </c>
      <c r="I74" s="61">
        <v>0.8</v>
      </c>
      <c r="J74" s="60" t="s">
        <v>171</v>
      </c>
      <c r="K74" s="60" t="s">
        <v>129</v>
      </c>
      <c r="L74" s="60" t="s">
        <v>170</v>
      </c>
      <c r="M74" s="60" t="s">
        <v>171</v>
      </c>
      <c r="N74" s="94" t="s">
        <v>682</v>
      </c>
      <c r="O74" s="91" t="s">
        <v>652</v>
      </c>
      <c r="P74" s="91">
        <v>0.0</v>
      </c>
      <c r="Q74" s="60" t="s">
        <v>140</v>
      </c>
      <c r="R74" s="60" t="s">
        <v>144</v>
      </c>
      <c r="S74" s="60"/>
    </row>
    <row r="75" ht="22.5" customHeight="1">
      <c r="A75" s="60" t="s">
        <v>107</v>
      </c>
      <c r="B75" s="60">
        <v>2024.0</v>
      </c>
      <c r="C75" s="60" t="s">
        <v>916</v>
      </c>
      <c r="D75" s="60">
        <v>2020.0</v>
      </c>
      <c r="E75" s="60">
        <v>15894.0</v>
      </c>
      <c r="F75" s="61" t="s">
        <v>436</v>
      </c>
      <c r="G75" s="60" t="s">
        <v>367</v>
      </c>
      <c r="H75" s="61">
        <v>0.5</v>
      </c>
      <c r="I75" s="61">
        <v>159.0</v>
      </c>
      <c r="J75" s="60" t="s">
        <v>171</v>
      </c>
      <c r="K75" s="60" t="s">
        <v>129</v>
      </c>
      <c r="L75" s="60" t="s">
        <v>170</v>
      </c>
      <c r="M75" s="60" t="s">
        <v>171</v>
      </c>
      <c r="N75" s="94" t="s">
        <v>304</v>
      </c>
      <c r="O75" s="91" t="s">
        <v>652</v>
      </c>
      <c r="P75" s="91">
        <v>0.0</v>
      </c>
      <c r="Q75" s="60" t="s">
        <v>140</v>
      </c>
      <c r="R75" s="60" t="s">
        <v>144</v>
      </c>
      <c r="S75" s="60"/>
    </row>
    <row r="76" ht="22.5" customHeight="1">
      <c r="A76" s="60" t="s">
        <v>107</v>
      </c>
      <c r="B76" s="60">
        <v>2021.0</v>
      </c>
      <c r="C76" s="60" t="s">
        <v>918</v>
      </c>
      <c r="D76" s="60">
        <v>2010.0</v>
      </c>
      <c r="E76" s="60">
        <v>564.0</v>
      </c>
      <c r="F76" s="61" t="s">
        <v>483</v>
      </c>
      <c r="G76" s="60" t="s">
        <v>367</v>
      </c>
      <c r="H76" s="61">
        <v>0.5</v>
      </c>
      <c r="I76" s="61">
        <v>5.6</v>
      </c>
      <c r="J76" s="60" t="s">
        <v>171</v>
      </c>
      <c r="K76" s="60" t="s">
        <v>129</v>
      </c>
      <c r="L76" s="60" t="s">
        <v>170</v>
      </c>
      <c r="M76" s="60" t="s">
        <v>171</v>
      </c>
      <c r="N76" s="94" t="s">
        <v>682</v>
      </c>
      <c r="O76" s="91" t="s">
        <v>652</v>
      </c>
      <c r="P76" s="91">
        <v>0.0</v>
      </c>
      <c r="Q76" s="60" t="s">
        <v>140</v>
      </c>
      <c r="R76" s="60" t="s">
        <v>144</v>
      </c>
      <c r="S76" s="60"/>
    </row>
    <row r="77" ht="22.5" customHeight="1">
      <c r="A77" s="60" t="s">
        <v>107</v>
      </c>
      <c r="B77" s="60">
        <v>2021.0</v>
      </c>
      <c r="C77" s="60" t="s">
        <v>919</v>
      </c>
      <c r="D77" s="60">
        <v>2017.0</v>
      </c>
      <c r="E77" s="60">
        <v>1527.0</v>
      </c>
      <c r="F77" s="61" t="s">
        <v>483</v>
      </c>
      <c r="G77" s="60" t="s">
        <v>367</v>
      </c>
      <c r="H77" s="61">
        <v>0.5</v>
      </c>
      <c r="I77" s="61">
        <v>15.0</v>
      </c>
      <c r="J77" s="60" t="s">
        <v>171</v>
      </c>
      <c r="K77" s="60" t="s">
        <v>129</v>
      </c>
      <c r="L77" s="60" t="s">
        <v>170</v>
      </c>
      <c r="M77" s="60" t="s">
        <v>171</v>
      </c>
      <c r="N77" s="94" t="s">
        <v>682</v>
      </c>
      <c r="O77" s="91" t="s">
        <v>652</v>
      </c>
      <c r="P77" s="91">
        <v>0.0</v>
      </c>
      <c r="Q77" s="60" t="s">
        <v>140</v>
      </c>
      <c r="R77" s="60" t="s">
        <v>144</v>
      </c>
      <c r="S77" s="60"/>
    </row>
    <row r="78" ht="22.5" customHeight="1">
      <c r="A78" s="60" t="s">
        <v>107</v>
      </c>
      <c r="B78" s="60">
        <v>2021.0</v>
      </c>
      <c r="C78" s="60" t="s">
        <v>920</v>
      </c>
      <c r="D78" s="60">
        <v>2010.0</v>
      </c>
      <c r="E78" s="60">
        <v>3180.0</v>
      </c>
      <c r="F78" s="61" t="s">
        <v>483</v>
      </c>
      <c r="G78" s="60" t="s">
        <v>367</v>
      </c>
      <c r="H78" s="61">
        <v>0.5</v>
      </c>
      <c r="I78" s="61">
        <v>32.0</v>
      </c>
      <c r="J78" s="60" t="s">
        <v>171</v>
      </c>
      <c r="K78" s="60" t="s">
        <v>129</v>
      </c>
      <c r="L78" s="60" t="s">
        <v>170</v>
      </c>
      <c r="M78" s="60" t="s">
        <v>171</v>
      </c>
      <c r="N78" s="94" t="s">
        <v>682</v>
      </c>
      <c r="O78" s="91" t="s">
        <v>652</v>
      </c>
      <c r="P78" s="91">
        <v>0.0</v>
      </c>
      <c r="Q78" s="60" t="s">
        <v>140</v>
      </c>
      <c r="R78" s="60" t="s">
        <v>144</v>
      </c>
      <c r="S78" s="60"/>
    </row>
    <row r="79" ht="22.5" customHeight="1">
      <c r="A79" s="60" t="s">
        <v>107</v>
      </c>
      <c r="B79" s="60">
        <v>2021.0</v>
      </c>
      <c r="C79" s="60" t="s">
        <v>922</v>
      </c>
      <c r="D79" s="60">
        <v>2017.0</v>
      </c>
      <c r="E79" s="60">
        <v>25695.0</v>
      </c>
      <c r="F79" s="61" t="s">
        <v>483</v>
      </c>
      <c r="G79" s="60" t="s">
        <v>367</v>
      </c>
      <c r="H79" s="61">
        <v>0.5</v>
      </c>
      <c r="I79" s="61">
        <v>257.0</v>
      </c>
      <c r="J79" s="60" t="s">
        <v>171</v>
      </c>
      <c r="K79" s="60" t="s">
        <v>129</v>
      </c>
      <c r="L79" s="60" t="s">
        <v>170</v>
      </c>
      <c r="M79" s="60" t="s">
        <v>171</v>
      </c>
      <c r="N79" s="94" t="s">
        <v>682</v>
      </c>
      <c r="O79" s="91" t="s">
        <v>652</v>
      </c>
      <c r="P79" s="91">
        <v>0.0</v>
      </c>
      <c r="Q79" s="60" t="s">
        <v>140</v>
      </c>
      <c r="R79" s="60" t="s">
        <v>144</v>
      </c>
      <c r="S79" s="60"/>
    </row>
    <row r="80" ht="22.5" customHeight="1">
      <c r="A80" s="60" t="s">
        <v>107</v>
      </c>
      <c r="B80" s="60">
        <v>2021.0</v>
      </c>
      <c r="C80" s="60" t="s">
        <v>923</v>
      </c>
      <c r="D80" s="60" t="s">
        <v>170</v>
      </c>
      <c r="E80" s="60" t="s">
        <v>170</v>
      </c>
      <c r="F80" s="60" t="s">
        <v>170</v>
      </c>
      <c r="G80" s="60" t="s">
        <v>367</v>
      </c>
      <c r="H80" s="61">
        <v>0.5</v>
      </c>
      <c r="I80" s="60" t="s">
        <v>170</v>
      </c>
      <c r="J80" s="60" t="s">
        <v>171</v>
      </c>
      <c r="K80" s="60" t="s">
        <v>129</v>
      </c>
      <c r="L80" s="60" t="s">
        <v>170</v>
      </c>
      <c r="M80" s="60" t="s">
        <v>171</v>
      </c>
      <c r="N80" s="94" t="s">
        <v>682</v>
      </c>
      <c r="O80" s="91" t="s">
        <v>652</v>
      </c>
      <c r="P80" s="91">
        <v>0.0</v>
      </c>
      <c r="Q80" s="60" t="s">
        <v>140</v>
      </c>
      <c r="R80" s="60" t="s">
        <v>144</v>
      </c>
      <c r="S80" s="60"/>
    </row>
    <row r="81" ht="22.5" customHeight="1">
      <c r="A81" s="60" t="s">
        <v>107</v>
      </c>
      <c r="B81" s="60">
        <v>2021.0</v>
      </c>
      <c r="C81" s="60" t="s">
        <v>930</v>
      </c>
      <c r="D81" s="60">
        <v>2017.0</v>
      </c>
      <c r="E81" s="60">
        <v>4486.0</v>
      </c>
      <c r="F81" s="61" t="s">
        <v>436</v>
      </c>
      <c r="G81" s="60" t="s">
        <v>367</v>
      </c>
      <c r="H81" s="61">
        <v>0.2</v>
      </c>
      <c r="I81" s="60">
        <v>18.0</v>
      </c>
      <c r="J81" s="60" t="s">
        <v>171</v>
      </c>
      <c r="K81" s="60" t="s">
        <v>132</v>
      </c>
      <c r="L81" s="60" t="s">
        <v>170</v>
      </c>
      <c r="M81" s="60" t="s">
        <v>171</v>
      </c>
      <c r="N81" s="94" t="s">
        <v>682</v>
      </c>
      <c r="O81" s="91" t="s">
        <v>652</v>
      </c>
      <c r="P81" s="91">
        <v>0.0</v>
      </c>
      <c r="Q81" s="60" t="s">
        <v>274</v>
      </c>
      <c r="R81" s="60" t="s">
        <v>308</v>
      </c>
      <c r="S81" s="60"/>
    </row>
    <row r="82" ht="22.5" customHeight="1">
      <c r="A82" s="60" t="s">
        <v>107</v>
      </c>
      <c r="B82" s="60">
        <v>2018.0</v>
      </c>
      <c r="C82" s="60" t="s">
        <v>935</v>
      </c>
      <c r="D82" s="60">
        <v>2010.0</v>
      </c>
      <c r="E82" s="60">
        <v>63.0</v>
      </c>
      <c r="F82" s="61" t="s">
        <v>483</v>
      </c>
      <c r="G82" s="60" t="s">
        <v>367</v>
      </c>
      <c r="H82" s="61">
        <v>0.1</v>
      </c>
      <c r="I82" s="60">
        <v>0.1</v>
      </c>
      <c r="J82" s="60" t="s">
        <v>171</v>
      </c>
      <c r="K82" s="60" t="s">
        <v>132</v>
      </c>
      <c r="L82" s="60" t="s">
        <v>170</v>
      </c>
      <c r="M82" s="60" t="s">
        <v>171</v>
      </c>
      <c r="N82" s="94" t="s">
        <v>660</v>
      </c>
      <c r="O82" s="91" t="s">
        <v>652</v>
      </c>
      <c r="P82" s="91">
        <v>0.0</v>
      </c>
      <c r="Q82" s="60" t="s">
        <v>274</v>
      </c>
      <c r="R82" s="60" t="s">
        <v>308</v>
      </c>
      <c r="S82" s="60"/>
    </row>
    <row r="83" ht="22.5" customHeight="1">
      <c r="A83" s="60" t="s">
        <v>107</v>
      </c>
      <c r="B83" s="60">
        <v>2021.0</v>
      </c>
      <c r="C83" s="60" t="s">
        <v>942</v>
      </c>
      <c r="D83" s="60">
        <v>2017.0</v>
      </c>
      <c r="E83" s="60">
        <v>101.0</v>
      </c>
      <c r="F83" s="61" t="s">
        <v>483</v>
      </c>
      <c r="G83" s="60" t="s">
        <v>367</v>
      </c>
      <c r="H83" s="61">
        <v>0.1</v>
      </c>
      <c r="I83" s="60">
        <v>0.2</v>
      </c>
      <c r="J83" s="60" t="s">
        <v>171</v>
      </c>
      <c r="K83" s="60" t="s">
        <v>132</v>
      </c>
      <c r="L83" s="60" t="s">
        <v>170</v>
      </c>
      <c r="M83" s="60" t="s">
        <v>171</v>
      </c>
      <c r="N83" s="94" t="s">
        <v>682</v>
      </c>
      <c r="O83" s="91" t="s">
        <v>652</v>
      </c>
      <c r="P83" s="91">
        <v>0.0</v>
      </c>
      <c r="Q83" s="60" t="s">
        <v>274</v>
      </c>
      <c r="R83" s="60" t="s">
        <v>308</v>
      </c>
      <c r="S83" s="60"/>
    </row>
    <row r="84" ht="22.5" customHeight="1">
      <c r="A84" s="60" t="s">
        <v>107</v>
      </c>
      <c r="B84" s="60">
        <v>2024.0</v>
      </c>
      <c r="C84" s="60" t="s">
        <v>943</v>
      </c>
      <c r="D84" s="60">
        <v>2020.0</v>
      </c>
      <c r="E84" s="60">
        <v>623.0</v>
      </c>
      <c r="F84" s="61" t="s">
        <v>483</v>
      </c>
      <c r="G84" s="60" t="s">
        <v>367</v>
      </c>
      <c r="H84" s="61">
        <v>0.5</v>
      </c>
      <c r="I84" s="60">
        <v>6.2</v>
      </c>
      <c r="J84" s="60" t="s">
        <v>171</v>
      </c>
      <c r="K84" s="60" t="s">
        <v>129</v>
      </c>
      <c r="L84" s="60" t="s">
        <v>170</v>
      </c>
      <c r="M84" s="60" t="s">
        <v>171</v>
      </c>
      <c r="N84" s="94" t="s">
        <v>304</v>
      </c>
      <c r="O84" s="91" t="s">
        <v>652</v>
      </c>
      <c r="P84" s="91">
        <v>0.0</v>
      </c>
      <c r="Q84" s="60" t="s">
        <v>140</v>
      </c>
      <c r="R84" s="60" t="s">
        <v>144</v>
      </c>
      <c r="S84" s="60"/>
    </row>
    <row r="85" ht="22.5" customHeight="1">
      <c r="A85" s="60" t="s">
        <v>107</v>
      </c>
      <c r="B85" s="60">
        <v>2018.0</v>
      </c>
      <c r="C85" s="60" t="s">
        <v>947</v>
      </c>
      <c r="D85" s="60">
        <v>2010.0</v>
      </c>
      <c r="E85" s="60">
        <v>204.0</v>
      </c>
      <c r="F85" s="61" t="s">
        <v>483</v>
      </c>
      <c r="G85" s="60" t="s">
        <v>367</v>
      </c>
      <c r="H85" s="61">
        <v>0.1</v>
      </c>
      <c r="I85" s="60">
        <v>0.4</v>
      </c>
      <c r="J85" s="60" t="s">
        <v>171</v>
      </c>
      <c r="K85" s="60" t="s">
        <v>132</v>
      </c>
      <c r="L85" s="60" t="s">
        <v>170</v>
      </c>
      <c r="M85" s="60" t="s">
        <v>171</v>
      </c>
      <c r="N85" s="94" t="s">
        <v>660</v>
      </c>
      <c r="O85" s="91" t="s">
        <v>652</v>
      </c>
      <c r="P85" s="91">
        <v>0.0</v>
      </c>
      <c r="Q85" s="60" t="s">
        <v>274</v>
      </c>
      <c r="R85" s="60" t="s">
        <v>308</v>
      </c>
      <c r="S85" s="60"/>
    </row>
    <row r="86" ht="22.5" customHeight="1">
      <c r="A86" s="60" t="s">
        <v>107</v>
      </c>
      <c r="B86" s="60">
        <v>2021.0</v>
      </c>
      <c r="C86" s="60" t="s">
        <v>948</v>
      </c>
      <c r="D86" s="60">
        <v>2017.0</v>
      </c>
      <c r="E86" s="60">
        <v>212.0</v>
      </c>
      <c r="F86" s="61" t="s">
        <v>483</v>
      </c>
      <c r="G86" s="60" t="s">
        <v>367</v>
      </c>
      <c r="H86" s="61">
        <v>0.5</v>
      </c>
      <c r="I86" s="60">
        <v>2.1</v>
      </c>
      <c r="J86" s="60" t="s">
        <v>171</v>
      </c>
      <c r="K86" s="60" t="s">
        <v>129</v>
      </c>
      <c r="L86" s="60" t="s">
        <v>170</v>
      </c>
      <c r="M86" s="60" t="s">
        <v>171</v>
      </c>
      <c r="N86" s="94" t="s">
        <v>682</v>
      </c>
      <c r="O86" s="91" t="s">
        <v>652</v>
      </c>
      <c r="P86" s="91">
        <v>0.0</v>
      </c>
      <c r="Q86" s="60" t="s">
        <v>140</v>
      </c>
      <c r="R86" s="60" t="s">
        <v>144</v>
      </c>
      <c r="S86" s="60"/>
    </row>
    <row r="87" ht="22.5" customHeight="1">
      <c r="A87" s="60" t="s">
        <v>107</v>
      </c>
      <c r="B87" s="60">
        <v>2009.0</v>
      </c>
      <c r="C87" s="60" t="s">
        <v>951</v>
      </c>
      <c r="D87" s="60" t="s">
        <v>170</v>
      </c>
      <c r="E87" s="60">
        <v>150.0</v>
      </c>
      <c r="F87" s="61" t="s">
        <v>957</v>
      </c>
      <c r="G87" s="60" t="s">
        <v>958</v>
      </c>
      <c r="H87" s="61">
        <v>0.1</v>
      </c>
      <c r="I87" s="60">
        <v>0.8</v>
      </c>
      <c r="J87" s="60" t="s">
        <v>171</v>
      </c>
      <c r="K87" s="60" t="s">
        <v>132</v>
      </c>
      <c r="L87" s="60" t="s">
        <v>170</v>
      </c>
      <c r="M87" s="60" t="s">
        <v>171</v>
      </c>
      <c r="N87" s="94" t="s">
        <v>170</v>
      </c>
      <c r="O87" s="94" t="s">
        <v>170</v>
      </c>
      <c r="P87" s="94" t="s">
        <v>170</v>
      </c>
      <c r="Q87" s="60" t="s">
        <v>274</v>
      </c>
      <c r="R87" s="60" t="s">
        <v>308</v>
      </c>
      <c r="S87" s="60"/>
    </row>
    <row r="88" ht="22.5" customHeight="1">
      <c r="A88" s="60" t="s">
        <v>959</v>
      </c>
      <c r="B88" s="60">
        <v>2024.0</v>
      </c>
      <c r="C88" s="60" t="s">
        <v>960</v>
      </c>
      <c r="D88" s="60">
        <v>2022.0</v>
      </c>
      <c r="E88" s="60">
        <v>49837.0</v>
      </c>
      <c r="F88" s="61" t="s">
        <v>961</v>
      </c>
      <c r="G88" s="60" t="s">
        <v>163</v>
      </c>
      <c r="H88" s="61">
        <v>0.1</v>
      </c>
      <c r="I88" s="60">
        <v>299.0</v>
      </c>
      <c r="J88" s="60" t="s">
        <v>642</v>
      </c>
      <c r="K88" s="60" t="s">
        <v>132</v>
      </c>
      <c r="L88" s="60" t="s">
        <v>170</v>
      </c>
      <c r="M88" s="60" t="s">
        <v>171</v>
      </c>
      <c r="N88" s="94" t="s">
        <v>304</v>
      </c>
      <c r="O88" s="94" t="s">
        <v>962</v>
      </c>
      <c r="P88" s="94">
        <v>267.0</v>
      </c>
      <c r="Q88" s="60" t="s">
        <v>274</v>
      </c>
      <c r="R88" s="60" t="s">
        <v>308</v>
      </c>
      <c r="S88" s="60"/>
    </row>
    <row r="89" ht="22.5" customHeight="1">
      <c r="A89" s="60" t="s">
        <v>959</v>
      </c>
      <c r="B89" s="60">
        <v>2024.0</v>
      </c>
      <c r="C89" s="60" t="s">
        <v>963</v>
      </c>
      <c r="D89" s="60">
        <v>2022.0</v>
      </c>
      <c r="E89" s="60">
        <v>36308.0</v>
      </c>
      <c r="F89" s="61" t="s">
        <v>961</v>
      </c>
      <c r="G89" s="60" t="s">
        <v>163</v>
      </c>
      <c r="H89" s="61">
        <v>1.0</v>
      </c>
      <c r="I89" s="60">
        <v>2178.0</v>
      </c>
      <c r="J89" s="60" t="s">
        <v>126</v>
      </c>
      <c r="K89" s="60" t="s">
        <v>129</v>
      </c>
      <c r="L89" s="60" t="s">
        <v>170</v>
      </c>
      <c r="M89" s="60" t="s">
        <v>171</v>
      </c>
      <c r="N89" s="94" t="s">
        <v>321</v>
      </c>
      <c r="O89" s="94" t="s">
        <v>964</v>
      </c>
      <c r="P89" s="94">
        <v>92.3</v>
      </c>
      <c r="Q89" s="60" t="s">
        <v>140</v>
      </c>
      <c r="R89" s="60" t="s">
        <v>144</v>
      </c>
      <c r="S89" s="60" t="s">
        <v>965</v>
      </c>
    </row>
    <row r="90" ht="22.5" customHeight="1">
      <c r="A90" s="60" t="s">
        <v>959</v>
      </c>
      <c r="B90" s="60">
        <v>2021.0</v>
      </c>
      <c r="C90" s="60" t="s">
        <v>966</v>
      </c>
      <c r="D90" s="60">
        <v>2019.0</v>
      </c>
      <c r="E90" s="60">
        <v>530376.0</v>
      </c>
      <c r="F90" s="61" t="s">
        <v>967</v>
      </c>
      <c r="G90" s="60" t="s">
        <v>969</v>
      </c>
      <c r="H90" s="61">
        <v>0.5</v>
      </c>
      <c r="I90" s="60">
        <v>11403.0</v>
      </c>
      <c r="J90" s="60" t="s">
        <v>642</v>
      </c>
      <c r="K90" s="60" t="s">
        <v>132</v>
      </c>
      <c r="L90" s="60" t="s">
        <v>170</v>
      </c>
      <c r="M90" s="60" t="s">
        <v>171</v>
      </c>
      <c r="N90" s="94" t="s">
        <v>321</v>
      </c>
      <c r="O90" s="94" t="s">
        <v>971</v>
      </c>
      <c r="P90" s="94">
        <v>373.0</v>
      </c>
      <c r="Q90" s="60" t="s">
        <v>274</v>
      </c>
      <c r="R90" s="60" t="s">
        <v>144</v>
      </c>
      <c r="S90" s="60"/>
    </row>
    <row r="91" ht="22.5" customHeight="1">
      <c r="A91" s="60" t="s">
        <v>959</v>
      </c>
      <c r="B91" s="60">
        <v>2019.0</v>
      </c>
      <c r="C91" s="60" t="s">
        <v>972</v>
      </c>
      <c r="D91" s="60">
        <v>2018.0</v>
      </c>
      <c r="E91" s="60">
        <v>5366.0</v>
      </c>
      <c r="F91" s="61" t="s">
        <v>973</v>
      </c>
      <c r="G91" s="60" t="s">
        <v>163</v>
      </c>
      <c r="H91" s="61">
        <v>0.3</v>
      </c>
      <c r="I91" s="61">
        <v>97.0</v>
      </c>
      <c r="J91" s="60" t="s">
        <v>642</v>
      </c>
      <c r="K91" s="60" t="s">
        <v>129</v>
      </c>
      <c r="L91" s="60" t="s">
        <v>170</v>
      </c>
      <c r="M91" s="60" t="s">
        <v>171</v>
      </c>
      <c r="N91" s="94" t="s">
        <v>272</v>
      </c>
      <c r="O91" s="94" t="s">
        <v>974</v>
      </c>
      <c r="P91" s="94">
        <v>90.0</v>
      </c>
      <c r="Q91" s="60" t="s">
        <v>140</v>
      </c>
      <c r="R91" s="60" t="s">
        <v>144</v>
      </c>
      <c r="S91" s="60" t="s">
        <v>975</v>
      </c>
    </row>
    <row r="92" ht="22.5" customHeight="1">
      <c r="A92" s="60" t="s">
        <v>959</v>
      </c>
      <c r="B92" s="60">
        <v>2019.0</v>
      </c>
      <c r="C92" s="60" t="s">
        <v>976</v>
      </c>
      <c r="D92" s="60">
        <v>2018.0</v>
      </c>
      <c r="E92" s="60">
        <v>229.0</v>
      </c>
      <c r="F92" s="61" t="s">
        <v>973</v>
      </c>
      <c r="G92" s="60" t="s">
        <v>163</v>
      </c>
      <c r="H92" s="61">
        <v>0.5</v>
      </c>
      <c r="I92" s="61">
        <v>7.0</v>
      </c>
      <c r="J92" s="60" t="s">
        <v>171</v>
      </c>
      <c r="K92" s="60" t="s">
        <v>129</v>
      </c>
      <c r="L92" s="60" t="s">
        <v>170</v>
      </c>
      <c r="M92" s="60" t="s">
        <v>171</v>
      </c>
      <c r="N92" s="94" t="s">
        <v>272</v>
      </c>
      <c r="O92" s="94" t="s">
        <v>974</v>
      </c>
      <c r="P92" s="94">
        <v>0.0</v>
      </c>
      <c r="Q92" s="60" t="s">
        <v>140</v>
      </c>
      <c r="R92" s="60" t="s">
        <v>144</v>
      </c>
      <c r="S92" s="60"/>
    </row>
    <row r="93" ht="22.5" customHeight="1">
      <c r="A93" s="60" t="s">
        <v>959</v>
      </c>
      <c r="B93" s="60">
        <v>2019.0</v>
      </c>
      <c r="C93" s="60" t="s">
        <v>978</v>
      </c>
      <c r="D93" s="60">
        <v>2017.0</v>
      </c>
      <c r="E93" s="60">
        <v>38254.0</v>
      </c>
      <c r="F93" s="61" t="s">
        <v>973</v>
      </c>
      <c r="G93" s="60" t="s">
        <v>163</v>
      </c>
      <c r="H93" s="61">
        <v>0.7</v>
      </c>
      <c r="I93" s="61">
        <v>1607.0</v>
      </c>
      <c r="J93" s="60" t="s">
        <v>126</v>
      </c>
      <c r="K93" s="60" t="s">
        <v>129</v>
      </c>
      <c r="L93" s="60" t="s">
        <v>170</v>
      </c>
      <c r="M93" s="60" t="s">
        <v>171</v>
      </c>
      <c r="N93" s="94" t="s">
        <v>272</v>
      </c>
      <c r="O93" s="94" t="s">
        <v>974</v>
      </c>
      <c r="P93" s="94">
        <v>20.0</v>
      </c>
      <c r="Q93" s="60" t="s">
        <v>140</v>
      </c>
      <c r="R93" s="60" t="s">
        <v>144</v>
      </c>
      <c r="S93" s="60"/>
    </row>
    <row r="94" ht="22.5" customHeight="1">
      <c r="A94" s="60" t="s">
        <v>959</v>
      </c>
      <c r="B94" s="60">
        <v>2019.0</v>
      </c>
      <c r="C94" s="60" t="s">
        <v>982</v>
      </c>
      <c r="D94" s="60">
        <v>2017.0</v>
      </c>
      <c r="E94" s="60">
        <v>7609.0</v>
      </c>
      <c r="F94" s="61" t="s">
        <v>973</v>
      </c>
      <c r="G94" s="60" t="s">
        <v>163</v>
      </c>
      <c r="H94" s="61">
        <v>0.5</v>
      </c>
      <c r="I94" s="61">
        <v>228.0</v>
      </c>
      <c r="J94" s="60" t="s">
        <v>126</v>
      </c>
      <c r="K94" s="60" t="s">
        <v>129</v>
      </c>
      <c r="L94" s="60" t="s">
        <v>170</v>
      </c>
      <c r="M94" s="60" t="s">
        <v>171</v>
      </c>
      <c r="N94" s="94" t="s">
        <v>272</v>
      </c>
      <c r="O94" s="94" t="s">
        <v>974</v>
      </c>
      <c r="P94" s="94">
        <v>38.0</v>
      </c>
      <c r="Q94" s="60" t="s">
        <v>140</v>
      </c>
      <c r="R94" s="60" t="s">
        <v>144</v>
      </c>
      <c r="S94" s="60"/>
    </row>
    <row r="95" ht="22.5" customHeight="1">
      <c r="A95" s="60" t="s">
        <v>959</v>
      </c>
      <c r="B95" s="60">
        <v>2019.0</v>
      </c>
      <c r="C95" s="60" t="s">
        <v>984</v>
      </c>
      <c r="D95" s="60">
        <v>2017.0</v>
      </c>
      <c r="E95" s="60">
        <v>22351.0</v>
      </c>
      <c r="F95" s="61" t="s">
        <v>973</v>
      </c>
      <c r="G95" s="60" t="s">
        <v>163</v>
      </c>
      <c r="H95" s="61">
        <v>0.7</v>
      </c>
      <c r="I95" s="61">
        <v>939.0</v>
      </c>
      <c r="J95" s="60" t="s">
        <v>126</v>
      </c>
      <c r="K95" s="60" t="s">
        <v>129</v>
      </c>
      <c r="L95" s="60" t="s">
        <v>170</v>
      </c>
      <c r="M95" s="60" t="s">
        <v>171</v>
      </c>
      <c r="N95" s="94" t="s">
        <v>272</v>
      </c>
      <c r="O95" s="94" t="s">
        <v>974</v>
      </c>
      <c r="P95" s="94">
        <v>127.0</v>
      </c>
      <c r="Q95" s="60" t="s">
        <v>140</v>
      </c>
      <c r="R95" s="60" t="s">
        <v>144</v>
      </c>
      <c r="S95" s="60"/>
    </row>
    <row r="96" ht="22.5" customHeight="1">
      <c r="A96" s="60" t="s">
        <v>959</v>
      </c>
      <c r="B96" s="60">
        <v>2019.0</v>
      </c>
      <c r="C96" s="60" t="s">
        <v>988</v>
      </c>
      <c r="D96" s="60">
        <v>2015.0</v>
      </c>
      <c r="E96" s="60">
        <v>41776.0</v>
      </c>
      <c r="F96" s="61" t="s">
        <v>973</v>
      </c>
      <c r="G96" s="60" t="s">
        <v>163</v>
      </c>
      <c r="H96" s="61">
        <v>0.5</v>
      </c>
      <c r="I96" s="61">
        <v>1253.0</v>
      </c>
      <c r="J96" s="60" t="s">
        <v>642</v>
      </c>
      <c r="K96" s="60" t="s">
        <v>129</v>
      </c>
      <c r="L96" s="60" t="s">
        <v>170</v>
      </c>
      <c r="M96" s="60" t="s">
        <v>171</v>
      </c>
      <c r="N96" s="94" t="s">
        <v>272</v>
      </c>
      <c r="O96" s="94" t="s">
        <v>974</v>
      </c>
      <c r="P96" s="94">
        <v>413.0</v>
      </c>
      <c r="Q96" s="60" t="s">
        <v>140</v>
      </c>
      <c r="R96" s="60" t="s">
        <v>144</v>
      </c>
      <c r="S96" s="60"/>
    </row>
    <row r="97" ht="22.5" customHeight="1">
      <c r="A97" s="60" t="s">
        <v>959</v>
      </c>
      <c r="B97" s="60">
        <v>2019.0</v>
      </c>
      <c r="C97" s="60" t="s">
        <v>989</v>
      </c>
      <c r="D97" s="60">
        <v>2018.0</v>
      </c>
      <c r="E97" s="60">
        <v>26907.0</v>
      </c>
      <c r="F97" s="61" t="s">
        <v>973</v>
      </c>
      <c r="G97" s="60" t="s">
        <v>163</v>
      </c>
      <c r="H97" s="61">
        <v>0.5</v>
      </c>
      <c r="I97" s="61">
        <v>807.0</v>
      </c>
      <c r="J97" s="60" t="s">
        <v>642</v>
      </c>
      <c r="K97" s="60" t="s">
        <v>129</v>
      </c>
      <c r="L97" s="60" t="s">
        <v>170</v>
      </c>
      <c r="M97" s="60" t="s">
        <v>171</v>
      </c>
      <c r="N97" s="94" t="s">
        <v>272</v>
      </c>
      <c r="O97" s="94" t="s">
        <v>974</v>
      </c>
      <c r="P97" s="94">
        <v>107.0</v>
      </c>
      <c r="Q97" s="60" t="s">
        <v>140</v>
      </c>
      <c r="R97" s="60" t="s">
        <v>144</v>
      </c>
      <c r="S97" s="60"/>
    </row>
    <row r="98" ht="22.5" customHeight="1">
      <c r="A98" s="60" t="s">
        <v>959</v>
      </c>
      <c r="B98" s="60">
        <v>2019.0</v>
      </c>
      <c r="C98" s="60" t="s">
        <v>990</v>
      </c>
      <c r="D98" s="60">
        <v>2017.0</v>
      </c>
      <c r="E98" s="60">
        <v>6680.0</v>
      </c>
      <c r="F98" s="61" t="s">
        <v>973</v>
      </c>
      <c r="G98" s="60" t="s">
        <v>163</v>
      </c>
      <c r="H98" s="61">
        <v>0.3</v>
      </c>
      <c r="I98" s="61">
        <v>120.0</v>
      </c>
      <c r="J98" s="60" t="s">
        <v>642</v>
      </c>
      <c r="K98" s="60" t="s">
        <v>129</v>
      </c>
      <c r="L98" s="60" t="s">
        <v>170</v>
      </c>
      <c r="M98" s="60" t="s">
        <v>171</v>
      </c>
      <c r="N98" s="94" t="s">
        <v>272</v>
      </c>
      <c r="O98" s="94" t="s">
        <v>974</v>
      </c>
      <c r="P98" s="94">
        <v>104.0</v>
      </c>
      <c r="Q98" s="60" t="s">
        <v>140</v>
      </c>
      <c r="R98" s="60" t="s">
        <v>144</v>
      </c>
      <c r="S98" s="60"/>
    </row>
    <row r="99" ht="22.5" customHeight="1">
      <c r="A99" s="60" t="s">
        <v>959</v>
      </c>
      <c r="B99" s="60">
        <v>2019.0</v>
      </c>
      <c r="C99" s="60" t="s">
        <v>994</v>
      </c>
      <c r="D99" s="60">
        <v>2016.0</v>
      </c>
      <c r="E99" s="60">
        <v>11867.0</v>
      </c>
      <c r="F99" s="61" t="s">
        <v>973</v>
      </c>
      <c r="G99" s="60" t="s">
        <v>163</v>
      </c>
      <c r="H99" s="61">
        <v>0.3</v>
      </c>
      <c r="I99" s="61">
        <v>214.0</v>
      </c>
      <c r="J99" s="60" t="s">
        <v>642</v>
      </c>
      <c r="K99" s="60" t="s">
        <v>129</v>
      </c>
      <c r="L99" s="60" t="s">
        <v>170</v>
      </c>
      <c r="M99" s="60" t="s">
        <v>171</v>
      </c>
      <c r="N99" s="94" t="s">
        <v>272</v>
      </c>
      <c r="O99" s="94" t="s">
        <v>974</v>
      </c>
      <c r="P99" s="94">
        <v>50.0</v>
      </c>
      <c r="Q99" s="60" t="s">
        <v>140</v>
      </c>
      <c r="R99" s="60" t="s">
        <v>144</v>
      </c>
      <c r="S99" s="60"/>
    </row>
    <row r="100" ht="22.5" customHeight="1">
      <c r="A100" s="60" t="s">
        <v>959</v>
      </c>
      <c r="B100" s="60">
        <v>2019.0</v>
      </c>
      <c r="C100" s="60" t="s">
        <v>995</v>
      </c>
      <c r="D100" s="60">
        <v>2015.0</v>
      </c>
      <c r="E100" s="60">
        <v>11883.0</v>
      </c>
      <c r="F100" s="61" t="s">
        <v>973</v>
      </c>
      <c r="G100" s="60" t="s">
        <v>163</v>
      </c>
      <c r="H100" s="61">
        <v>0.5</v>
      </c>
      <c r="I100" s="61">
        <v>356.0</v>
      </c>
      <c r="J100" s="60" t="s">
        <v>126</v>
      </c>
      <c r="K100" s="60" t="s">
        <v>129</v>
      </c>
      <c r="L100" s="60" t="s">
        <v>170</v>
      </c>
      <c r="M100" s="60" t="s">
        <v>171</v>
      </c>
      <c r="N100" s="94" t="s">
        <v>272</v>
      </c>
      <c r="O100" s="94" t="s">
        <v>974</v>
      </c>
      <c r="P100" s="94">
        <v>77.0</v>
      </c>
      <c r="Q100" s="60" t="s">
        <v>140</v>
      </c>
      <c r="R100" s="60" t="s">
        <v>144</v>
      </c>
      <c r="S100" s="60"/>
    </row>
    <row r="101" ht="22.5" customHeight="1">
      <c r="A101" s="60" t="s">
        <v>959</v>
      </c>
      <c r="B101" s="60">
        <v>2019.0</v>
      </c>
      <c r="C101" s="60" t="s">
        <v>997</v>
      </c>
      <c r="D101" s="60">
        <v>2015.0</v>
      </c>
      <c r="E101" s="60">
        <v>21453.0</v>
      </c>
      <c r="F101" s="61" t="s">
        <v>973</v>
      </c>
      <c r="G101" s="60" t="s">
        <v>163</v>
      </c>
      <c r="H101" s="61">
        <v>0.5</v>
      </c>
      <c r="I101" s="61">
        <v>644.0</v>
      </c>
      <c r="J101" s="60" t="s">
        <v>126</v>
      </c>
      <c r="K101" s="60" t="s">
        <v>129</v>
      </c>
      <c r="L101" s="60" t="s">
        <v>170</v>
      </c>
      <c r="M101" s="60" t="s">
        <v>171</v>
      </c>
      <c r="N101" s="94" t="s">
        <v>272</v>
      </c>
      <c r="O101" s="94" t="s">
        <v>974</v>
      </c>
      <c r="P101" s="94">
        <v>69.0</v>
      </c>
      <c r="Q101" s="60" t="s">
        <v>140</v>
      </c>
      <c r="R101" s="60" t="s">
        <v>144</v>
      </c>
      <c r="S101" s="60"/>
    </row>
    <row r="102" ht="22.5" customHeight="1">
      <c r="A102" s="60" t="s">
        <v>959</v>
      </c>
      <c r="B102" s="60">
        <v>2019.0</v>
      </c>
      <c r="C102" s="60" t="s">
        <v>1000</v>
      </c>
      <c r="D102" s="60">
        <v>2015.0</v>
      </c>
      <c r="E102" s="60">
        <v>24854.0</v>
      </c>
      <c r="F102" s="61" t="s">
        <v>973</v>
      </c>
      <c r="G102" s="60" t="s">
        <v>163</v>
      </c>
      <c r="H102" s="61">
        <v>0.5</v>
      </c>
      <c r="I102" s="61">
        <v>746.0</v>
      </c>
      <c r="J102" s="60" t="s">
        <v>126</v>
      </c>
      <c r="K102" s="60" t="s">
        <v>129</v>
      </c>
      <c r="L102" s="60" t="s">
        <v>170</v>
      </c>
      <c r="M102" s="60" t="s">
        <v>171</v>
      </c>
      <c r="N102" s="94" t="s">
        <v>272</v>
      </c>
      <c r="O102" s="94" t="s">
        <v>974</v>
      </c>
      <c r="P102" s="94">
        <v>40.0</v>
      </c>
      <c r="Q102" s="60" t="s">
        <v>140</v>
      </c>
      <c r="R102" s="60" t="s">
        <v>144</v>
      </c>
      <c r="S102" s="60"/>
    </row>
    <row r="103" ht="22.5" customHeight="1">
      <c r="A103" s="60" t="s">
        <v>959</v>
      </c>
      <c r="B103" s="60">
        <v>2020.0</v>
      </c>
      <c r="C103" s="60" t="s">
        <v>1002</v>
      </c>
      <c r="D103" s="60">
        <v>2012.0</v>
      </c>
      <c r="E103" s="60">
        <v>461625.0</v>
      </c>
      <c r="F103" s="61" t="s">
        <v>973</v>
      </c>
      <c r="G103" s="60" t="s">
        <v>163</v>
      </c>
      <c r="H103" s="61">
        <v>1.0</v>
      </c>
      <c r="I103" s="61">
        <v>25394.0</v>
      </c>
      <c r="J103" s="60" t="s">
        <v>171</v>
      </c>
      <c r="K103" s="60" t="s">
        <v>129</v>
      </c>
      <c r="L103" s="60" t="s">
        <v>170</v>
      </c>
      <c r="M103" s="60" t="s">
        <v>171</v>
      </c>
      <c r="N103" s="94" t="s">
        <v>682</v>
      </c>
      <c r="O103" s="94" t="s">
        <v>971</v>
      </c>
      <c r="P103" s="94">
        <v>5254.0</v>
      </c>
      <c r="Q103" s="60" t="s">
        <v>140</v>
      </c>
      <c r="R103" s="60" t="s">
        <v>144</v>
      </c>
      <c r="S103" s="60"/>
    </row>
    <row r="104" ht="22.5" customHeight="1">
      <c r="A104" s="60" t="s">
        <v>959</v>
      </c>
      <c r="B104" s="60">
        <v>2020.0</v>
      </c>
      <c r="C104" s="60" t="s">
        <v>1005</v>
      </c>
      <c r="D104" s="60">
        <v>2012.0</v>
      </c>
      <c r="E104" s="60">
        <v>273676.0</v>
      </c>
      <c r="F104" s="61" t="s">
        <v>973</v>
      </c>
      <c r="G104" s="60" t="s">
        <v>163</v>
      </c>
      <c r="H104" s="61">
        <v>0.5</v>
      </c>
      <c r="I104" s="61">
        <v>8210.0</v>
      </c>
      <c r="J104" s="60" t="s">
        <v>171</v>
      </c>
      <c r="K104" s="60" t="s">
        <v>132</v>
      </c>
      <c r="L104" s="60" t="s">
        <v>170</v>
      </c>
      <c r="M104" s="60" t="s">
        <v>171</v>
      </c>
      <c r="N104" s="94" t="s">
        <v>682</v>
      </c>
      <c r="O104" s="94" t="s">
        <v>1006</v>
      </c>
      <c r="P104" s="94">
        <v>6709.0</v>
      </c>
      <c r="Q104" s="60" t="s">
        <v>274</v>
      </c>
      <c r="R104" s="60" t="s">
        <v>275</v>
      </c>
      <c r="S104" s="60"/>
    </row>
    <row r="105" ht="22.5" customHeight="1">
      <c r="A105" s="60" t="s">
        <v>959</v>
      </c>
      <c r="B105" s="60">
        <v>2020.0</v>
      </c>
      <c r="C105" s="60" t="s">
        <v>1007</v>
      </c>
      <c r="D105" s="60">
        <v>2012.0</v>
      </c>
      <c r="E105" s="60">
        <v>158507.0</v>
      </c>
      <c r="F105" s="61" t="s">
        <v>973</v>
      </c>
      <c r="G105" s="60" t="s">
        <v>163</v>
      </c>
      <c r="H105" s="61">
        <v>0.5</v>
      </c>
      <c r="I105" s="61">
        <v>4755.0</v>
      </c>
      <c r="J105" s="60" t="s">
        <v>171</v>
      </c>
      <c r="K105" s="60" t="s">
        <v>132</v>
      </c>
      <c r="L105" s="60" t="s">
        <v>170</v>
      </c>
      <c r="M105" s="60" t="s">
        <v>171</v>
      </c>
      <c r="N105" s="94" t="s">
        <v>682</v>
      </c>
      <c r="O105" s="94" t="s">
        <v>1008</v>
      </c>
      <c r="P105" s="94">
        <v>6459.0</v>
      </c>
      <c r="Q105" s="60" t="s">
        <v>274</v>
      </c>
      <c r="R105" s="60" t="s">
        <v>275</v>
      </c>
      <c r="S105" s="60" t="s">
        <v>1009</v>
      </c>
    </row>
    <row r="106" ht="22.5" customHeight="1">
      <c r="A106" s="60" t="s">
        <v>959</v>
      </c>
      <c r="B106" s="60">
        <v>2020.0</v>
      </c>
      <c r="C106" s="60" t="s">
        <v>1010</v>
      </c>
      <c r="D106" s="60">
        <v>2012.0</v>
      </c>
      <c r="E106" s="60">
        <v>163086.0</v>
      </c>
      <c r="F106" s="61" t="s">
        <v>973</v>
      </c>
      <c r="G106" s="60" t="s">
        <v>163</v>
      </c>
      <c r="H106" s="61">
        <v>1.0</v>
      </c>
      <c r="I106" s="61">
        <v>9785.0</v>
      </c>
      <c r="J106" s="60" t="s">
        <v>171</v>
      </c>
      <c r="K106" s="60" t="s">
        <v>129</v>
      </c>
      <c r="L106" s="60" t="s">
        <v>170</v>
      </c>
      <c r="M106" s="60" t="s">
        <v>171</v>
      </c>
      <c r="N106" s="94" t="s">
        <v>682</v>
      </c>
      <c r="O106" s="94" t="s">
        <v>1011</v>
      </c>
      <c r="P106" s="94">
        <v>163.0</v>
      </c>
      <c r="Q106" s="60" t="s">
        <v>140</v>
      </c>
      <c r="R106" s="60" t="s">
        <v>144</v>
      </c>
      <c r="S106" s="60"/>
    </row>
    <row r="107" ht="22.5" customHeight="1">
      <c r="A107" s="60" t="s">
        <v>959</v>
      </c>
      <c r="B107" s="60">
        <v>2020.0</v>
      </c>
      <c r="C107" s="60" t="s">
        <v>1012</v>
      </c>
      <c r="D107" s="60" t="s">
        <v>170</v>
      </c>
      <c r="E107" s="60" t="s">
        <v>170</v>
      </c>
      <c r="F107" s="61" t="s">
        <v>170</v>
      </c>
      <c r="G107" s="60" t="s">
        <v>367</v>
      </c>
      <c r="H107" s="61">
        <v>1.0</v>
      </c>
      <c r="I107" s="61" t="s">
        <v>170</v>
      </c>
      <c r="J107" s="60" t="s">
        <v>171</v>
      </c>
      <c r="K107" s="60" t="s">
        <v>129</v>
      </c>
      <c r="L107" s="60" t="s">
        <v>170</v>
      </c>
      <c r="M107" s="60" t="s">
        <v>171</v>
      </c>
      <c r="N107" s="94" t="s">
        <v>682</v>
      </c>
      <c r="O107" s="94" t="s">
        <v>1014</v>
      </c>
      <c r="P107" s="94">
        <v>104.0</v>
      </c>
      <c r="Q107" s="60" t="s">
        <v>140</v>
      </c>
      <c r="R107" s="60" t="s">
        <v>144</v>
      </c>
      <c r="S107" s="60"/>
    </row>
    <row r="108" ht="22.5" customHeight="1">
      <c r="A108" s="60" t="s">
        <v>959</v>
      </c>
      <c r="B108" s="60">
        <v>2020.0</v>
      </c>
      <c r="C108" s="60" t="s">
        <v>1017</v>
      </c>
      <c r="D108" s="60">
        <v>2017.0</v>
      </c>
      <c r="E108" s="60">
        <v>8875.0</v>
      </c>
      <c r="F108" s="61" t="s">
        <v>313</v>
      </c>
      <c r="G108" s="60" t="s">
        <v>367</v>
      </c>
      <c r="H108" s="61">
        <v>1.0</v>
      </c>
      <c r="I108" s="61">
        <v>178.0</v>
      </c>
      <c r="J108" s="60" t="s">
        <v>171</v>
      </c>
      <c r="K108" s="60" t="s">
        <v>129</v>
      </c>
      <c r="L108" s="60" t="s">
        <v>170</v>
      </c>
      <c r="M108" s="60" t="s">
        <v>171</v>
      </c>
      <c r="N108" s="94" t="s">
        <v>682</v>
      </c>
      <c r="O108" s="94" t="s">
        <v>1014</v>
      </c>
      <c r="P108" s="94">
        <v>56.0</v>
      </c>
      <c r="Q108" s="60" t="s">
        <v>140</v>
      </c>
      <c r="R108" s="60" t="s">
        <v>144</v>
      </c>
      <c r="S108" s="60"/>
    </row>
    <row r="109" ht="22.5" customHeight="1">
      <c r="A109" s="60" t="s">
        <v>959</v>
      </c>
      <c r="B109" s="60">
        <v>2023.0</v>
      </c>
      <c r="C109" s="60" t="s">
        <v>1019</v>
      </c>
      <c r="D109" s="60">
        <v>2017.0</v>
      </c>
      <c r="E109" s="60">
        <v>11112.0</v>
      </c>
      <c r="F109" s="61" t="s">
        <v>313</v>
      </c>
      <c r="G109" s="60" t="s">
        <v>367</v>
      </c>
      <c r="H109" s="61">
        <v>1.0</v>
      </c>
      <c r="I109" s="61">
        <v>267.0</v>
      </c>
      <c r="J109" s="60" t="s">
        <v>171</v>
      </c>
      <c r="K109" s="60" t="s">
        <v>129</v>
      </c>
      <c r="L109" s="60" t="s">
        <v>170</v>
      </c>
      <c r="M109" s="60" t="s">
        <v>171</v>
      </c>
      <c r="N109" s="94" t="s">
        <v>670</v>
      </c>
      <c r="O109" s="94" t="s">
        <v>1014</v>
      </c>
      <c r="P109" s="94">
        <v>227.0</v>
      </c>
      <c r="Q109" s="60" t="s">
        <v>140</v>
      </c>
      <c r="R109" s="60" t="s">
        <v>144</v>
      </c>
      <c r="S109" s="60"/>
    </row>
    <row r="110" ht="22.5" customHeight="1">
      <c r="A110" s="60" t="s">
        <v>959</v>
      </c>
      <c r="B110" s="60">
        <v>2020.0</v>
      </c>
      <c r="C110" s="60" t="s">
        <v>1020</v>
      </c>
      <c r="D110" s="60">
        <v>2016.0</v>
      </c>
      <c r="E110" s="60">
        <v>1645.0</v>
      </c>
      <c r="F110" s="61" t="s">
        <v>313</v>
      </c>
      <c r="G110" s="60" t="s">
        <v>367</v>
      </c>
      <c r="H110" s="61">
        <v>1.0</v>
      </c>
      <c r="I110" s="61">
        <v>33.0</v>
      </c>
      <c r="J110" s="60" t="s">
        <v>171</v>
      </c>
      <c r="K110" s="60" t="s">
        <v>129</v>
      </c>
      <c r="L110" s="60" t="s">
        <v>170</v>
      </c>
      <c r="M110" s="60" t="s">
        <v>171</v>
      </c>
      <c r="N110" s="94" t="s">
        <v>682</v>
      </c>
      <c r="O110" s="94" t="s">
        <v>1014</v>
      </c>
      <c r="P110" s="94">
        <v>19.0</v>
      </c>
      <c r="Q110" s="60" t="s">
        <v>140</v>
      </c>
      <c r="R110" s="60" t="s">
        <v>144</v>
      </c>
      <c r="S110" s="60"/>
    </row>
    <row r="111" ht="22.5" customHeight="1">
      <c r="A111" s="60" t="s">
        <v>959</v>
      </c>
      <c r="B111" s="60">
        <v>2021.0</v>
      </c>
      <c r="C111" s="60" t="s">
        <v>1022</v>
      </c>
      <c r="D111" s="60">
        <v>2018.0</v>
      </c>
      <c r="E111" s="60">
        <v>267.0</v>
      </c>
      <c r="F111" s="61" t="s">
        <v>313</v>
      </c>
      <c r="G111" s="60" t="s">
        <v>367</v>
      </c>
      <c r="H111" s="61">
        <v>0.1</v>
      </c>
      <c r="I111" s="61">
        <v>0.53</v>
      </c>
      <c r="J111" s="60" t="s">
        <v>642</v>
      </c>
      <c r="K111" s="60" t="s">
        <v>132</v>
      </c>
      <c r="L111" s="60" t="s">
        <v>170</v>
      </c>
      <c r="M111" s="60" t="s">
        <v>171</v>
      </c>
      <c r="N111" s="94" t="s">
        <v>321</v>
      </c>
      <c r="O111" s="94" t="s">
        <v>1023</v>
      </c>
      <c r="P111" s="94">
        <v>0.0</v>
      </c>
      <c r="Q111" s="60" t="s">
        <v>274</v>
      </c>
      <c r="R111" s="60" t="s">
        <v>308</v>
      </c>
      <c r="S111" s="60" t="s">
        <v>1024</v>
      </c>
    </row>
    <row r="112" ht="22.5" customHeight="1">
      <c r="A112" s="60" t="s">
        <v>959</v>
      </c>
      <c r="B112" s="60">
        <v>2016.0</v>
      </c>
      <c r="C112" s="60" t="s">
        <v>1025</v>
      </c>
      <c r="D112" s="60" t="s">
        <v>170</v>
      </c>
      <c r="E112" s="60" t="s">
        <v>170</v>
      </c>
      <c r="F112" s="61" t="s">
        <v>170</v>
      </c>
      <c r="G112" s="60" t="s">
        <v>367</v>
      </c>
      <c r="H112" s="61">
        <v>0.5</v>
      </c>
      <c r="I112" s="61" t="s">
        <v>170</v>
      </c>
      <c r="J112" s="60" t="s">
        <v>171</v>
      </c>
      <c r="K112" s="60" t="s">
        <v>129</v>
      </c>
      <c r="L112" s="60" t="s">
        <v>170</v>
      </c>
      <c r="M112" s="60" t="s">
        <v>171</v>
      </c>
      <c r="N112" s="94" t="s">
        <v>170</v>
      </c>
      <c r="O112" s="94" t="s">
        <v>170</v>
      </c>
      <c r="P112" s="94" t="s">
        <v>170</v>
      </c>
      <c r="Q112" s="60" t="s">
        <v>140</v>
      </c>
      <c r="R112" s="60" t="s">
        <v>144</v>
      </c>
      <c r="S112" s="60"/>
    </row>
    <row r="113" ht="22.5" customHeight="1">
      <c r="A113" s="60" t="s">
        <v>959</v>
      </c>
      <c r="B113" s="60">
        <v>2023.0</v>
      </c>
      <c r="C113" s="60" t="s">
        <v>1027</v>
      </c>
      <c r="D113" s="60" t="s">
        <v>170</v>
      </c>
      <c r="E113" s="60">
        <v>1920.0</v>
      </c>
      <c r="F113" s="61" t="s">
        <v>1028</v>
      </c>
      <c r="G113" s="60" t="s">
        <v>367</v>
      </c>
      <c r="H113" s="61">
        <v>0.5</v>
      </c>
      <c r="I113" s="61">
        <v>19.0</v>
      </c>
      <c r="J113" s="60" t="s">
        <v>171</v>
      </c>
      <c r="K113" s="60" t="s">
        <v>129</v>
      </c>
      <c r="L113" s="60" t="s">
        <v>170</v>
      </c>
      <c r="M113" s="60" t="s">
        <v>171</v>
      </c>
      <c r="N113" s="94" t="s">
        <v>670</v>
      </c>
      <c r="O113" s="94" t="s">
        <v>1029</v>
      </c>
      <c r="P113" s="94">
        <v>1.3</v>
      </c>
      <c r="Q113" s="60" t="s">
        <v>140</v>
      </c>
      <c r="R113" s="60" t="s">
        <v>144</v>
      </c>
      <c r="S113" s="60" t="s">
        <v>1030</v>
      </c>
    </row>
    <row r="114" ht="22.5" customHeight="1">
      <c r="A114" s="60" t="s">
        <v>959</v>
      </c>
      <c r="B114" s="60">
        <v>2019.0</v>
      </c>
      <c r="C114" s="60" t="s">
        <v>1031</v>
      </c>
      <c r="D114" s="60">
        <v>2018.0</v>
      </c>
      <c r="E114" s="60">
        <v>302.0</v>
      </c>
      <c r="F114" s="61" t="s">
        <v>640</v>
      </c>
      <c r="G114" s="60" t="s">
        <v>1032</v>
      </c>
      <c r="H114" s="61">
        <v>0.5</v>
      </c>
      <c r="I114" s="61">
        <v>2.2</v>
      </c>
      <c r="J114" s="60" t="s">
        <v>171</v>
      </c>
      <c r="K114" s="60" t="s">
        <v>129</v>
      </c>
      <c r="L114" s="60" t="s">
        <v>170</v>
      </c>
      <c r="M114" s="60" t="s">
        <v>171</v>
      </c>
      <c r="N114" s="94" t="s">
        <v>272</v>
      </c>
      <c r="O114" s="94" t="s">
        <v>1033</v>
      </c>
      <c r="P114" s="94">
        <v>0.2</v>
      </c>
      <c r="Q114" s="60" t="s">
        <v>140</v>
      </c>
      <c r="R114" s="60" t="s">
        <v>144</v>
      </c>
      <c r="S114" s="60"/>
    </row>
    <row r="115" ht="22.5" customHeight="1">
      <c r="A115" s="60" t="s">
        <v>959</v>
      </c>
      <c r="B115" s="60">
        <v>2020.0</v>
      </c>
      <c r="C115" s="60" t="s">
        <v>1034</v>
      </c>
      <c r="D115" s="60">
        <v>2012.0</v>
      </c>
      <c r="E115" s="60">
        <v>587.0</v>
      </c>
      <c r="F115" s="61" t="s">
        <v>1028</v>
      </c>
      <c r="G115" s="60" t="s">
        <v>367</v>
      </c>
      <c r="H115" s="61">
        <v>0.5</v>
      </c>
      <c r="I115" s="61">
        <v>5.9</v>
      </c>
      <c r="J115" s="60" t="s">
        <v>171</v>
      </c>
      <c r="K115" s="60" t="s">
        <v>129</v>
      </c>
      <c r="L115" s="60" t="s">
        <v>170</v>
      </c>
      <c r="M115" s="60" t="s">
        <v>171</v>
      </c>
      <c r="N115" s="94" t="s">
        <v>682</v>
      </c>
      <c r="O115" s="94" t="s">
        <v>1029</v>
      </c>
      <c r="P115" s="94">
        <v>0.8</v>
      </c>
      <c r="Q115" s="60" t="s">
        <v>140</v>
      </c>
      <c r="R115" s="60" t="s">
        <v>144</v>
      </c>
      <c r="S115" s="60"/>
    </row>
    <row r="116" ht="22.5" customHeight="1">
      <c r="A116" s="60" t="s">
        <v>959</v>
      </c>
      <c r="B116" s="60">
        <v>2020.0</v>
      </c>
      <c r="C116" s="60" t="s">
        <v>1037</v>
      </c>
      <c r="D116" s="60">
        <v>2003.0</v>
      </c>
      <c r="E116" s="60">
        <v>7.0</v>
      </c>
      <c r="F116" s="61" t="s">
        <v>640</v>
      </c>
      <c r="G116" s="60" t="s">
        <v>367</v>
      </c>
      <c r="H116" s="61">
        <v>0.1</v>
      </c>
      <c r="I116" s="61">
        <v>0.01</v>
      </c>
      <c r="J116" s="60" t="s">
        <v>642</v>
      </c>
      <c r="K116" s="60" t="s">
        <v>132</v>
      </c>
      <c r="L116" s="60" t="s">
        <v>170</v>
      </c>
      <c r="M116" s="60" t="s">
        <v>129</v>
      </c>
      <c r="N116" s="94" t="s">
        <v>170</v>
      </c>
      <c r="O116" s="94" t="s">
        <v>170</v>
      </c>
      <c r="P116" s="94">
        <v>0.0</v>
      </c>
      <c r="Q116" s="60" t="s">
        <v>274</v>
      </c>
      <c r="R116" s="60" t="s">
        <v>144</v>
      </c>
      <c r="S116" s="60" t="s">
        <v>1039</v>
      </c>
    </row>
    <row r="117" ht="22.5" customHeight="1">
      <c r="A117" s="60" t="s">
        <v>959</v>
      </c>
      <c r="B117" s="60">
        <v>2020.0</v>
      </c>
      <c r="C117" s="60" t="s">
        <v>1040</v>
      </c>
      <c r="D117" s="60">
        <v>2018.0</v>
      </c>
      <c r="E117" s="60">
        <v>349.0</v>
      </c>
      <c r="F117" s="61" t="s">
        <v>1028</v>
      </c>
      <c r="G117" s="60" t="s">
        <v>367</v>
      </c>
      <c r="H117" s="61">
        <v>0.5</v>
      </c>
      <c r="I117" s="61">
        <v>3.5</v>
      </c>
      <c r="J117" s="60" t="s">
        <v>171</v>
      </c>
      <c r="K117" s="60" t="s">
        <v>129</v>
      </c>
      <c r="L117" s="60" t="s">
        <v>170</v>
      </c>
      <c r="M117" s="60" t="s">
        <v>171</v>
      </c>
      <c r="N117" s="94" t="s">
        <v>682</v>
      </c>
      <c r="O117" s="94" t="s">
        <v>1033</v>
      </c>
      <c r="P117" s="94">
        <v>0.4</v>
      </c>
      <c r="Q117" s="60" t="s">
        <v>140</v>
      </c>
      <c r="R117" s="60" t="s">
        <v>144</v>
      </c>
      <c r="S117" s="60"/>
    </row>
    <row r="118" ht="22.5" customHeight="1">
      <c r="A118" s="60" t="s">
        <v>959</v>
      </c>
      <c r="B118" s="60">
        <v>2018.0</v>
      </c>
      <c r="C118" s="60" t="s">
        <v>1041</v>
      </c>
      <c r="D118" s="60" t="s">
        <v>170</v>
      </c>
      <c r="E118" s="60" t="s">
        <v>170</v>
      </c>
      <c r="F118" s="60" t="s">
        <v>170</v>
      </c>
      <c r="G118" s="60" t="s">
        <v>367</v>
      </c>
      <c r="H118" s="61">
        <v>0.5</v>
      </c>
      <c r="I118" s="61" t="s">
        <v>170</v>
      </c>
      <c r="J118" s="60" t="s">
        <v>171</v>
      </c>
      <c r="K118" s="60" t="s">
        <v>129</v>
      </c>
      <c r="L118" s="60" t="s">
        <v>170</v>
      </c>
      <c r="M118" s="60" t="s">
        <v>171</v>
      </c>
      <c r="N118" s="94" t="s">
        <v>170</v>
      </c>
      <c r="O118" s="94" t="s">
        <v>170</v>
      </c>
      <c r="P118" s="94">
        <v>0.0</v>
      </c>
      <c r="Q118" s="60" t="s">
        <v>140</v>
      </c>
      <c r="R118" s="60" t="s">
        <v>144</v>
      </c>
      <c r="S118" s="60"/>
    </row>
    <row r="119" ht="22.5" customHeight="1">
      <c r="A119" s="60" t="s">
        <v>959</v>
      </c>
      <c r="B119" s="60">
        <v>2023.0</v>
      </c>
      <c r="C119" s="60" t="s">
        <v>1042</v>
      </c>
      <c r="D119" s="60">
        <v>2019.0</v>
      </c>
      <c r="E119" s="60">
        <v>1250.0</v>
      </c>
      <c r="F119" s="60" t="s">
        <v>483</v>
      </c>
      <c r="G119" s="60" t="s">
        <v>367</v>
      </c>
      <c r="H119" s="61">
        <v>0.5</v>
      </c>
      <c r="I119" s="61">
        <v>13.0</v>
      </c>
      <c r="J119" s="60" t="s">
        <v>171</v>
      </c>
      <c r="K119" s="60" t="s">
        <v>129</v>
      </c>
      <c r="L119" s="60" t="s">
        <v>170</v>
      </c>
      <c r="M119" s="60" t="s">
        <v>171</v>
      </c>
      <c r="N119" s="94" t="s">
        <v>1043</v>
      </c>
      <c r="O119" s="94" t="s">
        <v>663</v>
      </c>
      <c r="P119" s="94">
        <v>5.6</v>
      </c>
      <c r="Q119" s="60" t="s">
        <v>140</v>
      </c>
      <c r="R119" s="60" t="s">
        <v>144</v>
      </c>
      <c r="S119" s="60" t="s">
        <v>1044</v>
      </c>
    </row>
    <row r="120" ht="22.5" customHeight="1">
      <c r="A120" s="60" t="s">
        <v>959</v>
      </c>
      <c r="B120" s="60">
        <v>2023.0</v>
      </c>
      <c r="C120" s="60" t="s">
        <v>1045</v>
      </c>
      <c r="D120" s="60">
        <v>2019.0</v>
      </c>
      <c r="E120" s="60">
        <v>610.0</v>
      </c>
      <c r="F120" s="60" t="s">
        <v>483</v>
      </c>
      <c r="G120" s="60" t="s">
        <v>367</v>
      </c>
      <c r="H120" s="61">
        <v>0.5</v>
      </c>
      <c r="I120" s="61">
        <v>6.1</v>
      </c>
      <c r="J120" s="60" t="s">
        <v>171</v>
      </c>
      <c r="K120" s="60" t="s">
        <v>132</v>
      </c>
      <c r="L120" s="60" t="s">
        <v>170</v>
      </c>
      <c r="M120" s="60" t="s">
        <v>171</v>
      </c>
      <c r="N120" s="94" t="s">
        <v>1043</v>
      </c>
      <c r="O120" s="94" t="s">
        <v>663</v>
      </c>
      <c r="P120" s="94">
        <v>7.4</v>
      </c>
      <c r="Q120" s="60" t="s">
        <v>140</v>
      </c>
      <c r="R120" s="60" t="s">
        <v>144</v>
      </c>
      <c r="S120" s="60"/>
    </row>
    <row r="121" ht="22.5" customHeight="1">
      <c r="A121" s="60" t="s">
        <v>959</v>
      </c>
      <c r="B121" s="60">
        <v>2023.0</v>
      </c>
      <c r="C121" s="60" t="s">
        <v>1046</v>
      </c>
      <c r="D121" s="60" t="s">
        <v>170</v>
      </c>
      <c r="E121" s="60" t="s">
        <v>170</v>
      </c>
      <c r="F121" s="60" t="s">
        <v>170</v>
      </c>
      <c r="G121" s="60" t="s">
        <v>367</v>
      </c>
      <c r="H121" s="61">
        <v>0.5</v>
      </c>
      <c r="I121" s="61" t="s">
        <v>170</v>
      </c>
      <c r="J121" s="60" t="s">
        <v>171</v>
      </c>
      <c r="K121" s="60" t="s">
        <v>129</v>
      </c>
      <c r="L121" s="60" t="s">
        <v>170</v>
      </c>
      <c r="M121" s="60" t="s">
        <v>171</v>
      </c>
      <c r="N121" s="94" t="s">
        <v>1047</v>
      </c>
      <c r="O121" s="94" t="s">
        <v>1048</v>
      </c>
      <c r="P121" s="94">
        <v>22.2</v>
      </c>
      <c r="Q121" s="60" t="s">
        <v>140</v>
      </c>
      <c r="R121" s="60" t="s">
        <v>144</v>
      </c>
      <c r="S121" s="60"/>
    </row>
    <row r="122" ht="22.5" customHeight="1">
      <c r="A122" s="60" t="s">
        <v>959</v>
      </c>
      <c r="B122" s="60">
        <v>2020.0</v>
      </c>
      <c r="C122" s="60" t="s">
        <v>1049</v>
      </c>
      <c r="D122" s="60" t="s">
        <v>170</v>
      </c>
      <c r="E122" s="60" t="s">
        <v>170</v>
      </c>
      <c r="F122" s="60" t="s">
        <v>170</v>
      </c>
      <c r="G122" s="60" t="s">
        <v>367</v>
      </c>
      <c r="H122" s="61">
        <v>0.5</v>
      </c>
      <c r="I122" s="61" t="s">
        <v>170</v>
      </c>
      <c r="J122" s="60" t="s">
        <v>171</v>
      </c>
      <c r="K122" s="60" t="s">
        <v>132</v>
      </c>
      <c r="L122" s="60" t="s">
        <v>170</v>
      </c>
      <c r="M122" s="60" t="s">
        <v>171</v>
      </c>
      <c r="N122" s="94" t="s">
        <v>1050</v>
      </c>
      <c r="O122" s="94" t="s">
        <v>1051</v>
      </c>
      <c r="P122" s="94">
        <v>72.0</v>
      </c>
      <c r="Q122" s="60" t="s">
        <v>140</v>
      </c>
      <c r="R122" s="60" t="s">
        <v>144</v>
      </c>
      <c r="S122" s="60" t="s">
        <v>1054</v>
      </c>
    </row>
    <row r="123" ht="22.5" customHeight="1">
      <c r="A123" s="60" t="s">
        <v>959</v>
      </c>
      <c r="B123" s="60">
        <v>2020.0</v>
      </c>
      <c r="C123" s="60" t="s">
        <v>1056</v>
      </c>
      <c r="D123" s="60" t="s">
        <v>170</v>
      </c>
      <c r="E123" s="60" t="s">
        <v>170</v>
      </c>
      <c r="F123" s="60" t="s">
        <v>170</v>
      </c>
      <c r="G123" s="60" t="s">
        <v>367</v>
      </c>
      <c r="H123" s="61">
        <v>0.5</v>
      </c>
      <c r="I123" s="61" t="s">
        <v>170</v>
      </c>
      <c r="J123" s="60" t="s">
        <v>171</v>
      </c>
      <c r="K123" s="60" t="s">
        <v>132</v>
      </c>
      <c r="L123" s="60" t="s">
        <v>170</v>
      </c>
      <c r="M123" s="60" t="s">
        <v>171</v>
      </c>
      <c r="N123" s="94" t="s">
        <v>682</v>
      </c>
      <c r="O123" s="94" t="s">
        <v>1033</v>
      </c>
      <c r="P123" s="94">
        <v>0.4</v>
      </c>
      <c r="Q123" s="60" t="s">
        <v>140</v>
      </c>
      <c r="R123" s="60" t="s">
        <v>144</v>
      </c>
      <c r="S123" s="60" t="s">
        <v>1054</v>
      </c>
    </row>
    <row r="124" ht="22.5" customHeight="1">
      <c r="A124" s="60" t="s">
        <v>959</v>
      </c>
      <c r="B124" s="60">
        <v>2021.0</v>
      </c>
      <c r="C124" s="60" t="s">
        <v>1057</v>
      </c>
      <c r="D124" s="60">
        <v>2015.0</v>
      </c>
      <c r="E124" s="60">
        <v>13110.0</v>
      </c>
      <c r="F124" s="60" t="s">
        <v>483</v>
      </c>
      <c r="G124" s="60" t="s">
        <v>367</v>
      </c>
      <c r="H124" s="61">
        <v>0.5</v>
      </c>
      <c r="I124" s="61">
        <v>131.0</v>
      </c>
      <c r="J124" s="60" t="s">
        <v>171</v>
      </c>
      <c r="K124" s="60" t="s">
        <v>129</v>
      </c>
      <c r="L124" s="60" t="s">
        <v>170</v>
      </c>
      <c r="M124" s="60" t="s">
        <v>171</v>
      </c>
      <c r="N124" s="94" t="s">
        <v>1058</v>
      </c>
      <c r="O124" s="94" t="s">
        <v>1029</v>
      </c>
      <c r="P124" s="94">
        <v>37.0</v>
      </c>
      <c r="Q124" s="60" t="s">
        <v>140</v>
      </c>
      <c r="R124" s="60" t="s">
        <v>144</v>
      </c>
      <c r="S124" s="60"/>
    </row>
    <row r="125" ht="22.5" customHeight="1">
      <c r="A125" s="60" t="s">
        <v>959</v>
      </c>
      <c r="B125" s="60">
        <v>2020.0</v>
      </c>
      <c r="C125" s="60" t="s">
        <v>1059</v>
      </c>
      <c r="D125" s="60">
        <v>2015.0</v>
      </c>
      <c r="E125" s="60">
        <v>244.0</v>
      </c>
      <c r="F125" s="60" t="s">
        <v>483</v>
      </c>
      <c r="G125" s="60" t="s">
        <v>367</v>
      </c>
      <c r="H125" s="61">
        <v>0.1</v>
      </c>
      <c r="I125" s="61">
        <v>0.5</v>
      </c>
      <c r="J125" s="60" t="s">
        <v>171</v>
      </c>
      <c r="K125" s="60" t="s">
        <v>132</v>
      </c>
      <c r="L125" s="60" t="s">
        <v>170</v>
      </c>
      <c r="M125" s="60" t="s">
        <v>171</v>
      </c>
      <c r="N125" s="94" t="s">
        <v>682</v>
      </c>
      <c r="O125" s="94" t="s">
        <v>1060</v>
      </c>
      <c r="P125" s="94">
        <v>3.5</v>
      </c>
      <c r="Q125" s="60" t="s">
        <v>274</v>
      </c>
      <c r="R125" s="60" t="s">
        <v>308</v>
      </c>
      <c r="S125" s="60" t="s">
        <v>1063</v>
      </c>
    </row>
    <row r="126" ht="22.5" customHeight="1">
      <c r="A126" s="60" t="s">
        <v>959</v>
      </c>
      <c r="B126" s="60">
        <v>2013.0</v>
      </c>
      <c r="C126" s="60" t="s">
        <v>1064</v>
      </c>
      <c r="D126" s="60" t="s">
        <v>170</v>
      </c>
      <c r="E126" s="60" t="s">
        <v>170</v>
      </c>
      <c r="F126" s="60" t="s">
        <v>170</v>
      </c>
      <c r="G126" s="60" t="s">
        <v>367</v>
      </c>
      <c r="H126" s="61">
        <v>0.5</v>
      </c>
      <c r="I126" s="61" t="s">
        <v>170</v>
      </c>
      <c r="J126" s="60" t="s">
        <v>171</v>
      </c>
      <c r="K126" s="60" t="s">
        <v>129</v>
      </c>
      <c r="L126" s="60" t="s">
        <v>170</v>
      </c>
      <c r="M126" s="60" t="s">
        <v>171</v>
      </c>
      <c r="N126" s="94" t="s">
        <v>170</v>
      </c>
      <c r="O126" s="94" t="s">
        <v>170</v>
      </c>
      <c r="P126" s="94">
        <v>0.0</v>
      </c>
      <c r="Q126" s="60" t="s">
        <v>140</v>
      </c>
      <c r="R126" s="60" t="s">
        <v>144</v>
      </c>
      <c r="S126" s="60"/>
    </row>
    <row r="127" ht="22.5" customHeight="1">
      <c r="A127" s="60" t="s">
        <v>959</v>
      </c>
      <c r="B127" s="60">
        <v>2013.0</v>
      </c>
      <c r="C127" s="60" t="s">
        <v>1069</v>
      </c>
      <c r="D127" s="60" t="s">
        <v>170</v>
      </c>
      <c r="E127" s="60" t="s">
        <v>170</v>
      </c>
      <c r="F127" s="60" t="s">
        <v>170</v>
      </c>
      <c r="G127" s="60" t="s">
        <v>367</v>
      </c>
      <c r="H127" s="61">
        <v>0.5</v>
      </c>
      <c r="I127" s="61" t="s">
        <v>170</v>
      </c>
      <c r="J127" s="60" t="s">
        <v>171</v>
      </c>
      <c r="K127" s="60" t="s">
        <v>129</v>
      </c>
      <c r="L127" s="60" t="s">
        <v>170</v>
      </c>
      <c r="M127" s="60" t="s">
        <v>171</v>
      </c>
      <c r="N127" s="94" t="s">
        <v>170</v>
      </c>
      <c r="O127" s="94" t="s">
        <v>170</v>
      </c>
      <c r="P127" s="94">
        <v>0.0</v>
      </c>
      <c r="Q127" s="60" t="s">
        <v>140</v>
      </c>
      <c r="R127" s="60" t="s">
        <v>144</v>
      </c>
      <c r="S127" s="60"/>
    </row>
    <row r="128" ht="22.5" customHeight="1">
      <c r="A128" s="60" t="s">
        <v>959</v>
      </c>
      <c r="B128" s="60">
        <v>2013.0</v>
      </c>
      <c r="C128" s="60" t="s">
        <v>1078</v>
      </c>
      <c r="D128" s="60" t="s">
        <v>170</v>
      </c>
      <c r="E128" s="60" t="s">
        <v>170</v>
      </c>
      <c r="F128" s="60" t="s">
        <v>170</v>
      </c>
      <c r="G128" s="60" t="s">
        <v>367</v>
      </c>
      <c r="H128" s="61">
        <v>0.5</v>
      </c>
      <c r="I128" s="61" t="s">
        <v>170</v>
      </c>
      <c r="J128" s="60" t="s">
        <v>171</v>
      </c>
      <c r="K128" s="60" t="s">
        <v>129</v>
      </c>
      <c r="L128" s="60" t="s">
        <v>170</v>
      </c>
      <c r="M128" s="60" t="s">
        <v>171</v>
      </c>
      <c r="N128" s="94" t="s">
        <v>170</v>
      </c>
      <c r="O128" s="94" t="s">
        <v>170</v>
      </c>
      <c r="P128" s="94">
        <v>0.0</v>
      </c>
      <c r="Q128" s="60" t="s">
        <v>140</v>
      </c>
      <c r="R128" s="60" t="s">
        <v>144</v>
      </c>
      <c r="S128" s="60"/>
    </row>
    <row r="129" ht="22.5" customHeight="1">
      <c r="A129" s="60" t="s">
        <v>959</v>
      </c>
      <c r="B129" s="60">
        <v>2024.0</v>
      </c>
      <c r="C129" s="60" t="s">
        <v>1080</v>
      </c>
      <c r="D129" s="60" t="s">
        <v>170</v>
      </c>
      <c r="E129" s="60" t="s">
        <v>170</v>
      </c>
      <c r="F129" s="60" t="s">
        <v>170</v>
      </c>
      <c r="G129" s="60" t="s">
        <v>367</v>
      </c>
      <c r="H129" s="61">
        <v>0.5</v>
      </c>
      <c r="I129" s="61" t="s">
        <v>170</v>
      </c>
      <c r="J129" s="60" t="s">
        <v>171</v>
      </c>
      <c r="K129" s="60" t="s">
        <v>129</v>
      </c>
      <c r="L129" s="60" t="s">
        <v>170</v>
      </c>
      <c r="M129" s="60" t="s">
        <v>171</v>
      </c>
      <c r="N129" s="94" t="s">
        <v>170</v>
      </c>
      <c r="O129" s="94" t="s">
        <v>170</v>
      </c>
      <c r="P129" s="94">
        <v>0.0</v>
      </c>
      <c r="Q129" s="60" t="s">
        <v>140</v>
      </c>
      <c r="R129" s="60" t="s">
        <v>144</v>
      </c>
      <c r="S129" s="60"/>
    </row>
    <row r="130" ht="22.5" customHeight="1">
      <c r="A130" s="60" t="s">
        <v>959</v>
      </c>
      <c r="B130" s="60">
        <v>2023.0</v>
      </c>
      <c r="C130" s="60" t="s">
        <v>1085</v>
      </c>
      <c r="D130" s="60">
        <v>2006.0</v>
      </c>
      <c r="E130" s="60">
        <v>1007.0</v>
      </c>
      <c r="F130" s="60" t="s">
        <v>517</v>
      </c>
      <c r="G130" s="60" t="s">
        <v>1086</v>
      </c>
      <c r="H130" s="61">
        <v>0.1</v>
      </c>
      <c r="I130" s="61">
        <v>3.4</v>
      </c>
      <c r="J130" s="60" t="s">
        <v>171</v>
      </c>
      <c r="K130" s="60" t="s">
        <v>132</v>
      </c>
      <c r="L130" s="60" t="s">
        <v>170</v>
      </c>
      <c r="M130" s="60" t="s">
        <v>171</v>
      </c>
      <c r="N130" s="94" t="s">
        <v>670</v>
      </c>
      <c r="O130" s="94" t="s">
        <v>1087</v>
      </c>
      <c r="P130" s="94">
        <v>5.82</v>
      </c>
      <c r="Q130" s="60" t="s">
        <v>274</v>
      </c>
      <c r="R130" s="60" t="s">
        <v>308</v>
      </c>
      <c r="S130" s="60"/>
    </row>
    <row r="131" ht="22.5" customHeight="1">
      <c r="A131" s="60" t="s">
        <v>959</v>
      </c>
      <c r="B131" s="60">
        <v>2023.0</v>
      </c>
      <c r="C131" s="60" t="s">
        <v>1090</v>
      </c>
      <c r="D131" s="60">
        <v>2020.0</v>
      </c>
      <c r="E131" s="60">
        <v>7265.0</v>
      </c>
      <c r="F131" s="60" t="s">
        <v>436</v>
      </c>
      <c r="G131" s="60" t="s">
        <v>1094</v>
      </c>
      <c r="H131" s="61">
        <v>0.5</v>
      </c>
      <c r="I131" s="61">
        <v>127.0</v>
      </c>
      <c r="J131" s="60" t="s">
        <v>171</v>
      </c>
      <c r="K131" s="60" t="s">
        <v>129</v>
      </c>
      <c r="L131" s="60" t="s">
        <v>170</v>
      </c>
      <c r="M131" s="60" t="s">
        <v>171</v>
      </c>
      <c r="N131" s="94" t="s">
        <v>1096</v>
      </c>
      <c r="O131" s="94" t="s">
        <v>1097</v>
      </c>
      <c r="P131" s="94">
        <v>27.09</v>
      </c>
      <c r="Q131" s="60" t="s">
        <v>140</v>
      </c>
      <c r="R131" s="60" t="s">
        <v>144</v>
      </c>
      <c r="S131" s="60"/>
    </row>
    <row r="132" ht="22.5" customHeight="1">
      <c r="A132" s="60" t="s">
        <v>959</v>
      </c>
      <c r="B132" s="60">
        <v>2023.0</v>
      </c>
      <c r="C132" s="60" t="s">
        <v>1099</v>
      </c>
      <c r="D132" s="60" t="s">
        <v>170</v>
      </c>
      <c r="E132" s="60" t="s">
        <v>170</v>
      </c>
      <c r="F132" s="60" t="s">
        <v>170</v>
      </c>
      <c r="G132" s="60" t="s">
        <v>1100</v>
      </c>
      <c r="H132" s="61">
        <v>0.5</v>
      </c>
      <c r="I132" s="60" t="s">
        <v>170</v>
      </c>
      <c r="J132" s="60" t="s">
        <v>171</v>
      </c>
      <c r="K132" s="60" t="s">
        <v>132</v>
      </c>
      <c r="L132" s="60" t="s">
        <v>170</v>
      </c>
      <c r="M132" s="60" t="s">
        <v>171</v>
      </c>
      <c r="N132" s="94" t="s">
        <v>1096</v>
      </c>
      <c r="O132" s="94" t="s">
        <v>1102</v>
      </c>
      <c r="P132" s="94">
        <v>0.57</v>
      </c>
      <c r="Q132" s="60" t="s">
        <v>274</v>
      </c>
      <c r="R132" s="60" t="s">
        <v>275</v>
      </c>
      <c r="S132" s="60"/>
    </row>
    <row r="133" ht="22.5" customHeight="1">
      <c r="A133" s="60" t="s">
        <v>959</v>
      </c>
      <c r="B133" s="60">
        <v>2020.0</v>
      </c>
      <c r="C133" s="60" t="s">
        <v>1104</v>
      </c>
      <c r="D133" s="60">
        <v>2013.0</v>
      </c>
      <c r="E133" s="60">
        <v>2554.0</v>
      </c>
      <c r="F133" s="60" t="s">
        <v>483</v>
      </c>
      <c r="G133" s="60" t="s">
        <v>367</v>
      </c>
      <c r="H133" s="61">
        <v>0.5</v>
      </c>
      <c r="I133" s="60">
        <v>5.1</v>
      </c>
      <c r="J133" s="60" t="s">
        <v>171</v>
      </c>
      <c r="K133" s="60" t="s">
        <v>132</v>
      </c>
      <c r="L133" s="60" t="s">
        <v>170</v>
      </c>
      <c r="M133" s="60" t="s">
        <v>171</v>
      </c>
      <c r="N133" s="94" t="s">
        <v>682</v>
      </c>
      <c r="O133" s="94" t="s">
        <v>1107</v>
      </c>
      <c r="P133" s="94">
        <v>0.6</v>
      </c>
      <c r="Q133" s="60" t="s">
        <v>274</v>
      </c>
      <c r="R133" s="60" t="s">
        <v>308</v>
      </c>
      <c r="S133" s="60"/>
    </row>
    <row r="134" ht="22.5" customHeight="1">
      <c r="A134" s="60" t="s">
        <v>959</v>
      </c>
      <c r="B134" s="60">
        <v>2018.0</v>
      </c>
      <c r="C134" s="60" t="s">
        <v>1110</v>
      </c>
      <c r="D134" s="60" t="s">
        <v>170</v>
      </c>
      <c r="E134" s="60" t="s">
        <v>170</v>
      </c>
      <c r="F134" s="60" t="s">
        <v>170</v>
      </c>
      <c r="G134" s="60" t="s">
        <v>367</v>
      </c>
      <c r="H134" s="61">
        <v>0.5</v>
      </c>
      <c r="I134" s="60" t="s">
        <v>170</v>
      </c>
      <c r="J134" s="60" t="s">
        <v>171</v>
      </c>
      <c r="K134" s="60" t="s">
        <v>129</v>
      </c>
      <c r="L134" s="60" t="s">
        <v>170</v>
      </c>
      <c r="M134" s="60" t="s">
        <v>171</v>
      </c>
      <c r="N134" s="94" t="s">
        <v>170</v>
      </c>
      <c r="O134" s="94" t="s">
        <v>170</v>
      </c>
      <c r="P134" s="94">
        <v>0.0</v>
      </c>
      <c r="Q134" s="60" t="s">
        <v>140</v>
      </c>
      <c r="R134" s="60" t="s">
        <v>144</v>
      </c>
      <c r="S134" s="60"/>
    </row>
    <row r="135" ht="22.5" customHeight="1">
      <c r="A135" s="60" t="s">
        <v>959</v>
      </c>
      <c r="B135" s="60">
        <v>2024.0</v>
      </c>
      <c r="C135" s="60" t="s">
        <v>1111</v>
      </c>
      <c r="D135" s="60">
        <v>2008.0</v>
      </c>
      <c r="E135" s="60">
        <v>26.0</v>
      </c>
      <c r="F135" s="60" t="s">
        <v>517</v>
      </c>
      <c r="G135" s="60" t="s">
        <v>367</v>
      </c>
      <c r="H135" s="61">
        <v>0.1</v>
      </c>
      <c r="I135" s="60">
        <v>0.05</v>
      </c>
      <c r="J135" s="60" t="s">
        <v>171</v>
      </c>
      <c r="K135" s="60" t="s">
        <v>132</v>
      </c>
      <c r="L135" s="60" t="s">
        <v>170</v>
      </c>
      <c r="M135" s="60" t="s">
        <v>129</v>
      </c>
      <c r="N135" s="94" t="s">
        <v>170</v>
      </c>
      <c r="O135" s="94" t="s">
        <v>170</v>
      </c>
      <c r="P135" s="94" t="s">
        <v>170</v>
      </c>
      <c r="Q135" s="60" t="s">
        <v>274</v>
      </c>
      <c r="R135" s="60" t="s">
        <v>308</v>
      </c>
      <c r="S135" s="60"/>
    </row>
    <row r="136" ht="22.5" customHeight="1">
      <c r="A136" s="60" t="s">
        <v>959</v>
      </c>
      <c r="B136" s="60">
        <v>2024.0</v>
      </c>
      <c r="C136" s="60" t="s">
        <v>1113</v>
      </c>
      <c r="D136" s="60">
        <v>2019.0</v>
      </c>
      <c r="E136" s="60">
        <v>15229.0</v>
      </c>
      <c r="F136" s="60" t="s">
        <v>1114</v>
      </c>
      <c r="G136" s="60" t="s">
        <v>1115</v>
      </c>
      <c r="H136" s="61">
        <v>0.5</v>
      </c>
      <c r="I136" s="60">
        <v>133.0</v>
      </c>
      <c r="J136" s="60" t="s">
        <v>171</v>
      </c>
      <c r="K136" s="60" t="s">
        <v>132</v>
      </c>
      <c r="L136" s="60" t="s">
        <v>170</v>
      </c>
      <c r="M136" s="60" t="s">
        <v>171</v>
      </c>
      <c r="N136" s="94" t="s">
        <v>304</v>
      </c>
      <c r="O136" s="94" t="s">
        <v>1117</v>
      </c>
      <c r="P136" s="94">
        <v>57.0</v>
      </c>
      <c r="Q136" s="60" t="s">
        <v>274</v>
      </c>
      <c r="R136" s="60" t="s">
        <v>308</v>
      </c>
      <c r="S136" s="60" t="s">
        <v>1118</v>
      </c>
    </row>
    <row r="137">
      <c r="F137" s="118"/>
      <c r="O137" s="119"/>
      <c r="P137" s="119"/>
    </row>
    <row r="138">
      <c r="F138" s="118"/>
      <c r="O138" s="119"/>
      <c r="P138" s="119"/>
    </row>
    <row r="139">
      <c r="F139" s="118"/>
      <c r="O139" s="119"/>
      <c r="P139" s="119"/>
    </row>
    <row r="140">
      <c r="F140" s="118"/>
      <c r="O140" s="119"/>
      <c r="P140" s="119"/>
    </row>
    <row r="141">
      <c r="F141" s="118"/>
      <c r="O141" s="119"/>
      <c r="P141" s="119"/>
    </row>
    <row r="142">
      <c r="F142" s="118"/>
      <c r="O142" s="119"/>
      <c r="P142" s="119"/>
    </row>
    <row r="143">
      <c r="F143" s="118"/>
      <c r="O143" s="119"/>
      <c r="P143" s="119"/>
    </row>
    <row r="144">
      <c r="F144" s="118"/>
      <c r="O144" s="119"/>
      <c r="P144" s="119"/>
    </row>
    <row r="145">
      <c r="F145" s="118"/>
      <c r="O145" s="119"/>
      <c r="P145" s="119"/>
    </row>
    <row r="146">
      <c r="F146" s="118"/>
      <c r="O146" s="119"/>
      <c r="P146" s="119"/>
    </row>
    <row r="147">
      <c r="F147" s="118"/>
      <c r="O147" s="119"/>
      <c r="P147" s="119"/>
    </row>
    <row r="148">
      <c r="F148" s="118"/>
      <c r="O148" s="119"/>
      <c r="P148" s="119"/>
    </row>
    <row r="149">
      <c r="F149" s="118"/>
      <c r="O149" s="119"/>
      <c r="P149" s="119"/>
    </row>
    <row r="150">
      <c r="F150" s="118"/>
      <c r="O150" s="119"/>
      <c r="P150" s="119"/>
    </row>
    <row r="151">
      <c r="F151" s="118"/>
      <c r="O151" s="119"/>
      <c r="P151" s="119"/>
    </row>
    <row r="152">
      <c r="F152" s="118"/>
      <c r="O152" s="119"/>
      <c r="P152" s="119"/>
    </row>
    <row r="153">
      <c r="F153" s="118"/>
      <c r="O153" s="119"/>
      <c r="P153" s="119"/>
    </row>
    <row r="154">
      <c r="F154" s="118"/>
      <c r="O154" s="119"/>
      <c r="P154" s="119"/>
    </row>
    <row r="155">
      <c r="F155" s="118"/>
      <c r="O155" s="119"/>
      <c r="P155" s="119"/>
    </row>
    <row r="156">
      <c r="F156" s="118"/>
      <c r="O156" s="119"/>
      <c r="P156" s="119"/>
    </row>
    <row r="157">
      <c r="F157" s="118"/>
      <c r="O157" s="119"/>
      <c r="P157" s="119"/>
    </row>
    <row r="158">
      <c r="F158" s="118"/>
      <c r="O158" s="119"/>
      <c r="P158" s="119"/>
    </row>
    <row r="159">
      <c r="F159" s="118"/>
      <c r="O159" s="119"/>
      <c r="P159" s="119"/>
    </row>
    <row r="160">
      <c r="F160" s="118"/>
      <c r="O160" s="119"/>
      <c r="P160" s="119"/>
    </row>
    <row r="161">
      <c r="F161" s="118"/>
      <c r="O161" s="119"/>
      <c r="P161" s="119"/>
    </row>
    <row r="162">
      <c r="F162" s="118"/>
      <c r="O162" s="119"/>
      <c r="P162" s="119"/>
    </row>
    <row r="163">
      <c r="F163" s="118"/>
      <c r="O163" s="119"/>
      <c r="P163" s="119"/>
    </row>
    <row r="164">
      <c r="F164" s="118"/>
      <c r="O164" s="119"/>
      <c r="P164" s="119"/>
    </row>
    <row r="165">
      <c r="F165" s="118"/>
      <c r="O165" s="119"/>
      <c r="P165" s="119"/>
    </row>
    <row r="166">
      <c r="F166" s="118"/>
      <c r="O166" s="119"/>
      <c r="P166" s="119"/>
    </row>
    <row r="167">
      <c r="F167" s="118"/>
      <c r="O167" s="119"/>
      <c r="P167" s="119"/>
    </row>
    <row r="168">
      <c r="F168" s="118"/>
      <c r="O168" s="119"/>
      <c r="P168" s="119"/>
    </row>
    <row r="169">
      <c r="F169" s="118"/>
      <c r="O169" s="119"/>
      <c r="P169" s="119"/>
    </row>
    <row r="170">
      <c r="F170" s="118"/>
      <c r="O170" s="119"/>
      <c r="P170" s="119"/>
    </row>
    <row r="171">
      <c r="F171" s="118"/>
      <c r="O171" s="119"/>
      <c r="P171" s="119"/>
    </row>
    <row r="172">
      <c r="F172" s="118"/>
      <c r="O172" s="119"/>
      <c r="P172" s="119"/>
    </row>
    <row r="173">
      <c r="F173" s="118"/>
      <c r="O173" s="119"/>
      <c r="P173" s="119"/>
    </row>
    <row r="174">
      <c r="F174" s="118"/>
      <c r="O174" s="119"/>
      <c r="P174" s="119"/>
    </row>
    <row r="175">
      <c r="F175" s="118"/>
      <c r="O175" s="119"/>
      <c r="P175" s="119"/>
    </row>
    <row r="176">
      <c r="F176" s="118"/>
      <c r="O176" s="119"/>
      <c r="P176" s="119"/>
    </row>
    <row r="177">
      <c r="F177" s="118"/>
      <c r="O177" s="119"/>
      <c r="P177" s="119"/>
    </row>
    <row r="178">
      <c r="F178" s="118"/>
      <c r="O178" s="119"/>
      <c r="P178" s="119"/>
    </row>
    <row r="179">
      <c r="F179" s="118"/>
      <c r="O179" s="119"/>
      <c r="P179" s="119"/>
    </row>
    <row r="180">
      <c r="F180" s="118"/>
      <c r="O180" s="119"/>
      <c r="P180" s="119"/>
    </row>
    <row r="181">
      <c r="F181" s="118"/>
      <c r="O181" s="119"/>
      <c r="P181" s="119"/>
    </row>
    <row r="182">
      <c r="F182" s="118"/>
      <c r="O182" s="119"/>
      <c r="P182" s="119"/>
    </row>
    <row r="183">
      <c r="F183" s="118"/>
      <c r="O183" s="119"/>
      <c r="P183" s="119"/>
    </row>
    <row r="184">
      <c r="F184" s="118"/>
      <c r="O184" s="119"/>
      <c r="P184" s="119"/>
    </row>
    <row r="185">
      <c r="F185" s="118"/>
      <c r="O185" s="119"/>
      <c r="P185" s="119"/>
    </row>
    <row r="186">
      <c r="F186" s="118"/>
      <c r="O186" s="119"/>
      <c r="P186" s="119"/>
    </row>
    <row r="187">
      <c r="F187" s="118"/>
      <c r="O187" s="119"/>
      <c r="P187" s="119"/>
    </row>
    <row r="188">
      <c r="F188" s="118"/>
      <c r="O188" s="119"/>
      <c r="P188" s="119"/>
    </row>
    <row r="189">
      <c r="F189" s="118"/>
      <c r="O189" s="119"/>
      <c r="P189" s="119"/>
    </row>
    <row r="190">
      <c r="F190" s="118"/>
      <c r="O190" s="119"/>
      <c r="P190" s="119"/>
    </row>
    <row r="191">
      <c r="F191" s="118"/>
      <c r="O191" s="119"/>
      <c r="P191" s="119"/>
    </row>
    <row r="192">
      <c r="F192" s="118"/>
      <c r="O192" s="119"/>
      <c r="P192" s="119"/>
    </row>
    <row r="193">
      <c r="F193" s="118"/>
      <c r="O193" s="119"/>
      <c r="P193" s="119"/>
    </row>
    <row r="194">
      <c r="F194" s="118"/>
      <c r="O194" s="119"/>
      <c r="P194" s="119"/>
    </row>
    <row r="195">
      <c r="F195" s="118"/>
      <c r="O195" s="119"/>
      <c r="P195" s="119"/>
    </row>
    <row r="196">
      <c r="F196" s="118"/>
      <c r="O196" s="119"/>
      <c r="P196" s="119"/>
    </row>
    <row r="197">
      <c r="F197" s="118"/>
      <c r="O197" s="119"/>
      <c r="P197" s="119"/>
    </row>
    <row r="198">
      <c r="F198" s="118"/>
      <c r="O198" s="119"/>
      <c r="P198" s="119"/>
    </row>
    <row r="199">
      <c r="F199" s="118"/>
      <c r="O199" s="119"/>
      <c r="P199" s="119"/>
    </row>
    <row r="200">
      <c r="F200" s="118"/>
      <c r="O200" s="119"/>
      <c r="P200" s="119"/>
    </row>
    <row r="201">
      <c r="F201" s="118"/>
      <c r="O201" s="119"/>
      <c r="P201" s="119"/>
    </row>
    <row r="202">
      <c r="F202" s="118"/>
      <c r="O202" s="119"/>
      <c r="P202" s="119"/>
    </row>
    <row r="203">
      <c r="F203" s="118"/>
      <c r="O203" s="119"/>
      <c r="P203" s="119"/>
    </row>
    <row r="204">
      <c r="F204" s="118"/>
      <c r="O204" s="119"/>
      <c r="P204" s="119"/>
    </row>
    <row r="205">
      <c r="F205" s="118"/>
      <c r="O205" s="119"/>
      <c r="P205" s="119"/>
    </row>
    <row r="206">
      <c r="F206" s="118"/>
      <c r="O206" s="119"/>
      <c r="P206" s="119"/>
    </row>
    <row r="207">
      <c r="F207" s="118"/>
      <c r="O207" s="119"/>
      <c r="P207" s="119"/>
    </row>
    <row r="208">
      <c r="F208" s="118"/>
      <c r="O208" s="119"/>
      <c r="P208" s="119"/>
    </row>
    <row r="209">
      <c r="F209" s="118"/>
      <c r="O209" s="119"/>
      <c r="P209" s="119"/>
    </row>
    <row r="210">
      <c r="F210" s="118"/>
      <c r="O210" s="119"/>
      <c r="P210" s="119"/>
    </row>
    <row r="211">
      <c r="F211" s="118"/>
      <c r="O211" s="119"/>
      <c r="P211" s="119"/>
    </row>
    <row r="212">
      <c r="F212" s="118"/>
      <c r="O212" s="119"/>
      <c r="P212" s="119"/>
    </row>
    <row r="213">
      <c r="F213" s="118"/>
      <c r="O213" s="119"/>
      <c r="P213" s="119"/>
    </row>
    <row r="214">
      <c r="F214" s="118"/>
      <c r="O214" s="119"/>
      <c r="P214" s="119"/>
    </row>
    <row r="215">
      <c r="F215" s="118"/>
      <c r="O215" s="119"/>
      <c r="P215" s="119"/>
    </row>
    <row r="216">
      <c r="F216" s="118"/>
      <c r="O216" s="119"/>
      <c r="P216" s="119"/>
    </row>
    <row r="217">
      <c r="F217" s="118"/>
      <c r="O217" s="119"/>
      <c r="P217" s="119"/>
    </row>
    <row r="218">
      <c r="F218" s="118"/>
      <c r="O218" s="119"/>
      <c r="P218" s="119"/>
    </row>
    <row r="219">
      <c r="F219" s="118"/>
      <c r="O219" s="119"/>
      <c r="P219" s="119"/>
    </row>
    <row r="220">
      <c r="F220" s="118"/>
      <c r="O220" s="119"/>
      <c r="P220" s="119"/>
    </row>
    <row r="221">
      <c r="F221" s="118"/>
      <c r="O221" s="119"/>
      <c r="P221" s="119"/>
    </row>
    <row r="222">
      <c r="F222" s="118"/>
      <c r="O222" s="119"/>
      <c r="P222" s="119"/>
    </row>
    <row r="223">
      <c r="F223" s="118"/>
      <c r="O223" s="119"/>
      <c r="P223" s="119"/>
    </row>
    <row r="224">
      <c r="F224" s="118"/>
      <c r="O224" s="119"/>
      <c r="P224" s="119"/>
    </row>
    <row r="225">
      <c r="F225" s="118"/>
      <c r="O225" s="119"/>
      <c r="P225" s="119"/>
    </row>
    <row r="226">
      <c r="F226" s="118"/>
      <c r="O226" s="119"/>
      <c r="P226" s="119"/>
    </row>
    <row r="227">
      <c r="F227" s="118"/>
      <c r="O227" s="119"/>
      <c r="P227" s="119"/>
    </row>
    <row r="228">
      <c r="F228" s="118"/>
      <c r="O228" s="119"/>
      <c r="P228" s="119"/>
    </row>
    <row r="229">
      <c r="F229" s="118"/>
      <c r="O229" s="119"/>
      <c r="P229" s="119"/>
    </row>
    <row r="230">
      <c r="F230" s="118"/>
      <c r="O230" s="119"/>
      <c r="P230" s="119"/>
    </row>
    <row r="231">
      <c r="F231" s="118"/>
      <c r="O231" s="119"/>
      <c r="P231" s="119"/>
    </row>
    <row r="232">
      <c r="F232" s="118"/>
      <c r="O232" s="119"/>
      <c r="P232" s="119"/>
    </row>
    <row r="233">
      <c r="F233" s="118"/>
      <c r="O233" s="119"/>
      <c r="P233" s="119"/>
    </row>
    <row r="234">
      <c r="F234" s="118"/>
      <c r="O234" s="119"/>
      <c r="P234" s="119"/>
    </row>
    <row r="235">
      <c r="F235" s="118"/>
      <c r="O235" s="119"/>
      <c r="P235" s="119"/>
    </row>
    <row r="236">
      <c r="F236" s="118"/>
      <c r="O236" s="119"/>
      <c r="P236" s="119"/>
    </row>
    <row r="237">
      <c r="F237" s="118"/>
      <c r="O237" s="119"/>
      <c r="P237" s="119"/>
    </row>
    <row r="238">
      <c r="F238" s="118"/>
      <c r="O238" s="119"/>
      <c r="P238" s="119"/>
    </row>
    <row r="239">
      <c r="F239" s="118"/>
      <c r="O239" s="119"/>
      <c r="P239" s="119"/>
    </row>
    <row r="240">
      <c r="F240" s="118"/>
      <c r="O240" s="119"/>
      <c r="P240" s="119"/>
    </row>
    <row r="241">
      <c r="F241" s="118"/>
      <c r="O241" s="119"/>
      <c r="P241" s="119"/>
    </row>
    <row r="242">
      <c r="F242" s="118"/>
      <c r="O242" s="119"/>
      <c r="P242" s="119"/>
    </row>
    <row r="243">
      <c r="F243" s="118"/>
      <c r="O243" s="119"/>
      <c r="P243" s="119"/>
    </row>
    <row r="244">
      <c r="F244" s="118"/>
      <c r="O244" s="119"/>
      <c r="P244" s="119"/>
    </row>
    <row r="245">
      <c r="F245" s="118"/>
      <c r="O245" s="119"/>
      <c r="P245" s="119"/>
    </row>
    <row r="246">
      <c r="F246" s="118"/>
      <c r="O246" s="119"/>
      <c r="P246" s="119"/>
    </row>
    <row r="247">
      <c r="F247" s="118"/>
      <c r="O247" s="119"/>
      <c r="P247" s="119"/>
    </row>
    <row r="248">
      <c r="F248" s="118"/>
      <c r="O248" s="119"/>
      <c r="P248" s="119"/>
    </row>
    <row r="249">
      <c r="F249" s="118"/>
      <c r="O249" s="119"/>
      <c r="P249" s="119"/>
    </row>
    <row r="250">
      <c r="F250" s="118"/>
      <c r="O250" s="119"/>
      <c r="P250" s="119"/>
    </row>
    <row r="251">
      <c r="F251" s="118"/>
      <c r="O251" s="119"/>
      <c r="P251" s="119"/>
    </row>
    <row r="252">
      <c r="F252" s="118"/>
      <c r="O252" s="119"/>
      <c r="P252" s="119"/>
    </row>
    <row r="253">
      <c r="F253" s="118"/>
      <c r="O253" s="119"/>
      <c r="P253" s="119"/>
    </row>
    <row r="254">
      <c r="F254" s="118"/>
      <c r="O254" s="119"/>
      <c r="P254" s="119"/>
    </row>
    <row r="255">
      <c r="F255" s="118"/>
      <c r="O255" s="119"/>
      <c r="P255" s="119"/>
    </row>
    <row r="256">
      <c r="F256" s="118"/>
      <c r="O256" s="119"/>
      <c r="P256" s="119"/>
    </row>
    <row r="257">
      <c r="F257" s="118"/>
      <c r="O257" s="119"/>
      <c r="P257" s="119"/>
    </row>
    <row r="258">
      <c r="F258" s="118"/>
      <c r="O258" s="119"/>
      <c r="P258" s="119"/>
    </row>
    <row r="259">
      <c r="F259" s="118"/>
      <c r="O259" s="119"/>
      <c r="P259" s="119"/>
    </row>
    <row r="260">
      <c r="F260" s="118"/>
      <c r="O260" s="119"/>
      <c r="P260" s="119"/>
    </row>
    <row r="261">
      <c r="F261" s="118"/>
      <c r="O261" s="119"/>
      <c r="P261" s="119"/>
    </row>
    <row r="262">
      <c r="F262" s="118"/>
      <c r="O262" s="119"/>
      <c r="P262" s="119"/>
    </row>
    <row r="263">
      <c r="F263" s="118"/>
      <c r="O263" s="119"/>
      <c r="P263" s="119"/>
    </row>
    <row r="264">
      <c r="F264" s="118"/>
      <c r="O264" s="119"/>
      <c r="P264" s="119"/>
    </row>
    <row r="265">
      <c r="F265" s="118"/>
      <c r="O265" s="119"/>
      <c r="P265" s="119"/>
    </row>
    <row r="266">
      <c r="F266" s="118"/>
      <c r="O266" s="119"/>
      <c r="P266" s="119"/>
    </row>
    <row r="267">
      <c r="F267" s="118"/>
      <c r="O267" s="119"/>
      <c r="P267" s="119"/>
    </row>
    <row r="268">
      <c r="F268" s="118"/>
      <c r="O268" s="119"/>
      <c r="P268" s="119"/>
    </row>
    <row r="269">
      <c r="F269" s="118"/>
      <c r="O269" s="119"/>
      <c r="P269" s="119"/>
    </row>
    <row r="270">
      <c r="F270" s="118"/>
      <c r="O270" s="119"/>
      <c r="P270" s="119"/>
    </row>
    <row r="271">
      <c r="F271" s="118"/>
      <c r="O271" s="119"/>
      <c r="P271" s="119"/>
    </row>
    <row r="272">
      <c r="F272" s="118"/>
      <c r="O272" s="119"/>
      <c r="P272" s="119"/>
    </row>
    <row r="273">
      <c r="F273" s="118"/>
      <c r="O273" s="119"/>
      <c r="P273" s="119"/>
    </row>
    <row r="274">
      <c r="F274" s="118"/>
      <c r="O274" s="119"/>
      <c r="P274" s="119"/>
    </row>
    <row r="275">
      <c r="F275" s="118"/>
      <c r="O275" s="119"/>
      <c r="P275" s="119"/>
    </row>
    <row r="276">
      <c r="F276" s="118"/>
      <c r="O276" s="119"/>
      <c r="P276" s="119"/>
    </row>
    <row r="277">
      <c r="F277" s="118"/>
      <c r="O277" s="119"/>
      <c r="P277" s="119"/>
    </row>
    <row r="278">
      <c r="F278" s="118"/>
      <c r="O278" s="119"/>
      <c r="P278" s="119"/>
    </row>
    <row r="279">
      <c r="F279" s="118"/>
      <c r="O279" s="119"/>
      <c r="P279" s="119"/>
    </row>
    <row r="280">
      <c r="F280" s="118"/>
      <c r="O280" s="119"/>
      <c r="P280" s="119"/>
    </row>
    <row r="281">
      <c r="F281" s="118"/>
      <c r="O281" s="119"/>
      <c r="P281" s="119"/>
    </row>
    <row r="282">
      <c r="F282" s="118"/>
      <c r="O282" s="119"/>
      <c r="P282" s="119"/>
    </row>
    <row r="283">
      <c r="F283" s="118"/>
      <c r="O283" s="119"/>
      <c r="P283" s="119"/>
    </row>
    <row r="284">
      <c r="F284" s="118"/>
      <c r="O284" s="119"/>
      <c r="P284" s="119"/>
    </row>
    <row r="285">
      <c r="F285" s="118"/>
      <c r="O285" s="119"/>
      <c r="P285" s="119"/>
    </row>
    <row r="286">
      <c r="F286" s="118"/>
      <c r="O286" s="119"/>
      <c r="P286" s="119"/>
    </row>
    <row r="287">
      <c r="F287" s="118"/>
      <c r="O287" s="119"/>
      <c r="P287" s="119"/>
    </row>
    <row r="288">
      <c r="F288" s="118"/>
      <c r="O288" s="119"/>
      <c r="P288" s="119"/>
    </row>
    <row r="289">
      <c r="F289" s="118"/>
      <c r="O289" s="119"/>
      <c r="P289" s="119"/>
    </row>
    <row r="290">
      <c r="F290" s="118"/>
      <c r="O290" s="119"/>
      <c r="P290" s="119"/>
    </row>
    <row r="291">
      <c r="F291" s="118"/>
      <c r="O291" s="119"/>
      <c r="P291" s="119"/>
    </row>
    <row r="292">
      <c r="F292" s="118"/>
      <c r="O292" s="119"/>
      <c r="P292" s="119"/>
    </row>
    <row r="293">
      <c r="F293" s="118"/>
      <c r="O293" s="119"/>
      <c r="P293" s="119"/>
    </row>
    <row r="294">
      <c r="F294" s="118"/>
      <c r="O294" s="119"/>
      <c r="P294" s="119"/>
    </row>
    <row r="295">
      <c r="F295" s="118"/>
      <c r="O295" s="119"/>
      <c r="P295" s="119"/>
    </row>
    <row r="296">
      <c r="F296" s="118"/>
      <c r="O296" s="119"/>
      <c r="P296" s="119"/>
    </row>
    <row r="297">
      <c r="F297" s="118"/>
      <c r="O297" s="119"/>
      <c r="P297" s="119"/>
    </row>
    <row r="298">
      <c r="F298" s="118"/>
      <c r="O298" s="119"/>
      <c r="P298" s="119"/>
    </row>
    <row r="299">
      <c r="F299" s="118"/>
      <c r="O299" s="119"/>
      <c r="P299" s="119"/>
    </row>
    <row r="300">
      <c r="F300" s="118"/>
      <c r="O300" s="119"/>
      <c r="P300" s="119"/>
    </row>
    <row r="301">
      <c r="F301" s="118"/>
      <c r="O301" s="119"/>
      <c r="P301" s="119"/>
    </row>
    <row r="302">
      <c r="F302" s="118"/>
      <c r="O302" s="119"/>
      <c r="P302" s="119"/>
    </row>
    <row r="303">
      <c r="F303" s="118"/>
      <c r="O303" s="119"/>
      <c r="P303" s="119"/>
    </row>
    <row r="304">
      <c r="F304" s="118"/>
      <c r="O304" s="119"/>
      <c r="P304" s="119"/>
    </row>
    <row r="305">
      <c r="F305" s="118"/>
      <c r="O305" s="119"/>
      <c r="P305" s="119"/>
    </row>
    <row r="306">
      <c r="F306" s="118"/>
      <c r="O306" s="119"/>
      <c r="P306" s="119"/>
    </row>
    <row r="307">
      <c r="F307" s="118"/>
      <c r="O307" s="119"/>
      <c r="P307" s="119"/>
    </row>
    <row r="308">
      <c r="F308" s="118"/>
      <c r="O308" s="119"/>
      <c r="P308" s="119"/>
    </row>
    <row r="309">
      <c r="F309" s="118"/>
      <c r="O309" s="119"/>
      <c r="P309" s="119"/>
    </row>
    <row r="310">
      <c r="F310" s="118"/>
      <c r="O310" s="119"/>
      <c r="P310" s="119"/>
    </row>
    <row r="311">
      <c r="F311" s="118"/>
      <c r="O311" s="119"/>
      <c r="P311" s="119"/>
    </row>
    <row r="312">
      <c r="F312" s="118"/>
      <c r="O312" s="119"/>
      <c r="P312" s="119"/>
    </row>
    <row r="313">
      <c r="F313" s="118"/>
      <c r="O313" s="119"/>
      <c r="P313" s="119"/>
    </row>
    <row r="314">
      <c r="F314" s="118"/>
      <c r="O314" s="119"/>
      <c r="P314" s="119"/>
    </row>
    <row r="315">
      <c r="F315" s="118"/>
      <c r="O315" s="119"/>
      <c r="P315" s="119"/>
    </row>
    <row r="316">
      <c r="F316" s="118"/>
      <c r="O316" s="119"/>
      <c r="P316" s="119"/>
    </row>
    <row r="317">
      <c r="F317" s="118"/>
      <c r="O317" s="119"/>
      <c r="P317" s="119"/>
    </row>
    <row r="318">
      <c r="F318" s="118"/>
      <c r="O318" s="119"/>
      <c r="P318" s="119"/>
    </row>
    <row r="319">
      <c r="F319" s="118"/>
      <c r="O319" s="119"/>
      <c r="P319" s="119"/>
    </row>
    <row r="320">
      <c r="F320" s="118"/>
      <c r="O320" s="119"/>
      <c r="P320" s="119"/>
    </row>
    <row r="321">
      <c r="F321" s="118"/>
      <c r="O321" s="119"/>
      <c r="P321" s="119"/>
    </row>
    <row r="322">
      <c r="F322" s="118"/>
      <c r="O322" s="119"/>
      <c r="P322" s="119"/>
    </row>
    <row r="323">
      <c r="F323" s="118"/>
      <c r="O323" s="119"/>
      <c r="P323" s="119"/>
    </row>
    <row r="324">
      <c r="F324" s="118"/>
      <c r="O324" s="119"/>
      <c r="P324" s="119"/>
    </row>
    <row r="325">
      <c r="F325" s="118"/>
      <c r="O325" s="119"/>
      <c r="P325" s="119"/>
    </row>
    <row r="326">
      <c r="F326" s="118"/>
      <c r="O326" s="119"/>
      <c r="P326" s="119"/>
    </row>
    <row r="327">
      <c r="F327" s="118"/>
      <c r="O327" s="119"/>
      <c r="P327" s="119"/>
    </row>
    <row r="328">
      <c r="F328" s="118"/>
      <c r="O328" s="119"/>
      <c r="P328" s="119"/>
    </row>
    <row r="329">
      <c r="F329" s="118"/>
      <c r="O329" s="119"/>
      <c r="P329" s="119"/>
    </row>
    <row r="330">
      <c r="F330" s="118"/>
      <c r="O330" s="119"/>
      <c r="P330" s="119"/>
    </row>
    <row r="331">
      <c r="F331" s="118"/>
      <c r="O331" s="119"/>
      <c r="P331" s="119"/>
    </row>
    <row r="332">
      <c r="F332" s="118"/>
      <c r="O332" s="119"/>
      <c r="P332" s="119"/>
    </row>
    <row r="333">
      <c r="F333" s="118"/>
      <c r="O333" s="119"/>
      <c r="P333" s="119"/>
    </row>
    <row r="334">
      <c r="F334" s="118"/>
      <c r="O334" s="119"/>
      <c r="P334" s="119"/>
    </row>
    <row r="335">
      <c r="F335" s="118"/>
      <c r="O335" s="119"/>
      <c r="P335" s="119"/>
    </row>
    <row r="336">
      <c r="F336" s="118"/>
      <c r="O336" s="119"/>
      <c r="P336" s="119"/>
    </row>
    <row r="337">
      <c r="F337" s="118"/>
      <c r="O337" s="119"/>
      <c r="P337" s="119"/>
    </row>
    <row r="338">
      <c r="F338" s="118"/>
      <c r="O338" s="119"/>
      <c r="P338" s="119"/>
    </row>
    <row r="339">
      <c r="F339" s="118"/>
      <c r="O339" s="119"/>
      <c r="P339" s="119"/>
    </row>
    <row r="340">
      <c r="F340" s="118"/>
      <c r="O340" s="119"/>
      <c r="P340" s="119"/>
    </row>
    <row r="341">
      <c r="F341" s="118"/>
      <c r="O341" s="119"/>
      <c r="P341" s="119"/>
    </row>
    <row r="342">
      <c r="F342" s="118"/>
      <c r="O342" s="119"/>
      <c r="P342" s="119"/>
    </row>
    <row r="343">
      <c r="F343" s="118"/>
      <c r="O343" s="119"/>
      <c r="P343" s="119"/>
    </row>
    <row r="344">
      <c r="F344" s="118"/>
      <c r="O344" s="119"/>
      <c r="P344" s="119"/>
    </row>
    <row r="345">
      <c r="F345" s="118"/>
      <c r="O345" s="119"/>
      <c r="P345" s="119"/>
    </row>
    <row r="346">
      <c r="F346" s="118"/>
      <c r="O346" s="119"/>
      <c r="P346" s="119"/>
    </row>
    <row r="347">
      <c r="F347" s="118"/>
      <c r="O347" s="119"/>
      <c r="P347" s="119"/>
    </row>
    <row r="348">
      <c r="F348" s="118"/>
      <c r="O348" s="119"/>
      <c r="P348" s="119"/>
    </row>
    <row r="349">
      <c r="F349" s="118"/>
      <c r="O349" s="119"/>
      <c r="P349" s="119"/>
    </row>
    <row r="350">
      <c r="F350" s="118"/>
      <c r="O350" s="119"/>
      <c r="P350" s="119"/>
    </row>
    <row r="351">
      <c r="F351" s="118"/>
      <c r="O351" s="119"/>
      <c r="P351" s="119"/>
    </row>
    <row r="352">
      <c r="F352" s="118"/>
      <c r="O352" s="119"/>
      <c r="P352" s="119"/>
    </row>
    <row r="353">
      <c r="F353" s="118"/>
      <c r="O353" s="119"/>
      <c r="P353" s="119"/>
    </row>
    <row r="354">
      <c r="F354" s="118"/>
      <c r="O354" s="119"/>
      <c r="P354" s="119"/>
    </row>
    <row r="355">
      <c r="F355" s="118"/>
      <c r="O355" s="119"/>
      <c r="P355" s="119"/>
    </row>
    <row r="356">
      <c r="F356" s="118"/>
      <c r="O356" s="119"/>
      <c r="P356" s="119"/>
    </row>
    <row r="357">
      <c r="F357" s="118"/>
      <c r="O357" s="119"/>
      <c r="P357" s="119"/>
    </row>
    <row r="358">
      <c r="F358" s="118"/>
      <c r="O358" s="119"/>
      <c r="P358" s="119"/>
    </row>
    <row r="359">
      <c r="F359" s="118"/>
      <c r="O359" s="119"/>
      <c r="P359" s="119"/>
    </row>
    <row r="360">
      <c r="F360" s="118"/>
      <c r="O360" s="119"/>
      <c r="P360" s="119"/>
    </row>
    <row r="361">
      <c r="F361" s="118"/>
      <c r="O361" s="119"/>
      <c r="P361" s="119"/>
    </row>
    <row r="362">
      <c r="F362" s="118"/>
      <c r="O362" s="119"/>
      <c r="P362" s="119"/>
    </row>
    <row r="363">
      <c r="F363" s="118"/>
      <c r="O363" s="119"/>
      <c r="P363" s="119"/>
    </row>
    <row r="364">
      <c r="F364" s="118"/>
      <c r="O364" s="119"/>
      <c r="P364" s="119"/>
    </row>
    <row r="365">
      <c r="F365" s="118"/>
      <c r="O365" s="119"/>
      <c r="P365" s="119"/>
    </row>
    <row r="366">
      <c r="F366" s="118"/>
      <c r="O366" s="119"/>
      <c r="P366" s="119"/>
    </row>
    <row r="367">
      <c r="F367" s="118"/>
      <c r="O367" s="119"/>
      <c r="P367" s="119"/>
    </row>
    <row r="368">
      <c r="F368" s="118"/>
      <c r="O368" s="119"/>
      <c r="P368" s="119"/>
    </row>
    <row r="369">
      <c r="F369" s="118"/>
      <c r="O369" s="119"/>
      <c r="P369" s="119"/>
    </row>
    <row r="370">
      <c r="F370" s="118"/>
      <c r="O370" s="119"/>
      <c r="P370" s="119"/>
    </row>
    <row r="371">
      <c r="F371" s="118"/>
      <c r="O371" s="119"/>
      <c r="P371" s="119"/>
    </row>
    <row r="372">
      <c r="F372" s="118"/>
      <c r="O372" s="119"/>
      <c r="P372" s="119"/>
    </row>
    <row r="373">
      <c r="F373" s="118"/>
      <c r="O373" s="119"/>
      <c r="P373" s="119"/>
    </row>
    <row r="374">
      <c r="F374" s="118"/>
      <c r="O374" s="119"/>
      <c r="P374" s="119"/>
    </row>
    <row r="375">
      <c r="F375" s="118"/>
      <c r="O375" s="119"/>
      <c r="P375" s="119"/>
    </row>
    <row r="376">
      <c r="F376" s="118"/>
      <c r="O376" s="119"/>
      <c r="P376" s="119"/>
    </row>
    <row r="377">
      <c r="F377" s="118"/>
      <c r="O377" s="119"/>
      <c r="P377" s="119"/>
    </row>
    <row r="378">
      <c r="F378" s="118"/>
      <c r="O378" s="119"/>
      <c r="P378" s="119"/>
    </row>
    <row r="379">
      <c r="F379" s="118"/>
      <c r="O379" s="119"/>
      <c r="P379" s="119"/>
    </row>
    <row r="380">
      <c r="F380" s="118"/>
      <c r="O380" s="119"/>
      <c r="P380" s="119"/>
    </row>
    <row r="381">
      <c r="F381" s="118"/>
      <c r="O381" s="119"/>
      <c r="P381" s="119"/>
    </row>
    <row r="382">
      <c r="F382" s="118"/>
      <c r="O382" s="119"/>
      <c r="P382" s="119"/>
    </row>
    <row r="383">
      <c r="F383" s="118"/>
      <c r="O383" s="119"/>
      <c r="P383" s="119"/>
    </row>
    <row r="384">
      <c r="F384" s="118"/>
      <c r="O384" s="119"/>
      <c r="P384" s="119"/>
    </row>
    <row r="385">
      <c r="F385" s="118"/>
      <c r="O385" s="119"/>
      <c r="P385" s="119"/>
    </row>
    <row r="386">
      <c r="F386" s="118"/>
      <c r="O386" s="119"/>
      <c r="P386" s="119"/>
    </row>
    <row r="387">
      <c r="F387" s="118"/>
      <c r="O387" s="119"/>
      <c r="P387" s="119"/>
    </row>
    <row r="388">
      <c r="F388" s="118"/>
      <c r="O388" s="119"/>
      <c r="P388" s="119"/>
    </row>
    <row r="389">
      <c r="F389" s="118"/>
      <c r="O389" s="119"/>
      <c r="P389" s="119"/>
    </row>
    <row r="390">
      <c r="F390" s="118"/>
      <c r="O390" s="119"/>
      <c r="P390" s="119"/>
    </row>
    <row r="391">
      <c r="F391" s="118"/>
      <c r="O391" s="119"/>
      <c r="P391" s="119"/>
    </row>
    <row r="392">
      <c r="F392" s="118"/>
      <c r="O392" s="119"/>
      <c r="P392" s="119"/>
    </row>
    <row r="393">
      <c r="F393" s="118"/>
      <c r="O393" s="119"/>
      <c r="P393" s="119"/>
    </row>
    <row r="394">
      <c r="F394" s="118"/>
      <c r="O394" s="119"/>
      <c r="P394" s="119"/>
    </row>
    <row r="395">
      <c r="F395" s="118"/>
      <c r="O395" s="119"/>
      <c r="P395" s="119"/>
    </row>
    <row r="396">
      <c r="F396" s="118"/>
      <c r="O396" s="119"/>
      <c r="P396" s="119"/>
    </row>
    <row r="397">
      <c r="F397" s="118"/>
      <c r="O397" s="119"/>
      <c r="P397" s="119"/>
    </row>
    <row r="398">
      <c r="F398" s="118"/>
      <c r="O398" s="119"/>
      <c r="P398" s="119"/>
    </row>
    <row r="399">
      <c r="F399" s="118"/>
      <c r="O399" s="119"/>
      <c r="P399" s="119"/>
    </row>
    <row r="400">
      <c r="F400" s="118"/>
      <c r="O400" s="119"/>
      <c r="P400" s="119"/>
    </row>
    <row r="401">
      <c r="F401" s="118"/>
      <c r="O401" s="119"/>
      <c r="P401" s="119"/>
    </row>
    <row r="402">
      <c r="F402" s="118"/>
      <c r="O402" s="119"/>
      <c r="P402" s="119"/>
    </row>
    <row r="403">
      <c r="F403" s="118"/>
      <c r="O403" s="119"/>
      <c r="P403" s="119"/>
    </row>
    <row r="404">
      <c r="F404" s="118"/>
      <c r="O404" s="119"/>
      <c r="P404" s="119"/>
    </row>
    <row r="405">
      <c r="F405" s="118"/>
      <c r="O405" s="119"/>
      <c r="P405" s="119"/>
    </row>
    <row r="406">
      <c r="F406" s="118"/>
      <c r="O406" s="119"/>
      <c r="P406" s="119"/>
    </row>
    <row r="407">
      <c r="F407" s="118"/>
      <c r="O407" s="119"/>
      <c r="P407" s="119"/>
    </row>
    <row r="408">
      <c r="F408" s="118"/>
      <c r="O408" s="119"/>
      <c r="P408" s="119"/>
    </row>
    <row r="409">
      <c r="F409" s="118"/>
      <c r="O409" s="119"/>
      <c r="P409" s="119"/>
    </row>
    <row r="410">
      <c r="F410" s="118"/>
      <c r="O410" s="119"/>
      <c r="P410" s="119"/>
    </row>
    <row r="411">
      <c r="F411" s="118"/>
      <c r="O411" s="119"/>
      <c r="P411" s="119"/>
    </row>
    <row r="412">
      <c r="F412" s="118"/>
      <c r="O412" s="119"/>
      <c r="P412" s="119"/>
    </row>
    <row r="413">
      <c r="F413" s="118"/>
      <c r="O413" s="119"/>
      <c r="P413" s="119"/>
    </row>
    <row r="414">
      <c r="F414" s="118"/>
      <c r="O414" s="119"/>
      <c r="P414" s="119"/>
    </row>
    <row r="415">
      <c r="F415" s="118"/>
      <c r="O415" s="119"/>
      <c r="P415" s="119"/>
    </row>
    <row r="416">
      <c r="F416" s="118"/>
      <c r="O416" s="119"/>
      <c r="P416" s="119"/>
    </row>
    <row r="417">
      <c r="F417" s="118"/>
      <c r="O417" s="119"/>
      <c r="P417" s="119"/>
    </row>
    <row r="418">
      <c r="F418" s="118"/>
      <c r="O418" s="119"/>
      <c r="P418" s="119"/>
    </row>
    <row r="419">
      <c r="F419" s="118"/>
      <c r="O419" s="119"/>
      <c r="P419" s="119"/>
    </row>
    <row r="420">
      <c r="F420" s="118"/>
      <c r="O420" s="119"/>
      <c r="P420" s="119"/>
    </row>
    <row r="421">
      <c r="F421" s="118"/>
      <c r="O421" s="119"/>
      <c r="P421" s="119"/>
    </row>
    <row r="422">
      <c r="F422" s="118"/>
      <c r="O422" s="119"/>
      <c r="P422" s="119"/>
    </row>
    <row r="423">
      <c r="F423" s="118"/>
      <c r="O423" s="119"/>
      <c r="P423" s="119"/>
    </row>
    <row r="424">
      <c r="F424" s="118"/>
      <c r="O424" s="119"/>
      <c r="P424" s="119"/>
    </row>
    <row r="425">
      <c r="F425" s="118"/>
      <c r="O425" s="119"/>
      <c r="P425" s="119"/>
    </row>
    <row r="426">
      <c r="F426" s="118"/>
      <c r="O426" s="119"/>
      <c r="P426" s="119"/>
    </row>
    <row r="427">
      <c r="F427" s="118"/>
      <c r="O427" s="119"/>
      <c r="P427" s="119"/>
    </row>
    <row r="428">
      <c r="F428" s="118"/>
      <c r="O428" s="119"/>
      <c r="P428" s="119"/>
    </row>
    <row r="429">
      <c r="F429" s="118"/>
      <c r="O429" s="119"/>
      <c r="P429" s="119"/>
    </row>
    <row r="430">
      <c r="F430" s="118"/>
      <c r="O430" s="119"/>
      <c r="P430" s="119"/>
    </row>
    <row r="431">
      <c r="F431" s="118"/>
      <c r="O431" s="119"/>
      <c r="P431" s="119"/>
    </row>
    <row r="432">
      <c r="F432" s="118"/>
      <c r="O432" s="119"/>
      <c r="P432" s="119"/>
    </row>
    <row r="433">
      <c r="F433" s="118"/>
      <c r="O433" s="119"/>
      <c r="P433" s="119"/>
    </row>
    <row r="434">
      <c r="F434" s="118"/>
      <c r="O434" s="119"/>
      <c r="P434" s="119"/>
    </row>
    <row r="435">
      <c r="F435" s="118"/>
      <c r="O435" s="119"/>
      <c r="P435" s="119"/>
    </row>
    <row r="436">
      <c r="F436" s="118"/>
      <c r="O436" s="119"/>
      <c r="P436" s="119"/>
    </row>
    <row r="437">
      <c r="F437" s="118"/>
      <c r="O437" s="119"/>
      <c r="P437" s="119"/>
    </row>
    <row r="438">
      <c r="F438" s="118"/>
      <c r="O438" s="119"/>
      <c r="P438" s="119"/>
    </row>
    <row r="439">
      <c r="F439" s="118"/>
      <c r="O439" s="119"/>
      <c r="P439" s="119"/>
    </row>
    <row r="440">
      <c r="F440" s="118"/>
      <c r="O440" s="119"/>
      <c r="P440" s="119"/>
    </row>
    <row r="441">
      <c r="F441" s="118"/>
      <c r="O441" s="119"/>
      <c r="P441" s="119"/>
    </row>
    <row r="442">
      <c r="F442" s="118"/>
      <c r="O442" s="119"/>
      <c r="P442" s="119"/>
    </row>
    <row r="443">
      <c r="F443" s="118"/>
      <c r="O443" s="119"/>
      <c r="P443" s="119"/>
    </row>
    <row r="444">
      <c r="F444" s="118"/>
      <c r="O444" s="119"/>
      <c r="P444" s="119"/>
    </row>
    <row r="445">
      <c r="F445" s="118"/>
      <c r="O445" s="119"/>
      <c r="P445" s="119"/>
    </row>
    <row r="446">
      <c r="F446" s="118"/>
      <c r="O446" s="119"/>
      <c r="P446" s="119"/>
    </row>
    <row r="447">
      <c r="F447" s="118"/>
      <c r="O447" s="119"/>
      <c r="P447" s="119"/>
    </row>
    <row r="448">
      <c r="F448" s="118"/>
      <c r="O448" s="119"/>
      <c r="P448" s="119"/>
    </row>
    <row r="449">
      <c r="F449" s="118"/>
      <c r="O449" s="119"/>
      <c r="P449" s="119"/>
    </row>
    <row r="450">
      <c r="F450" s="118"/>
      <c r="O450" s="119"/>
      <c r="P450" s="119"/>
    </row>
    <row r="451">
      <c r="F451" s="118"/>
      <c r="O451" s="119"/>
      <c r="P451" s="119"/>
    </row>
    <row r="452">
      <c r="F452" s="118"/>
      <c r="O452" s="119"/>
      <c r="P452" s="119"/>
    </row>
    <row r="453">
      <c r="F453" s="118"/>
      <c r="O453" s="119"/>
      <c r="P453" s="119"/>
    </row>
    <row r="454">
      <c r="F454" s="118"/>
      <c r="O454" s="119"/>
      <c r="P454" s="119"/>
    </row>
    <row r="455">
      <c r="F455" s="118"/>
      <c r="O455" s="119"/>
      <c r="P455" s="119"/>
    </row>
    <row r="456">
      <c r="F456" s="118"/>
      <c r="O456" s="119"/>
      <c r="P456" s="119"/>
    </row>
    <row r="457">
      <c r="F457" s="118"/>
      <c r="O457" s="119"/>
      <c r="P457" s="119"/>
    </row>
    <row r="458">
      <c r="F458" s="118"/>
      <c r="O458" s="119"/>
      <c r="P458" s="119"/>
    </row>
    <row r="459">
      <c r="F459" s="118"/>
      <c r="O459" s="119"/>
      <c r="P459" s="119"/>
    </row>
    <row r="460">
      <c r="F460" s="118"/>
      <c r="O460" s="119"/>
      <c r="P460" s="119"/>
    </row>
    <row r="461">
      <c r="F461" s="118"/>
      <c r="O461" s="119"/>
      <c r="P461" s="119"/>
    </row>
    <row r="462">
      <c r="F462" s="118"/>
      <c r="O462" s="119"/>
      <c r="P462" s="119"/>
    </row>
    <row r="463">
      <c r="F463" s="118"/>
      <c r="O463" s="119"/>
      <c r="P463" s="119"/>
    </row>
    <row r="464">
      <c r="F464" s="118"/>
      <c r="O464" s="119"/>
      <c r="P464" s="119"/>
    </row>
    <row r="465">
      <c r="F465" s="118"/>
      <c r="O465" s="119"/>
      <c r="P465" s="119"/>
    </row>
    <row r="466">
      <c r="F466" s="118"/>
      <c r="O466" s="119"/>
      <c r="P466" s="119"/>
    </row>
    <row r="467">
      <c r="F467" s="118"/>
      <c r="O467" s="119"/>
      <c r="P467" s="119"/>
    </row>
    <row r="468">
      <c r="F468" s="118"/>
      <c r="O468" s="119"/>
      <c r="P468" s="119"/>
    </row>
    <row r="469">
      <c r="F469" s="118"/>
      <c r="O469" s="119"/>
      <c r="P469" s="119"/>
    </row>
    <row r="470">
      <c r="F470" s="118"/>
      <c r="O470" s="119"/>
      <c r="P470" s="119"/>
    </row>
    <row r="471">
      <c r="F471" s="118"/>
      <c r="O471" s="119"/>
      <c r="P471" s="119"/>
    </row>
    <row r="472">
      <c r="F472" s="118"/>
      <c r="O472" s="119"/>
      <c r="P472" s="119"/>
    </row>
    <row r="473">
      <c r="F473" s="118"/>
      <c r="O473" s="119"/>
      <c r="P473" s="119"/>
    </row>
    <row r="474">
      <c r="F474" s="118"/>
      <c r="O474" s="119"/>
      <c r="P474" s="119"/>
    </row>
    <row r="475">
      <c r="F475" s="118"/>
      <c r="O475" s="119"/>
      <c r="P475" s="119"/>
    </row>
    <row r="476">
      <c r="F476" s="118"/>
      <c r="O476" s="119"/>
      <c r="P476" s="119"/>
    </row>
    <row r="477">
      <c r="F477" s="118"/>
      <c r="O477" s="119"/>
      <c r="P477" s="119"/>
    </row>
    <row r="478">
      <c r="F478" s="118"/>
      <c r="O478" s="119"/>
      <c r="P478" s="119"/>
    </row>
    <row r="479">
      <c r="F479" s="118"/>
      <c r="O479" s="119"/>
      <c r="P479" s="119"/>
    </row>
    <row r="480">
      <c r="F480" s="118"/>
      <c r="O480" s="119"/>
      <c r="P480" s="119"/>
    </row>
    <row r="481">
      <c r="F481" s="118"/>
      <c r="O481" s="119"/>
      <c r="P481" s="119"/>
    </row>
    <row r="482">
      <c r="F482" s="118"/>
      <c r="O482" s="119"/>
      <c r="P482" s="119"/>
    </row>
    <row r="483">
      <c r="F483" s="118"/>
      <c r="O483" s="119"/>
      <c r="P483" s="119"/>
    </row>
    <row r="484">
      <c r="F484" s="118"/>
      <c r="O484" s="119"/>
      <c r="P484" s="119"/>
    </row>
    <row r="485">
      <c r="F485" s="118"/>
      <c r="O485" s="119"/>
      <c r="P485" s="119"/>
    </row>
    <row r="486">
      <c r="F486" s="118"/>
      <c r="O486" s="119"/>
      <c r="P486" s="119"/>
    </row>
    <row r="487">
      <c r="F487" s="118"/>
      <c r="O487" s="119"/>
      <c r="P487" s="119"/>
    </row>
    <row r="488">
      <c r="F488" s="118"/>
      <c r="O488" s="119"/>
      <c r="P488" s="119"/>
    </row>
    <row r="489">
      <c r="F489" s="118"/>
      <c r="O489" s="119"/>
      <c r="P489" s="119"/>
    </row>
    <row r="490">
      <c r="F490" s="118"/>
      <c r="O490" s="119"/>
      <c r="P490" s="119"/>
    </row>
    <row r="491">
      <c r="F491" s="118"/>
      <c r="O491" s="119"/>
      <c r="P491" s="119"/>
    </row>
    <row r="492">
      <c r="F492" s="118"/>
      <c r="O492" s="119"/>
      <c r="P492" s="119"/>
    </row>
    <row r="493">
      <c r="F493" s="118"/>
      <c r="O493" s="119"/>
      <c r="P493" s="119"/>
    </row>
    <row r="494">
      <c r="F494" s="118"/>
      <c r="O494" s="119"/>
      <c r="P494" s="119"/>
    </row>
    <row r="495">
      <c r="F495" s="118"/>
      <c r="O495" s="119"/>
      <c r="P495" s="119"/>
    </row>
    <row r="496">
      <c r="F496" s="118"/>
      <c r="O496" s="119"/>
      <c r="P496" s="119"/>
    </row>
    <row r="497">
      <c r="F497" s="118"/>
      <c r="O497" s="119"/>
      <c r="P497" s="119"/>
    </row>
    <row r="498">
      <c r="F498" s="118"/>
      <c r="O498" s="119"/>
      <c r="P498" s="119"/>
    </row>
    <row r="499">
      <c r="F499" s="118"/>
      <c r="O499" s="119"/>
      <c r="P499" s="119"/>
    </row>
    <row r="500">
      <c r="F500" s="118"/>
      <c r="O500" s="119"/>
      <c r="P500" s="119"/>
    </row>
    <row r="501">
      <c r="F501" s="118"/>
      <c r="O501" s="119"/>
      <c r="P501" s="119"/>
    </row>
    <row r="502">
      <c r="F502" s="118"/>
      <c r="O502" s="119"/>
      <c r="P502" s="119"/>
    </row>
    <row r="503">
      <c r="F503" s="118"/>
      <c r="O503" s="119"/>
      <c r="P503" s="119"/>
    </row>
    <row r="504">
      <c r="F504" s="118"/>
      <c r="O504" s="119"/>
      <c r="P504" s="119"/>
    </row>
    <row r="505">
      <c r="F505" s="118"/>
      <c r="O505" s="119"/>
      <c r="P505" s="119"/>
    </row>
    <row r="506">
      <c r="F506" s="118"/>
      <c r="O506" s="119"/>
      <c r="P506" s="119"/>
    </row>
    <row r="507">
      <c r="F507" s="118"/>
      <c r="O507" s="119"/>
      <c r="P507" s="119"/>
    </row>
    <row r="508">
      <c r="F508" s="118"/>
      <c r="O508" s="119"/>
      <c r="P508" s="119"/>
    </row>
    <row r="509">
      <c r="F509" s="118"/>
      <c r="O509" s="119"/>
      <c r="P509" s="119"/>
    </row>
    <row r="510">
      <c r="F510" s="118"/>
      <c r="O510" s="119"/>
      <c r="P510" s="119"/>
    </row>
    <row r="511">
      <c r="F511" s="118"/>
      <c r="O511" s="119"/>
      <c r="P511" s="119"/>
    </row>
    <row r="512">
      <c r="F512" s="118"/>
      <c r="O512" s="119"/>
      <c r="P512" s="119"/>
    </row>
    <row r="513">
      <c r="F513" s="118"/>
      <c r="O513" s="119"/>
      <c r="P513" s="119"/>
    </row>
    <row r="514">
      <c r="F514" s="118"/>
      <c r="O514" s="119"/>
      <c r="P514" s="119"/>
    </row>
    <row r="515">
      <c r="F515" s="118"/>
      <c r="O515" s="119"/>
      <c r="P515" s="119"/>
    </row>
    <row r="516">
      <c r="F516" s="118"/>
      <c r="O516" s="119"/>
      <c r="P516" s="119"/>
    </row>
    <row r="517">
      <c r="F517" s="118"/>
      <c r="O517" s="119"/>
      <c r="P517" s="119"/>
    </row>
    <row r="518">
      <c r="F518" s="118"/>
      <c r="O518" s="119"/>
      <c r="P518" s="119"/>
    </row>
    <row r="519">
      <c r="F519" s="118"/>
      <c r="O519" s="119"/>
      <c r="P519" s="119"/>
    </row>
    <row r="520">
      <c r="F520" s="118"/>
      <c r="O520" s="119"/>
      <c r="P520" s="119"/>
    </row>
    <row r="521">
      <c r="F521" s="118"/>
      <c r="O521" s="119"/>
      <c r="P521" s="119"/>
    </row>
    <row r="522">
      <c r="F522" s="118"/>
      <c r="O522" s="119"/>
      <c r="P522" s="119"/>
    </row>
    <row r="523">
      <c r="F523" s="118"/>
      <c r="O523" s="119"/>
      <c r="P523" s="119"/>
    </row>
    <row r="524">
      <c r="F524" s="118"/>
      <c r="O524" s="119"/>
      <c r="P524" s="119"/>
    </row>
    <row r="525">
      <c r="F525" s="118"/>
      <c r="O525" s="119"/>
      <c r="P525" s="119"/>
    </row>
    <row r="526">
      <c r="F526" s="118"/>
      <c r="O526" s="119"/>
      <c r="P526" s="119"/>
    </row>
    <row r="527">
      <c r="F527" s="118"/>
      <c r="O527" s="119"/>
      <c r="P527" s="119"/>
    </row>
    <row r="528">
      <c r="F528" s="118"/>
      <c r="O528" s="119"/>
      <c r="P528" s="119"/>
    </row>
    <row r="529">
      <c r="F529" s="118"/>
      <c r="O529" s="119"/>
      <c r="P529" s="119"/>
    </row>
    <row r="530">
      <c r="F530" s="118"/>
      <c r="O530" s="119"/>
      <c r="P530" s="119"/>
    </row>
    <row r="531">
      <c r="F531" s="118"/>
      <c r="O531" s="119"/>
      <c r="P531" s="119"/>
    </row>
    <row r="532">
      <c r="F532" s="118"/>
      <c r="O532" s="119"/>
      <c r="P532" s="119"/>
    </row>
    <row r="533">
      <c r="F533" s="118"/>
      <c r="O533" s="119"/>
      <c r="P533" s="119"/>
    </row>
    <row r="534">
      <c r="F534" s="118"/>
      <c r="O534" s="119"/>
      <c r="P534" s="119"/>
    </row>
    <row r="535">
      <c r="F535" s="118"/>
      <c r="O535" s="119"/>
      <c r="P535" s="119"/>
    </row>
    <row r="536">
      <c r="F536" s="118"/>
      <c r="O536" s="119"/>
      <c r="P536" s="119"/>
    </row>
    <row r="537">
      <c r="F537" s="118"/>
      <c r="O537" s="119"/>
      <c r="P537" s="119"/>
    </row>
    <row r="538">
      <c r="F538" s="118"/>
      <c r="O538" s="119"/>
      <c r="P538" s="119"/>
    </row>
    <row r="539">
      <c r="F539" s="118"/>
      <c r="O539" s="119"/>
      <c r="P539" s="119"/>
    </row>
    <row r="540">
      <c r="F540" s="118"/>
      <c r="O540" s="119"/>
      <c r="P540" s="119"/>
    </row>
    <row r="541">
      <c r="F541" s="118"/>
      <c r="O541" s="119"/>
      <c r="P541" s="119"/>
    </row>
    <row r="542">
      <c r="F542" s="118"/>
      <c r="O542" s="119"/>
      <c r="P542" s="119"/>
    </row>
    <row r="543">
      <c r="F543" s="118"/>
      <c r="O543" s="119"/>
      <c r="P543" s="119"/>
    </row>
    <row r="544">
      <c r="F544" s="118"/>
      <c r="O544" s="119"/>
      <c r="P544" s="119"/>
    </row>
    <row r="545">
      <c r="F545" s="118"/>
      <c r="O545" s="119"/>
      <c r="P545" s="119"/>
    </row>
    <row r="546">
      <c r="F546" s="118"/>
      <c r="O546" s="119"/>
      <c r="P546" s="119"/>
    </row>
    <row r="547">
      <c r="F547" s="118"/>
      <c r="O547" s="119"/>
      <c r="P547" s="119"/>
    </row>
    <row r="548">
      <c r="F548" s="118"/>
      <c r="O548" s="119"/>
      <c r="P548" s="119"/>
    </row>
    <row r="549">
      <c r="F549" s="118"/>
      <c r="O549" s="119"/>
      <c r="P549" s="119"/>
    </row>
    <row r="550">
      <c r="F550" s="118"/>
      <c r="O550" s="119"/>
      <c r="P550" s="119"/>
    </row>
    <row r="551">
      <c r="F551" s="118"/>
      <c r="O551" s="119"/>
      <c r="P551" s="119"/>
    </row>
    <row r="552">
      <c r="F552" s="118"/>
      <c r="O552" s="119"/>
      <c r="P552" s="119"/>
    </row>
    <row r="553">
      <c r="F553" s="118"/>
      <c r="O553" s="119"/>
      <c r="P553" s="119"/>
    </row>
    <row r="554">
      <c r="F554" s="118"/>
      <c r="O554" s="119"/>
      <c r="P554" s="119"/>
    </row>
    <row r="555">
      <c r="F555" s="118"/>
      <c r="O555" s="119"/>
      <c r="P555" s="119"/>
    </row>
    <row r="556">
      <c r="F556" s="118"/>
      <c r="O556" s="119"/>
      <c r="P556" s="119"/>
    </row>
    <row r="557">
      <c r="F557" s="118"/>
      <c r="O557" s="119"/>
      <c r="P557" s="119"/>
    </row>
    <row r="558">
      <c r="F558" s="118"/>
      <c r="O558" s="119"/>
      <c r="P558" s="119"/>
    </row>
    <row r="559">
      <c r="F559" s="118"/>
      <c r="O559" s="119"/>
      <c r="P559" s="119"/>
    </row>
    <row r="560">
      <c r="F560" s="118"/>
      <c r="O560" s="119"/>
      <c r="P560" s="119"/>
    </row>
    <row r="561">
      <c r="F561" s="118"/>
      <c r="O561" s="119"/>
      <c r="P561" s="119"/>
    </row>
    <row r="562">
      <c r="F562" s="118"/>
      <c r="O562" s="119"/>
      <c r="P562" s="119"/>
    </row>
    <row r="563">
      <c r="F563" s="118"/>
      <c r="O563" s="119"/>
      <c r="P563" s="119"/>
    </row>
    <row r="564">
      <c r="F564" s="118"/>
      <c r="O564" s="119"/>
      <c r="P564" s="119"/>
    </row>
    <row r="565">
      <c r="F565" s="118"/>
      <c r="O565" s="119"/>
      <c r="P565" s="119"/>
    </row>
    <row r="566">
      <c r="F566" s="118"/>
      <c r="O566" s="119"/>
      <c r="P566" s="119"/>
    </row>
    <row r="567">
      <c r="F567" s="118"/>
      <c r="O567" s="119"/>
      <c r="P567" s="119"/>
    </row>
    <row r="568">
      <c r="F568" s="118"/>
      <c r="O568" s="119"/>
      <c r="P568" s="119"/>
    </row>
    <row r="569">
      <c r="F569" s="118"/>
      <c r="O569" s="119"/>
      <c r="P569" s="119"/>
    </row>
    <row r="570">
      <c r="F570" s="118"/>
      <c r="O570" s="119"/>
      <c r="P570" s="119"/>
    </row>
    <row r="571">
      <c r="F571" s="118"/>
      <c r="O571" s="119"/>
      <c r="P571" s="119"/>
    </row>
    <row r="572">
      <c r="F572" s="118"/>
      <c r="O572" s="119"/>
      <c r="P572" s="119"/>
    </row>
    <row r="573">
      <c r="F573" s="118"/>
      <c r="O573" s="119"/>
      <c r="P573" s="119"/>
    </row>
    <row r="574">
      <c r="F574" s="118"/>
      <c r="O574" s="119"/>
      <c r="P574" s="119"/>
    </row>
    <row r="575">
      <c r="F575" s="118"/>
      <c r="O575" s="119"/>
      <c r="P575" s="119"/>
    </row>
    <row r="576">
      <c r="F576" s="118"/>
      <c r="O576" s="119"/>
      <c r="P576" s="119"/>
    </row>
    <row r="577">
      <c r="F577" s="118"/>
      <c r="O577" s="119"/>
      <c r="P577" s="119"/>
    </row>
    <row r="578">
      <c r="F578" s="118"/>
      <c r="O578" s="119"/>
      <c r="P578" s="119"/>
    </row>
    <row r="579">
      <c r="F579" s="118"/>
      <c r="O579" s="119"/>
      <c r="P579" s="119"/>
    </row>
    <row r="580">
      <c r="F580" s="118"/>
      <c r="O580" s="119"/>
      <c r="P580" s="119"/>
    </row>
    <row r="581">
      <c r="F581" s="118"/>
      <c r="O581" s="119"/>
      <c r="P581" s="119"/>
    </row>
    <row r="582">
      <c r="F582" s="118"/>
      <c r="O582" s="119"/>
      <c r="P582" s="119"/>
    </row>
    <row r="583">
      <c r="F583" s="118"/>
      <c r="O583" s="119"/>
      <c r="P583" s="119"/>
    </row>
    <row r="584">
      <c r="F584" s="118"/>
      <c r="O584" s="119"/>
      <c r="P584" s="119"/>
    </row>
    <row r="585">
      <c r="F585" s="118"/>
      <c r="O585" s="119"/>
      <c r="P585" s="119"/>
    </row>
    <row r="586">
      <c r="F586" s="118"/>
      <c r="O586" s="119"/>
      <c r="P586" s="119"/>
    </row>
    <row r="587">
      <c r="F587" s="118"/>
      <c r="O587" s="119"/>
      <c r="P587" s="119"/>
    </row>
    <row r="588">
      <c r="F588" s="118"/>
      <c r="O588" s="119"/>
      <c r="P588" s="119"/>
    </row>
    <row r="589">
      <c r="F589" s="118"/>
      <c r="O589" s="119"/>
      <c r="P589" s="119"/>
    </row>
    <row r="590">
      <c r="F590" s="118"/>
      <c r="O590" s="119"/>
      <c r="P590" s="119"/>
    </row>
    <row r="591">
      <c r="F591" s="118"/>
      <c r="O591" s="119"/>
      <c r="P591" s="119"/>
    </row>
    <row r="592">
      <c r="F592" s="118"/>
      <c r="O592" s="119"/>
      <c r="P592" s="119"/>
    </row>
    <row r="593">
      <c r="F593" s="118"/>
      <c r="O593" s="119"/>
      <c r="P593" s="119"/>
    </row>
    <row r="594">
      <c r="F594" s="118"/>
      <c r="O594" s="119"/>
      <c r="P594" s="119"/>
    </row>
    <row r="595">
      <c r="F595" s="118"/>
      <c r="O595" s="119"/>
      <c r="P595" s="119"/>
    </row>
    <row r="596">
      <c r="F596" s="118"/>
      <c r="O596" s="119"/>
      <c r="P596" s="119"/>
    </row>
    <row r="597">
      <c r="F597" s="118"/>
      <c r="O597" s="119"/>
      <c r="P597" s="119"/>
    </row>
    <row r="598">
      <c r="F598" s="118"/>
      <c r="O598" s="119"/>
      <c r="P598" s="119"/>
    </row>
    <row r="599">
      <c r="F599" s="118"/>
      <c r="O599" s="119"/>
      <c r="P599" s="119"/>
    </row>
    <row r="600">
      <c r="F600" s="118"/>
      <c r="O600" s="119"/>
      <c r="P600" s="119"/>
    </row>
    <row r="601">
      <c r="F601" s="118"/>
      <c r="O601" s="119"/>
      <c r="P601" s="119"/>
    </row>
    <row r="602">
      <c r="F602" s="118"/>
      <c r="O602" s="119"/>
      <c r="P602" s="119"/>
    </row>
    <row r="603">
      <c r="F603" s="118"/>
      <c r="O603" s="119"/>
      <c r="P603" s="119"/>
    </row>
    <row r="604">
      <c r="F604" s="118"/>
      <c r="O604" s="119"/>
      <c r="P604" s="119"/>
    </row>
    <row r="605">
      <c r="F605" s="118"/>
      <c r="O605" s="119"/>
      <c r="P605" s="119"/>
    </row>
    <row r="606">
      <c r="F606" s="118"/>
      <c r="O606" s="119"/>
      <c r="P606" s="119"/>
    </row>
    <row r="607">
      <c r="F607" s="118"/>
      <c r="O607" s="119"/>
      <c r="P607" s="119"/>
    </row>
    <row r="608">
      <c r="F608" s="118"/>
      <c r="O608" s="119"/>
      <c r="P608" s="119"/>
    </row>
    <row r="609">
      <c r="F609" s="118"/>
      <c r="O609" s="119"/>
      <c r="P609" s="119"/>
    </row>
    <row r="610">
      <c r="F610" s="118"/>
      <c r="O610" s="119"/>
      <c r="P610" s="119"/>
    </row>
    <row r="611">
      <c r="F611" s="118"/>
      <c r="O611" s="119"/>
      <c r="P611" s="119"/>
    </row>
    <row r="612">
      <c r="F612" s="118"/>
      <c r="O612" s="119"/>
      <c r="P612" s="119"/>
    </row>
    <row r="613">
      <c r="F613" s="118"/>
      <c r="O613" s="119"/>
      <c r="P613" s="119"/>
    </row>
    <row r="614">
      <c r="F614" s="118"/>
      <c r="O614" s="119"/>
      <c r="P614" s="119"/>
    </row>
    <row r="615">
      <c r="F615" s="118"/>
      <c r="O615" s="119"/>
      <c r="P615" s="119"/>
    </row>
    <row r="616">
      <c r="F616" s="118"/>
      <c r="O616" s="119"/>
      <c r="P616" s="119"/>
    </row>
    <row r="617">
      <c r="F617" s="118"/>
      <c r="O617" s="119"/>
      <c r="P617" s="119"/>
    </row>
    <row r="618">
      <c r="F618" s="118"/>
      <c r="O618" s="119"/>
      <c r="P618" s="119"/>
    </row>
    <row r="619">
      <c r="F619" s="118"/>
      <c r="O619" s="119"/>
      <c r="P619" s="119"/>
    </row>
    <row r="620">
      <c r="F620" s="118"/>
      <c r="O620" s="119"/>
      <c r="P620" s="119"/>
    </row>
    <row r="621">
      <c r="F621" s="118"/>
      <c r="O621" s="119"/>
      <c r="P621" s="119"/>
    </row>
    <row r="622">
      <c r="F622" s="118"/>
      <c r="O622" s="119"/>
      <c r="P622" s="119"/>
    </row>
    <row r="623">
      <c r="F623" s="118"/>
      <c r="O623" s="119"/>
      <c r="P623" s="119"/>
    </row>
    <row r="624">
      <c r="F624" s="118"/>
      <c r="O624" s="119"/>
      <c r="P624" s="119"/>
    </row>
    <row r="625">
      <c r="F625" s="118"/>
      <c r="O625" s="119"/>
      <c r="P625" s="119"/>
    </row>
    <row r="626">
      <c r="F626" s="118"/>
      <c r="O626" s="119"/>
      <c r="P626" s="119"/>
    </row>
    <row r="627">
      <c r="F627" s="118"/>
      <c r="O627" s="119"/>
      <c r="P627" s="119"/>
    </row>
    <row r="628">
      <c r="F628" s="118"/>
      <c r="O628" s="119"/>
      <c r="P628" s="119"/>
    </row>
    <row r="629">
      <c r="F629" s="118"/>
      <c r="O629" s="119"/>
      <c r="P629" s="119"/>
    </row>
    <row r="630">
      <c r="F630" s="118"/>
      <c r="O630" s="119"/>
      <c r="P630" s="119"/>
    </row>
    <row r="631">
      <c r="F631" s="118"/>
      <c r="O631" s="119"/>
      <c r="P631" s="119"/>
    </row>
    <row r="632">
      <c r="F632" s="118"/>
      <c r="O632" s="119"/>
      <c r="P632" s="119"/>
    </row>
    <row r="633">
      <c r="F633" s="118"/>
      <c r="O633" s="119"/>
      <c r="P633" s="119"/>
    </row>
    <row r="634">
      <c r="F634" s="118"/>
      <c r="O634" s="119"/>
      <c r="P634" s="119"/>
    </row>
    <row r="635">
      <c r="F635" s="118"/>
      <c r="O635" s="119"/>
      <c r="P635" s="119"/>
    </row>
    <row r="636">
      <c r="F636" s="118"/>
      <c r="O636" s="119"/>
      <c r="P636" s="119"/>
    </row>
    <row r="637">
      <c r="F637" s="118"/>
      <c r="O637" s="119"/>
      <c r="P637" s="119"/>
    </row>
    <row r="638">
      <c r="F638" s="118"/>
      <c r="O638" s="119"/>
      <c r="P638" s="119"/>
    </row>
    <row r="639">
      <c r="F639" s="118"/>
      <c r="O639" s="119"/>
      <c r="P639" s="119"/>
    </row>
    <row r="640">
      <c r="F640" s="118"/>
      <c r="O640" s="119"/>
      <c r="P640" s="119"/>
    </row>
    <row r="641">
      <c r="F641" s="118"/>
      <c r="O641" s="119"/>
      <c r="P641" s="119"/>
    </row>
    <row r="642">
      <c r="F642" s="118"/>
      <c r="O642" s="119"/>
      <c r="P642" s="119"/>
    </row>
    <row r="643">
      <c r="F643" s="118"/>
      <c r="O643" s="119"/>
      <c r="P643" s="119"/>
    </row>
    <row r="644">
      <c r="F644" s="118"/>
      <c r="O644" s="119"/>
      <c r="P644" s="119"/>
    </row>
    <row r="645">
      <c r="F645" s="118"/>
      <c r="O645" s="119"/>
      <c r="P645" s="119"/>
    </row>
    <row r="646">
      <c r="F646" s="118"/>
      <c r="O646" s="119"/>
      <c r="P646" s="119"/>
    </row>
    <row r="647">
      <c r="F647" s="118"/>
      <c r="O647" s="119"/>
      <c r="P647" s="119"/>
    </row>
    <row r="648">
      <c r="F648" s="118"/>
      <c r="O648" s="119"/>
      <c r="P648" s="119"/>
    </row>
    <row r="649">
      <c r="F649" s="118"/>
      <c r="O649" s="119"/>
      <c r="P649" s="119"/>
    </row>
    <row r="650">
      <c r="F650" s="118"/>
      <c r="O650" s="119"/>
      <c r="P650" s="119"/>
    </row>
    <row r="651">
      <c r="F651" s="118"/>
      <c r="O651" s="119"/>
      <c r="P651" s="119"/>
    </row>
    <row r="652">
      <c r="F652" s="118"/>
      <c r="O652" s="119"/>
      <c r="P652" s="119"/>
    </row>
    <row r="653">
      <c r="F653" s="118"/>
      <c r="O653" s="119"/>
      <c r="P653" s="119"/>
    </row>
    <row r="654">
      <c r="F654" s="118"/>
      <c r="O654" s="119"/>
      <c r="P654" s="119"/>
    </row>
    <row r="655">
      <c r="F655" s="118"/>
      <c r="O655" s="119"/>
      <c r="P655" s="119"/>
    </row>
    <row r="656">
      <c r="F656" s="118"/>
      <c r="O656" s="119"/>
      <c r="P656" s="119"/>
    </row>
    <row r="657">
      <c r="F657" s="118"/>
      <c r="O657" s="119"/>
      <c r="P657" s="119"/>
    </row>
    <row r="658">
      <c r="F658" s="118"/>
      <c r="O658" s="119"/>
      <c r="P658" s="119"/>
    </row>
    <row r="659">
      <c r="F659" s="118"/>
      <c r="O659" s="119"/>
      <c r="P659" s="119"/>
    </row>
    <row r="660">
      <c r="F660" s="118"/>
      <c r="O660" s="119"/>
      <c r="P660" s="119"/>
    </row>
    <row r="661">
      <c r="F661" s="118"/>
      <c r="O661" s="119"/>
      <c r="P661" s="119"/>
    </row>
    <row r="662">
      <c r="F662" s="118"/>
      <c r="O662" s="119"/>
      <c r="P662" s="119"/>
    </row>
    <row r="663">
      <c r="F663" s="118"/>
      <c r="O663" s="119"/>
      <c r="P663" s="119"/>
    </row>
    <row r="664">
      <c r="F664" s="118"/>
      <c r="O664" s="119"/>
      <c r="P664" s="119"/>
    </row>
    <row r="665">
      <c r="F665" s="118"/>
      <c r="O665" s="119"/>
      <c r="P665" s="119"/>
    </row>
    <row r="666">
      <c r="F666" s="118"/>
      <c r="O666" s="119"/>
      <c r="P666" s="119"/>
    </row>
    <row r="667">
      <c r="F667" s="118"/>
      <c r="O667" s="119"/>
      <c r="P667" s="119"/>
    </row>
    <row r="668">
      <c r="F668" s="118"/>
      <c r="O668" s="119"/>
      <c r="P668" s="119"/>
    </row>
    <row r="669">
      <c r="F669" s="118"/>
      <c r="O669" s="119"/>
      <c r="P669" s="119"/>
    </row>
    <row r="670">
      <c r="F670" s="118"/>
      <c r="O670" s="119"/>
      <c r="P670" s="119"/>
    </row>
    <row r="671">
      <c r="F671" s="118"/>
      <c r="O671" s="119"/>
      <c r="P671" s="119"/>
    </row>
    <row r="672">
      <c r="F672" s="118"/>
      <c r="O672" s="119"/>
      <c r="P672" s="119"/>
    </row>
    <row r="673">
      <c r="F673" s="118"/>
      <c r="O673" s="119"/>
      <c r="P673" s="119"/>
    </row>
    <row r="674">
      <c r="F674" s="118"/>
      <c r="O674" s="119"/>
      <c r="P674" s="119"/>
    </row>
    <row r="675">
      <c r="F675" s="118"/>
      <c r="O675" s="119"/>
      <c r="P675" s="119"/>
    </row>
    <row r="676">
      <c r="F676" s="118"/>
      <c r="O676" s="119"/>
      <c r="P676" s="119"/>
    </row>
    <row r="677">
      <c r="F677" s="118"/>
      <c r="O677" s="119"/>
      <c r="P677" s="119"/>
    </row>
    <row r="678">
      <c r="F678" s="118"/>
      <c r="O678" s="119"/>
      <c r="P678" s="119"/>
    </row>
    <row r="679">
      <c r="F679" s="118"/>
      <c r="O679" s="119"/>
      <c r="P679" s="119"/>
    </row>
    <row r="680">
      <c r="F680" s="118"/>
      <c r="O680" s="119"/>
      <c r="P680" s="119"/>
    </row>
    <row r="681">
      <c r="F681" s="118"/>
      <c r="O681" s="119"/>
      <c r="P681" s="119"/>
    </row>
    <row r="682">
      <c r="F682" s="118"/>
      <c r="O682" s="119"/>
      <c r="P682" s="119"/>
    </row>
    <row r="683">
      <c r="F683" s="118"/>
      <c r="O683" s="119"/>
      <c r="P683" s="119"/>
    </row>
    <row r="684">
      <c r="F684" s="118"/>
      <c r="O684" s="119"/>
      <c r="P684" s="119"/>
    </row>
    <row r="685">
      <c r="F685" s="118"/>
      <c r="O685" s="119"/>
      <c r="P685" s="119"/>
    </row>
    <row r="686">
      <c r="F686" s="118"/>
      <c r="O686" s="119"/>
      <c r="P686" s="119"/>
    </row>
    <row r="687">
      <c r="F687" s="118"/>
      <c r="O687" s="119"/>
      <c r="P687" s="119"/>
    </row>
    <row r="688">
      <c r="F688" s="118"/>
      <c r="O688" s="119"/>
      <c r="P688" s="119"/>
    </row>
    <row r="689">
      <c r="F689" s="118"/>
      <c r="O689" s="119"/>
      <c r="P689" s="119"/>
    </row>
    <row r="690">
      <c r="F690" s="118"/>
      <c r="O690" s="119"/>
      <c r="P690" s="119"/>
    </row>
    <row r="691">
      <c r="F691" s="118"/>
      <c r="O691" s="119"/>
      <c r="P691" s="119"/>
    </row>
    <row r="692">
      <c r="F692" s="118"/>
      <c r="O692" s="119"/>
      <c r="P692" s="119"/>
    </row>
    <row r="693">
      <c r="F693" s="118"/>
      <c r="O693" s="119"/>
      <c r="P693" s="119"/>
    </row>
    <row r="694">
      <c r="F694" s="118"/>
      <c r="O694" s="119"/>
      <c r="P694" s="119"/>
    </row>
    <row r="695">
      <c r="F695" s="118"/>
      <c r="O695" s="119"/>
      <c r="P695" s="119"/>
    </row>
    <row r="696">
      <c r="F696" s="118"/>
      <c r="O696" s="119"/>
      <c r="P696" s="119"/>
    </row>
    <row r="697">
      <c r="F697" s="118"/>
      <c r="O697" s="119"/>
      <c r="P697" s="119"/>
    </row>
    <row r="698">
      <c r="F698" s="118"/>
      <c r="O698" s="119"/>
      <c r="P698" s="119"/>
    </row>
    <row r="699">
      <c r="F699" s="118"/>
      <c r="O699" s="119"/>
      <c r="P699" s="119"/>
    </row>
    <row r="700">
      <c r="F700" s="118"/>
      <c r="O700" s="119"/>
      <c r="P700" s="119"/>
    </row>
    <row r="701">
      <c r="F701" s="118"/>
      <c r="O701" s="119"/>
      <c r="P701" s="119"/>
    </row>
    <row r="702">
      <c r="F702" s="118"/>
      <c r="O702" s="119"/>
      <c r="P702" s="119"/>
    </row>
    <row r="703">
      <c r="F703" s="118"/>
      <c r="O703" s="119"/>
      <c r="P703" s="119"/>
    </row>
    <row r="704">
      <c r="F704" s="118"/>
      <c r="O704" s="119"/>
      <c r="P704" s="119"/>
    </row>
    <row r="705">
      <c r="F705" s="118"/>
      <c r="O705" s="119"/>
      <c r="P705" s="119"/>
    </row>
    <row r="706">
      <c r="F706" s="118"/>
      <c r="O706" s="119"/>
      <c r="P706" s="119"/>
    </row>
    <row r="707">
      <c r="F707" s="118"/>
      <c r="O707" s="119"/>
      <c r="P707" s="119"/>
    </row>
    <row r="708">
      <c r="F708" s="118"/>
      <c r="O708" s="119"/>
      <c r="P708" s="119"/>
    </row>
    <row r="709">
      <c r="F709" s="118"/>
      <c r="O709" s="119"/>
      <c r="P709" s="119"/>
    </row>
    <row r="710">
      <c r="F710" s="118"/>
      <c r="O710" s="119"/>
      <c r="P710" s="119"/>
    </row>
    <row r="711">
      <c r="F711" s="118"/>
      <c r="O711" s="119"/>
      <c r="P711" s="119"/>
    </row>
    <row r="712">
      <c r="F712" s="118"/>
      <c r="O712" s="119"/>
      <c r="P712" s="119"/>
    </row>
    <row r="713">
      <c r="F713" s="118"/>
      <c r="O713" s="119"/>
      <c r="P713" s="119"/>
    </row>
    <row r="714">
      <c r="F714" s="118"/>
      <c r="O714" s="119"/>
      <c r="P714" s="119"/>
    </row>
    <row r="715">
      <c r="F715" s="118"/>
      <c r="O715" s="119"/>
      <c r="P715" s="119"/>
    </row>
    <row r="716">
      <c r="F716" s="118"/>
      <c r="O716" s="119"/>
      <c r="P716" s="119"/>
    </row>
    <row r="717">
      <c r="F717" s="118"/>
      <c r="O717" s="119"/>
      <c r="P717" s="119"/>
    </row>
    <row r="718">
      <c r="F718" s="118"/>
      <c r="O718" s="119"/>
      <c r="P718" s="119"/>
    </row>
    <row r="719">
      <c r="F719" s="118"/>
      <c r="O719" s="119"/>
      <c r="P719" s="119"/>
    </row>
    <row r="720">
      <c r="F720" s="118"/>
      <c r="O720" s="119"/>
      <c r="P720" s="119"/>
    </row>
    <row r="721">
      <c r="F721" s="118"/>
      <c r="O721" s="119"/>
      <c r="P721" s="119"/>
    </row>
    <row r="722">
      <c r="F722" s="118"/>
      <c r="O722" s="119"/>
      <c r="P722" s="119"/>
    </row>
    <row r="723">
      <c r="F723" s="118"/>
      <c r="O723" s="119"/>
      <c r="P723" s="119"/>
    </row>
    <row r="724">
      <c r="F724" s="118"/>
      <c r="O724" s="119"/>
      <c r="P724" s="119"/>
    </row>
    <row r="725">
      <c r="F725" s="118"/>
      <c r="O725" s="119"/>
      <c r="P725" s="119"/>
    </row>
    <row r="726">
      <c r="F726" s="118"/>
      <c r="O726" s="119"/>
      <c r="P726" s="119"/>
    </row>
    <row r="727">
      <c r="F727" s="118"/>
      <c r="O727" s="119"/>
      <c r="P727" s="119"/>
    </row>
    <row r="728">
      <c r="F728" s="118"/>
      <c r="O728" s="119"/>
      <c r="P728" s="119"/>
    </row>
    <row r="729">
      <c r="F729" s="118"/>
      <c r="O729" s="119"/>
      <c r="P729" s="119"/>
    </row>
    <row r="730">
      <c r="F730" s="118"/>
      <c r="O730" s="119"/>
      <c r="P730" s="119"/>
    </row>
    <row r="731">
      <c r="F731" s="118"/>
      <c r="O731" s="119"/>
      <c r="P731" s="119"/>
    </row>
    <row r="732">
      <c r="F732" s="118"/>
      <c r="O732" s="119"/>
      <c r="P732" s="119"/>
    </row>
    <row r="733">
      <c r="F733" s="118"/>
      <c r="O733" s="119"/>
      <c r="P733" s="119"/>
    </row>
    <row r="734">
      <c r="F734" s="118"/>
      <c r="O734" s="119"/>
      <c r="P734" s="119"/>
    </row>
    <row r="735">
      <c r="F735" s="118"/>
      <c r="O735" s="119"/>
      <c r="P735" s="119"/>
    </row>
    <row r="736">
      <c r="F736" s="118"/>
      <c r="O736" s="119"/>
      <c r="P736" s="119"/>
    </row>
    <row r="737">
      <c r="F737" s="118"/>
      <c r="O737" s="119"/>
      <c r="P737" s="119"/>
    </row>
    <row r="738">
      <c r="F738" s="118"/>
      <c r="O738" s="119"/>
      <c r="P738" s="119"/>
    </row>
    <row r="739">
      <c r="F739" s="118"/>
      <c r="O739" s="119"/>
      <c r="P739" s="119"/>
    </row>
    <row r="740">
      <c r="F740" s="118"/>
      <c r="O740" s="119"/>
      <c r="P740" s="119"/>
    </row>
    <row r="741">
      <c r="F741" s="118"/>
      <c r="O741" s="119"/>
      <c r="P741" s="119"/>
    </row>
    <row r="742">
      <c r="F742" s="118"/>
      <c r="O742" s="119"/>
      <c r="P742" s="119"/>
    </row>
    <row r="743">
      <c r="F743" s="118"/>
      <c r="O743" s="119"/>
      <c r="P743" s="119"/>
    </row>
    <row r="744">
      <c r="F744" s="118"/>
      <c r="O744" s="119"/>
      <c r="P744" s="119"/>
    </row>
    <row r="745">
      <c r="F745" s="118"/>
      <c r="O745" s="119"/>
      <c r="P745" s="119"/>
    </row>
    <row r="746">
      <c r="F746" s="118"/>
      <c r="O746" s="119"/>
      <c r="P746" s="119"/>
    </row>
    <row r="747">
      <c r="F747" s="118"/>
      <c r="O747" s="119"/>
      <c r="P747" s="119"/>
    </row>
    <row r="748">
      <c r="F748" s="118"/>
      <c r="O748" s="119"/>
      <c r="P748" s="119"/>
    </row>
    <row r="749">
      <c r="F749" s="118"/>
      <c r="O749" s="119"/>
      <c r="P749" s="119"/>
    </row>
    <row r="750">
      <c r="F750" s="118"/>
      <c r="O750" s="119"/>
      <c r="P750" s="119"/>
    </row>
    <row r="751">
      <c r="F751" s="118"/>
      <c r="O751" s="119"/>
      <c r="P751" s="119"/>
    </row>
    <row r="752">
      <c r="F752" s="118"/>
      <c r="O752" s="119"/>
      <c r="P752" s="119"/>
    </row>
    <row r="753">
      <c r="F753" s="118"/>
      <c r="O753" s="119"/>
      <c r="P753" s="119"/>
    </row>
    <row r="754">
      <c r="F754" s="118"/>
      <c r="O754" s="119"/>
      <c r="P754" s="119"/>
    </row>
    <row r="755">
      <c r="F755" s="118"/>
      <c r="O755" s="119"/>
      <c r="P755" s="119"/>
    </row>
    <row r="756">
      <c r="F756" s="118"/>
      <c r="O756" s="119"/>
      <c r="P756" s="119"/>
    </row>
    <row r="757">
      <c r="F757" s="118"/>
      <c r="O757" s="119"/>
      <c r="P757" s="119"/>
    </row>
    <row r="758">
      <c r="F758" s="118"/>
      <c r="O758" s="119"/>
      <c r="P758" s="119"/>
    </row>
    <row r="759">
      <c r="F759" s="118"/>
      <c r="O759" s="119"/>
      <c r="P759" s="119"/>
    </row>
    <row r="760">
      <c r="F760" s="118"/>
      <c r="O760" s="119"/>
      <c r="P760" s="119"/>
    </row>
    <row r="761">
      <c r="F761" s="118"/>
      <c r="O761" s="119"/>
      <c r="P761" s="119"/>
    </row>
    <row r="762">
      <c r="F762" s="118"/>
      <c r="O762" s="119"/>
      <c r="P762" s="119"/>
    </row>
    <row r="763">
      <c r="F763" s="118"/>
      <c r="O763" s="119"/>
      <c r="P763" s="119"/>
    </row>
    <row r="764">
      <c r="F764" s="118"/>
      <c r="O764" s="119"/>
      <c r="P764" s="119"/>
    </row>
    <row r="765">
      <c r="F765" s="118"/>
      <c r="O765" s="119"/>
      <c r="P765" s="119"/>
    </row>
    <row r="766">
      <c r="F766" s="118"/>
      <c r="O766" s="119"/>
      <c r="P766" s="119"/>
    </row>
    <row r="767">
      <c r="F767" s="118"/>
      <c r="O767" s="119"/>
      <c r="P767" s="119"/>
    </row>
    <row r="768">
      <c r="F768" s="118"/>
      <c r="O768" s="119"/>
      <c r="P768" s="119"/>
    </row>
    <row r="769">
      <c r="F769" s="118"/>
      <c r="O769" s="119"/>
      <c r="P769" s="119"/>
    </row>
    <row r="770">
      <c r="F770" s="118"/>
      <c r="O770" s="119"/>
      <c r="P770" s="119"/>
    </row>
    <row r="771">
      <c r="F771" s="118"/>
      <c r="O771" s="119"/>
      <c r="P771" s="119"/>
    </row>
    <row r="772">
      <c r="F772" s="118"/>
      <c r="O772" s="119"/>
      <c r="P772" s="119"/>
    </row>
    <row r="773">
      <c r="F773" s="118"/>
      <c r="O773" s="119"/>
      <c r="P773" s="119"/>
    </row>
    <row r="774">
      <c r="F774" s="118"/>
      <c r="O774" s="119"/>
      <c r="P774" s="119"/>
    </row>
    <row r="775">
      <c r="F775" s="118"/>
      <c r="O775" s="119"/>
      <c r="P775" s="119"/>
    </row>
    <row r="776">
      <c r="F776" s="118"/>
      <c r="O776" s="119"/>
      <c r="P776" s="119"/>
    </row>
    <row r="777">
      <c r="F777" s="118"/>
      <c r="O777" s="119"/>
      <c r="P777" s="119"/>
    </row>
    <row r="778">
      <c r="F778" s="118"/>
      <c r="O778" s="119"/>
      <c r="P778" s="119"/>
    </row>
    <row r="779">
      <c r="F779" s="118"/>
      <c r="O779" s="119"/>
      <c r="P779" s="119"/>
    </row>
    <row r="780">
      <c r="F780" s="118"/>
      <c r="O780" s="119"/>
      <c r="P780" s="119"/>
    </row>
    <row r="781">
      <c r="F781" s="118"/>
      <c r="O781" s="119"/>
      <c r="P781" s="119"/>
    </row>
    <row r="782">
      <c r="F782" s="118"/>
      <c r="O782" s="119"/>
      <c r="P782" s="119"/>
    </row>
    <row r="783">
      <c r="F783" s="118"/>
      <c r="O783" s="119"/>
      <c r="P783" s="119"/>
    </row>
    <row r="784">
      <c r="F784" s="118"/>
      <c r="O784" s="119"/>
      <c r="P784" s="119"/>
    </row>
    <row r="785">
      <c r="F785" s="118"/>
      <c r="O785" s="119"/>
      <c r="P785" s="119"/>
    </row>
    <row r="786">
      <c r="F786" s="118"/>
      <c r="O786" s="119"/>
      <c r="P786" s="119"/>
    </row>
    <row r="787">
      <c r="F787" s="118"/>
      <c r="O787" s="119"/>
      <c r="P787" s="119"/>
    </row>
    <row r="788">
      <c r="F788" s="118"/>
      <c r="O788" s="119"/>
      <c r="P788" s="119"/>
    </row>
    <row r="789">
      <c r="F789" s="118"/>
      <c r="O789" s="119"/>
      <c r="P789" s="119"/>
    </row>
    <row r="790">
      <c r="F790" s="118"/>
      <c r="O790" s="119"/>
      <c r="P790" s="119"/>
    </row>
    <row r="791">
      <c r="F791" s="118"/>
      <c r="O791" s="119"/>
      <c r="P791" s="119"/>
    </row>
    <row r="792">
      <c r="F792" s="118"/>
      <c r="O792" s="119"/>
      <c r="P792" s="119"/>
    </row>
    <row r="793">
      <c r="F793" s="118"/>
      <c r="O793" s="119"/>
      <c r="P793" s="119"/>
    </row>
    <row r="794">
      <c r="F794" s="118"/>
      <c r="O794" s="119"/>
      <c r="P794" s="119"/>
    </row>
    <row r="795">
      <c r="F795" s="118"/>
      <c r="O795" s="119"/>
      <c r="P795" s="119"/>
    </row>
    <row r="796">
      <c r="F796" s="118"/>
      <c r="O796" s="119"/>
      <c r="P796" s="119"/>
    </row>
    <row r="797">
      <c r="F797" s="118"/>
      <c r="O797" s="119"/>
      <c r="P797" s="119"/>
    </row>
    <row r="798">
      <c r="F798" s="118"/>
      <c r="O798" s="119"/>
      <c r="P798" s="119"/>
    </row>
    <row r="799">
      <c r="F799" s="118"/>
      <c r="O799" s="119"/>
      <c r="P799" s="119"/>
    </row>
    <row r="800">
      <c r="F800" s="118"/>
      <c r="O800" s="119"/>
      <c r="P800" s="119"/>
    </row>
    <row r="801">
      <c r="F801" s="118"/>
      <c r="O801" s="119"/>
      <c r="P801" s="119"/>
    </row>
    <row r="802">
      <c r="F802" s="118"/>
      <c r="O802" s="119"/>
      <c r="P802" s="119"/>
    </row>
    <row r="803">
      <c r="F803" s="118"/>
      <c r="O803" s="119"/>
      <c r="P803" s="119"/>
    </row>
    <row r="804">
      <c r="F804" s="118"/>
      <c r="O804" s="119"/>
      <c r="P804" s="119"/>
    </row>
    <row r="805">
      <c r="F805" s="118"/>
      <c r="O805" s="119"/>
      <c r="P805" s="119"/>
    </row>
    <row r="806">
      <c r="F806" s="118"/>
      <c r="O806" s="119"/>
      <c r="P806" s="119"/>
    </row>
    <row r="807">
      <c r="F807" s="118"/>
      <c r="O807" s="119"/>
      <c r="P807" s="119"/>
    </row>
    <row r="808">
      <c r="F808" s="118"/>
      <c r="O808" s="119"/>
      <c r="P808" s="119"/>
    </row>
    <row r="809">
      <c r="F809" s="118"/>
      <c r="O809" s="119"/>
      <c r="P809" s="119"/>
    </row>
    <row r="810">
      <c r="F810" s="118"/>
      <c r="O810" s="119"/>
      <c r="P810" s="119"/>
    </row>
    <row r="811">
      <c r="F811" s="118"/>
      <c r="O811" s="119"/>
      <c r="P811" s="119"/>
    </row>
    <row r="812">
      <c r="F812" s="118"/>
      <c r="O812" s="119"/>
      <c r="P812" s="119"/>
    </row>
    <row r="813">
      <c r="F813" s="118"/>
      <c r="O813" s="119"/>
      <c r="P813" s="119"/>
    </row>
    <row r="814">
      <c r="F814" s="118"/>
      <c r="O814" s="119"/>
      <c r="P814" s="119"/>
    </row>
    <row r="815">
      <c r="F815" s="118"/>
      <c r="O815" s="119"/>
      <c r="P815" s="119"/>
    </row>
    <row r="816">
      <c r="F816" s="118"/>
      <c r="O816" s="119"/>
      <c r="P816" s="119"/>
    </row>
    <row r="817">
      <c r="F817" s="118"/>
      <c r="O817" s="119"/>
      <c r="P817" s="119"/>
    </row>
    <row r="818">
      <c r="F818" s="118"/>
      <c r="O818" s="119"/>
      <c r="P818" s="119"/>
    </row>
    <row r="819">
      <c r="F819" s="118"/>
      <c r="O819" s="119"/>
      <c r="P819" s="119"/>
    </row>
    <row r="820">
      <c r="F820" s="118"/>
      <c r="O820" s="119"/>
      <c r="P820" s="119"/>
    </row>
    <row r="821">
      <c r="F821" s="118"/>
      <c r="O821" s="119"/>
      <c r="P821" s="119"/>
    </row>
    <row r="822">
      <c r="F822" s="118"/>
      <c r="O822" s="119"/>
      <c r="P822" s="119"/>
    </row>
    <row r="823">
      <c r="F823" s="118"/>
      <c r="O823" s="119"/>
      <c r="P823" s="119"/>
    </row>
    <row r="824">
      <c r="F824" s="118"/>
      <c r="O824" s="119"/>
      <c r="P824" s="119"/>
    </row>
    <row r="825">
      <c r="F825" s="118"/>
      <c r="O825" s="119"/>
      <c r="P825" s="119"/>
    </row>
    <row r="826">
      <c r="F826" s="118"/>
      <c r="O826" s="119"/>
      <c r="P826" s="119"/>
    </row>
    <row r="827">
      <c r="F827" s="118"/>
      <c r="O827" s="119"/>
      <c r="P827" s="119"/>
    </row>
    <row r="828">
      <c r="F828" s="118"/>
      <c r="O828" s="119"/>
      <c r="P828" s="119"/>
    </row>
    <row r="829">
      <c r="F829" s="118"/>
      <c r="O829" s="119"/>
      <c r="P829" s="119"/>
    </row>
    <row r="830">
      <c r="F830" s="118"/>
      <c r="O830" s="119"/>
      <c r="P830" s="119"/>
    </row>
    <row r="831">
      <c r="F831" s="118"/>
      <c r="O831" s="119"/>
      <c r="P831" s="119"/>
    </row>
    <row r="832">
      <c r="F832" s="118"/>
      <c r="O832" s="119"/>
      <c r="P832" s="119"/>
    </row>
    <row r="833">
      <c r="F833" s="118"/>
      <c r="O833" s="119"/>
      <c r="P833" s="119"/>
    </row>
    <row r="834">
      <c r="F834" s="118"/>
      <c r="O834" s="119"/>
      <c r="P834" s="119"/>
    </row>
    <row r="835">
      <c r="F835" s="118"/>
      <c r="O835" s="119"/>
      <c r="P835" s="119"/>
    </row>
    <row r="836">
      <c r="F836" s="118"/>
      <c r="O836" s="119"/>
      <c r="P836" s="119"/>
    </row>
    <row r="837">
      <c r="F837" s="118"/>
      <c r="O837" s="119"/>
      <c r="P837" s="119"/>
    </row>
    <row r="838">
      <c r="F838" s="118"/>
      <c r="O838" s="119"/>
      <c r="P838" s="119"/>
    </row>
    <row r="839">
      <c r="F839" s="118"/>
      <c r="O839" s="119"/>
      <c r="P839" s="119"/>
    </row>
    <row r="840">
      <c r="F840" s="118"/>
      <c r="O840" s="119"/>
      <c r="P840" s="119"/>
    </row>
    <row r="841">
      <c r="F841" s="118"/>
      <c r="O841" s="119"/>
      <c r="P841" s="119"/>
    </row>
    <row r="842">
      <c r="F842" s="118"/>
      <c r="O842" s="119"/>
      <c r="P842" s="119"/>
    </row>
    <row r="843">
      <c r="F843" s="118"/>
      <c r="O843" s="119"/>
      <c r="P843" s="119"/>
    </row>
    <row r="844">
      <c r="F844" s="118"/>
      <c r="O844" s="119"/>
      <c r="P844" s="119"/>
    </row>
    <row r="845">
      <c r="F845" s="118"/>
      <c r="O845" s="119"/>
      <c r="P845" s="119"/>
    </row>
    <row r="846">
      <c r="F846" s="118"/>
      <c r="O846" s="119"/>
      <c r="P846" s="119"/>
    </row>
    <row r="847">
      <c r="F847" s="118"/>
      <c r="O847" s="119"/>
      <c r="P847" s="119"/>
    </row>
    <row r="848">
      <c r="F848" s="118"/>
      <c r="O848" s="119"/>
      <c r="P848" s="119"/>
    </row>
    <row r="849">
      <c r="F849" s="118"/>
      <c r="O849" s="119"/>
      <c r="P849" s="119"/>
    </row>
    <row r="850">
      <c r="F850" s="118"/>
      <c r="O850" s="119"/>
      <c r="P850" s="119"/>
    </row>
    <row r="851">
      <c r="F851" s="118"/>
      <c r="O851" s="119"/>
      <c r="P851" s="119"/>
    </row>
    <row r="852">
      <c r="F852" s="118"/>
      <c r="O852" s="119"/>
      <c r="P852" s="119"/>
    </row>
    <row r="853">
      <c r="F853" s="118"/>
      <c r="O853" s="119"/>
      <c r="P853" s="119"/>
    </row>
    <row r="854">
      <c r="F854" s="118"/>
      <c r="O854" s="119"/>
      <c r="P854" s="119"/>
    </row>
    <row r="855">
      <c r="F855" s="118"/>
      <c r="O855" s="119"/>
      <c r="P855" s="119"/>
    </row>
    <row r="856">
      <c r="F856" s="118"/>
      <c r="O856" s="119"/>
      <c r="P856" s="119"/>
    </row>
    <row r="857">
      <c r="F857" s="118"/>
      <c r="O857" s="119"/>
      <c r="P857" s="119"/>
    </row>
    <row r="858">
      <c r="F858" s="118"/>
      <c r="O858" s="119"/>
      <c r="P858" s="119"/>
    </row>
    <row r="859">
      <c r="F859" s="118"/>
      <c r="O859" s="119"/>
      <c r="P859" s="119"/>
    </row>
    <row r="860">
      <c r="F860" s="118"/>
      <c r="O860" s="119"/>
      <c r="P860" s="119"/>
    </row>
    <row r="861">
      <c r="F861" s="118"/>
      <c r="O861" s="119"/>
      <c r="P861" s="119"/>
    </row>
    <row r="862">
      <c r="F862" s="118"/>
      <c r="O862" s="119"/>
      <c r="P862" s="119"/>
    </row>
    <row r="863">
      <c r="F863" s="118"/>
      <c r="O863" s="119"/>
      <c r="P863" s="119"/>
    </row>
    <row r="864">
      <c r="F864" s="118"/>
      <c r="O864" s="119"/>
      <c r="P864" s="119"/>
    </row>
    <row r="865">
      <c r="F865" s="118"/>
      <c r="O865" s="119"/>
      <c r="P865" s="119"/>
    </row>
    <row r="866">
      <c r="F866" s="118"/>
      <c r="O866" s="119"/>
      <c r="P866" s="119"/>
    </row>
    <row r="867">
      <c r="F867" s="118"/>
      <c r="O867" s="119"/>
      <c r="P867" s="119"/>
    </row>
    <row r="868">
      <c r="F868" s="118"/>
      <c r="O868" s="119"/>
      <c r="P868" s="119"/>
    </row>
    <row r="869">
      <c r="F869" s="118"/>
      <c r="O869" s="119"/>
      <c r="P869" s="119"/>
    </row>
    <row r="870">
      <c r="F870" s="118"/>
      <c r="O870" s="119"/>
      <c r="P870" s="119"/>
    </row>
    <row r="871">
      <c r="F871" s="118"/>
      <c r="O871" s="119"/>
      <c r="P871" s="119"/>
    </row>
    <row r="872">
      <c r="F872" s="118"/>
      <c r="O872" s="119"/>
      <c r="P872" s="119"/>
    </row>
    <row r="873">
      <c r="F873" s="118"/>
      <c r="O873" s="119"/>
      <c r="P873" s="119"/>
    </row>
    <row r="874">
      <c r="F874" s="118"/>
      <c r="O874" s="119"/>
      <c r="P874" s="119"/>
    </row>
    <row r="875">
      <c r="F875" s="118"/>
      <c r="O875" s="119"/>
      <c r="P875" s="119"/>
    </row>
    <row r="876">
      <c r="F876" s="118"/>
      <c r="O876" s="119"/>
      <c r="P876" s="119"/>
    </row>
    <row r="877">
      <c r="F877" s="118"/>
      <c r="O877" s="119"/>
      <c r="P877" s="119"/>
    </row>
    <row r="878">
      <c r="F878" s="118"/>
      <c r="O878" s="119"/>
      <c r="P878" s="119"/>
    </row>
    <row r="879">
      <c r="F879" s="118"/>
      <c r="O879" s="119"/>
      <c r="P879" s="119"/>
    </row>
    <row r="880">
      <c r="F880" s="118"/>
      <c r="O880" s="119"/>
      <c r="P880" s="119"/>
    </row>
    <row r="881">
      <c r="F881" s="118"/>
      <c r="O881" s="119"/>
      <c r="P881" s="119"/>
    </row>
    <row r="882">
      <c r="F882" s="118"/>
      <c r="O882" s="119"/>
      <c r="P882" s="119"/>
    </row>
    <row r="883">
      <c r="F883" s="118"/>
      <c r="O883" s="119"/>
      <c r="P883" s="119"/>
    </row>
    <row r="884">
      <c r="F884" s="118"/>
      <c r="O884" s="119"/>
      <c r="P884" s="119"/>
    </row>
    <row r="885">
      <c r="F885" s="118"/>
      <c r="O885" s="119"/>
      <c r="P885" s="119"/>
    </row>
    <row r="886">
      <c r="F886" s="118"/>
      <c r="O886" s="119"/>
      <c r="P886" s="119"/>
    </row>
    <row r="887">
      <c r="F887" s="118"/>
      <c r="O887" s="119"/>
      <c r="P887" s="119"/>
    </row>
    <row r="888">
      <c r="F888" s="118"/>
      <c r="O888" s="119"/>
      <c r="P888" s="119"/>
    </row>
    <row r="889">
      <c r="F889" s="118"/>
      <c r="O889" s="119"/>
      <c r="P889" s="119"/>
    </row>
    <row r="890">
      <c r="F890" s="118"/>
      <c r="O890" s="119"/>
      <c r="P890" s="119"/>
    </row>
    <row r="891">
      <c r="F891" s="118"/>
      <c r="O891" s="119"/>
      <c r="P891" s="119"/>
    </row>
    <row r="892">
      <c r="F892" s="118"/>
      <c r="O892" s="119"/>
      <c r="P892" s="119"/>
    </row>
    <row r="893">
      <c r="F893" s="118"/>
      <c r="O893" s="119"/>
      <c r="P893" s="119"/>
    </row>
    <row r="894">
      <c r="F894" s="118"/>
      <c r="O894" s="119"/>
      <c r="P894" s="119"/>
    </row>
    <row r="895">
      <c r="F895" s="118"/>
      <c r="O895" s="119"/>
      <c r="P895" s="119"/>
    </row>
    <row r="896">
      <c r="F896" s="118"/>
      <c r="O896" s="119"/>
      <c r="P896" s="119"/>
    </row>
    <row r="897">
      <c r="F897" s="118"/>
      <c r="O897" s="119"/>
      <c r="P897" s="119"/>
    </row>
    <row r="898">
      <c r="F898" s="118"/>
      <c r="O898" s="119"/>
      <c r="P898" s="119"/>
    </row>
    <row r="899">
      <c r="F899" s="118"/>
      <c r="O899" s="119"/>
      <c r="P899" s="119"/>
    </row>
    <row r="900">
      <c r="F900" s="118"/>
      <c r="O900" s="119"/>
      <c r="P900" s="119"/>
    </row>
    <row r="901">
      <c r="F901" s="118"/>
      <c r="O901" s="119"/>
      <c r="P901" s="119"/>
    </row>
    <row r="902">
      <c r="F902" s="118"/>
      <c r="O902" s="119"/>
      <c r="P902" s="119"/>
    </row>
    <row r="903">
      <c r="F903" s="118"/>
      <c r="O903" s="119"/>
      <c r="P903" s="119"/>
    </row>
    <row r="904">
      <c r="F904" s="118"/>
      <c r="O904" s="119"/>
      <c r="P904" s="119"/>
    </row>
    <row r="905">
      <c r="F905" s="118"/>
      <c r="O905" s="119"/>
      <c r="P905" s="119"/>
    </row>
    <row r="906">
      <c r="F906" s="118"/>
      <c r="O906" s="119"/>
      <c r="P906" s="119"/>
    </row>
    <row r="907">
      <c r="F907" s="118"/>
      <c r="O907" s="119"/>
      <c r="P907" s="119"/>
    </row>
    <row r="908">
      <c r="F908" s="118"/>
      <c r="O908" s="119"/>
      <c r="P908" s="119"/>
    </row>
    <row r="909">
      <c r="F909" s="118"/>
      <c r="O909" s="119"/>
      <c r="P909" s="119"/>
    </row>
    <row r="910">
      <c r="F910" s="118"/>
      <c r="O910" s="119"/>
      <c r="P910" s="119"/>
    </row>
    <row r="911">
      <c r="F911" s="118"/>
      <c r="O911" s="119"/>
      <c r="P911" s="119"/>
    </row>
    <row r="912">
      <c r="F912" s="118"/>
      <c r="O912" s="119"/>
      <c r="P912" s="119"/>
    </row>
    <row r="913">
      <c r="F913" s="118"/>
      <c r="O913" s="119"/>
      <c r="P913" s="119"/>
    </row>
    <row r="914">
      <c r="F914" s="118"/>
      <c r="O914" s="119"/>
      <c r="P914" s="119"/>
    </row>
    <row r="915">
      <c r="F915" s="118"/>
      <c r="O915" s="119"/>
      <c r="P915" s="119"/>
    </row>
    <row r="916">
      <c r="F916" s="118"/>
      <c r="O916" s="119"/>
      <c r="P916" s="119"/>
    </row>
    <row r="917">
      <c r="F917" s="118"/>
      <c r="O917" s="119"/>
      <c r="P917" s="119"/>
    </row>
    <row r="918">
      <c r="F918" s="118"/>
      <c r="O918" s="119"/>
      <c r="P918" s="119"/>
    </row>
    <row r="919">
      <c r="F919" s="118"/>
      <c r="O919" s="119"/>
      <c r="P919" s="119"/>
    </row>
    <row r="920">
      <c r="F920" s="118"/>
      <c r="O920" s="119"/>
      <c r="P920" s="119"/>
    </row>
    <row r="921">
      <c r="F921" s="118"/>
      <c r="O921" s="119"/>
      <c r="P921" s="119"/>
    </row>
    <row r="922">
      <c r="F922" s="118"/>
      <c r="O922" s="119"/>
      <c r="P922" s="119"/>
    </row>
    <row r="923">
      <c r="F923" s="118"/>
      <c r="O923" s="119"/>
      <c r="P923" s="119"/>
    </row>
    <row r="924">
      <c r="F924" s="118"/>
      <c r="O924" s="119"/>
      <c r="P924" s="119"/>
    </row>
    <row r="925">
      <c r="F925" s="118"/>
      <c r="O925" s="119"/>
      <c r="P925" s="119"/>
    </row>
    <row r="926">
      <c r="F926" s="118"/>
      <c r="O926" s="119"/>
      <c r="P926" s="119"/>
    </row>
    <row r="927">
      <c r="F927" s="118"/>
      <c r="O927" s="119"/>
      <c r="P927" s="119"/>
    </row>
    <row r="928">
      <c r="F928" s="118"/>
      <c r="O928" s="119"/>
      <c r="P928" s="119"/>
    </row>
    <row r="929">
      <c r="F929" s="118"/>
      <c r="O929" s="119"/>
      <c r="P929" s="119"/>
    </row>
    <row r="930">
      <c r="F930" s="118"/>
      <c r="O930" s="119"/>
      <c r="P930" s="119"/>
    </row>
    <row r="931">
      <c r="F931" s="118"/>
      <c r="O931" s="119"/>
      <c r="P931" s="119"/>
    </row>
    <row r="932">
      <c r="F932" s="118"/>
      <c r="O932" s="119"/>
      <c r="P932" s="119"/>
    </row>
    <row r="933">
      <c r="F933" s="118"/>
      <c r="O933" s="119"/>
      <c r="P933" s="119"/>
    </row>
    <row r="934">
      <c r="F934" s="118"/>
      <c r="O934" s="119"/>
      <c r="P934" s="119"/>
    </row>
    <row r="935">
      <c r="F935" s="118"/>
      <c r="O935" s="119"/>
      <c r="P935" s="119"/>
    </row>
    <row r="936">
      <c r="F936" s="118"/>
      <c r="O936" s="119"/>
      <c r="P936" s="119"/>
    </row>
    <row r="937">
      <c r="F937" s="118"/>
      <c r="O937" s="119"/>
      <c r="P937" s="119"/>
    </row>
    <row r="938">
      <c r="F938" s="118"/>
      <c r="O938" s="119"/>
      <c r="P938" s="119"/>
    </row>
    <row r="939">
      <c r="F939" s="118"/>
      <c r="O939" s="119"/>
      <c r="P939" s="119"/>
    </row>
    <row r="940">
      <c r="F940" s="118"/>
      <c r="O940" s="119"/>
      <c r="P940" s="119"/>
    </row>
    <row r="941">
      <c r="F941" s="118"/>
      <c r="O941" s="119"/>
      <c r="P941" s="119"/>
    </row>
    <row r="942">
      <c r="F942" s="118"/>
      <c r="O942" s="119"/>
      <c r="P942" s="119"/>
    </row>
    <row r="943">
      <c r="F943" s="118"/>
      <c r="O943" s="119"/>
      <c r="P943" s="119"/>
    </row>
    <row r="944">
      <c r="F944" s="118"/>
      <c r="O944" s="119"/>
      <c r="P944" s="119"/>
    </row>
    <row r="945">
      <c r="F945" s="118"/>
      <c r="O945" s="119"/>
      <c r="P945" s="119"/>
    </row>
    <row r="946">
      <c r="F946" s="118"/>
      <c r="O946" s="119"/>
      <c r="P946" s="119"/>
    </row>
    <row r="947">
      <c r="F947" s="118"/>
      <c r="O947" s="119"/>
      <c r="P947" s="119"/>
    </row>
    <row r="948">
      <c r="F948" s="118"/>
      <c r="O948" s="119"/>
      <c r="P948" s="119"/>
    </row>
    <row r="949">
      <c r="F949" s="118"/>
      <c r="O949" s="119"/>
      <c r="P949" s="119"/>
    </row>
    <row r="950">
      <c r="F950" s="118"/>
      <c r="O950" s="119"/>
      <c r="P950" s="119"/>
    </row>
    <row r="951">
      <c r="F951" s="118"/>
      <c r="O951" s="119"/>
      <c r="P951" s="119"/>
    </row>
    <row r="952">
      <c r="F952" s="118"/>
      <c r="O952" s="119"/>
      <c r="P952" s="119"/>
    </row>
    <row r="953">
      <c r="F953" s="118"/>
      <c r="O953" s="119"/>
      <c r="P953" s="119"/>
    </row>
    <row r="954">
      <c r="F954" s="118"/>
      <c r="O954" s="119"/>
      <c r="P954" s="119"/>
    </row>
    <row r="955">
      <c r="F955" s="118"/>
      <c r="O955" s="119"/>
      <c r="P955" s="119"/>
    </row>
    <row r="956">
      <c r="F956" s="118"/>
      <c r="O956" s="119"/>
      <c r="P956" s="119"/>
    </row>
    <row r="957">
      <c r="F957" s="118"/>
      <c r="O957" s="119"/>
      <c r="P957" s="119"/>
    </row>
    <row r="958">
      <c r="F958" s="118"/>
      <c r="O958" s="119"/>
      <c r="P958" s="119"/>
    </row>
    <row r="959">
      <c r="F959" s="118"/>
      <c r="O959" s="119"/>
      <c r="P959" s="119"/>
    </row>
    <row r="960">
      <c r="F960" s="118"/>
      <c r="O960" s="119"/>
      <c r="P960" s="119"/>
    </row>
    <row r="961">
      <c r="F961" s="118"/>
      <c r="O961" s="119"/>
      <c r="P961" s="119"/>
    </row>
    <row r="962">
      <c r="F962" s="118"/>
      <c r="O962" s="119"/>
      <c r="P962" s="119"/>
    </row>
    <row r="963">
      <c r="F963" s="118"/>
      <c r="O963" s="119"/>
      <c r="P963" s="119"/>
    </row>
    <row r="964">
      <c r="F964" s="118"/>
      <c r="O964" s="119"/>
      <c r="P964" s="119"/>
    </row>
    <row r="965">
      <c r="F965" s="118"/>
      <c r="O965" s="119"/>
      <c r="P965" s="119"/>
    </row>
    <row r="966">
      <c r="F966" s="118"/>
      <c r="O966" s="119"/>
      <c r="P966" s="119"/>
    </row>
    <row r="967">
      <c r="F967" s="118"/>
      <c r="O967" s="119"/>
      <c r="P967" s="119"/>
    </row>
    <row r="968">
      <c r="F968" s="118"/>
      <c r="O968" s="119"/>
      <c r="P968" s="119"/>
    </row>
    <row r="969">
      <c r="F969" s="118"/>
      <c r="O969" s="119"/>
      <c r="P969" s="119"/>
    </row>
    <row r="970">
      <c r="F970" s="118"/>
      <c r="O970" s="119"/>
      <c r="P970" s="119"/>
    </row>
    <row r="971">
      <c r="F971" s="118"/>
      <c r="O971" s="119"/>
      <c r="P971" s="119"/>
    </row>
    <row r="972">
      <c r="F972" s="118"/>
      <c r="O972" s="119"/>
      <c r="P972" s="119"/>
    </row>
    <row r="973">
      <c r="F973" s="118"/>
      <c r="O973" s="119"/>
      <c r="P973" s="119"/>
    </row>
    <row r="974">
      <c r="F974" s="118"/>
      <c r="O974" s="119"/>
      <c r="P974" s="119"/>
    </row>
    <row r="975">
      <c r="F975" s="118"/>
      <c r="O975" s="119"/>
      <c r="P975" s="119"/>
    </row>
    <row r="976">
      <c r="F976" s="118"/>
      <c r="O976" s="119"/>
      <c r="P976" s="119"/>
    </row>
    <row r="977">
      <c r="F977" s="118"/>
      <c r="O977" s="119"/>
      <c r="P977" s="119"/>
    </row>
    <row r="978">
      <c r="F978" s="118"/>
      <c r="O978" s="119"/>
      <c r="P978" s="119"/>
    </row>
    <row r="979">
      <c r="F979" s="118"/>
      <c r="O979" s="119"/>
      <c r="P979" s="119"/>
    </row>
    <row r="980">
      <c r="F980" s="118"/>
      <c r="O980" s="119"/>
      <c r="P980" s="119"/>
    </row>
    <row r="981">
      <c r="F981" s="118"/>
      <c r="O981" s="119"/>
      <c r="P981" s="119"/>
    </row>
    <row r="982">
      <c r="F982" s="118"/>
      <c r="O982" s="119"/>
      <c r="P982" s="119"/>
    </row>
    <row r="983">
      <c r="F983" s="118"/>
      <c r="O983" s="119"/>
      <c r="P983" s="119"/>
    </row>
    <row r="984">
      <c r="F984" s="118"/>
      <c r="O984" s="119"/>
      <c r="P984" s="119"/>
    </row>
    <row r="985">
      <c r="F985" s="118"/>
      <c r="O985" s="119"/>
      <c r="P985" s="119"/>
    </row>
    <row r="986">
      <c r="F986" s="118"/>
      <c r="O986" s="119"/>
      <c r="P986" s="119"/>
    </row>
    <row r="987">
      <c r="F987" s="118"/>
      <c r="O987" s="119"/>
      <c r="P987" s="119"/>
    </row>
    <row r="988">
      <c r="F988" s="118"/>
      <c r="O988" s="119"/>
      <c r="P988" s="119"/>
    </row>
    <row r="989">
      <c r="F989" s="118"/>
      <c r="O989" s="119"/>
      <c r="P989" s="119"/>
    </row>
    <row r="990">
      <c r="F990" s="118"/>
      <c r="O990" s="119"/>
      <c r="P990" s="119"/>
    </row>
    <row r="991">
      <c r="F991" s="118"/>
      <c r="O991" s="119"/>
      <c r="P991" s="119"/>
    </row>
    <row r="992">
      <c r="F992" s="118"/>
      <c r="O992" s="119"/>
      <c r="P992" s="119"/>
    </row>
    <row r="993">
      <c r="F993" s="118"/>
      <c r="O993" s="119"/>
      <c r="P993" s="119"/>
    </row>
    <row r="994">
      <c r="F994" s="118"/>
      <c r="O994" s="119"/>
      <c r="P994" s="119"/>
    </row>
    <row r="995">
      <c r="F995" s="118"/>
      <c r="O995" s="119"/>
      <c r="P995" s="119"/>
    </row>
    <row r="996">
      <c r="F996" s="118"/>
      <c r="O996" s="119"/>
      <c r="P996" s="119"/>
    </row>
    <row r="997">
      <c r="F997" s="118"/>
      <c r="O997" s="119"/>
      <c r="P997" s="119"/>
    </row>
    <row r="998">
      <c r="F998" s="118"/>
      <c r="O998" s="119"/>
      <c r="P998" s="119"/>
    </row>
    <row r="999">
      <c r="F999" s="118"/>
      <c r="O999" s="119"/>
      <c r="P999" s="119"/>
    </row>
    <row r="1000">
      <c r="F1000" s="118"/>
      <c r="O1000" s="119"/>
      <c r="P1000" s="119"/>
    </row>
    <row r="1001">
      <c r="F1001" s="118"/>
      <c r="O1001" s="119"/>
      <c r="P1001" s="119"/>
    </row>
  </sheetData>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75"/>
    <col customWidth="1" min="2" max="2" width="7.13"/>
    <col customWidth="1" min="3" max="3" width="12.38"/>
    <col customWidth="1" min="4" max="4" width="14.25"/>
    <col customWidth="1" min="5" max="5" width="17.63"/>
    <col customWidth="1" min="6" max="6" width="10.5"/>
    <col customWidth="1" min="7" max="7" width="13.5"/>
    <col customWidth="1" min="8" max="8" width="6.0"/>
    <col customWidth="1" min="9" max="9" width="46.63"/>
    <col customWidth="1" min="10" max="10" width="24.63"/>
  </cols>
  <sheetData>
    <row r="1">
      <c r="A1" s="1" t="s">
        <v>1</v>
      </c>
      <c r="B1" s="1" t="s">
        <v>2</v>
      </c>
      <c r="C1" s="1" t="s">
        <v>3</v>
      </c>
      <c r="D1" s="1" t="s">
        <v>4</v>
      </c>
      <c r="E1" s="3" t="s">
        <v>6</v>
      </c>
      <c r="F1" s="5" t="s">
        <v>8</v>
      </c>
      <c r="G1" s="1" t="s">
        <v>9</v>
      </c>
      <c r="H1" s="5" t="s">
        <v>10</v>
      </c>
      <c r="I1" s="1" t="s">
        <v>11</v>
      </c>
      <c r="J1" s="1" t="s">
        <v>12</v>
      </c>
      <c r="K1" s="1" t="s">
        <v>13</v>
      </c>
      <c r="L1" s="6"/>
      <c r="M1" s="6"/>
      <c r="N1" s="6"/>
      <c r="O1" s="6"/>
      <c r="P1" s="6"/>
      <c r="Q1" s="6"/>
      <c r="R1" s="6"/>
      <c r="S1" s="6"/>
      <c r="T1" s="6"/>
      <c r="U1" s="6"/>
      <c r="V1" s="6"/>
      <c r="W1" s="6"/>
      <c r="X1" s="6"/>
      <c r="Y1" s="6"/>
      <c r="Z1" s="6"/>
      <c r="AA1" s="6"/>
      <c r="AB1" s="6"/>
      <c r="AC1" s="6"/>
      <c r="AD1" s="6"/>
      <c r="AE1" s="6"/>
      <c r="AF1" s="6"/>
    </row>
    <row r="2">
      <c r="A2" s="9" t="s">
        <v>19</v>
      </c>
      <c r="B2" s="9" t="s">
        <v>20</v>
      </c>
      <c r="C2" s="9" t="s">
        <v>21</v>
      </c>
      <c r="D2" s="9" t="s">
        <v>22</v>
      </c>
      <c r="E2" s="10" t="s">
        <v>23</v>
      </c>
      <c r="F2" s="9">
        <v>7.0</v>
      </c>
      <c r="G2" s="9">
        <v>1.0</v>
      </c>
      <c r="H2" s="12">
        <v>14011.0</v>
      </c>
      <c r="I2" s="19" t="s">
        <v>26</v>
      </c>
      <c r="J2" s="21" t="s">
        <v>53</v>
      </c>
      <c r="K2" s="20"/>
      <c r="L2" s="20"/>
      <c r="M2" s="20"/>
      <c r="N2" s="20"/>
      <c r="O2" s="20"/>
      <c r="P2" s="20"/>
      <c r="Q2" s="20"/>
      <c r="R2" s="20"/>
      <c r="S2" s="20"/>
      <c r="T2" s="20"/>
      <c r="U2" s="20"/>
      <c r="V2" s="20"/>
      <c r="W2" s="20"/>
      <c r="X2" s="20"/>
      <c r="Y2" s="20"/>
      <c r="Z2" s="20"/>
      <c r="AA2" s="20"/>
      <c r="AB2" s="20"/>
      <c r="AC2" s="20"/>
      <c r="AD2" s="20"/>
      <c r="AE2" s="20"/>
      <c r="AF2" s="20"/>
    </row>
    <row r="3">
      <c r="A3" s="11" t="s">
        <v>57</v>
      </c>
      <c r="B3" s="11" t="s">
        <v>20</v>
      </c>
      <c r="C3" s="11" t="s">
        <v>60</v>
      </c>
      <c r="D3" s="11" t="s">
        <v>61</v>
      </c>
      <c r="E3" s="22" t="s">
        <v>62</v>
      </c>
      <c r="F3" s="23">
        <v>0.04</v>
      </c>
      <c r="G3" s="11">
        <v>0.2</v>
      </c>
      <c r="H3" s="11">
        <v>7.0</v>
      </c>
      <c r="I3" s="30" t="s">
        <v>66</v>
      </c>
      <c r="J3" s="11" t="s">
        <v>86</v>
      </c>
    </row>
    <row r="4">
      <c r="A4" s="11" t="s">
        <v>88</v>
      </c>
      <c r="B4" s="11" t="s">
        <v>20</v>
      </c>
      <c r="C4" s="11" t="s">
        <v>89</v>
      </c>
      <c r="D4" s="11" t="s">
        <v>91</v>
      </c>
      <c r="E4" s="22" t="s">
        <v>92</v>
      </c>
      <c r="F4" s="31">
        <v>0.037</v>
      </c>
      <c r="G4" s="11">
        <v>0.5</v>
      </c>
      <c r="H4" s="11">
        <v>116.0</v>
      </c>
      <c r="I4" s="30" t="s">
        <v>95</v>
      </c>
      <c r="J4" s="11" t="s">
        <v>105</v>
      </c>
    </row>
    <row r="5">
      <c r="A5" s="11" t="s">
        <v>57</v>
      </c>
      <c r="B5" s="11" t="s">
        <v>20</v>
      </c>
      <c r="C5" s="11" t="s">
        <v>108</v>
      </c>
      <c r="D5" s="11" t="s">
        <v>109</v>
      </c>
      <c r="E5" s="22" t="s">
        <v>110</v>
      </c>
      <c r="F5" s="23">
        <v>0.04</v>
      </c>
      <c r="G5" s="11">
        <v>0.5</v>
      </c>
      <c r="H5" s="11">
        <v>80.0</v>
      </c>
      <c r="I5" s="30" t="s">
        <v>111</v>
      </c>
      <c r="J5" s="11" t="s">
        <v>120</v>
      </c>
    </row>
    <row r="6">
      <c r="A6" s="11" t="s">
        <v>121</v>
      </c>
      <c r="B6" s="11" t="s">
        <v>20</v>
      </c>
      <c r="C6" s="11" t="s">
        <v>122</v>
      </c>
      <c r="D6" s="11" t="s">
        <v>109</v>
      </c>
      <c r="E6" s="22" t="s">
        <v>125</v>
      </c>
      <c r="F6" s="23">
        <v>0.04</v>
      </c>
      <c r="G6" s="11">
        <v>0.1</v>
      </c>
      <c r="H6" s="11">
        <v>5.1</v>
      </c>
      <c r="I6" s="30" t="s">
        <v>127</v>
      </c>
      <c r="J6" s="11" t="s">
        <v>138</v>
      </c>
    </row>
    <row r="7">
      <c r="A7" s="11" t="s">
        <v>121</v>
      </c>
      <c r="B7" s="11" t="s">
        <v>20</v>
      </c>
      <c r="C7" s="11" t="s">
        <v>60</v>
      </c>
      <c r="D7" s="11" t="s">
        <v>141</v>
      </c>
      <c r="E7" s="22" t="s">
        <v>143</v>
      </c>
      <c r="F7" s="31">
        <v>0.062</v>
      </c>
      <c r="G7" s="36">
        <v>1.0</v>
      </c>
      <c r="H7" s="11">
        <v>801.0</v>
      </c>
      <c r="I7" s="39" t="s">
        <v>145</v>
      </c>
      <c r="J7" s="11" t="s">
        <v>151</v>
      </c>
    </row>
    <row r="8">
      <c r="A8" s="11" t="s">
        <v>57</v>
      </c>
      <c r="B8" s="11" t="s">
        <v>20</v>
      </c>
      <c r="C8" s="11" t="s">
        <v>108</v>
      </c>
      <c r="D8" s="11" t="s">
        <v>154</v>
      </c>
      <c r="E8" s="22" t="s">
        <v>156</v>
      </c>
      <c r="F8" s="31">
        <v>0.082</v>
      </c>
      <c r="G8" s="11">
        <v>0.3</v>
      </c>
      <c r="H8" s="11">
        <v>29.4</v>
      </c>
      <c r="I8" s="30" t="s">
        <v>159</v>
      </c>
      <c r="J8" s="11" t="s">
        <v>164</v>
      </c>
    </row>
    <row r="9">
      <c r="A9" s="11" t="s">
        <v>166</v>
      </c>
      <c r="B9" s="11" t="s">
        <v>20</v>
      </c>
      <c r="C9" s="11" t="s">
        <v>167</v>
      </c>
      <c r="D9" s="11" t="s">
        <v>154</v>
      </c>
      <c r="E9" s="22" t="s">
        <v>156</v>
      </c>
      <c r="F9" s="43">
        <v>0.065</v>
      </c>
      <c r="G9" s="11">
        <v>0.5</v>
      </c>
      <c r="H9" s="11">
        <v>22.0</v>
      </c>
      <c r="I9" s="30" t="s">
        <v>168</v>
      </c>
      <c r="J9" s="11" t="s">
        <v>177</v>
      </c>
    </row>
    <row r="10">
      <c r="A10" s="11" t="s">
        <v>88</v>
      </c>
      <c r="B10" s="11" t="s">
        <v>20</v>
      </c>
      <c r="C10" s="11" t="s">
        <v>178</v>
      </c>
      <c r="D10" s="11" t="s">
        <v>179</v>
      </c>
      <c r="E10" s="22" t="s">
        <v>180</v>
      </c>
      <c r="F10" s="23">
        <v>0.04</v>
      </c>
      <c r="G10" s="11">
        <v>0.1</v>
      </c>
      <c r="H10" s="11">
        <v>0.7</v>
      </c>
      <c r="I10" s="39" t="s">
        <v>181</v>
      </c>
      <c r="J10" s="11" t="s">
        <v>191</v>
      </c>
    </row>
    <row r="11">
      <c r="A11" s="11" t="s">
        <v>166</v>
      </c>
      <c r="B11" s="11" t="s">
        <v>20</v>
      </c>
      <c r="C11" s="11" t="s">
        <v>108</v>
      </c>
      <c r="D11" s="11" t="s">
        <v>192</v>
      </c>
      <c r="E11" s="22" t="s">
        <v>193</v>
      </c>
      <c r="F11" s="23">
        <v>0.04</v>
      </c>
      <c r="G11" s="11">
        <v>0.1</v>
      </c>
      <c r="H11" s="11">
        <v>2.5</v>
      </c>
      <c r="I11" s="39" t="s">
        <v>194</v>
      </c>
      <c r="J11" s="11" t="s">
        <v>201</v>
      </c>
    </row>
    <row r="12">
      <c r="A12" s="11" t="s">
        <v>88</v>
      </c>
      <c r="B12" s="11" t="s">
        <v>20</v>
      </c>
      <c r="C12" s="11" t="s">
        <v>108</v>
      </c>
      <c r="D12" s="11" t="s">
        <v>203</v>
      </c>
      <c r="E12" s="22" t="s">
        <v>204</v>
      </c>
      <c r="F12" s="23">
        <v>0.04</v>
      </c>
      <c r="G12" s="11">
        <v>0.5</v>
      </c>
      <c r="H12" s="11">
        <v>42.0</v>
      </c>
      <c r="I12" s="39" t="s">
        <v>205</v>
      </c>
      <c r="J12" s="11" t="s">
        <v>207</v>
      </c>
    </row>
    <row r="13">
      <c r="A13" s="11" t="s">
        <v>57</v>
      </c>
      <c r="B13" s="11" t="s">
        <v>20</v>
      </c>
      <c r="C13" s="11" t="s">
        <v>184</v>
      </c>
      <c r="D13" s="11" t="s">
        <v>208</v>
      </c>
      <c r="E13" s="22" t="s">
        <v>209</v>
      </c>
      <c r="F13" s="23">
        <v>0.04</v>
      </c>
      <c r="G13" s="11">
        <v>0.1</v>
      </c>
      <c r="H13" s="11">
        <v>0.53</v>
      </c>
      <c r="I13" s="39" t="s">
        <v>189</v>
      </c>
      <c r="J13" s="11" t="s">
        <v>196</v>
      </c>
    </row>
    <row r="14">
      <c r="A14" s="11" t="s">
        <v>57</v>
      </c>
      <c r="B14" s="11" t="s">
        <v>20</v>
      </c>
      <c r="C14" s="11" t="s">
        <v>212</v>
      </c>
      <c r="D14" s="11" t="s">
        <v>213</v>
      </c>
      <c r="E14" s="22" t="s">
        <v>214</v>
      </c>
      <c r="F14" s="23">
        <v>0.04</v>
      </c>
      <c r="G14" s="11">
        <v>0.1</v>
      </c>
      <c r="H14" s="11">
        <v>0.3</v>
      </c>
      <c r="I14" s="39" t="s">
        <v>215</v>
      </c>
      <c r="J14" s="11" t="s">
        <v>217</v>
      </c>
    </row>
    <row r="15">
      <c r="A15" s="11" t="s">
        <v>88</v>
      </c>
      <c r="B15" s="11" t="s">
        <v>20</v>
      </c>
      <c r="C15" s="11" t="s">
        <v>219</v>
      </c>
      <c r="D15" s="11" t="s">
        <v>220</v>
      </c>
      <c r="E15" s="22" t="s">
        <v>221</v>
      </c>
      <c r="F15" s="43">
        <v>0.035</v>
      </c>
      <c r="G15" s="11">
        <v>0.1</v>
      </c>
      <c r="H15" s="11">
        <v>0.13</v>
      </c>
      <c r="I15" s="39" t="s">
        <v>222</v>
      </c>
      <c r="J15" s="11" t="s">
        <v>224</v>
      </c>
    </row>
    <row r="16">
      <c r="A16" s="11" t="s">
        <v>57</v>
      </c>
      <c r="B16" s="11" t="s">
        <v>20</v>
      </c>
      <c r="C16" s="11" t="s">
        <v>225</v>
      </c>
      <c r="D16" s="11" t="s">
        <v>226</v>
      </c>
      <c r="E16" s="22" t="s">
        <v>227</v>
      </c>
      <c r="F16" s="11" t="s">
        <v>228</v>
      </c>
      <c r="G16" s="11">
        <v>1.0</v>
      </c>
      <c r="H16" s="11">
        <v>5122.0</v>
      </c>
      <c r="I16" s="39" t="s">
        <v>229</v>
      </c>
      <c r="J16" s="11" t="s">
        <v>233</v>
      </c>
    </row>
    <row r="17">
      <c r="A17" s="11" t="s">
        <v>57</v>
      </c>
      <c r="B17" s="11" t="s">
        <v>20</v>
      </c>
      <c r="C17" s="11" t="s">
        <v>234</v>
      </c>
      <c r="D17" s="11" t="s">
        <v>235</v>
      </c>
      <c r="E17" s="22" t="s">
        <v>236</v>
      </c>
      <c r="F17" s="43">
        <v>0.043</v>
      </c>
      <c r="G17" s="11">
        <v>0.5</v>
      </c>
      <c r="H17" s="11">
        <v>11403.0</v>
      </c>
      <c r="I17" s="39" t="s">
        <v>237</v>
      </c>
      <c r="J17" s="11" t="s">
        <v>239</v>
      </c>
    </row>
    <row r="18">
      <c r="A18" s="11" t="s">
        <v>240</v>
      </c>
      <c r="B18" s="11" t="s">
        <v>20</v>
      </c>
      <c r="C18" s="11" t="s">
        <v>241</v>
      </c>
      <c r="D18" s="11" t="s">
        <v>22</v>
      </c>
      <c r="E18" s="22" t="s">
        <v>23</v>
      </c>
      <c r="F18" s="23">
        <v>0.12</v>
      </c>
      <c r="G18" s="11">
        <v>1.0</v>
      </c>
      <c r="H18" s="41">
        <v>14011.0</v>
      </c>
      <c r="I18" s="30" t="s">
        <v>243</v>
      </c>
      <c r="J18" s="11" t="s">
        <v>245</v>
      </c>
    </row>
    <row r="19">
      <c r="A19" s="11" t="s">
        <v>166</v>
      </c>
      <c r="B19" s="11" t="s">
        <v>246</v>
      </c>
      <c r="C19" s="11" t="s">
        <v>247</v>
      </c>
      <c r="D19" s="11" t="s">
        <v>248</v>
      </c>
      <c r="E19" s="22" t="s">
        <v>249</v>
      </c>
      <c r="F19" s="11" t="s">
        <v>251</v>
      </c>
      <c r="G19" s="11">
        <v>1.0</v>
      </c>
      <c r="H19" s="11">
        <v>2592.0</v>
      </c>
      <c r="I19" s="30" t="s">
        <v>252</v>
      </c>
      <c r="J19" s="11" t="s">
        <v>258</v>
      </c>
    </row>
    <row r="20">
      <c r="A20" s="11" t="s">
        <v>121</v>
      </c>
      <c r="B20" s="11" t="s">
        <v>20</v>
      </c>
      <c r="C20" s="11" t="s">
        <v>259</v>
      </c>
      <c r="D20" s="11" t="s">
        <v>248</v>
      </c>
      <c r="E20" s="22" t="s">
        <v>249</v>
      </c>
      <c r="F20" s="23">
        <v>0.12</v>
      </c>
      <c r="G20" s="11">
        <v>0.1</v>
      </c>
      <c r="H20" s="11">
        <v>318.0</v>
      </c>
      <c r="I20" s="39" t="s">
        <v>261</v>
      </c>
      <c r="J20" s="11" t="s">
        <v>264</v>
      </c>
      <c r="K20" s="11" t="s">
        <v>265</v>
      </c>
    </row>
    <row r="21">
      <c r="A21" s="11" t="s">
        <v>57</v>
      </c>
      <c r="B21" s="11" t="s">
        <v>20</v>
      </c>
      <c r="C21" s="11" t="s">
        <v>267</v>
      </c>
      <c r="D21" s="11" t="s">
        <v>268</v>
      </c>
      <c r="E21" s="22" t="s">
        <v>269</v>
      </c>
      <c r="F21" s="43">
        <v>0.096</v>
      </c>
      <c r="G21" s="11">
        <v>0.5</v>
      </c>
      <c r="H21" s="11">
        <v>65.0</v>
      </c>
      <c r="I21" s="30" t="s">
        <v>271</v>
      </c>
      <c r="J21" s="11" t="s">
        <v>277</v>
      </c>
    </row>
    <row r="22">
      <c r="A22" s="11" t="s">
        <v>57</v>
      </c>
      <c r="B22" s="11" t="s">
        <v>20</v>
      </c>
      <c r="C22" s="11" t="s">
        <v>278</v>
      </c>
      <c r="D22" s="11" t="s">
        <v>268</v>
      </c>
      <c r="E22" s="22" t="s">
        <v>269</v>
      </c>
      <c r="F22" s="43">
        <v>0.058</v>
      </c>
      <c r="G22" s="11">
        <v>0.5</v>
      </c>
      <c r="H22" s="11">
        <v>35.0</v>
      </c>
      <c r="I22" s="30" t="s">
        <v>279</v>
      </c>
      <c r="J22" s="11" t="s">
        <v>280</v>
      </c>
      <c r="K22" s="11" t="s">
        <v>281</v>
      </c>
    </row>
    <row r="23">
      <c r="A23" s="25" t="s">
        <v>57</v>
      </c>
      <c r="B23" s="25" t="s">
        <v>20</v>
      </c>
      <c r="C23" s="25" t="s">
        <v>282</v>
      </c>
      <c r="D23" s="25" t="s">
        <v>284</v>
      </c>
      <c r="E23" s="22" t="s">
        <v>269</v>
      </c>
      <c r="F23" s="53">
        <v>0.061</v>
      </c>
      <c r="G23" s="25">
        <v>0.5</v>
      </c>
      <c r="H23" s="25">
        <v>73.0</v>
      </c>
      <c r="I23" s="55" t="s">
        <v>285</v>
      </c>
      <c r="J23" s="25" t="s">
        <v>290</v>
      </c>
      <c r="K23" s="11" t="s">
        <v>281</v>
      </c>
      <c r="L23" s="51"/>
      <c r="M23" s="51"/>
      <c r="N23" s="51"/>
      <c r="O23" s="51"/>
      <c r="P23" s="51"/>
      <c r="Q23" s="51"/>
      <c r="R23" s="51"/>
      <c r="S23" s="51"/>
      <c r="T23" s="51"/>
      <c r="U23" s="51"/>
      <c r="V23" s="51"/>
      <c r="W23" s="51"/>
      <c r="X23" s="51"/>
      <c r="Y23" s="51"/>
      <c r="Z23" s="51"/>
      <c r="AA23" s="51"/>
      <c r="AB23" s="51"/>
      <c r="AC23" s="51"/>
      <c r="AD23" s="51"/>
      <c r="AE23" s="51"/>
      <c r="AF23" s="51"/>
    </row>
    <row r="24">
      <c r="A24" s="54" t="s">
        <v>57</v>
      </c>
      <c r="B24" s="54" t="s">
        <v>20</v>
      </c>
      <c r="C24" s="54" t="s">
        <v>292</v>
      </c>
      <c r="D24" s="54" t="s">
        <v>268</v>
      </c>
      <c r="E24" s="22" t="s">
        <v>269</v>
      </c>
      <c r="F24" s="58">
        <v>0.04</v>
      </c>
      <c r="G24" s="59">
        <v>1.0</v>
      </c>
      <c r="H24" s="59">
        <v>354.0</v>
      </c>
      <c r="I24" s="57" t="s">
        <v>293</v>
      </c>
      <c r="J24" s="62" t="s">
        <v>297</v>
      </c>
      <c r="L24" s="62"/>
      <c r="M24" s="54"/>
      <c r="N24" s="54"/>
      <c r="O24" s="54"/>
      <c r="P24" s="54"/>
      <c r="Q24" s="54"/>
      <c r="R24" s="54"/>
      <c r="S24" s="54"/>
      <c r="T24" s="54"/>
      <c r="U24" s="54"/>
      <c r="V24" s="54"/>
      <c r="W24" s="54"/>
      <c r="X24" s="54"/>
      <c r="Y24" s="54"/>
      <c r="Z24" s="54"/>
      <c r="AA24" s="54"/>
      <c r="AB24" s="54"/>
      <c r="AC24" s="54"/>
      <c r="AD24" s="54"/>
      <c r="AE24" s="54"/>
      <c r="AF24" s="54"/>
    </row>
    <row r="25">
      <c r="A25" s="11" t="s">
        <v>300</v>
      </c>
      <c r="B25" s="11" t="s">
        <v>20</v>
      </c>
      <c r="C25" s="11" t="s">
        <v>68</v>
      </c>
      <c r="D25" s="11" t="s">
        <v>301</v>
      </c>
      <c r="E25" s="22" t="s">
        <v>302</v>
      </c>
      <c r="F25" s="23">
        <v>0.04</v>
      </c>
      <c r="G25" s="11">
        <v>0.5</v>
      </c>
      <c r="H25" s="11">
        <v>20.0</v>
      </c>
      <c r="I25" s="39" t="s">
        <v>303</v>
      </c>
      <c r="J25" s="11" t="s">
        <v>307</v>
      </c>
    </row>
    <row r="26">
      <c r="A26" s="11" t="s">
        <v>88</v>
      </c>
      <c r="B26" s="11" t="s">
        <v>20</v>
      </c>
      <c r="C26" s="11" t="s">
        <v>309</v>
      </c>
      <c r="D26" s="11" t="s">
        <v>294</v>
      </c>
      <c r="E26" s="22" t="s">
        <v>310</v>
      </c>
      <c r="F26" s="23">
        <v>0.07</v>
      </c>
      <c r="G26" s="11">
        <v>0.1</v>
      </c>
      <c r="H26" s="11">
        <v>5.0</v>
      </c>
      <c r="I26" s="30" t="s">
        <v>311</v>
      </c>
      <c r="J26" s="11" t="s">
        <v>314</v>
      </c>
    </row>
    <row r="27">
      <c r="A27" s="11" t="s">
        <v>121</v>
      </c>
      <c r="B27" s="11" t="s">
        <v>20</v>
      </c>
      <c r="C27" s="11" t="s">
        <v>316</v>
      </c>
      <c r="D27" s="11" t="s">
        <v>317</v>
      </c>
      <c r="E27" s="22" t="s">
        <v>318</v>
      </c>
      <c r="F27" s="23">
        <v>0.12</v>
      </c>
      <c r="G27" s="11">
        <v>0.3</v>
      </c>
      <c r="H27" s="11">
        <v>97.0</v>
      </c>
      <c r="I27" s="30" t="s">
        <v>319</v>
      </c>
      <c r="J27" s="11" t="s">
        <v>320</v>
      </c>
      <c r="K27" s="11" t="s">
        <v>322</v>
      </c>
    </row>
    <row r="28">
      <c r="A28" s="11" t="s">
        <v>121</v>
      </c>
      <c r="B28" s="11" t="s">
        <v>20</v>
      </c>
      <c r="C28" s="11" t="s">
        <v>323</v>
      </c>
      <c r="D28" s="11" t="s">
        <v>317</v>
      </c>
      <c r="E28" s="22" t="s">
        <v>318</v>
      </c>
      <c r="F28" s="23">
        <v>0.12</v>
      </c>
      <c r="G28" s="11">
        <v>0.3</v>
      </c>
      <c r="H28" s="11">
        <v>97.0</v>
      </c>
      <c r="I28" s="30" t="s">
        <v>319</v>
      </c>
      <c r="J28" s="11" t="s">
        <v>320</v>
      </c>
      <c r="K28" s="11" t="s">
        <v>322</v>
      </c>
    </row>
    <row r="29">
      <c r="A29" s="11" t="s">
        <v>121</v>
      </c>
      <c r="B29" s="11" t="s">
        <v>20</v>
      </c>
      <c r="C29" s="11" t="s">
        <v>324</v>
      </c>
      <c r="D29" s="11" t="s">
        <v>317</v>
      </c>
      <c r="E29" s="22" t="s">
        <v>318</v>
      </c>
      <c r="F29" s="23">
        <v>0.12</v>
      </c>
      <c r="G29" s="11">
        <v>0.3</v>
      </c>
      <c r="H29" s="11">
        <v>97.0</v>
      </c>
      <c r="I29" s="30" t="s">
        <v>319</v>
      </c>
      <c r="J29" s="11" t="s">
        <v>320</v>
      </c>
      <c r="K29" s="11" t="s">
        <v>322</v>
      </c>
    </row>
    <row r="30">
      <c r="A30" s="11" t="s">
        <v>121</v>
      </c>
      <c r="B30" s="11" t="s">
        <v>20</v>
      </c>
      <c r="C30" s="11" t="s">
        <v>325</v>
      </c>
      <c r="D30" s="11" t="s">
        <v>317</v>
      </c>
      <c r="E30" s="22" t="s">
        <v>318</v>
      </c>
      <c r="F30" s="23">
        <v>0.12</v>
      </c>
      <c r="G30" s="11">
        <v>0.3</v>
      </c>
      <c r="H30" s="11">
        <v>97.0</v>
      </c>
      <c r="I30" s="30" t="s">
        <v>319</v>
      </c>
      <c r="J30" s="11" t="s">
        <v>320</v>
      </c>
      <c r="K30" s="11" t="s">
        <v>322</v>
      </c>
    </row>
    <row r="31">
      <c r="A31" s="11" t="s">
        <v>121</v>
      </c>
      <c r="B31" s="11" t="s">
        <v>20</v>
      </c>
      <c r="C31" s="11" t="s">
        <v>326</v>
      </c>
      <c r="D31" s="11" t="s">
        <v>317</v>
      </c>
      <c r="E31" s="22" t="s">
        <v>318</v>
      </c>
      <c r="F31" s="23">
        <v>0.12</v>
      </c>
      <c r="G31" s="11">
        <v>0.3</v>
      </c>
      <c r="H31" s="11">
        <v>97.0</v>
      </c>
      <c r="I31" s="30" t="s">
        <v>319</v>
      </c>
      <c r="J31" s="11" t="s">
        <v>320</v>
      </c>
      <c r="K31" s="11" t="s">
        <v>322</v>
      </c>
    </row>
    <row r="32">
      <c r="A32" s="11" t="s">
        <v>121</v>
      </c>
      <c r="B32" s="11" t="s">
        <v>20</v>
      </c>
      <c r="C32" s="11" t="s">
        <v>331</v>
      </c>
      <c r="D32" s="11" t="s">
        <v>317</v>
      </c>
      <c r="E32" s="22" t="s">
        <v>318</v>
      </c>
      <c r="F32" s="23">
        <v>0.12</v>
      </c>
      <c r="G32" s="11">
        <v>0.3</v>
      </c>
      <c r="H32" s="11">
        <v>97.0</v>
      </c>
      <c r="I32" s="30" t="s">
        <v>319</v>
      </c>
      <c r="J32" s="11" t="s">
        <v>320</v>
      </c>
      <c r="K32" s="11" t="s">
        <v>322</v>
      </c>
    </row>
    <row r="33">
      <c r="A33" s="11" t="s">
        <v>121</v>
      </c>
      <c r="B33" s="11" t="s">
        <v>20</v>
      </c>
      <c r="C33" s="11" t="s">
        <v>334</v>
      </c>
      <c r="D33" s="11" t="s">
        <v>317</v>
      </c>
      <c r="E33" s="22" t="s">
        <v>318</v>
      </c>
      <c r="F33" s="23">
        <v>0.12</v>
      </c>
      <c r="G33" s="11">
        <v>0.3</v>
      </c>
      <c r="H33" s="11">
        <v>97.0</v>
      </c>
      <c r="I33" s="30" t="s">
        <v>319</v>
      </c>
      <c r="J33" s="11" t="s">
        <v>320</v>
      </c>
      <c r="K33" s="11" t="s">
        <v>322</v>
      </c>
    </row>
    <row r="34">
      <c r="A34" s="11" t="s">
        <v>121</v>
      </c>
      <c r="B34" s="11" t="s">
        <v>20</v>
      </c>
      <c r="C34" s="11" t="s">
        <v>335</v>
      </c>
      <c r="D34" s="11" t="s">
        <v>317</v>
      </c>
      <c r="E34" s="22" t="s">
        <v>318</v>
      </c>
      <c r="F34" s="23">
        <v>0.12</v>
      </c>
      <c r="G34" s="11">
        <v>0.3</v>
      </c>
      <c r="H34" s="11">
        <v>97.0</v>
      </c>
      <c r="I34" s="30" t="s">
        <v>319</v>
      </c>
      <c r="J34" s="11" t="s">
        <v>320</v>
      </c>
      <c r="K34" s="11" t="s">
        <v>322</v>
      </c>
    </row>
    <row r="35">
      <c r="A35" s="11" t="s">
        <v>121</v>
      </c>
      <c r="B35" s="11" t="s">
        <v>20</v>
      </c>
      <c r="C35" s="11" t="s">
        <v>336</v>
      </c>
      <c r="D35" s="11" t="s">
        <v>317</v>
      </c>
      <c r="E35" s="22" t="s">
        <v>318</v>
      </c>
      <c r="F35" s="23">
        <v>0.12</v>
      </c>
      <c r="G35" s="11">
        <v>0.3</v>
      </c>
      <c r="H35" s="11">
        <v>97.0</v>
      </c>
      <c r="I35" s="30" t="s">
        <v>319</v>
      </c>
      <c r="J35" s="11" t="s">
        <v>320</v>
      </c>
      <c r="K35" s="11" t="s">
        <v>322</v>
      </c>
    </row>
    <row r="36">
      <c r="A36" s="11" t="s">
        <v>121</v>
      </c>
      <c r="B36" s="11" t="s">
        <v>20</v>
      </c>
      <c r="C36" s="11" t="s">
        <v>337</v>
      </c>
      <c r="D36" s="11" t="s">
        <v>317</v>
      </c>
      <c r="E36" s="22" t="s">
        <v>318</v>
      </c>
      <c r="F36" s="23">
        <v>0.12</v>
      </c>
      <c r="G36" s="11">
        <v>0.3</v>
      </c>
      <c r="H36" s="11">
        <v>97.0</v>
      </c>
      <c r="I36" s="30" t="s">
        <v>319</v>
      </c>
      <c r="J36" s="11" t="s">
        <v>320</v>
      </c>
    </row>
    <row r="37">
      <c r="A37" s="11" t="s">
        <v>121</v>
      </c>
      <c r="B37" s="11" t="s">
        <v>20</v>
      </c>
      <c r="C37" s="11" t="s">
        <v>339</v>
      </c>
      <c r="D37" s="11" t="s">
        <v>317</v>
      </c>
      <c r="E37" s="22" t="s">
        <v>318</v>
      </c>
      <c r="F37" s="23">
        <v>0.12</v>
      </c>
      <c r="G37" s="11">
        <v>0.3</v>
      </c>
      <c r="H37" s="11">
        <v>97.0</v>
      </c>
      <c r="I37" s="30" t="s">
        <v>319</v>
      </c>
      <c r="J37" s="11" t="s">
        <v>320</v>
      </c>
    </row>
    <row r="38">
      <c r="A38" s="11" t="s">
        <v>57</v>
      </c>
      <c r="B38" s="11" t="s">
        <v>20</v>
      </c>
      <c r="C38" s="11" t="s">
        <v>341</v>
      </c>
      <c r="D38" s="11" t="s">
        <v>317</v>
      </c>
      <c r="E38" s="22" t="s">
        <v>342</v>
      </c>
      <c r="F38" s="23">
        <v>0.12</v>
      </c>
      <c r="G38" s="11">
        <v>0.5</v>
      </c>
      <c r="H38" s="11">
        <v>1729.0</v>
      </c>
      <c r="I38" s="30" t="s">
        <v>343</v>
      </c>
      <c r="J38" s="11" t="s">
        <v>345</v>
      </c>
    </row>
    <row r="39">
      <c r="A39" s="11" t="s">
        <v>346</v>
      </c>
      <c r="B39" s="11" t="s">
        <v>20</v>
      </c>
      <c r="C39" s="11" t="s">
        <v>347</v>
      </c>
      <c r="D39" s="11" t="s">
        <v>317</v>
      </c>
      <c r="E39" s="22" t="s">
        <v>318</v>
      </c>
      <c r="F39" s="23">
        <v>0.12</v>
      </c>
      <c r="G39" s="11" t="s">
        <v>188</v>
      </c>
      <c r="H39" s="11" t="s">
        <v>188</v>
      </c>
      <c r="I39" s="39" t="s">
        <v>348</v>
      </c>
      <c r="J39" s="11" t="s">
        <v>350</v>
      </c>
      <c r="K39" s="67" t="s">
        <v>351</v>
      </c>
    </row>
    <row r="40">
      <c r="A40" s="11" t="s">
        <v>352</v>
      </c>
      <c r="B40" s="11" t="s">
        <v>20</v>
      </c>
      <c r="C40" s="11" t="s">
        <v>353</v>
      </c>
      <c r="D40" s="11" t="s">
        <v>317</v>
      </c>
      <c r="E40" s="22" t="s">
        <v>318</v>
      </c>
      <c r="F40" s="23">
        <v>0.12</v>
      </c>
      <c r="G40" s="11">
        <v>1.0</v>
      </c>
      <c r="H40" s="11">
        <v>1641.0</v>
      </c>
      <c r="I40" s="30" t="s">
        <v>354</v>
      </c>
      <c r="J40" s="11" t="s">
        <v>356</v>
      </c>
    </row>
    <row r="41">
      <c r="A41" s="11" t="s">
        <v>357</v>
      </c>
      <c r="B41" s="11" t="s">
        <v>358</v>
      </c>
      <c r="C41" s="11" t="s">
        <v>359</v>
      </c>
      <c r="D41" s="11" t="s">
        <v>360</v>
      </c>
      <c r="E41" s="22" t="s">
        <v>361</v>
      </c>
      <c r="F41" s="23">
        <v>0.08</v>
      </c>
      <c r="G41" s="11">
        <v>0.25</v>
      </c>
      <c r="H41" s="11">
        <v>4.0</v>
      </c>
      <c r="I41" s="30" t="s">
        <v>362</v>
      </c>
      <c r="J41" s="11" t="s">
        <v>364</v>
      </c>
    </row>
    <row r="42">
      <c r="A42" s="11" t="s">
        <v>365</v>
      </c>
      <c r="B42" s="11" t="s">
        <v>358</v>
      </c>
      <c r="C42" s="11" t="s">
        <v>366</v>
      </c>
      <c r="D42" s="11" t="s">
        <v>360</v>
      </c>
      <c r="E42" s="22" t="s">
        <v>361</v>
      </c>
      <c r="F42" s="23">
        <v>0.08</v>
      </c>
      <c r="G42" s="11">
        <v>1.0</v>
      </c>
      <c r="H42" s="11">
        <v>360.0</v>
      </c>
      <c r="I42" s="30" t="s">
        <v>368</v>
      </c>
      <c r="J42" s="11" t="s">
        <v>372</v>
      </c>
    </row>
    <row r="43">
      <c r="A43" s="11" t="s">
        <v>373</v>
      </c>
      <c r="B43" s="11" t="s">
        <v>358</v>
      </c>
      <c r="C43" s="11" t="s">
        <v>374</v>
      </c>
      <c r="D43" s="11" t="s">
        <v>375</v>
      </c>
      <c r="E43" s="22" t="s">
        <v>376</v>
      </c>
      <c r="F43" s="23">
        <v>0.12</v>
      </c>
      <c r="G43" s="11">
        <v>1.0</v>
      </c>
      <c r="H43" s="41">
        <v>425600.0</v>
      </c>
      <c r="I43" s="30" t="s">
        <v>377</v>
      </c>
      <c r="J43" s="11" t="s">
        <v>380</v>
      </c>
    </row>
    <row r="44">
      <c r="A44" s="11" t="s">
        <v>381</v>
      </c>
      <c r="B44" s="11" t="s">
        <v>358</v>
      </c>
      <c r="C44" s="11" t="s">
        <v>382</v>
      </c>
      <c r="D44" s="11" t="s">
        <v>383</v>
      </c>
      <c r="E44" s="22" t="s">
        <v>384</v>
      </c>
      <c r="F44" s="43">
        <v>0.026</v>
      </c>
      <c r="G44" s="11" t="s">
        <v>188</v>
      </c>
      <c r="H44" s="11" t="s">
        <v>188</v>
      </c>
      <c r="I44" s="30" t="s">
        <v>385</v>
      </c>
      <c r="J44" s="11" t="s">
        <v>386</v>
      </c>
    </row>
    <row r="45">
      <c r="A45" s="11" t="s">
        <v>387</v>
      </c>
      <c r="B45" s="11" t="s">
        <v>358</v>
      </c>
      <c r="C45" s="11" t="s">
        <v>388</v>
      </c>
      <c r="D45" s="11" t="s">
        <v>389</v>
      </c>
      <c r="E45" s="22" t="s">
        <v>390</v>
      </c>
      <c r="F45" s="23">
        <v>0.0423461538461539</v>
      </c>
      <c r="G45" s="11" t="s">
        <v>188</v>
      </c>
      <c r="H45" s="11" t="s">
        <v>188</v>
      </c>
      <c r="I45" s="30" t="s">
        <v>391</v>
      </c>
      <c r="J45" s="11" t="s">
        <v>392</v>
      </c>
    </row>
    <row r="46">
      <c r="A46" s="11" t="s">
        <v>393</v>
      </c>
      <c r="B46" s="11" t="s">
        <v>358</v>
      </c>
      <c r="C46" s="11" t="s">
        <v>394</v>
      </c>
      <c r="D46" s="11" t="s">
        <v>395</v>
      </c>
      <c r="E46" s="22" t="s">
        <v>209</v>
      </c>
      <c r="F46" s="11">
        <v>4.0</v>
      </c>
      <c r="G46" s="11">
        <v>0.1</v>
      </c>
      <c r="H46" s="11">
        <v>2.0</v>
      </c>
      <c r="I46" s="30" t="s">
        <v>396</v>
      </c>
      <c r="J46" s="11" t="s">
        <v>398</v>
      </c>
    </row>
    <row r="47">
      <c r="A47" s="11" t="s">
        <v>387</v>
      </c>
      <c r="B47" s="11" t="s">
        <v>358</v>
      </c>
      <c r="C47" s="11" t="s">
        <v>399</v>
      </c>
      <c r="D47" s="11" t="s">
        <v>248</v>
      </c>
      <c r="E47" s="22" t="s">
        <v>249</v>
      </c>
      <c r="F47" s="11">
        <v>12.0</v>
      </c>
      <c r="G47" s="11">
        <v>1.0</v>
      </c>
      <c r="H47" s="11">
        <v>2474.0</v>
      </c>
      <c r="I47" s="30" t="s">
        <v>400</v>
      </c>
      <c r="J47" s="11" t="s">
        <v>401</v>
      </c>
    </row>
    <row r="48">
      <c r="A48" s="11" t="s">
        <v>402</v>
      </c>
      <c r="B48" s="11" t="s">
        <v>358</v>
      </c>
      <c r="C48" s="74" t="s">
        <v>404</v>
      </c>
      <c r="D48" s="11" t="s">
        <v>405</v>
      </c>
      <c r="E48" s="22" t="s">
        <v>407</v>
      </c>
      <c r="F48" s="11" t="s">
        <v>188</v>
      </c>
      <c r="G48" s="11" t="s">
        <v>188</v>
      </c>
      <c r="H48" s="11" t="s">
        <v>188</v>
      </c>
      <c r="I48" s="30" t="s">
        <v>408</v>
      </c>
      <c r="J48" s="11" t="s">
        <v>410</v>
      </c>
      <c r="K48" s="11" t="s">
        <v>411</v>
      </c>
    </row>
    <row r="49">
      <c r="A49" s="11" t="s">
        <v>365</v>
      </c>
      <c r="B49" s="11" t="s">
        <v>358</v>
      </c>
      <c r="C49" s="11" t="s">
        <v>412</v>
      </c>
      <c r="D49" s="11" t="s">
        <v>208</v>
      </c>
      <c r="E49" s="22" t="s">
        <v>209</v>
      </c>
      <c r="F49" s="11" t="s">
        <v>188</v>
      </c>
      <c r="G49" s="11" t="s">
        <v>188</v>
      </c>
      <c r="H49" s="11">
        <v>3.4</v>
      </c>
      <c r="I49" s="30" t="s">
        <v>413</v>
      </c>
      <c r="J49" s="11" t="s">
        <v>414</v>
      </c>
    </row>
    <row r="50">
      <c r="A50" s="11" t="s">
        <v>365</v>
      </c>
      <c r="B50" s="11" t="s">
        <v>358</v>
      </c>
      <c r="C50" s="11" t="s">
        <v>399</v>
      </c>
      <c r="D50" s="11" t="s">
        <v>22</v>
      </c>
      <c r="E50" s="22" t="s">
        <v>23</v>
      </c>
      <c r="F50" s="11">
        <v>12.0</v>
      </c>
      <c r="G50" s="11">
        <v>1.0</v>
      </c>
      <c r="H50" s="41">
        <v>433.0</v>
      </c>
      <c r="I50" s="30" t="s">
        <v>415</v>
      </c>
      <c r="J50" s="11" t="s">
        <v>419</v>
      </c>
    </row>
    <row r="51">
      <c r="A51" s="11" t="s">
        <v>381</v>
      </c>
      <c r="B51" s="11" t="s">
        <v>20</v>
      </c>
      <c r="C51" s="11" t="s">
        <v>420</v>
      </c>
      <c r="D51" s="11" t="s">
        <v>235</v>
      </c>
      <c r="E51" s="22" t="s">
        <v>236</v>
      </c>
      <c r="F51" s="11" t="s">
        <v>188</v>
      </c>
      <c r="G51" s="11" t="s">
        <v>188</v>
      </c>
      <c r="H51" s="11" t="s">
        <v>188</v>
      </c>
      <c r="I51" s="30" t="s">
        <v>421</v>
      </c>
      <c r="J51" s="25" t="s">
        <v>428</v>
      </c>
    </row>
    <row r="52">
      <c r="A52" s="11" t="s">
        <v>429</v>
      </c>
      <c r="B52" s="11" t="s">
        <v>358</v>
      </c>
      <c r="C52" s="11" t="s">
        <v>430</v>
      </c>
      <c r="D52" s="11" t="s">
        <v>431</v>
      </c>
      <c r="E52" s="22" t="s">
        <v>318</v>
      </c>
      <c r="F52" s="11" t="s">
        <v>188</v>
      </c>
      <c r="G52" s="11" t="s">
        <v>188</v>
      </c>
      <c r="H52" s="11" t="s">
        <v>188</v>
      </c>
      <c r="I52" s="30" t="s">
        <v>433</v>
      </c>
      <c r="J52" s="11" t="s">
        <v>438</v>
      </c>
    </row>
    <row r="53">
      <c r="A53" s="11" t="s">
        <v>429</v>
      </c>
      <c r="B53" s="11" t="s">
        <v>358</v>
      </c>
      <c r="C53" s="11" t="s">
        <v>439</v>
      </c>
      <c r="D53" s="11" t="s">
        <v>248</v>
      </c>
      <c r="E53" s="22" t="s">
        <v>249</v>
      </c>
      <c r="F53" s="11" t="s">
        <v>188</v>
      </c>
      <c r="G53" s="11" t="s">
        <v>188</v>
      </c>
      <c r="H53" s="11" t="s">
        <v>188</v>
      </c>
      <c r="I53" s="30" t="s">
        <v>433</v>
      </c>
      <c r="J53" s="11" t="s">
        <v>438</v>
      </c>
      <c r="K53" s="11" t="s">
        <v>441</v>
      </c>
    </row>
    <row r="54">
      <c r="A54" s="11" t="s">
        <v>442</v>
      </c>
      <c r="B54" s="11" t="s">
        <v>358</v>
      </c>
      <c r="C54" s="11" t="s">
        <v>443</v>
      </c>
      <c r="D54" s="11" t="s">
        <v>141</v>
      </c>
      <c r="E54" s="22" t="s">
        <v>143</v>
      </c>
      <c r="F54" s="11" t="s">
        <v>188</v>
      </c>
      <c r="G54" s="11" t="s">
        <v>188</v>
      </c>
      <c r="H54" s="11" t="s">
        <v>188</v>
      </c>
      <c r="I54" s="30" t="s">
        <v>445</v>
      </c>
      <c r="J54" s="11" t="s">
        <v>450</v>
      </c>
      <c r="K54" s="11" t="s">
        <v>451</v>
      </c>
    </row>
    <row r="55">
      <c r="A55" s="11" t="s">
        <v>442</v>
      </c>
      <c r="B55" s="11" t="s">
        <v>358</v>
      </c>
      <c r="C55" s="11" t="s">
        <v>453</v>
      </c>
      <c r="D55" s="11" t="s">
        <v>141</v>
      </c>
      <c r="E55" s="22" t="s">
        <v>143</v>
      </c>
      <c r="F55" s="11" t="s">
        <v>188</v>
      </c>
      <c r="G55" s="11" t="s">
        <v>188</v>
      </c>
      <c r="H55" s="11" t="s">
        <v>188</v>
      </c>
      <c r="I55" s="30" t="s">
        <v>445</v>
      </c>
      <c r="J55" s="11" t="s">
        <v>450</v>
      </c>
      <c r="K55" s="11" t="s">
        <v>455</v>
      </c>
    </row>
    <row r="56">
      <c r="A56" s="11" t="s">
        <v>442</v>
      </c>
      <c r="B56" s="11" t="s">
        <v>358</v>
      </c>
      <c r="C56" s="11" t="s">
        <v>457</v>
      </c>
      <c r="D56" s="11" t="s">
        <v>141</v>
      </c>
      <c r="E56" s="22" t="s">
        <v>143</v>
      </c>
      <c r="F56" s="11" t="s">
        <v>188</v>
      </c>
      <c r="G56" s="11" t="s">
        <v>188</v>
      </c>
      <c r="H56" s="11" t="s">
        <v>188</v>
      </c>
      <c r="I56" s="30" t="s">
        <v>445</v>
      </c>
      <c r="J56" s="11" t="s">
        <v>450</v>
      </c>
      <c r="K56" s="11" t="s">
        <v>458</v>
      </c>
    </row>
    <row r="57">
      <c r="A57" s="11" t="s">
        <v>459</v>
      </c>
      <c r="B57" s="11" t="s">
        <v>358</v>
      </c>
      <c r="C57" s="11" t="s">
        <v>460</v>
      </c>
      <c r="D57" s="11" t="s">
        <v>461</v>
      </c>
      <c r="E57" s="22" t="s">
        <v>221</v>
      </c>
      <c r="F57" s="11" t="s">
        <v>463</v>
      </c>
      <c r="G57" s="11" t="s">
        <v>188</v>
      </c>
      <c r="H57" s="11" t="s">
        <v>188</v>
      </c>
      <c r="I57" s="30" t="s">
        <v>464</v>
      </c>
      <c r="J57" s="11" t="s">
        <v>468</v>
      </c>
    </row>
    <row r="58">
      <c r="A58" s="11" t="s">
        <v>469</v>
      </c>
      <c r="B58" s="11" t="s">
        <v>358</v>
      </c>
      <c r="C58" s="11" t="s">
        <v>89</v>
      </c>
      <c r="D58" s="11" t="s">
        <v>470</v>
      </c>
      <c r="E58" s="22" t="s">
        <v>471</v>
      </c>
      <c r="F58" s="11">
        <v>3.4</v>
      </c>
      <c r="G58" s="11" t="s">
        <v>188</v>
      </c>
      <c r="H58" s="11" t="s">
        <v>188</v>
      </c>
      <c r="I58" s="30" t="s">
        <v>473</v>
      </c>
      <c r="J58" s="11" t="s">
        <v>476</v>
      </c>
    </row>
    <row r="59">
      <c r="A59" s="11" t="s">
        <v>478</v>
      </c>
      <c r="B59" s="11" t="s">
        <v>358</v>
      </c>
      <c r="C59" s="11" t="s">
        <v>388</v>
      </c>
      <c r="D59" s="11" t="s">
        <v>480</v>
      </c>
      <c r="E59" s="22" t="s">
        <v>481</v>
      </c>
      <c r="F59" s="11">
        <v>4.6</v>
      </c>
      <c r="G59" s="11">
        <v>0.5</v>
      </c>
      <c r="H59" s="11">
        <v>706.0</v>
      </c>
      <c r="I59" s="30" t="s">
        <v>482</v>
      </c>
      <c r="J59" s="11" t="s">
        <v>486</v>
      </c>
      <c r="K59" s="11" t="s">
        <v>487</v>
      </c>
    </row>
    <row r="60">
      <c r="A60" s="11" t="s">
        <v>488</v>
      </c>
      <c r="B60" s="11" t="s">
        <v>489</v>
      </c>
      <c r="C60" s="11" t="s">
        <v>491</v>
      </c>
      <c r="D60" s="11" t="s">
        <v>492</v>
      </c>
      <c r="E60" s="22" t="s">
        <v>156</v>
      </c>
      <c r="F60" s="11" t="s">
        <v>188</v>
      </c>
      <c r="G60" s="11" t="s">
        <v>188</v>
      </c>
      <c r="H60" s="11" t="s">
        <v>188</v>
      </c>
      <c r="I60" s="30" t="s">
        <v>493</v>
      </c>
      <c r="J60" s="11" t="s">
        <v>500</v>
      </c>
      <c r="K60" s="39" t="s">
        <v>501</v>
      </c>
    </row>
    <row r="61">
      <c r="A61" s="11" t="s">
        <v>503</v>
      </c>
      <c r="B61" s="11" t="s">
        <v>489</v>
      </c>
      <c r="C61" s="11" t="s">
        <v>504</v>
      </c>
      <c r="D61" s="11" t="s">
        <v>505</v>
      </c>
      <c r="E61" s="22" t="s">
        <v>506</v>
      </c>
      <c r="F61" s="11">
        <v>7.0</v>
      </c>
      <c r="G61" s="11" t="s">
        <v>188</v>
      </c>
      <c r="H61" s="11" t="s">
        <v>188</v>
      </c>
      <c r="I61" s="30" t="s">
        <v>507</v>
      </c>
      <c r="J61" s="11" t="s">
        <v>511</v>
      </c>
      <c r="K61" s="39" t="s">
        <v>512</v>
      </c>
    </row>
    <row r="62">
      <c r="A62" s="11" t="s">
        <v>513</v>
      </c>
      <c r="B62" s="11" t="s">
        <v>515</v>
      </c>
      <c r="C62" s="11" t="s">
        <v>516</v>
      </c>
      <c r="D62" s="11" t="s">
        <v>154</v>
      </c>
      <c r="E62" s="22" t="s">
        <v>156</v>
      </c>
      <c r="F62" s="11" t="s">
        <v>188</v>
      </c>
      <c r="G62" s="11" t="s">
        <v>188</v>
      </c>
      <c r="H62" s="11" t="s">
        <v>188</v>
      </c>
      <c r="I62" s="30" t="s">
        <v>518</v>
      </c>
      <c r="J62" s="11" t="s">
        <v>521</v>
      </c>
    </row>
    <row r="63">
      <c r="A63" s="11" t="s">
        <v>523</v>
      </c>
      <c r="B63" s="11" t="s">
        <v>489</v>
      </c>
      <c r="C63" s="11" t="s">
        <v>524</v>
      </c>
      <c r="D63" s="11" t="s">
        <v>525</v>
      </c>
      <c r="E63" s="79" t="s">
        <v>526</v>
      </c>
      <c r="F63" s="11" t="s">
        <v>528</v>
      </c>
      <c r="G63" s="11" t="s">
        <v>529</v>
      </c>
      <c r="H63" s="11" t="s">
        <v>188</v>
      </c>
      <c r="I63" s="30" t="s">
        <v>530</v>
      </c>
      <c r="J63" s="11" t="s">
        <v>538</v>
      </c>
      <c r="K63" s="11" t="s">
        <v>539</v>
      </c>
    </row>
    <row r="64">
      <c r="A64" s="11" t="s">
        <v>513</v>
      </c>
      <c r="B64" s="11" t="s">
        <v>489</v>
      </c>
      <c r="C64" s="11" t="s">
        <v>542</v>
      </c>
      <c r="D64" s="11" t="s">
        <v>543</v>
      </c>
      <c r="E64" s="22" t="s">
        <v>544</v>
      </c>
      <c r="F64" s="11" t="s">
        <v>188</v>
      </c>
      <c r="G64" s="11" t="s">
        <v>188</v>
      </c>
      <c r="H64" s="11" t="s">
        <v>188</v>
      </c>
      <c r="I64" s="30" t="s">
        <v>545</v>
      </c>
      <c r="J64" s="11" t="s">
        <v>549</v>
      </c>
    </row>
    <row r="65">
      <c r="A65" s="11" t="s">
        <v>550</v>
      </c>
      <c r="B65" s="11" t="s">
        <v>489</v>
      </c>
      <c r="C65" s="11" t="s">
        <v>551</v>
      </c>
      <c r="D65" s="11" t="s">
        <v>552</v>
      </c>
      <c r="E65" s="22" t="s">
        <v>553</v>
      </c>
      <c r="F65" s="11" t="s">
        <v>188</v>
      </c>
      <c r="G65" s="11" t="s">
        <v>188</v>
      </c>
      <c r="H65" s="11" t="s">
        <v>188</v>
      </c>
      <c r="I65" s="39" t="s">
        <v>556</v>
      </c>
      <c r="J65" s="11" t="s">
        <v>559</v>
      </c>
    </row>
    <row r="66">
      <c r="A66" s="11" t="s">
        <v>550</v>
      </c>
      <c r="B66" s="11" t="s">
        <v>489</v>
      </c>
      <c r="C66" s="11" t="s">
        <v>551</v>
      </c>
      <c r="D66" s="11" t="s">
        <v>560</v>
      </c>
      <c r="E66" s="22" t="s">
        <v>561</v>
      </c>
      <c r="F66" s="11" t="s">
        <v>188</v>
      </c>
      <c r="G66" s="11" t="s">
        <v>188</v>
      </c>
      <c r="H66" s="11" t="s">
        <v>188</v>
      </c>
      <c r="I66" s="39" t="s">
        <v>562</v>
      </c>
      <c r="J66" s="11" t="s">
        <v>564</v>
      </c>
    </row>
    <row r="67">
      <c r="A67" s="11" t="s">
        <v>550</v>
      </c>
      <c r="B67" s="11" t="s">
        <v>489</v>
      </c>
      <c r="C67" s="11" t="s">
        <v>551</v>
      </c>
      <c r="D67" s="11" t="s">
        <v>565</v>
      </c>
      <c r="E67" s="22" t="s">
        <v>566</v>
      </c>
      <c r="F67" s="11" t="s">
        <v>188</v>
      </c>
      <c r="G67" s="11" t="s">
        <v>188</v>
      </c>
      <c r="H67" s="11" t="s">
        <v>188</v>
      </c>
      <c r="I67" s="39" t="s">
        <v>567</v>
      </c>
      <c r="J67" s="11" t="s">
        <v>568</v>
      </c>
    </row>
    <row r="68">
      <c r="A68" s="11" t="s">
        <v>569</v>
      </c>
      <c r="B68" s="11" t="s">
        <v>489</v>
      </c>
      <c r="C68" s="11" t="s">
        <v>570</v>
      </c>
      <c r="D68" s="11" t="s">
        <v>571</v>
      </c>
      <c r="E68" s="22" t="s">
        <v>526</v>
      </c>
      <c r="F68" s="11" t="s">
        <v>188</v>
      </c>
      <c r="G68" s="11" t="s">
        <v>188</v>
      </c>
      <c r="H68" s="11" t="s">
        <v>188</v>
      </c>
      <c r="I68" s="30" t="s">
        <v>572</v>
      </c>
      <c r="J68" s="11" t="s">
        <v>574</v>
      </c>
    </row>
    <row r="69">
      <c r="A69" s="11" t="s">
        <v>575</v>
      </c>
      <c r="B69" s="11" t="s">
        <v>20</v>
      </c>
      <c r="C69" s="11" t="s">
        <v>576</v>
      </c>
      <c r="D69" s="11" t="s">
        <v>226</v>
      </c>
      <c r="E69" s="22" t="s">
        <v>227</v>
      </c>
      <c r="F69" s="11" t="s">
        <v>188</v>
      </c>
      <c r="G69" s="11" t="s">
        <v>188</v>
      </c>
      <c r="H69" s="11" t="s">
        <v>188</v>
      </c>
      <c r="I69" s="30" t="s">
        <v>578</v>
      </c>
      <c r="J69" s="11" t="s">
        <v>579</v>
      </c>
    </row>
    <row r="70">
      <c r="A70" s="11" t="s">
        <v>580</v>
      </c>
      <c r="B70" s="11" t="s">
        <v>20</v>
      </c>
      <c r="C70" s="11" t="s">
        <v>581</v>
      </c>
      <c r="D70" s="11" t="s">
        <v>291</v>
      </c>
      <c r="E70" s="22" t="s">
        <v>582</v>
      </c>
      <c r="F70" s="11" t="s">
        <v>188</v>
      </c>
      <c r="G70" s="11" t="s">
        <v>188</v>
      </c>
      <c r="H70" s="11" t="s">
        <v>188</v>
      </c>
      <c r="I70" s="39" t="s">
        <v>583</v>
      </c>
      <c r="J70" s="11" t="s">
        <v>585</v>
      </c>
    </row>
    <row r="71">
      <c r="A71" s="11" t="s">
        <v>587</v>
      </c>
      <c r="B71" s="11" t="s">
        <v>20</v>
      </c>
      <c r="C71" s="11" t="s">
        <v>588</v>
      </c>
      <c r="D71" s="11" t="s">
        <v>291</v>
      </c>
      <c r="E71" s="22" t="s">
        <v>582</v>
      </c>
      <c r="F71" s="11" t="s">
        <v>188</v>
      </c>
      <c r="G71" s="11" t="s">
        <v>188</v>
      </c>
      <c r="H71" s="11" t="s">
        <v>188</v>
      </c>
      <c r="I71" s="30" t="s">
        <v>589</v>
      </c>
      <c r="J71" s="11" t="s">
        <v>590</v>
      </c>
    </row>
    <row r="72">
      <c r="A72" s="11" t="s">
        <v>580</v>
      </c>
      <c r="B72" s="11" t="s">
        <v>20</v>
      </c>
      <c r="C72" s="11" t="s">
        <v>581</v>
      </c>
      <c r="D72" s="11" t="s">
        <v>591</v>
      </c>
      <c r="E72" s="22" t="s">
        <v>592</v>
      </c>
      <c r="F72" s="11" t="s">
        <v>188</v>
      </c>
      <c r="G72" s="11" t="s">
        <v>188</v>
      </c>
      <c r="H72" s="11" t="s">
        <v>188</v>
      </c>
      <c r="I72" s="39" t="s">
        <v>583</v>
      </c>
      <c r="J72" s="11" t="s">
        <v>585</v>
      </c>
    </row>
    <row r="73">
      <c r="A73" s="11" t="s">
        <v>580</v>
      </c>
      <c r="B73" s="11" t="s">
        <v>20</v>
      </c>
      <c r="C73" s="11" t="s">
        <v>581</v>
      </c>
      <c r="D73" s="11" t="s">
        <v>593</v>
      </c>
      <c r="E73" s="22" t="s">
        <v>594</v>
      </c>
      <c r="F73" s="11" t="s">
        <v>188</v>
      </c>
      <c r="G73" s="11" t="s">
        <v>188</v>
      </c>
      <c r="H73" s="11" t="s">
        <v>188</v>
      </c>
      <c r="I73" s="39" t="s">
        <v>583</v>
      </c>
      <c r="J73" s="11" t="s">
        <v>585</v>
      </c>
    </row>
    <row r="74">
      <c r="A74" s="11" t="s">
        <v>580</v>
      </c>
      <c r="B74" s="11" t="s">
        <v>20</v>
      </c>
      <c r="C74" s="11" t="s">
        <v>581</v>
      </c>
      <c r="D74" s="11" t="s">
        <v>595</v>
      </c>
      <c r="E74" s="22" t="s">
        <v>596</v>
      </c>
      <c r="F74" s="11" t="s">
        <v>188</v>
      </c>
      <c r="G74" s="11" t="s">
        <v>188</v>
      </c>
      <c r="H74" s="11" t="s">
        <v>188</v>
      </c>
      <c r="I74" s="39" t="s">
        <v>583</v>
      </c>
      <c r="J74" s="11" t="s">
        <v>585</v>
      </c>
    </row>
    <row r="75">
      <c r="A75" s="11" t="s">
        <v>580</v>
      </c>
      <c r="B75" s="11" t="s">
        <v>20</v>
      </c>
      <c r="C75" s="11" t="s">
        <v>581</v>
      </c>
      <c r="D75" s="11" t="s">
        <v>597</v>
      </c>
      <c r="E75" s="22" t="s">
        <v>598</v>
      </c>
      <c r="F75" s="11" t="s">
        <v>188</v>
      </c>
      <c r="G75" s="11" t="s">
        <v>188</v>
      </c>
      <c r="H75" s="11" t="s">
        <v>188</v>
      </c>
      <c r="I75" s="30" t="s">
        <v>589</v>
      </c>
      <c r="J75" s="11" t="s">
        <v>585</v>
      </c>
    </row>
    <row r="76">
      <c r="A76" s="11" t="s">
        <v>580</v>
      </c>
      <c r="B76" s="11" t="s">
        <v>20</v>
      </c>
      <c r="C76" s="11" t="s">
        <v>581</v>
      </c>
      <c r="D76" s="11" t="s">
        <v>599</v>
      </c>
      <c r="E76" s="22" t="s">
        <v>600</v>
      </c>
      <c r="F76" s="11" t="s">
        <v>188</v>
      </c>
      <c r="G76" s="11" t="s">
        <v>188</v>
      </c>
      <c r="H76" s="11" t="s">
        <v>188</v>
      </c>
      <c r="I76" s="39" t="s">
        <v>583</v>
      </c>
      <c r="J76" s="11" t="s">
        <v>585</v>
      </c>
    </row>
    <row r="77">
      <c r="A77" s="11" t="s">
        <v>580</v>
      </c>
      <c r="B77" s="11" t="s">
        <v>20</v>
      </c>
      <c r="C77" s="11" t="s">
        <v>581</v>
      </c>
      <c r="D77" s="11" t="s">
        <v>603</v>
      </c>
      <c r="E77" s="22" t="s">
        <v>604</v>
      </c>
      <c r="F77" s="11" t="s">
        <v>188</v>
      </c>
      <c r="G77" s="11" t="s">
        <v>188</v>
      </c>
      <c r="H77" s="11" t="s">
        <v>188</v>
      </c>
      <c r="I77" s="39" t="s">
        <v>583</v>
      </c>
      <c r="J77" s="11" t="s">
        <v>585</v>
      </c>
    </row>
    <row r="78">
      <c r="A78" s="11" t="s">
        <v>580</v>
      </c>
      <c r="B78" s="11" t="s">
        <v>20</v>
      </c>
      <c r="C78" s="11" t="s">
        <v>581</v>
      </c>
      <c r="D78" s="11" t="s">
        <v>605</v>
      </c>
      <c r="E78" s="22" t="s">
        <v>606</v>
      </c>
      <c r="F78" s="11" t="s">
        <v>188</v>
      </c>
      <c r="G78" s="11" t="s">
        <v>188</v>
      </c>
      <c r="H78" s="11" t="s">
        <v>188</v>
      </c>
      <c r="I78" s="39" t="s">
        <v>583</v>
      </c>
      <c r="J78" s="11" t="s">
        <v>585</v>
      </c>
    </row>
    <row r="79">
      <c r="A79" s="11" t="s">
        <v>580</v>
      </c>
      <c r="B79" s="11" t="s">
        <v>20</v>
      </c>
      <c r="C79" s="11" t="s">
        <v>581</v>
      </c>
      <c r="D79" s="11" t="s">
        <v>607</v>
      </c>
      <c r="E79" s="22" t="s">
        <v>608</v>
      </c>
      <c r="F79" s="11" t="s">
        <v>188</v>
      </c>
      <c r="G79" s="11" t="s">
        <v>188</v>
      </c>
      <c r="H79" s="11" t="s">
        <v>188</v>
      </c>
      <c r="I79" s="39" t="s">
        <v>583</v>
      </c>
      <c r="J79" s="11" t="s">
        <v>585</v>
      </c>
    </row>
    <row r="80">
      <c r="A80" s="11" t="s">
        <v>580</v>
      </c>
      <c r="B80" s="11" t="s">
        <v>20</v>
      </c>
      <c r="C80" s="11" t="s">
        <v>581</v>
      </c>
      <c r="D80" s="11" t="s">
        <v>192</v>
      </c>
      <c r="E80" s="22" t="s">
        <v>193</v>
      </c>
      <c r="F80" s="11" t="s">
        <v>188</v>
      </c>
      <c r="G80" s="11" t="s">
        <v>188</v>
      </c>
      <c r="H80" s="11" t="s">
        <v>188</v>
      </c>
      <c r="I80" s="39" t="s">
        <v>583</v>
      </c>
      <c r="J80" s="11" t="s">
        <v>585</v>
      </c>
    </row>
    <row r="81">
      <c r="A81" s="11" t="s">
        <v>580</v>
      </c>
      <c r="B81" s="11" t="s">
        <v>20</v>
      </c>
      <c r="C81" s="11" t="s">
        <v>581</v>
      </c>
      <c r="D81" s="11" t="s">
        <v>610</v>
      </c>
      <c r="E81" s="22" t="s">
        <v>611</v>
      </c>
      <c r="F81" s="11" t="s">
        <v>188</v>
      </c>
      <c r="G81" s="11" t="s">
        <v>188</v>
      </c>
      <c r="H81" s="11" t="s">
        <v>188</v>
      </c>
      <c r="I81" s="39" t="s">
        <v>583</v>
      </c>
      <c r="J81" s="11" t="s">
        <v>585</v>
      </c>
    </row>
    <row r="82">
      <c r="A82" s="11" t="s">
        <v>580</v>
      </c>
      <c r="B82" s="11" t="s">
        <v>20</v>
      </c>
      <c r="C82" s="11" t="s">
        <v>581</v>
      </c>
      <c r="D82" s="11" t="s">
        <v>612</v>
      </c>
      <c r="E82" s="22" t="s">
        <v>125</v>
      </c>
      <c r="F82" s="11" t="s">
        <v>188</v>
      </c>
      <c r="G82" s="11" t="s">
        <v>188</v>
      </c>
      <c r="H82" s="11" t="s">
        <v>188</v>
      </c>
      <c r="I82" s="39" t="s">
        <v>583</v>
      </c>
      <c r="J82" s="11" t="s">
        <v>585</v>
      </c>
    </row>
    <row r="83">
      <c r="A83" s="11" t="s">
        <v>580</v>
      </c>
      <c r="B83" s="11" t="s">
        <v>20</v>
      </c>
      <c r="C83" s="11" t="s">
        <v>581</v>
      </c>
      <c r="D83" s="11" t="s">
        <v>492</v>
      </c>
      <c r="E83" s="22" t="s">
        <v>613</v>
      </c>
      <c r="F83" s="11" t="s">
        <v>188</v>
      </c>
      <c r="G83" s="11" t="s">
        <v>188</v>
      </c>
      <c r="H83" s="11" t="s">
        <v>188</v>
      </c>
      <c r="I83" s="39" t="s">
        <v>583</v>
      </c>
      <c r="J83" s="11" t="s">
        <v>585</v>
      </c>
    </row>
    <row r="84">
      <c r="A84" s="11" t="s">
        <v>580</v>
      </c>
      <c r="B84" s="11" t="s">
        <v>20</v>
      </c>
      <c r="C84" s="11" t="s">
        <v>581</v>
      </c>
      <c r="D84" s="11" t="s">
        <v>614</v>
      </c>
      <c r="E84" s="22" t="s">
        <v>615</v>
      </c>
      <c r="F84" s="11" t="s">
        <v>188</v>
      </c>
      <c r="G84" s="11" t="s">
        <v>188</v>
      </c>
      <c r="H84" s="11" t="s">
        <v>188</v>
      </c>
      <c r="I84" s="39" t="s">
        <v>583</v>
      </c>
      <c r="J84" s="11" t="s">
        <v>585</v>
      </c>
    </row>
    <row r="85">
      <c r="A85" s="11" t="s">
        <v>616</v>
      </c>
      <c r="B85" s="11" t="s">
        <v>617</v>
      </c>
      <c r="C85" s="11" t="s">
        <v>618</v>
      </c>
      <c r="D85" s="11" t="s">
        <v>619</v>
      </c>
      <c r="E85" s="22" t="s">
        <v>620</v>
      </c>
      <c r="F85" s="11" t="s">
        <v>188</v>
      </c>
      <c r="G85" s="11" t="s">
        <v>188</v>
      </c>
      <c r="H85" s="11" t="s">
        <v>188</v>
      </c>
      <c r="I85" s="30" t="s">
        <v>621</v>
      </c>
      <c r="J85" s="11" t="s">
        <v>623</v>
      </c>
    </row>
    <row r="86">
      <c r="A86" s="11" t="s">
        <v>624</v>
      </c>
      <c r="B86" s="11" t="s">
        <v>489</v>
      </c>
      <c r="C86" s="11" t="s">
        <v>625</v>
      </c>
      <c r="D86" s="11" t="s">
        <v>626</v>
      </c>
      <c r="E86" s="22" t="s">
        <v>627</v>
      </c>
      <c r="F86" s="11">
        <v>3.0</v>
      </c>
      <c r="G86" s="11" t="s">
        <v>628</v>
      </c>
      <c r="I86" s="30" t="s">
        <v>629</v>
      </c>
      <c r="J86" s="11" t="s">
        <v>631</v>
      </c>
    </row>
    <row r="87">
      <c r="A87" s="11" t="s">
        <v>632</v>
      </c>
      <c r="B87" s="11" t="s">
        <v>617</v>
      </c>
      <c r="C87" s="11" t="s">
        <v>633</v>
      </c>
      <c r="E87" s="86"/>
    </row>
    <row r="88">
      <c r="E88" s="86"/>
    </row>
    <row r="89">
      <c r="E89" s="86"/>
    </row>
    <row r="90">
      <c r="E90" s="86"/>
    </row>
    <row r="91">
      <c r="E91" s="86"/>
    </row>
    <row r="92">
      <c r="E92" s="86"/>
    </row>
    <row r="93">
      <c r="E93" s="86"/>
    </row>
    <row r="94">
      <c r="E94" s="86"/>
    </row>
    <row r="95">
      <c r="E95" s="86"/>
    </row>
    <row r="96">
      <c r="E96" s="86"/>
    </row>
    <row r="97">
      <c r="E97" s="86"/>
    </row>
    <row r="98">
      <c r="E98" s="86"/>
    </row>
    <row r="99">
      <c r="E99" s="86"/>
    </row>
    <row r="100">
      <c r="E100" s="86"/>
    </row>
    <row r="101">
      <c r="E101" s="86"/>
    </row>
    <row r="102">
      <c r="E102" s="86"/>
    </row>
    <row r="103">
      <c r="E103" s="86"/>
    </row>
    <row r="104">
      <c r="E104" s="86"/>
    </row>
    <row r="105">
      <c r="E105" s="86"/>
    </row>
    <row r="106">
      <c r="E106" s="86"/>
    </row>
    <row r="107">
      <c r="E107" s="86"/>
    </row>
    <row r="108">
      <c r="E108" s="86"/>
    </row>
    <row r="109">
      <c r="E109" s="86"/>
    </row>
    <row r="110">
      <c r="E110" s="86"/>
    </row>
    <row r="111">
      <c r="E111" s="86"/>
    </row>
    <row r="112">
      <c r="E112" s="86"/>
    </row>
    <row r="113">
      <c r="E113" s="86"/>
    </row>
    <row r="114">
      <c r="E114" s="86"/>
    </row>
    <row r="115">
      <c r="E115" s="86"/>
    </row>
    <row r="116">
      <c r="E116" s="86"/>
    </row>
    <row r="117">
      <c r="E117" s="86"/>
    </row>
    <row r="118">
      <c r="E118" s="86"/>
    </row>
    <row r="119">
      <c r="E119" s="86"/>
    </row>
    <row r="120">
      <c r="E120" s="86"/>
    </row>
    <row r="121">
      <c r="E121" s="86"/>
    </row>
    <row r="122">
      <c r="E122" s="86"/>
    </row>
    <row r="123">
      <c r="E123" s="86"/>
    </row>
    <row r="124">
      <c r="E124" s="86"/>
    </row>
    <row r="125">
      <c r="E125" s="86"/>
    </row>
    <row r="126">
      <c r="E126" s="86"/>
    </row>
    <row r="127">
      <c r="E127" s="86"/>
    </row>
    <row r="128">
      <c r="E128" s="86"/>
    </row>
    <row r="129">
      <c r="E129" s="86"/>
    </row>
    <row r="130">
      <c r="E130" s="86"/>
    </row>
    <row r="131">
      <c r="E131" s="86"/>
    </row>
    <row r="132">
      <c r="E132" s="86"/>
    </row>
    <row r="133">
      <c r="E133" s="86"/>
    </row>
    <row r="134">
      <c r="E134" s="86"/>
    </row>
    <row r="135">
      <c r="E135" s="86"/>
    </row>
    <row r="136">
      <c r="E136" s="86"/>
    </row>
    <row r="137">
      <c r="E137" s="86"/>
    </row>
    <row r="138">
      <c r="E138" s="86"/>
    </row>
    <row r="139">
      <c r="E139" s="86"/>
    </row>
    <row r="140">
      <c r="E140" s="86"/>
    </row>
    <row r="141">
      <c r="E141" s="86"/>
    </row>
    <row r="142">
      <c r="E142" s="86"/>
    </row>
    <row r="143">
      <c r="E143" s="86"/>
    </row>
    <row r="144">
      <c r="E144" s="86"/>
    </row>
    <row r="145">
      <c r="E145" s="86"/>
    </row>
    <row r="146">
      <c r="E146" s="86"/>
    </row>
    <row r="147">
      <c r="E147" s="86"/>
    </row>
    <row r="148">
      <c r="E148" s="86"/>
    </row>
    <row r="149">
      <c r="E149" s="86"/>
    </row>
    <row r="150">
      <c r="E150" s="86"/>
    </row>
    <row r="151">
      <c r="E151" s="86"/>
    </row>
    <row r="152">
      <c r="E152" s="86"/>
    </row>
    <row r="153">
      <c r="E153" s="86"/>
    </row>
    <row r="154">
      <c r="E154" s="86"/>
    </row>
    <row r="155">
      <c r="E155" s="86"/>
    </row>
    <row r="156">
      <c r="E156" s="86"/>
    </row>
    <row r="157">
      <c r="E157" s="86"/>
    </row>
    <row r="158">
      <c r="E158" s="86"/>
    </row>
    <row r="159">
      <c r="E159" s="86"/>
    </row>
    <row r="160">
      <c r="E160" s="86"/>
    </row>
    <row r="161">
      <c r="E161" s="86"/>
    </row>
    <row r="162">
      <c r="E162" s="86"/>
    </row>
    <row r="163">
      <c r="E163" s="86"/>
    </row>
    <row r="164">
      <c r="E164" s="86"/>
    </row>
    <row r="165">
      <c r="E165" s="86"/>
    </row>
    <row r="166">
      <c r="E166" s="86"/>
    </row>
    <row r="167">
      <c r="E167" s="86"/>
    </row>
    <row r="168">
      <c r="E168" s="86"/>
    </row>
    <row r="169">
      <c r="E169" s="86"/>
    </row>
    <row r="170">
      <c r="E170" s="86"/>
    </row>
    <row r="171">
      <c r="E171" s="86"/>
    </row>
    <row r="172">
      <c r="E172" s="86"/>
    </row>
    <row r="173">
      <c r="E173" s="86"/>
    </row>
    <row r="174">
      <c r="E174" s="86"/>
    </row>
    <row r="175">
      <c r="E175" s="86"/>
    </row>
    <row r="176">
      <c r="E176" s="86"/>
    </row>
    <row r="177">
      <c r="E177" s="86"/>
    </row>
    <row r="178">
      <c r="E178" s="86"/>
    </row>
    <row r="179">
      <c r="E179" s="86"/>
    </row>
    <row r="180">
      <c r="E180" s="86"/>
    </row>
    <row r="181">
      <c r="E181" s="86"/>
    </row>
    <row r="182">
      <c r="E182" s="86"/>
    </row>
    <row r="183">
      <c r="E183" s="86"/>
    </row>
    <row r="184">
      <c r="E184" s="86"/>
    </row>
    <row r="185">
      <c r="E185" s="86"/>
    </row>
    <row r="186">
      <c r="E186" s="86"/>
    </row>
    <row r="187">
      <c r="E187" s="86"/>
    </row>
    <row r="188">
      <c r="E188" s="86"/>
    </row>
    <row r="189">
      <c r="E189" s="86"/>
    </row>
    <row r="190">
      <c r="E190" s="86"/>
    </row>
    <row r="191">
      <c r="E191" s="86"/>
    </row>
    <row r="192">
      <c r="E192" s="86"/>
    </row>
    <row r="193">
      <c r="E193" s="86"/>
    </row>
    <row r="194">
      <c r="E194" s="86"/>
    </row>
    <row r="195">
      <c r="E195" s="86"/>
    </row>
    <row r="196">
      <c r="E196" s="86"/>
    </row>
    <row r="197">
      <c r="E197" s="86"/>
    </row>
    <row r="198">
      <c r="E198" s="86"/>
    </row>
    <row r="199">
      <c r="E199" s="86"/>
    </row>
    <row r="200">
      <c r="E200" s="86"/>
    </row>
    <row r="201">
      <c r="E201" s="86"/>
    </row>
    <row r="202">
      <c r="E202" s="86"/>
    </row>
    <row r="203">
      <c r="E203" s="86"/>
    </row>
    <row r="204">
      <c r="E204" s="86"/>
    </row>
    <row r="205">
      <c r="E205" s="86"/>
    </row>
    <row r="206">
      <c r="E206" s="86"/>
    </row>
    <row r="207">
      <c r="E207" s="86"/>
    </row>
    <row r="208">
      <c r="E208" s="86"/>
    </row>
    <row r="209">
      <c r="E209" s="86"/>
    </row>
    <row r="210">
      <c r="E210" s="86"/>
    </row>
    <row r="211">
      <c r="E211" s="86"/>
    </row>
    <row r="212">
      <c r="E212" s="86"/>
    </row>
    <row r="213">
      <c r="E213" s="86"/>
    </row>
    <row r="214">
      <c r="E214" s="86"/>
    </row>
    <row r="215">
      <c r="E215" s="86"/>
    </row>
    <row r="216">
      <c r="E216" s="86"/>
    </row>
    <row r="217">
      <c r="E217" s="86"/>
    </row>
    <row r="218">
      <c r="E218" s="86"/>
    </row>
    <row r="219">
      <c r="E219" s="86"/>
    </row>
    <row r="220">
      <c r="E220" s="86"/>
    </row>
    <row r="221">
      <c r="E221" s="86"/>
    </row>
    <row r="222">
      <c r="E222" s="86"/>
    </row>
    <row r="223">
      <c r="E223" s="86"/>
    </row>
    <row r="224">
      <c r="E224" s="86"/>
    </row>
    <row r="225">
      <c r="E225" s="86"/>
    </row>
    <row r="226">
      <c r="E226" s="86"/>
    </row>
    <row r="227">
      <c r="E227" s="86"/>
    </row>
    <row r="228">
      <c r="E228" s="86"/>
    </row>
    <row r="229">
      <c r="E229" s="86"/>
    </row>
    <row r="230">
      <c r="E230" s="86"/>
    </row>
    <row r="231">
      <c r="E231" s="86"/>
    </row>
    <row r="232">
      <c r="E232" s="86"/>
    </row>
    <row r="233">
      <c r="E233" s="86"/>
    </row>
    <row r="234">
      <c r="E234" s="86"/>
    </row>
    <row r="235">
      <c r="E235" s="86"/>
    </row>
    <row r="236">
      <c r="E236" s="86"/>
    </row>
    <row r="237">
      <c r="E237" s="86"/>
    </row>
    <row r="238">
      <c r="E238" s="86"/>
    </row>
    <row r="239">
      <c r="E239" s="86"/>
    </row>
    <row r="240">
      <c r="E240" s="86"/>
    </row>
    <row r="241">
      <c r="E241" s="86"/>
    </row>
    <row r="242">
      <c r="E242" s="86"/>
    </row>
    <row r="243">
      <c r="E243" s="86"/>
    </row>
    <row r="244">
      <c r="E244" s="86"/>
    </row>
    <row r="245">
      <c r="E245" s="86"/>
    </row>
    <row r="246">
      <c r="E246" s="86"/>
    </row>
    <row r="247">
      <c r="E247" s="86"/>
    </row>
    <row r="248">
      <c r="E248" s="86"/>
    </row>
    <row r="249">
      <c r="E249" s="86"/>
    </row>
    <row r="250">
      <c r="E250" s="86"/>
    </row>
    <row r="251">
      <c r="E251" s="86"/>
    </row>
    <row r="252">
      <c r="E252" s="86"/>
    </row>
    <row r="253">
      <c r="E253" s="86"/>
    </row>
    <row r="254">
      <c r="E254" s="86"/>
    </row>
    <row r="255">
      <c r="E255" s="86"/>
    </row>
    <row r="256">
      <c r="E256" s="86"/>
    </row>
    <row r="257">
      <c r="E257" s="86"/>
    </row>
    <row r="258">
      <c r="E258" s="86"/>
    </row>
    <row r="259">
      <c r="E259" s="86"/>
    </row>
    <row r="260">
      <c r="E260" s="86"/>
    </row>
    <row r="261">
      <c r="E261" s="86"/>
    </row>
    <row r="262">
      <c r="E262" s="86"/>
    </row>
    <row r="263">
      <c r="E263" s="86"/>
    </row>
    <row r="264">
      <c r="E264" s="86"/>
    </row>
    <row r="265">
      <c r="E265" s="86"/>
    </row>
    <row r="266">
      <c r="E266" s="86"/>
    </row>
    <row r="267">
      <c r="E267" s="86"/>
    </row>
    <row r="268">
      <c r="E268" s="86"/>
    </row>
    <row r="269">
      <c r="E269" s="86"/>
    </row>
    <row r="270">
      <c r="E270" s="86"/>
    </row>
    <row r="271">
      <c r="E271" s="86"/>
    </row>
    <row r="272">
      <c r="E272" s="86"/>
    </row>
    <row r="273">
      <c r="E273" s="86"/>
    </row>
    <row r="274">
      <c r="E274" s="86"/>
    </row>
    <row r="275">
      <c r="E275" s="86"/>
    </row>
    <row r="276">
      <c r="E276" s="86"/>
    </row>
    <row r="277">
      <c r="E277" s="86"/>
    </row>
    <row r="278">
      <c r="E278" s="86"/>
    </row>
    <row r="279">
      <c r="E279" s="86"/>
    </row>
    <row r="280">
      <c r="E280" s="86"/>
    </row>
    <row r="281">
      <c r="E281" s="86"/>
    </row>
    <row r="282">
      <c r="E282" s="86"/>
    </row>
    <row r="283">
      <c r="E283" s="86"/>
    </row>
    <row r="284">
      <c r="E284" s="86"/>
    </row>
    <row r="285">
      <c r="E285" s="86"/>
    </row>
    <row r="286">
      <c r="E286" s="86"/>
    </row>
    <row r="287">
      <c r="E287" s="86"/>
    </row>
    <row r="288">
      <c r="E288" s="86"/>
    </row>
    <row r="289">
      <c r="E289" s="86"/>
    </row>
    <row r="290">
      <c r="E290" s="86"/>
    </row>
    <row r="291">
      <c r="E291" s="86"/>
    </row>
    <row r="292">
      <c r="E292" s="86"/>
    </row>
    <row r="293">
      <c r="E293" s="86"/>
    </row>
    <row r="294">
      <c r="E294" s="86"/>
    </row>
    <row r="295">
      <c r="E295" s="86"/>
    </row>
    <row r="296">
      <c r="E296" s="86"/>
    </row>
    <row r="297">
      <c r="E297" s="86"/>
    </row>
    <row r="298">
      <c r="E298" s="86"/>
    </row>
    <row r="299">
      <c r="E299" s="86"/>
    </row>
    <row r="300">
      <c r="E300" s="86"/>
    </row>
    <row r="301">
      <c r="E301" s="86"/>
    </row>
    <row r="302">
      <c r="E302" s="86"/>
    </row>
    <row r="303">
      <c r="E303" s="86"/>
    </row>
    <row r="304">
      <c r="E304" s="86"/>
    </row>
    <row r="305">
      <c r="E305" s="86"/>
    </row>
    <row r="306">
      <c r="E306" s="86"/>
    </row>
    <row r="307">
      <c r="E307" s="86"/>
    </row>
    <row r="308">
      <c r="E308" s="86"/>
    </row>
    <row r="309">
      <c r="E309" s="86"/>
    </row>
    <row r="310">
      <c r="E310" s="86"/>
    </row>
    <row r="311">
      <c r="E311" s="86"/>
    </row>
    <row r="312">
      <c r="E312" s="86"/>
    </row>
    <row r="313">
      <c r="E313" s="86"/>
    </row>
    <row r="314">
      <c r="E314" s="86"/>
    </row>
    <row r="315">
      <c r="E315" s="86"/>
    </row>
    <row r="316">
      <c r="E316" s="86"/>
    </row>
    <row r="317">
      <c r="E317" s="86"/>
    </row>
    <row r="318">
      <c r="E318" s="86"/>
    </row>
    <row r="319">
      <c r="E319" s="86"/>
    </row>
    <row r="320">
      <c r="E320" s="86"/>
    </row>
    <row r="321">
      <c r="E321" s="86"/>
    </row>
    <row r="322">
      <c r="E322" s="86"/>
    </row>
    <row r="323">
      <c r="E323" s="86"/>
    </row>
    <row r="324">
      <c r="E324" s="86"/>
    </row>
    <row r="325">
      <c r="E325" s="86"/>
    </row>
    <row r="326">
      <c r="E326" s="86"/>
    </row>
    <row r="327">
      <c r="E327" s="86"/>
    </row>
    <row r="328">
      <c r="E328" s="86"/>
    </row>
    <row r="329">
      <c r="E329" s="86"/>
    </row>
    <row r="330">
      <c r="E330" s="86"/>
    </row>
    <row r="331">
      <c r="E331" s="86"/>
    </row>
    <row r="332">
      <c r="E332" s="86"/>
    </row>
    <row r="333">
      <c r="E333" s="86"/>
    </row>
    <row r="334">
      <c r="E334" s="86"/>
    </row>
    <row r="335">
      <c r="E335" s="86"/>
    </row>
    <row r="336">
      <c r="E336" s="86"/>
    </row>
    <row r="337">
      <c r="E337" s="86"/>
    </row>
    <row r="338">
      <c r="E338" s="86"/>
    </row>
    <row r="339">
      <c r="E339" s="86"/>
    </row>
    <row r="340">
      <c r="E340" s="86"/>
    </row>
    <row r="341">
      <c r="E341" s="86"/>
    </row>
    <row r="342">
      <c r="E342" s="86"/>
    </row>
    <row r="343">
      <c r="E343" s="86"/>
    </row>
    <row r="344">
      <c r="E344" s="86"/>
    </row>
    <row r="345">
      <c r="E345" s="86"/>
    </row>
    <row r="346">
      <c r="E346" s="86"/>
    </row>
    <row r="347">
      <c r="E347" s="86"/>
    </row>
    <row r="348">
      <c r="E348" s="86"/>
    </row>
    <row r="349">
      <c r="E349" s="86"/>
    </row>
    <row r="350">
      <c r="E350" s="86"/>
    </row>
    <row r="351">
      <c r="E351" s="86"/>
    </row>
    <row r="352">
      <c r="E352" s="86"/>
    </row>
    <row r="353">
      <c r="E353" s="86"/>
    </row>
    <row r="354">
      <c r="E354" s="86"/>
    </row>
    <row r="355">
      <c r="E355" s="86"/>
    </row>
    <row r="356">
      <c r="E356" s="86"/>
    </row>
    <row r="357">
      <c r="E357" s="86"/>
    </row>
    <row r="358">
      <c r="E358" s="86"/>
    </row>
    <row r="359">
      <c r="E359" s="86"/>
    </row>
    <row r="360">
      <c r="E360" s="86"/>
    </row>
    <row r="361">
      <c r="E361" s="86"/>
    </row>
    <row r="362">
      <c r="E362" s="86"/>
    </row>
    <row r="363">
      <c r="E363" s="86"/>
    </row>
    <row r="364">
      <c r="E364" s="86"/>
    </row>
    <row r="365">
      <c r="E365" s="86"/>
    </row>
    <row r="366">
      <c r="E366" s="86"/>
    </row>
    <row r="367">
      <c r="E367" s="86"/>
    </row>
    <row r="368">
      <c r="E368" s="86"/>
    </row>
    <row r="369">
      <c r="E369" s="86"/>
    </row>
    <row r="370">
      <c r="E370" s="86"/>
    </row>
    <row r="371">
      <c r="E371" s="86"/>
    </row>
    <row r="372">
      <c r="E372" s="86"/>
    </row>
    <row r="373">
      <c r="E373" s="86"/>
    </row>
    <row r="374">
      <c r="E374" s="86"/>
    </row>
    <row r="375">
      <c r="E375" s="86"/>
    </row>
    <row r="376">
      <c r="E376" s="86"/>
    </row>
    <row r="377">
      <c r="E377" s="86"/>
    </row>
    <row r="378">
      <c r="E378" s="86"/>
    </row>
    <row r="379">
      <c r="E379" s="86"/>
    </row>
    <row r="380">
      <c r="E380" s="86"/>
    </row>
    <row r="381">
      <c r="E381" s="86"/>
    </row>
    <row r="382">
      <c r="E382" s="86"/>
    </row>
    <row r="383">
      <c r="E383" s="86"/>
    </row>
    <row r="384">
      <c r="E384" s="86"/>
    </row>
    <row r="385">
      <c r="E385" s="86"/>
    </row>
    <row r="386">
      <c r="E386" s="86"/>
    </row>
    <row r="387">
      <c r="E387" s="86"/>
    </row>
    <row r="388">
      <c r="E388" s="86"/>
    </row>
    <row r="389">
      <c r="E389" s="86"/>
    </row>
    <row r="390">
      <c r="E390" s="86"/>
    </row>
    <row r="391">
      <c r="E391" s="86"/>
    </row>
    <row r="392">
      <c r="E392" s="86"/>
    </row>
    <row r="393">
      <c r="E393" s="86"/>
    </row>
    <row r="394">
      <c r="E394" s="86"/>
    </row>
    <row r="395">
      <c r="E395" s="86"/>
    </row>
    <row r="396">
      <c r="E396" s="86"/>
    </row>
    <row r="397">
      <c r="E397" s="86"/>
    </row>
    <row r="398">
      <c r="E398" s="86"/>
    </row>
    <row r="399">
      <c r="E399" s="86"/>
    </row>
    <row r="400">
      <c r="E400" s="86"/>
    </row>
    <row r="401">
      <c r="E401" s="86"/>
    </row>
    <row r="402">
      <c r="E402" s="86"/>
    </row>
    <row r="403">
      <c r="E403" s="86"/>
    </row>
    <row r="404">
      <c r="E404" s="86"/>
    </row>
    <row r="405">
      <c r="E405" s="86"/>
    </row>
    <row r="406">
      <c r="E406" s="86"/>
    </row>
    <row r="407">
      <c r="E407" s="86"/>
    </row>
    <row r="408">
      <c r="E408" s="86"/>
    </row>
    <row r="409">
      <c r="E409" s="86"/>
    </row>
    <row r="410">
      <c r="E410" s="86"/>
    </row>
    <row r="411">
      <c r="E411" s="86"/>
    </row>
    <row r="412">
      <c r="E412" s="86"/>
    </row>
    <row r="413">
      <c r="E413" s="86"/>
    </row>
    <row r="414">
      <c r="E414" s="86"/>
    </row>
    <row r="415">
      <c r="E415" s="86"/>
    </row>
    <row r="416">
      <c r="E416" s="86"/>
    </row>
    <row r="417">
      <c r="E417" s="86"/>
    </row>
    <row r="418">
      <c r="E418" s="86"/>
    </row>
    <row r="419">
      <c r="E419" s="86"/>
    </row>
    <row r="420">
      <c r="E420" s="86"/>
    </row>
    <row r="421">
      <c r="E421" s="86"/>
    </row>
    <row r="422">
      <c r="E422" s="86"/>
    </row>
    <row r="423">
      <c r="E423" s="86"/>
    </row>
    <row r="424">
      <c r="E424" s="86"/>
    </row>
    <row r="425">
      <c r="E425" s="86"/>
    </row>
    <row r="426">
      <c r="E426" s="86"/>
    </row>
    <row r="427">
      <c r="E427" s="86"/>
    </row>
    <row r="428">
      <c r="E428" s="86"/>
    </row>
    <row r="429">
      <c r="E429" s="86"/>
    </row>
    <row r="430">
      <c r="E430" s="86"/>
    </row>
    <row r="431">
      <c r="E431" s="86"/>
    </row>
    <row r="432">
      <c r="E432" s="86"/>
    </row>
    <row r="433">
      <c r="E433" s="86"/>
    </row>
    <row r="434">
      <c r="E434" s="86"/>
    </row>
    <row r="435">
      <c r="E435" s="86"/>
    </row>
    <row r="436">
      <c r="E436" s="86"/>
    </row>
    <row r="437">
      <c r="E437" s="86"/>
    </row>
    <row r="438">
      <c r="E438" s="86"/>
    </row>
    <row r="439">
      <c r="E439" s="86"/>
    </row>
    <row r="440">
      <c r="E440" s="86"/>
    </row>
    <row r="441">
      <c r="E441" s="86"/>
    </row>
    <row r="442">
      <c r="E442" s="86"/>
    </row>
    <row r="443">
      <c r="E443" s="86"/>
    </row>
    <row r="444">
      <c r="E444" s="86"/>
    </row>
    <row r="445">
      <c r="E445" s="86"/>
    </row>
    <row r="446">
      <c r="E446" s="86"/>
    </row>
    <row r="447">
      <c r="E447" s="86"/>
    </row>
    <row r="448">
      <c r="E448" s="86"/>
    </row>
    <row r="449">
      <c r="E449" s="86"/>
    </row>
    <row r="450">
      <c r="E450" s="86"/>
    </row>
    <row r="451">
      <c r="E451" s="86"/>
    </row>
    <row r="452">
      <c r="E452" s="86"/>
    </row>
    <row r="453">
      <c r="E453" s="86"/>
    </row>
    <row r="454">
      <c r="E454" s="86"/>
    </row>
    <row r="455">
      <c r="E455" s="86"/>
    </row>
    <row r="456">
      <c r="E456" s="86"/>
    </row>
    <row r="457">
      <c r="E457" s="86"/>
    </row>
    <row r="458">
      <c r="E458" s="86"/>
    </row>
    <row r="459">
      <c r="E459" s="86"/>
    </row>
    <row r="460">
      <c r="E460" s="86"/>
    </row>
    <row r="461">
      <c r="E461" s="86"/>
    </row>
    <row r="462">
      <c r="E462" s="86"/>
    </row>
    <row r="463">
      <c r="E463" s="86"/>
    </row>
    <row r="464">
      <c r="E464" s="86"/>
    </row>
    <row r="465">
      <c r="E465" s="86"/>
    </row>
    <row r="466">
      <c r="E466" s="86"/>
    </row>
    <row r="467">
      <c r="E467" s="86"/>
    </row>
    <row r="468">
      <c r="E468" s="86"/>
    </row>
    <row r="469">
      <c r="E469" s="86"/>
    </row>
    <row r="470">
      <c r="E470" s="86"/>
    </row>
    <row r="471">
      <c r="E471" s="86"/>
    </row>
    <row r="472">
      <c r="E472" s="86"/>
    </row>
    <row r="473">
      <c r="E473" s="86"/>
    </row>
    <row r="474">
      <c r="E474" s="86"/>
    </row>
    <row r="475">
      <c r="E475" s="86"/>
    </row>
    <row r="476">
      <c r="E476" s="86"/>
    </row>
    <row r="477">
      <c r="E477" s="86"/>
    </row>
    <row r="478">
      <c r="E478" s="86"/>
    </row>
    <row r="479">
      <c r="E479" s="86"/>
    </row>
    <row r="480">
      <c r="E480" s="86"/>
    </row>
    <row r="481">
      <c r="E481" s="86"/>
    </row>
    <row r="482">
      <c r="E482" s="86"/>
    </row>
    <row r="483">
      <c r="E483" s="86"/>
    </row>
    <row r="484">
      <c r="E484" s="86"/>
    </row>
    <row r="485">
      <c r="E485" s="86"/>
    </row>
    <row r="486">
      <c r="E486" s="86"/>
    </row>
    <row r="487">
      <c r="E487" s="86"/>
    </row>
    <row r="488">
      <c r="E488" s="86"/>
    </row>
    <row r="489">
      <c r="E489" s="86"/>
    </row>
    <row r="490">
      <c r="E490" s="86"/>
    </row>
    <row r="491">
      <c r="E491" s="86"/>
    </row>
    <row r="492">
      <c r="E492" s="86"/>
    </row>
    <row r="493">
      <c r="E493" s="86"/>
    </row>
    <row r="494">
      <c r="E494" s="86"/>
    </row>
    <row r="495">
      <c r="E495" s="86"/>
    </row>
    <row r="496">
      <c r="E496" s="86"/>
    </row>
    <row r="497">
      <c r="E497" s="86"/>
    </row>
    <row r="498">
      <c r="E498" s="86"/>
    </row>
    <row r="499">
      <c r="E499" s="86"/>
    </row>
    <row r="500">
      <c r="E500" s="86"/>
    </row>
    <row r="501">
      <c r="E501" s="86"/>
    </row>
    <row r="502">
      <c r="E502" s="86"/>
    </row>
    <row r="503">
      <c r="E503" s="86"/>
    </row>
    <row r="504">
      <c r="E504" s="86"/>
    </row>
    <row r="505">
      <c r="E505" s="86"/>
    </row>
    <row r="506">
      <c r="E506" s="86"/>
    </row>
    <row r="507">
      <c r="E507" s="86"/>
    </row>
    <row r="508">
      <c r="E508" s="86"/>
    </row>
    <row r="509">
      <c r="E509" s="86"/>
    </row>
    <row r="510">
      <c r="E510" s="86"/>
    </row>
    <row r="511">
      <c r="E511" s="86"/>
    </row>
    <row r="512">
      <c r="E512" s="86"/>
    </row>
    <row r="513">
      <c r="E513" s="86"/>
    </row>
    <row r="514">
      <c r="E514" s="86"/>
    </row>
    <row r="515">
      <c r="E515" s="86"/>
    </row>
    <row r="516">
      <c r="E516" s="86"/>
    </row>
    <row r="517">
      <c r="E517" s="86"/>
    </row>
    <row r="518">
      <c r="E518" s="86"/>
    </row>
    <row r="519">
      <c r="E519" s="86"/>
    </row>
    <row r="520">
      <c r="E520" s="86"/>
    </row>
    <row r="521">
      <c r="E521" s="86"/>
    </row>
    <row r="522">
      <c r="E522" s="86"/>
    </row>
    <row r="523">
      <c r="E523" s="86"/>
    </row>
    <row r="524">
      <c r="E524" s="86"/>
    </row>
    <row r="525">
      <c r="E525" s="86"/>
    </row>
    <row r="526">
      <c r="E526" s="86"/>
    </row>
    <row r="527">
      <c r="E527" s="86"/>
    </row>
    <row r="528">
      <c r="E528" s="86"/>
    </row>
    <row r="529">
      <c r="E529" s="86"/>
    </row>
    <row r="530">
      <c r="E530" s="86"/>
    </row>
    <row r="531">
      <c r="E531" s="86"/>
    </row>
    <row r="532">
      <c r="E532" s="86"/>
    </row>
    <row r="533">
      <c r="E533" s="86"/>
    </row>
    <row r="534">
      <c r="E534" s="86"/>
    </row>
    <row r="535">
      <c r="E535" s="86"/>
    </row>
    <row r="536">
      <c r="E536" s="86"/>
    </row>
    <row r="537">
      <c r="E537" s="86"/>
    </row>
    <row r="538">
      <c r="E538" s="86"/>
    </row>
    <row r="539">
      <c r="E539" s="86"/>
    </row>
    <row r="540">
      <c r="E540" s="86"/>
    </row>
    <row r="541">
      <c r="E541" s="86"/>
    </row>
    <row r="542">
      <c r="E542" s="86"/>
    </row>
    <row r="543">
      <c r="E543" s="86"/>
    </row>
    <row r="544">
      <c r="E544" s="86"/>
    </row>
    <row r="545">
      <c r="E545" s="86"/>
    </row>
    <row r="546">
      <c r="E546" s="86"/>
    </row>
    <row r="547">
      <c r="E547" s="86"/>
    </row>
    <row r="548">
      <c r="E548" s="86"/>
    </row>
    <row r="549">
      <c r="E549" s="86"/>
    </row>
    <row r="550">
      <c r="E550" s="86"/>
    </row>
    <row r="551">
      <c r="E551" s="86"/>
    </row>
    <row r="552">
      <c r="E552" s="86"/>
    </row>
    <row r="553">
      <c r="E553" s="86"/>
    </row>
    <row r="554">
      <c r="E554" s="86"/>
    </row>
    <row r="555">
      <c r="E555" s="86"/>
    </row>
    <row r="556">
      <c r="E556" s="86"/>
    </row>
    <row r="557">
      <c r="E557" s="86"/>
    </row>
    <row r="558">
      <c r="E558" s="86"/>
    </row>
    <row r="559">
      <c r="E559" s="86"/>
    </row>
    <row r="560">
      <c r="E560" s="86"/>
    </row>
    <row r="561">
      <c r="E561" s="86"/>
    </row>
    <row r="562">
      <c r="E562" s="86"/>
    </row>
    <row r="563">
      <c r="E563" s="86"/>
    </row>
    <row r="564">
      <c r="E564" s="86"/>
    </row>
    <row r="565">
      <c r="E565" s="86"/>
    </row>
    <row r="566">
      <c r="E566" s="86"/>
    </row>
    <row r="567">
      <c r="E567" s="86"/>
    </row>
    <row r="568">
      <c r="E568" s="86"/>
    </row>
    <row r="569">
      <c r="E569" s="86"/>
    </row>
    <row r="570">
      <c r="E570" s="86"/>
    </row>
    <row r="571">
      <c r="E571" s="86"/>
    </row>
    <row r="572">
      <c r="E572" s="86"/>
    </row>
    <row r="573">
      <c r="E573" s="86"/>
    </row>
    <row r="574">
      <c r="E574" s="86"/>
    </row>
    <row r="575">
      <c r="E575" s="86"/>
    </row>
    <row r="576">
      <c r="E576" s="86"/>
    </row>
    <row r="577">
      <c r="E577" s="86"/>
    </row>
    <row r="578">
      <c r="E578" s="86"/>
    </row>
    <row r="579">
      <c r="E579" s="86"/>
    </row>
    <row r="580">
      <c r="E580" s="86"/>
    </row>
    <row r="581">
      <c r="E581" s="86"/>
    </row>
    <row r="582">
      <c r="E582" s="86"/>
    </row>
    <row r="583">
      <c r="E583" s="86"/>
    </row>
    <row r="584">
      <c r="E584" s="86"/>
    </row>
    <row r="585">
      <c r="E585" s="86"/>
    </row>
    <row r="586">
      <c r="E586" s="86"/>
    </row>
    <row r="587">
      <c r="E587" s="86"/>
    </row>
    <row r="588">
      <c r="E588" s="86"/>
    </row>
    <row r="589">
      <c r="E589" s="86"/>
    </row>
    <row r="590">
      <c r="E590" s="86"/>
    </row>
    <row r="591">
      <c r="E591" s="86"/>
    </row>
    <row r="592">
      <c r="E592" s="86"/>
    </row>
    <row r="593">
      <c r="E593" s="86"/>
    </row>
    <row r="594">
      <c r="E594" s="86"/>
    </row>
    <row r="595">
      <c r="E595" s="86"/>
    </row>
    <row r="596">
      <c r="E596" s="86"/>
    </row>
    <row r="597">
      <c r="E597" s="86"/>
    </row>
    <row r="598">
      <c r="E598" s="86"/>
    </row>
    <row r="599">
      <c r="E599" s="86"/>
    </row>
    <row r="600">
      <c r="E600" s="86"/>
    </row>
    <row r="601">
      <c r="E601" s="86"/>
    </row>
    <row r="602">
      <c r="E602" s="86"/>
    </row>
    <row r="603">
      <c r="E603" s="86"/>
    </row>
    <row r="604">
      <c r="E604" s="86"/>
    </row>
    <row r="605">
      <c r="E605" s="86"/>
    </row>
    <row r="606">
      <c r="E606" s="86"/>
    </row>
    <row r="607">
      <c r="E607" s="86"/>
    </row>
    <row r="608">
      <c r="E608" s="86"/>
    </row>
    <row r="609">
      <c r="E609" s="86"/>
    </row>
    <row r="610">
      <c r="E610" s="86"/>
    </row>
    <row r="611">
      <c r="E611" s="86"/>
    </row>
    <row r="612">
      <c r="E612" s="86"/>
    </row>
    <row r="613">
      <c r="E613" s="86"/>
    </row>
    <row r="614">
      <c r="E614" s="86"/>
    </row>
    <row r="615">
      <c r="E615" s="86"/>
    </row>
    <row r="616">
      <c r="E616" s="86"/>
    </row>
    <row r="617">
      <c r="E617" s="86"/>
    </row>
    <row r="618">
      <c r="E618" s="86"/>
    </row>
    <row r="619">
      <c r="E619" s="86"/>
    </row>
    <row r="620">
      <c r="E620" s="86"/>
    </row>
    <row r="621">
      <c r="E621" s="86"/>
    </row>
    <row r="622">
      <c r="E622" s="86"/>
    </row>
    <row r="623">
      <c r="E623" s="86"/>
    </row>
    <row r="624">
      <c r="E624" s="86"/>
    </row>
    <row r="625">
      <c r="E625" s="86"/>
    </row>
    <row r="626">
      <c r="E626" s="86"/>
    </row>
    <row r="627">
      <c r="E627" s="86"/>
    </row>
    <row r="628">
      <c r="E628" s="86"/>
    </row>
    <row r="629">
      <c r="E629" s="86"/>
    </row>
    <row r="630">
      <c r="E630" s="86"/>
    </row>
    <row r="631">
      <c r="E631" s="86"/>
    </row>
    <row r="632">
      <c r="E632" s="86"/>
    </row>
    <row r="633">
      <c r="E633" s="86"/>
    </row>
    <row r="634">
      <c r="E634" s="86"/>
    </row>
    <row r="635">
      <c r="E635" s="86"/>
    </row>
    <row r="636">
      <c r="E636" s="86"/>
    </row>
    <row r="637">
      <c r="E637" s="86"/>
    </row>
    <row r="638">
      <c r="E638" s="86"/>
    </row>
    <row r="639">
      <c r="E639" s="86"/>
    </row>
    <row r="640">
      <c r="E640" s="86"/>
    </row>
    <row r="641">
      <c r="E641" s="86"/>
    </row>
    <row r="642">
      <c r="E642" s="86"/>
    </row>
    <row r="643">
      <c r="E643" s="86"/>
    </row>
    <row r="644">
      <c r="E644" s="86"/>
    </row>
    <row r="645">
      <c r="E645" s="86"/>
    </row>
    <row r="646">
      <c r="E646" s="86"/>
    </row>
    <row r="647">
      <c r="E647" s="86"/>
    </row>
    <row r="648">
      <c r="E648" s="86"/>
    </row>
    <row r="649">
      <c r="E649" s="86"/>
    </row>
    <row r="650">
      <c r="E650" s="86"/>
    </row>
    <row r="651">
      <c r="E651" s="86"/>
    </row>
    <row r="652">
      <c r="E652" s="86"/>
    </row>
    <row r="653">
      <c r="E653" s="86"/>
    </row>
    <row r="654">
      <c r="E654" s="86"/>
    </row>
    <row r="655">
      <c r="E655" s="86"/>
    </row>
    <row r="656">
      <c r="E656" s="86"/>
    </row>
    <row r="657">
      <c r="E657" s="86"/>
    </row>
    <row r="658">
      <c r="E658" s="86"/>
    </row>
    <row r="659">
      <c r="E659" s="86"/>
    </row>
    <row r="660">
      <c r="E660" s="86"/>
    </row>
    <row r="661">
      <c r="E661" s="86"/>
    </row>
    <row r="662">
      <c r="E662" s="86"/>
    </row>
    <row r="663">
      <c r="E663" s="86"/>
    </row>
    <row r="664">
      <c r="E664" s="86"/>
    </row>
    <row r="665">
      <c r="E665" s="86"/>
    </row>
    <row r="666">
      <c r="E666" s="86"/>
    </row>
    <row r="667">
      <c r="E667" s="86"/>
    </row>
    <row r="668">
      <c r="E668" s="86"/>
    </row>
    <row r="669">
      <c r="E669" s="86"/>
    </row>
    <row r="670">
      <c r="E670" s="86"/>
    </row>
    <row r="671">
      <c r="E671" s="86"/>
    </row>
    <row r="672">
      <c r="E672" s="86"/>
    </row>
    <row r="673">
      <c r="E673" s="86"/>
    </row>
    <row r="674">
      <c r="E674" s="86"/>
    </row>
    <row r="675">
      <c r="E675" s="86"/>
    </row>
    <row r="676">
      <c r="E676" s="86"/>
    </row>
    <row r="677">
      <c r="E677" s="86"/>
    </row>
    <row r="678">
      <c r="E678" s="86"/>
    </row>
    <row r="679">
      <c r="E679" s="86"/>
    </row>
    <row r="680">
      <c r="E680" s="86"/>
    </row>
    <row r="681">
      <c r="E681" s="86"/>
    </row>
    <row r="682">
      <c r="E682" s="86"/>
    </row>
    <row r="683">
      <c r="E683" s="86"/>
    </row>
    <row r="684">
      <c r="E684" s="86"/>
    </row>
    <row r="685">
      <c r="E685" s="86"/>
    </row>
    <row r="686">
      <c r="E686" s="86"/>
    </row>
    <row r="687">
      <c r="E687" s="86"/>
    </row>
    <row r="688">
      <c r="E688" s="86"/>
    </row>
    <row r="689">
      <c r="E689" s="86"/>
    </row>
    <row r="690">
      <c r="E690" s="86"/>
    </row>
    <row r="691">
      <c r="E691" s="86"/>
    </row>
    <row r="692">
      <c r="E692" s="86"/>
    </row>
    <row r="693">
      <c r="E693" s="86"/>
    </row>
    <row r="694">
      <c r="E694" s="86"/>
    </row>
    <row r="695">
      <c r="E695" s="86"/>
    </row>
    <row r="696">
      <c r="E696" s="86"/>
    </row>
    <row r="697">
      <c r="E697" s="86"/>
    </row>
    <row r="698">
      <c r="E698" s="86"/>
    </row>
    <row r="699">
      <c r="E699" s="86"/>
    </row>
    <row r="700">
      <c r="E700" s="86"/>
    </row>
    <row r="701">
      <c r="E701" s="86"/>
    </row>
    <row r="702">
      <c r="E702" s="86"/>
    </row>
    <row r="703">
      <c r="E703" s="86"/>
    </row>
    <row r="704">
      <c r="E704" s="86"/>
    </row>
    <row r="705">
      <c r="E705" s="86"/>
    </row>
    <row r="706">
      <c r="E706" s="86"/>
    </row>
    <row r="707">
      <c r="E707" s="86"/>
    </row>
    <row r="708">
      <c r="E708" s="86"/>
    </row>
    <row r="709">
      <c r="E709" s="86"/>
    </row>
    <row r="710">
      <c r="E710" s="86"/>
    </row>
    <row r="711">
      <c r="E711" s="86"/>
    </row>
    <row r="712">
      <c r="E712" s="86"/>
    </row>
    <row r="713">
      <c r="E713" s="86"/>
    </row>
    <row r="714">
      <c r="E714" s="86"/>
    </row>
    <row r="715">
      <c r="E715" s="86"/>
    </row>
    <row r="716">
      <c r="E716" s="86"/>
    </row>
    <row r="717">
      <c r="E717" s="86"/>
    </row>
    <row r="718">
      <c r="E718" s="86"/>
    </row>
    <row r="719">
      <c r="E719" s="86"/>
    </row>
    <row r="720">
      <c r="E720" s="86"/>
    </row>
    <row r="721">
      <c r="E721" s="86"/>
    </row>
    <row r="722">
      <c r="E722" s="86"/>
    </row>
    <row r="723">
      <c r="E723" s="86"/>
    </row>
    <row r="724">
      <c r="E724" s="86"/>
    </row>
    <row r="725">
      <c r="E725" s="86"/>
    </row>
    <row r="726">
      <c r="E726" s="86"/>
    </row>
    <row r="727">
      <c r="E727" s="86"/>
    </row>
    <row r="728">
      <c r="E728" s="86"/>
    </row>
    <row r="729">
      <c r="E729" s="86"/>
    </row>
    <row r="730">
      <c r="E730" s="86"/>
    </row>
    <row r="731">
      <c r="E731" s="86"/>
    </row>
    <row r="732">
      <c r="E732" s="86"/>
    </row>
    <row r="733">
      <c r="E733" s="86"/>
    </row>
    <row r="734">
      <c r="E734" s="86"/>
    </row>
    <row r="735">
      <c r="E735" s="86"/>
    </row>
    <row r="736">
      <c r="E736" s="86"/>
    </row>
    <row r="737">
      <c r="E737" s="86"/>
    </row>
    <row r="738">
      <c r="E738" s="86"/>
    </row>
    <row r="739">
      <c r="E739" s="86"/>
    </row>
    <row r="740">
      <c r="E740" s="86"/>
    </row>
    <row r="741">
      <c r="E741" s="86"/>
    </row>
    <row r="742">
      <c r="E742" s="86"/>
    </row>
    <row r="743">
      <c r="E743" s="86"/>
    </row>
    <row r="744">
      <c r="E744" s="86"/>
    </row>
    <row r="745">
      <c r="E745" s="86"/>
    </row>
    <row r="746">
      <c r="E746" s="86"/>
    </row>
    <row r="747">
      <c r="E747" s="86"/>
    </row>
    <row r="748">
      <c r="E748" s="86"/>
    </row>
    <row r="749">
      <c r="E749" s="86"/>
    </row>
    <row r="750">
      <c r="E750" s="86"/>
    </row>
    <row r="751">
      <c r="E751" s="86"/>
    </row>
    <row r="752">
      <c r="E752" s="86"/>
    </row>
    <row r="753">
      <c r="E753" s="86"/>
    </row>
    <row r="754">
      <c r="E754" s="86"/>
    </row>
    <row r="755">
      <c r="E755" s="86"/>
    </row>
    <row r="756">
      <c r="E756" s="86"/>
    </row>
    <row r="757">
      <c r="E757" s="86"/>
    </row>
    <row r="758">
      <c r="E758" s="86"/>
    </row>
    <row r="759">
      <c r="E759" s="86"/>
    </row>
    <row r="760">
      <c r="E760" s="86"/>
    </row>
    <row r="761">
      <c r="E761" s="86"/>
    </row>
    <row r="762">
      <c r="E762" s="86"/>
    </row>
    <row r="763">
      <c r="E763" s="86"/>
    </row>
    <row r="764">
      <c r="E764" s="86"/>
    </row>
    <row r="765">
      <c r="E765" s="86"/>
    </row>
    <row r="766">
      <c r="E766" s="86"/>
    </row>
    <row r="767">
      <c r="E767" s="86"/>
    </row>
    <row r="768">
      <c r="E768" s="86"/>
    </row>
    <row r="769">
      <c r="E769" s="86"/>
    </row>
    <row r="770">
      <c r="E770" s="86"/>
    </row>
    <row r="771">
      <c r="E771" s="86"/>
    </row>
    <row r="772">
      <c r="E772" s="86"/>
    </row>
    <row r="773">
      <c r="E773" s="86"/>
    </row>
    <row r="774">
      <c r="E774" s="86"/>
    </row>
    <row r="775">
      <c r="E775" s="86"/>
    </row>
    <row r="776">
      <c r="E776" s="86"/>
    </row>
    <row r="777">
      <c r="E777" s="86"/>
    </row>
    <row r="778">
      <c r="E778" s="86"/>
    </row>
    <row r="779">
      <c r="E779" s="86"/>
    </row>
    <row r="780">
      <c r="E780" s="86"/>
    </row>
    <row r="781">
      <c r="E781" s="86"/>
    </row>
    <row r="782">
      <c r="E782" s="86"/>
    </row>
    <row r="783">
      <c r="E783" s="86"/>
    </row>
    <row r="784">
      <c r="E784" s="86"/>
    </row>
    <row r="785">
      <c r="E785" s="86"/>
    </row>
    <row r="786">
      <c r="E786" s="86"/>
    </row>
    <row r="787">
      <c r="E787" s="86"/>
    </row>
    <row r="788">
      <c r="E788" s="86"/>
    </row>
    <row r="789">
      <c r="E789" s="86"/>
    </row>
    <row r="790">
      <c r="E790" s="86"/>
    </row>
    <row r="791">
      <c r="E791" s="86"/>
    </row>
    <row r="792">
      <c r="E792" s="86"/>
    </row>
    <row r="793">
      <c r="E793" s="86"/>
    </row>
    <row r="794">
      <c r="E794" s="86"/>
    </row>
    <row r="795">
      <c r="E795" s="86"/>
    </row>
    <row r="796">
      <c r="E796" s="86"/>
    </row>
    <row r="797">
      <c r="E797" s="86"/>
    </row>
    <row r="798">
      <c r="E798" s="86"/>
    </row>
    <row r="799">
      <c r="E799" s="86"/>
    </row>
    <row r="800">
      <c r="E800" s="86"/>
    </row>
    <row r="801">
      <c r="E801" s="86"/>
    </row>
    <row r="802">
      <c r="E802" s="86"/>
    </row>
    <row r="803">
      <c r="E803" s="86"/>
    </row>
    <row r="804">
      <c r="E804" s="86"/>
    </row>
    <row r="805">
      <c r="E805" s="86"/>
    </row>
    <row r="806">
      <c r="E806" s="86"/>
    </row>
    <row r="807">
      <c r="E807" s="86"/>
    </row>
    <row r="808">
      <c r="E808" s="86"/>
    </row>
    <row r="809">
      <c r="E809" s="86"/>
    </row>
    <row r="810">
      <c r="E810" s="86"/>
    </row>
    <row r="811">
      <c r="E811" s="86"/>
    </row>
    <row r="812">
      <c r="E812" s="86"/>
    </row>
    <row r="813">
      <c r="E813" s="86"/>
    </row>
    <row r="814">
      <c r="E814" s="86"/>
    </row>
    <row r="815">
      <c r="E815" s="86"/>
    </row>
    <row r="816">
      <c r="E816" s="86"/>
    </row>
    <row r="817">
      <c r="E817" s="86"/>
    </row>
    <row r="818">
      <c r="E818" s="86"/>
    </row>
    <row r="819">
      <c r="E819" s="86"/>
    </row>
    <row r="820">
      <c r="E820" s="86"/>
    </row>
    <row r="821">
      <c r="E821" s="86"/>
    </row>
    <row r="822">
      <c r="E822" s="86"/>
    </row>
    <row r="823">
      <c r="E823" s="86"/>
    </row>
    <row r="824">
      <c r="E824" s="86"/>
    </row>
    <row r="825">
      <c r="E825" s="86"/>
    </row>
    <row r="826">
      <c r="E826" s="86"/>
    </row>
    <row r="827">
      <c r="E827" s="86"/>
    </row>
    <row r="828">
      <c r="E828" s="86"/>
    </row>
    <row r="829">
      <c r="E829" s="86"/>
    </row>
    <row r="830">
      <c r="E830" s="86"/>
    </row>
    <row r="831">
      <c r="E831" s="86"/>
    </row>
    <row r="832">
      <c r="E832" s="86"/>
    </row>
    <row r="833">
      <c r="E833" s="86"/>
    </row>
    <row r="834">
      <c r="E834" s="86"/>
    </row>
    <row r="835">
      <c r="E835" s="86"/>
    </row>
    <row r="836">
      <c r="E836" s="86"/>
    </row>
    <row r="837">
      <c r="E837" s="86"/>
    </row>
    <row r="838">
      <c r="E838" s="86"/>
    </row>
    <row r="839">
      <c r="E839" s="86"/>
    </row>
    <row r="840">
      <c r="E840" s="86"/>
    </row>
    <row r="841">
      <c r="E841" s="86"/>
    </row>
    <row r="842">
      <c r="E842" s="86"/>
    </row>
    <row r="843">
      <c r="E843" s="86"/>
    </row>
    <row r="844">
      <c r="E844" s="86"/>
    </row>
    <row r="845">
      <c r="E845" s="86"/>
    </row>
    <row r="846">
      <c r="E846" s="86"/>
    </row>
    <row r="847">
      <c r="E847" s="86"/>
    </row>
    <row r="848">
      <c r="E848" s="86"/>
    </row>
    <row r="849">
      <c r="E849" s="86"/>
    </row>
    <row r="850">
      <c r="E850" s="86"/>
    </row>
    <row r="851">
      <c r="E851" s="86"/>
    </row>
    <row r="852">
      <c r="E852" s="86"/>
    </row>
    <row r="853">
      <c r="E853" s="86"/>
    </row>
    <row r="854">
      <c r="E854" s="86"/>
    </row>
    <row r="855">
      <c r="E855" s="86"/>
    </row>
    <row r="856">
      <c r="E856" s="86"/>
    </row>
    <row r="857">
      <c r="E857" s="86"/>
    </row>
    <row r="858">
      <c r="E858" s="86"/>
    </row>
    <row r="859">
      <c r="E859" s="86"/>
    </row>
    <row r="860">
      <c r="E860" s="86"/>
    </row>
    <row r="861">
      <c r="E861" s="86"/>
    </row>
    <row r="862">
      <c r="E862" s="86"/>
    </row>
    <row r="863">
      <c r="E863" s="86"/>
    </row>
    <row r="864">
      <c r="E864" s="86"/>
    </row>
    <row r="865">
      <c r="E865" s="86"/>
    </row>
    <row r="866">
      <c r="E866" s="86"/>
    </row>
    <row r="867">
      <c r="E867" s="86"/>
    </row>
    <row r="868">
      <c r="E868" s="86"/>
    </row>
    <row r="869">
      <c r="E869" s="86"/>
    </row>
    <row r="870">
      <c r="E870" s="86"/>
    </row>
    <row r="871">
      <c r="E871" s="86"/>
    </row>
    <row r="872">
      <c r="E872" s="86"/>
    </row>
    <row r="873">
      <c r="E873" s="86"/>
    </row>
    <row r="874">
      <c r="E874" s="86"/>
    </row>
    <row r="875">
      <c r="E875" s="86"/>
    </row>
    <row r="876">
      <c r="E876" s="86"/>
    </row>
    <row r="877">
      <c r="E877" s="86"/>
    </row>
    <row r="878">
      <c r="E878" s="86"/>
    </row>
    <row r="879">
      <c r="E879" s="86"/>
    </row>
    <row r="880">
      <c r="E880" s="86"/>
    </row>
    <row r="881">
      <c r="E881" s="86"/>
    </row>
    <row r="882">
      <c r="E882" s="86"/>
    </row>
    <row r="883">
      <c r="E883" s="86"/>
    </row>
    <row r="884">
      <c r="E884" s="86"/>
    </row>
    <row r="885">
      <c r="E885" s="86"/>
    </row>
    <row r="886">
      <c r="E886" s="86"/>
    </row>
    <row r="887">
      <c r="E887" s="86"/>
    </row>
    <row r="888">
      <c r="E888" s="86"/>
    </row>
    <row r="889">
      <c r="E889" s="86"/>
    </row>
    <row r="890">
      <c r="E890" s="86"/>
    </row>
    <row r="891">
      <c r="E891" s="86"/>
    </row>
    <row r="892">
      <c r="E892" s="86"/>
    </row>
    <row r="893">
      <c r="E893" s="86"/>
    </row>
    <row r="894">
      <c r="E894" s="86"/>
    </row>
    <row r="895">
      <c r="E895" s="86"/>
    </row>
    <row r="896">
      <c r="E896" s="86"/>
    </row>
    <row r="897">
      <c r="E897" s="86"/>
    </row>
    <row r="898">
      <c r="E898" s="86"/>
    </row>
    <row r="899">
      <c r="E899" s="86"/>
    </row>
    <row r="900">
      <c r="E900" s="86"/>
    </row>
    <row r="901">
      <c r="E901" s="86"/>
    </row>
    <row r="902">
      <c r="E902" s="86"/>
    </row>
    <row r="903">
      <c r="E903" s="86"/>
    </row>
    <row r="904">
      <c r="E904" s="86"/>
    </row>
    <row r="905">
      <c r="E905" s="86"/>
    </row>
    <row r="906">
      <c r="E906" s="86"/>
    </row>
    <row r="907">
      <c r="E907" s="86"/>
    </row>
    <row r="908">
      <c r="E908" s="86"/>
    </row>
    <row r="909">
      <c r="E909" s="86"/>
    </row>
    <row r="910">
      <c r="E910" s="86"/>
    </row>
    <row r="911">
      <c r="E911" s="86"/>
    </row>
    <row r="912">
      <c r="E912" s="86"/>
    </row>
    <row r="913">
      <c r="E913" s="86"/>
    </row>
    <row r="914">
      <c r="E914" s="86"/>
    </row>
    <row r="915">
      <c r="E915" s="86"/>
    </row>
    <row r="916">
      <c r="E916" s="86"/>
    </row>
    <row r="917">
      <c r="E917" s="86"/>
    </row>
    <row r="918">
      <c r="E918" s="86"/>
    </row>
    <row r="919">
      <c r="E919" s="86"/>
    </row>
    <row r="920">
      <c r="E920" s="86"/>
    </row>
    <row r="921">
      <c r="E921" s="86"/>
    </row>
    <row r="922">
      <c r="E922" s="86"/>
    </row>
    <row r="923">
      <c r="E923" s="86"/>
    </row>
    <row r="924">
      <c r="E924" s="86"/>
    </row>
    <row r="925">
      <c r="E925" s="86"/>
    </row>
    <row r="926">
      <c r="E926" s="86"/>
    </row>
    <row r="927">
      <c r="E927" s="86"/>
    </row>
    <row r="928">
      <c r="E928" s="86"/>
    </row>
    <row r="929">
      <c r="E929" s="86"/>
    </row>
    <row r="930">
      <c r="E930" s="86"/>
    </row>
    <row r="931">
      <c r="E931" s="86"/>
    </row>
    <row r="932">
      <c r="E932" s="86"/>
    </row>
    <row r="933">
      <c r="E933" s="86"/>
    </row>
    <row r="934">
      <c r="E934" s="86"/>
    </row>
    <row r="935">
      <c r="E935" s="86"/>
    </row>
    <row r="936">
      <c r="E936" s="86"/>
    </row>
    <row r="937">
      <c r="E937" s="86"/>
    </row>
    <row r="938">
      <c r="E938" s="86"/>
    </row>
    <row r="939">
      <c r="E939" s="86"/>
    </row>
    <row r="940">
      <c r="E940" s="86"/>
    </row>
    <row r="941">
      <c r="E941" s="86"/>
    </row>
    <row r="942">
      <c r="E942" s="86"/>
    </row>
    <row r="943">
      <c r="E943" s="86"/>
    </row>
    <row r="944">
      <c r="E944" s="86"/>
    </row>
    <row r="945">
      <c r="E945" s="86"/>
    </row>
    <row r="946">
      <c r="E946" s="86"/>
    </row>
    <row r="947">
      <c r="E947" s="86"/>
    </row>
    <row r="948">
      <c r="E948" s="86"/>
    </row>
    <row r="949">
      <c r="E949" s="86"/>
    </row>
    <row r="950">
      <c r="E950" s="86"/>
    </row>
    <row r="951">
      <c r="E951" s="86"/>
    </row>
    <row r="952">
      <c r="E952" s="86"/>
    </row>
    <row r="953">
      <c r="E953" s="86"/>
    </row>
    <row r="954">
      <c r="E954" s="86"/>
    </row>
    <row r="955">
      <c r="E955" s="86"/>
    </row>
    <row r="956">
      <c r="E956" s="86"/>
    </row>
    <row r="957">
      <c r="E957" s="86"/>
    </row>
    <row r="958">
      <c r="E958" s="86"/>
    </row>
    <row r="959">
      <c r="E959" s="86"/>
    </row>
    <row r="960">
      <c r="E960" s="86"/>
    </row>
    <row r="961">
      <c r="E961" s="86"/>
    </row>
    <row r="962">
      <c r="E962" s="86"/>
    </row>
    <row r="963">
      <c r="E963" s="86"/>
    </row>
    <row r="964">
      <c r="E964" s="86"/>
    </row>
    <row r="965">
      <c r="E965" s="86"/>
    </row>
    <row r="966">
      <c r="E966" s="86"/>
    </row>
    <row r="967">
      <c r="E967" s="86"/>
    </row>
    <row r="968">
      <c r="E968" s="86"/>
    </row>
    <row r="969">
      <c r="E969" s="86"/>
    </row>
    <row r="970">
      <c r="E970" s="86"/>
    </row>
    <row r="971">
      <c r="E971" s="86"/>
    </row>
    <row r="972">
      <c r="E972" s="86"/>
    </row>
    <row r="973">
      <c r="E973" s="86"/>
    </row>
    <row r="974">
      <c r="E974" s="86"/>
    </row>
    <row r="975">
      <c r="E975" s="86"/>
    </row>
    <row r="976">
      <c r="E976" s="86"/>
    </row>
    <row r="977">
      <c r="E977" s="86"/>
    </row>
    <row r="978">
      <c r="E978" s="86"/>
    </row>
    <row r="979">
      <c r="E979" s="86"/>
    </row>
    <row r="980">
      <c r="E980" s="86"/>
    </row>
    <row r="981">
      <c r="E981" s="86"/>
    </row>
    <row r="982">
      <c r="E982" s="86"/>
    </row>
    <row r="983">
      <c r="E983" s="86"/>
    </row>
    <row r="984">
      <c r="E984" s="86"/>
    </row>
    <row r="985">
      <c r="E985" s="86"/>
    </row>
    <row r="986">
      <c r="E986" s="86"/>
    </row>
    <row r="987">
      <c r="E987" s="86"/>
    </row>
    <row r="988">
      <c r="E988" s="86"/>
    </row>
    <row r="989">
      <c r="E989" s="86"/>
    </row>
    <row r="990">
      <c r="E990" s="86"/>
    </row>
    <row r="991">
      <c r="E991" s="86"/>
    </row>
    <row r="992">
      <c r="E992" s="86"/>
    </row>
    <row r="993">
      <c r="E993" s="86"/>
    </row>
    <row r="994">
      <c r="E994" s="86"/>
    </row>
    <row r="995">
      <c r="E995" s="86"/>
    </row>
    <row r="996">
      <c r="E996" s="86"/>
    </row>
    <row r="997">
      <c r="E997" s="86"/>
    </row>
    <row r="998">
      <c r="E998" s="86"/>
    </row>
    <row r="999">
      <c r="E999" s="86"/>
    </row>
    <row r="1000">
      <c r="E1000" s="86"/>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K60"/>
    <hyperlink r:id="rId61" ref="I61"/>
    <hyperlink r:id="rId62" ref="K61"/>
    <hyperlink r:id="rId63" ref="I62"/>
    <hyperlink r:id="rId64" ref="I63"/>
    <hyperlink r:id="rId65" ref="I64"/>
    <hyperlink r:id="rId66" ref="I65"/>
    <hyperlink r:id="rId67" ref="I66"/>
    <hyperlink r:id="rId68" ref="I67"/>
    <hyperlink r:id="rId69" ref="I68"/>
    <hyperlink r:id="rId70" ref="I69"/>
    <hyperlink r:id="rId71" ref="I70"/>
    <hyperlink r:id="rId72" ref="I71"/>
    <hyperlink r:id="rId73" ref="I72"/>
    <hyperlink r:id="rId74" ref="I73"/>
    <hyperlink r:id="rId75" ref="I74"/>
    <hyperlink r:id="rId76" ref="I75"/>
    <hyperlink r:id="rId77" ref="I76"/>
    <hyperlink r:id="rId78" ref="I77"/>
    <hyperlink r:id="rId79" ref="I78"/>
    <hyperlink r:id="rId80" ref="I79"/>
    <hyperlink r:id="rId81" ref="I80"/>
    <hyperlink r:id="rId82" ref="I81"/>
    <hyperlink r:id="rId83" ref="I82"/>
    <hyperlink r:id="rId84" ref="I83"/>
    <hyperlink r:id="rId85" ref="I84"/>
    <hyperlink r:id="rId86" ref="I85"/>
    <hyperlink r:id="rId87" ref="I86"/>
  </hyperlinks>
  <drawing r:id="rId8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7.13"/>
    <col customWidth="1" min="3" max="3" width="29.25"/>
    <col customWidth="1" min="4" max="4" width="14.25"/>
    <col customWidth="1" min="5" max="5" width="22.25"/>
    <col customWidth="1" min="6" max="6" width="14.25"/>
    <col customWidth="1" min="7" max="7" width="14.5"/>
    <col customWidth="1" min="8" max="8" width="12.38"/>
    <col customWidth="1" min="9" max="9" width="9.75"/>
    <col customWidth="1" min="10" max="10" width="13.5"/>
    <col customWidth="1" min="11" max="11" width="14.25"/>
    <col customWidth="1" min="12" max="12" width="23.38"/>
    <col customWidth="1" min="13" max="14" width="14.25"/>
    <col customWidth="1" min="15" max="15" width="5.5"/>
  </cols>
  <sheetData>
    <row r="1">
      <c r="A1" s="1" t="s">
        <v>1</v>
      </c>
      <c r="B1" s="1" t="s">
        <v>2</v>
      </c>
      <c r="C1" s="1" t="s">
        <v>33</v>
      </c>
      <c r="D1" s="1" t="s">
        <v>6</v>
      </c>
      <c r="E1" s="1" t="s">
        <v>35</v>
      </c>
      <c r="F1" s="1" t="s">
        <v>36</v>
      </c>
      <c r="G1" s="1" t="s">
        <v>38</v>
      </c>
      <c r="H1" s="1" t="s">
        <v>39</v>
      </c>
      <c r="I1" s="15" t="s">
        <v>40</v>
      </c>
      <c r="J1" s="15" t="s">
        <v>44</v>
      </c>
      <c r="K1" s="1" t="s">
        <v>45</v>
      </c>
      <c r="L1" s="1" t="s">
        <v>48</v>
      </c>
      <c r="M1" s="1" t="s">
        <v>11</v>
      </c>
      <c r="N1" s="1" t="s">
        <v>12</v>
      </c>
      <c r="O1" s="1" t="s">
        <v>13</v>
      </c>
      <c r="P1" s="6"/>
      <c r="Q1" s="6"/>
      <c r="R1" s="6"/>
      <c r="S1" s="6"/>
      <c r="T1" s="6"/>
      <c r="U1" s="6"/>
      <c r="V1" s="6"/>
      <c r="W1" s="6"/>
      <c r="X1" s="6"/>
      <c r="Y1" s="6"/>
      <c r="Z1" s="6"/>
      <c r="AA1" s="6"/>
      <c r="AB1" s="6"/>
      <c r="AC1" s="6"/>
      <c r="AD1" s="6"/>
      <c r="AE1" s="6"/>
      <c r="AF1" s="6"/>
      <c r="AG1" s="6"/>
      <c r="AH1" s="6"/>
    </row>
    <row r="2">
      <c r="A2" s="11" t="s">
        <v>57</v>
      </c>
      <c r="B2" s="11" t="s">
        <v>20</v>
      </c>
      <c r="C2" s="11" t="s">
        <v>68</v>
      </c>
      <c r="D2" s="11" t="s">
        <v>70</v>
      </c>
      <c r="E2" s="11" t="s">
        <v>71</v>
      </c>
      <c r="F2" s="11" t="s">
        <v>72</v>
      </c>
      <c r="G2" s="25" t="s">
        <v>74</v>
      </c>
      <c r="H2" s="26">
        <v>1991.0</v>
      </c>
      <c r="I2" s="27">
        <v>1800.0</v>
      </c>
      <c r="J2" s="27">
        <v>658.0</v>
      </c>
      <c r="K2" s="28">
        <v>6152.0</v>
      </c>
      <c r="L2" s="29" t="s">
        <v>81</v>
      </c>
      <c r="M2" s="30" t="s">
        <v>84</v>
      </c>
      <c r="N2" s="33" t="s">
        <v>115</v>
      </c>
      <c r="O2" s="11"/>
    </row>
    <row r="3">
      <c r="A3" s="11" t="s">
        <v>57</v>
      </c>
      <c r="B3" s="11" t="s">
        <v>20</v>
      </c>
      <c r="C3" s="11" t="s">
        <v>68</v>
      </c>
      <c r="D3" s="11" t="s">
        <v>70</v>
      </c>
      <c r="E3" s="11" t="s">
        <v>71</v>
      </c>
      <c r="F3" s="11" t="s">
        <v>72</v>
      </c>
      <c r="G3" s="25" t="s">
        <v>74</v>
      </c>
      <c r="H3" s="26">
        <v>1993.0</v>
      </c>
      <c r="I3" s="27">
        <v>2025.0</v>
      </c>
      <c r="J3" s="27">
        <v>759.0</v>
      </c>
      <c r="K3" s="28">
        <v>6658.0</v>
      </c>
      <c r="L3" s="29" t="s">
        <v>81</v>
      </c>
      <c r="M3" s="30" t="s">
        <v>84</v>
      </c>
      <c r="N3" s="33" t="s">
        <v>124</v>
      </c>
      <c r="O3" s="11"/>
    </row>
    <row r="4">
      <c r="A4" s="11" t="s">
        <v>57</v>
      </c>
      <c r="B4" s="11" t="s">
        <v>20</v>
      </c>
      <c r="C4" s="11" t="s">
        <v>68</v>
      </c>
      <c r="D4" s="11" t="s">
        <v>70</v>
      </c>
      <c r="E4" s="11" t="s">
        <v>71</v>
      </c>
      <c r="F4" s="11" t="s">
        <v>72</v>
      </c>
      <c r="G4" s="25" t="s">
        <v>74</v>
      </c>
      <c r="H4" s="26">
        <v>1996.0</v>
      </c>
      <c r="I4" s="27">
        <v>2007.0</v>
      </c>
      <c r="J4" s="27">
        <v>835.0</v>
      </c>
      <c r="K4" s="28">
        <v>5975.0</v>
      </c>
      <c r="L4" s="29" t="s">
        <v>81</v>
      </c>
      <c r="M4" s="30" t="s">
        <v>84</v>
      </c>
      <c r="N4" s="33" t="s">
        <v>130</v>
      </c>
      <c r="O4" s="11"/>
    </row>
    <row r="5">
      <c r="A5" s="11" t="s">
        <v>57</v>
      </c>
      <c r="B5" s="11" t="s">
        <v>20</v>
      </c>
      <c r="C5" s="11" t="s">
        <v>68</v>
      </c>
      <c r="D5" s="11" t="s">
        <v>70</v>
      </c>
      <c r="E5" s="11" t="s">
        <v>71</v>
      </c>
      <c r="F5" s="11" t="s">
        <v>72</v>
      </c>
      <c r="G5" s="25" t="s">
        <v>74</v>
      </c>
      <c r="H5" s="26">
        <v>2001.0</v>
      </c>
      <c r="I5" s="27">
        <v>1801.0</v>
      </c>
      <c r="J5" s="27">
        <v>709.0</v>
      </c>
      <c r="K5" s="28">
        <v>6025.0</v>
      </c>
      <c r="L5" s="29" t="s">
        <v>81</v>
      </c>
      <c r="M5" s="30" t="s">
        <v>84</v>
      </c>
      <c r="N5" s="33" t="s">
        <v>136</v>
      </c>
      <c r="O5" s="11"/>
    </row>
    <row r="6">
      <c r="A6" s="11" t="s">
        <v>57</v>
      </c>
      <c r="B6" s="11" t="s">
        <v>20</v>
      </c>
      <c r="C6" s="11" t="s">
        <v>68</v>
      </c>
      <c r="D6" s="11" t="s">
        <v>70</v>
      </c>
      <c r="E6" s="11" t="s">
        <v>71</v>
      </c>
      <c r="F6" s="11" t="s">
        <v>72</v>
      </c>
      <c r="G6" s="25" t="s">
        <v>74</v>
      </c>
      <c r="H6" s="26">
        <v>2005.0</v>
      </c>
      <c r="I6" s="27">
        <v>2026.0</v>
      </c>
      <c r="J6" s="27">
        <v>795.0</v>
      </c>
      <c r="K6" s="28">
        <v>6354.0</v>
      </c>
      <c r="L6" s="29" t="s">
        <v>81</v>
      </c>
      <c r="M6" s="30" t="s">
        <v>84</v>
      </c>
      <c r="N6" s="33" t="s">
        <v>146</v>
      </c>
      <c r="O6" s="11"/>
    </row>
    <row r="7">
      <c r="A7" s="11" t="s">
        <v>57</v>
      </c>
      <c r="B7" s="11" t="s">
        <v>20</v>
      </c>
      <c r="C7" s="11" t="s">
        <v>68</v>
      </c>
      <c r="D7" s="11" t="s">
        <v>70</v>
      </c>
      <c r="E7" s="11" t="s">
        <v>71</v>
      </c>
      <c r="F7" s="11" t="s">
        <v>72</v>
      </c>
      <c r="G7" s="25" t="s">
        <v>74</v>
      </c>
      <c r="H7" s="26">
        <v>2008.0</v>
      </c>
      <c r="I7" s="27">
        <v>2496.0</v>
      </c>
      <c r="J7" s="27">
        <v>1038.0</v>
      </c>
      <c r="K7" s="28">
        <v>7772.0</v>
      </c>
      <c r="L7" s="29" t="s">
        <v>81</v>
      </c>
      <c r="M7" s="30" t="s">
        <v>84</v>
      </c>
      <c r="N7" s="33" t="s">
        <v>149</v>
      </c>
      <c r="O7" s="11"/>
    </row>
    <row r="8">
      <c r="A8" s="11" t="s">
        <v>57</v>
      </c>
      <c r="B8" s="11" t="s">
        <v>20</v>
      </c>
      <c r="C8" s="11" t="s">
        <v>68</v>
      </c>
      <c r="D8" s="11" t="s">
        <v>70</v>
      </c>
      <c r="E8" s="11" t="s">
        <v>71</v>
      </c>
      <c r="F8" s="11" t="s">
        <v>72</v>
      </c>
      <c r="G8" s="25" t="s">
        <v>74</v>
      </c>
      <c r="H8" s="26">
        <v>2014.0</v>
      </c>
      <c r="I8" s="27">
        <v>2697.0</v>
      </c>
      <c r="J8" s="27">
        <v>1013.0</v>
      </c>
      <c r="K8" s="28">
        <v>9215.0</v>
      </c>
      <c r="L8" s="29" t="s">
        <v>81</v>
      </c>
      <c r="M8" s="30" t="s">
        <v>84</v>
      </c>
      <c r="N8" s="33" t="s">
        <v>152</v>
      </c>
      <c r="O8" s="11"/>
    </row>
    <row r="9">
      <c r="A9" s="11" t="s">
        <v>57</v>
      </c>
      <c r="B9" s="11" t="s">
        <v>20</v>
      </c>
      <c r="C9" s="11" t="s">
        <v>68</v>
      </c>
      <c r="D9" s="11" t="s">
        <v>70</v>
      </c>
      <c r="E9" s="11" t="s">
        <v>71</v>
      </c>
      <c r="F9" s="11" t="s">
        <v>157</v>
      </c>
      <c r="G9" s="11" t="s">
        <v>158</v>
      </c>
      <c r="H9" s="11">
        <v>1996.0</v>
      </c>
      <c r="I9" s="40">
        <v>739.0</v>
      </c>
      <c r="J9" s="40">
        <v>265.0</v>
      </c>
      <c r="K9" s="41">
        <v>2064.0</v>
      </c>
      <c r="L9" s="42" t="s">
        <v>160</v>
      </c>
      <c r="M9" s="30" t="s">
        <v>84</v>
      </c>
      <c r="N9" s="33" t="s">
        <v>161</v>
      </c>
    </row>
    <row r="10">
      <c r="A10" s="11" t="s">
        <v>57</v>
      </c>
      <c r="B10" s="11" t="s">
        <v>20</v>
      </c>
      <c r="C10" s="11" t="s">
        <v>68</v>
      </c>
      <c r="D10" s="11" t="s">
        <v>70</v>
      </c>
      <c r="E10" s="11" t="s">
        <v>71</v>
      </c>
      <c r="F10" s="11" t="s">
        <v>157</v>
      </c>
      <c r="G10" s="11" t="s">
        <v>158</v>
      </c>
      <c r="H10" s="11">
        <v>2001.0</v>
      </c>
      <c r="I10" s="40">
        <v>730.0</v>
      </c>
      <c r="J10" s="40">
        <v>270.0</v>
      </c>
      <c r="K10" s="41">
        <v>1976.0</v>
      </c>
      <c r="L10" s="42" t="s">
        <v>160</v>
      </c>
      <c r="M10" s="30" t="s">
        <v>84</v>
      </c>
      <c r="N10" s="33" t="s">
        <v>165</v>
      </c>
    </row>
    <row r="11">
      <c r="A11" s="11" t="s">
        <v>57</v>
      </c>
      <c r="B11" s="11" t="s">
        <v>20</v>
      </c>
      <c r="C11" s="11" t="s">
        <v>68</v>
      </c>
      <c r="D11" s="11" t="s">
        <v>70</v>
      </c>
      <c r="E11" s="11" t="s">
        <v>71</v>
      </c>
      <c r="F11" s="11" t="s">
        <v>157</v>
      </c>
      <c r="G11" s="11" t="s">
        <v>158</v>
      </c>
      <c r="H11" s="11">
        <v>2005.0</v>
      </c>
      <c r="I11" s="40">
        <v>590.0</v>
      </c>
      <c r="J11" s="40">
        <v>169.0</v>
      </c>
      <c r="K11" s="41">
        <v>2057.0</v>
      </c>
      <c r="L11" s="42" t="s">
        <v>160</v>
      </c>
      <c r="M11" s="30" t="s">
        <v>84</v>
      </c>
      <c r="N11" s="33" t="s">
        <v>169</v>
      </c>
    </row>
    <row r="12">
      <c r="A12" s="11" t="s">
        <v>57</v>
      </c>
      <c r="B12" s="11" t="s">
        <v>20</v>
      </c>
      <c r="C12" s="11" t="s">
        <v>68</v>
      </c>
      <c r="D12" s="11" t="s">
        <v>70</v>
      </c>
      <c r="E12" s="11" t="s">
        <v>71</v>
      </c>
      <c r="F12" s="11" t="s">
        <v>157</v>
      </c>
      <c r="G12" s="11" t="s">
        <v>158</v>
      </c>
      <c r="H12" s="11">
        <v>2008.0</v>
      </c>
      <c r="I12" s="40">
        <v>681.0</v>
      </c>
      <c r="J12" s="40">
        <v>225.0</v>
      </c>
      <c r="K12" s="41">
        <v>2065.0</v>
      </c>
      <c r="L12" s="42" t="s">
        <v>160</v>
      </c>
      <c r="M12" s="30" t="s">
        <v>84</v>
      </c>
      <c r="N12" s="33" t="s">
        <v>172</v>
      </c>
    </row>
    <row r="13">
      <c r="A13" s="11" t="s">
        <v>57</v>
      </c>
      <c r="B13" s="11" t="s">
        <v>20</v>
      </c>
      <c r="C13" s="11" t="s">
        <v>68</v>
      </c>
      <c r="D13" s="11" t="s">
        <v>70</v>
      </c>
      <c r="E13" s="11" t="s">
        <v>71</v>
      </c>
      <c r="F13" s="11" t="s">
        <v>157</v>
      </c>
      <c r="G13" s="11" t="s">
        <v>158</v>
      </c>
      <c r="H13" s="11">
        <v>2014.0</v>
      </c>
      <c r="I13" s="40">
        <v>977.0</v>
      </c>
      <c r="J13" s="40">
        <v>366.0</v>
      </c>
      <c r="K13" s="41">
        <v>2608.0</v>
      </c>
      <c r="L13" s="42" t="s">
        <v>160</v>
      </c>
      <c r="M13" s="30" t="s">
        <v>84</v>
      </c>
      <c r="N13" s="33" t="s">
        <v>176</v>
      </c>
    </row>
    <row r="14">
      <c r="A14" s="11" t="s">
        <v>57</v>
      </c>
      <c r="B14" s="11" t="s">
        <v>20</v>
      </c>
      <c r="C14" s="11" t="s">
        <v>68</v>
      </c>
      <c r="D14" s="11" t="s">
        <v>70</v>
      </c>
      <c r="E14" s="11" t="s">
        <v>71</v>
      </c>
      <c r="F14" s="11" t="s">
        <v>157</v>
      </c>
      <c r="G14" s="11" t="s">
        <v>158</v>
      </c>
      <c r="H14" s="11">
        <v>2018.0</v>
      </c>
      <c r="I14" s="40">
        <v>1363.0</v>
      </c>
      <c r="J14" s="40">
        <v>511.0</v>
      </c>
      <c r="K14" s="41">
        <v>3634.0</v>
      </c>
      <c r="L14" s="42" t="s">
        <v>160</v>
      </c>
      <c r="M14" s="30" t="s">
        <v>84</v>
      </c>
      <c r="N14" s="33" t="s">
        <v>182</v>
      </c>
    </row>
    <row r="15">
      <c r="A15" s="11" t="s">
        <v>57</v>
      </c>
      <c r="B15" s="11" t="s">
        <v>20</v>
      </c>
      <c r="C15" s="11" t="s">
        <v>184</v>
      </c>
      <c r="D15" s="11" t="s">
        <v>185</v>
      </c>
      <c r="E15" s="11" t="s">
        <v>186</v>
      </c>
      <c r="F15" s="11" t="s">
        <v>187</v>
      </c>
      <c r="G15" s="11" t="s">
        <v>74</v>
      </c>
      <c r="H15" s="44">
        <v>1978.99727148704</v>
      </c>
      <c r="I15" s="27">
        <v>1293.0</v>
      </c>
      <c r="J15" s="40" t="s">
        <v>188</v>
      </c>
      <c r="K15" s="11" t="s">
        <v>188</v>
      </c>
      <c r="L15" s="29" t="s">
        <v>81</v>
      </c>
      <c r="M15" s="39" t="s">
        <v>189</v>
      </c>
      <c r="N15" s="11" t="s">
        <v>196</v>
      </c>
      <c r="O15" s="11" t="s">
        <v>197</v>
      </c>
    </row>
    <row r="16">
      <c r="A16" s="11" t="s">
        <v>57</v>
      </c>
      <c r="B16" s="11" t="s">
        <v>20</v>
      </c>
      <c r="C16" s="11" t="s">
        <v>184</v>
      </c>
      <c r="D16" s="11" t="s">
        <v>185</v>
      </c>
      <c r="E16" s="11" t="s">
        <v>186</v>
      </c>
      <c r="F16" s="11" t="s">
        <v>187</v>
      </c>
      <c r="G16" s="11" t="s">
        <v>74</v>
      </c>
      <c r="H16" s="44">
        <v>1990.96452933151</v>
      </c>
      <c r="I16" s="27">
        <v>1018.0</v>
      </c>
      <c r="J16" s="40" t="s">
        <v>188</v>
      </c>
      <c r="K16" s="11" t="s">
        <v>188</v>
      </c>
      <c r="L16" s="29" t="s">
        <v>81</v>
      </c>
      <c r="M16" s="39" t="s">
        <v>189</v>
      </c>
      <c r="N16" s="11" t="s">
        <v>196</v>
      </c>
    </row>
    <row r="17">
      <c r="A17" s="11" t="s">
        <v>57</v>
      </c>
      <c r="B17" s="11" t="s">
        <v>20</v>
      </c>
      <c r="C17" s="11" t="s">
        <v>184</v>
      </c>
      <c r="D17" s="11" t="s">
        <v>185</v>
      </c>
      <c r="E17" s="11" t="s">
        <v>186</v>
      </c>
      <c r="F17" s="11" t="s">
        <v>187</v>
      </c>
      <c r="G17" s="11" t="s">
        <v>74</v>
      </c>
      <c r="H17" s="44">
        <v>1993.95634379263</v>
      </c>
      <c r="I17" s="27">
        <v>653.0</v>
      </c>
      <c r="J17" s="40" t="s">
        <v>188</v>
      </c>
      <c r="K17" s="11" t="s">
        <v>188</v>
      </c>
      <c r="L17" s="29" t="s">
        <v>81</v>
      </c>
      <c r="M17" s="39" t="s">
        <v>189</v>
      </c>
      <c r="N17" s="11" t="s">
        <v>196</v>
      </c>
    </row>
    <row r="18">
      <c r="A18" s="11" t="s">
        <v>57</v>
      </c>
      <c r="B18" s="11" t="s">
        <v>20</v>
      </c>
      <c r="C18" s="11" t="s">
        <v>184</v>
      </c>
      <c r="D18" s="11" t="s">
        <v>185</v>
      </c>
      <c r="E18" s="11" t="s">
        <v>186</v>
      </c>
      <c r="F18" s="11" t="s">
        <v>187</v>
      </c>
      <c r="G18" s="11" t="s">
        <v>74</v>
      </c>
      <c r="H18" s="27">
        <v>1995.0</v>
      </c>
      <c r="I18" s="27">
        <v>491.0</v>
      </c>
      <c r="J18" s="40" t="s">
        <v>188</v>
      </c>
      <c r="K18" s="11" t="s">
        <v>188</v>
      </c>
      <c r="L18" s="29" t="s">
        <v>81</v>
      </c>
      <c r="M18" s="39" t="s">
        <v>189</v>
      </c>
      <c r="N18" s="11" t="s">
        <v>196</v>
      </c>
    </row>
    <row r="19">
      <c r="A19" s="11" t="s">
        <v>57</v>
      </c>
      <c r="B19" s="11" t="s">
        <v>20</v>
      </c>
      <c r="C19" s="11" t="s">
        <v>184</v>
      </c>
      <c r="D19" s="11" t="s">
        <v>185</v>
      </c>
      <c r="E19" s="11" t="s">
        <v>186</v>
      </c>
      <c r="F19" s="11" t="s">
        <v>187</v>
      </c>
      <c r="G19" s="11" t="s">
        <v>74</v>
      </c>
      <c r="H19" s="27">
        <v>1996.0</v>
      </c>
      <c r="I19" s="27">
        <v>594.0</v>
      </c>
      <c r="J19" s="40" t="s">
        <v>188</v>
      </c>
      <c r="K19" s="11" t="s">
        <v>188</v>
      </c>
      <c r="L19" s="29" t="s">
        <v>81</v>
      </c>
      <c r="M19" s="39" t="s">
        <v>189</v>
      </c>
      <c r="N19" s="11" t="s">
        <v>196</v>
      </c>
    </row>
    <row r="20">
      <c r="A20" s="11" t="s">
        <v>57</v>
      </c>
      <c r="B20" s="11" t="s">
        <v>20</v>
      </c>
      <c r="C20" s="11" t="s">
        <v>184</v>
      </c>
      <c r="D20" s="11" t="s">
        <v>185</v>
      </c>
      <c r="E20" s="11" t="s">
        <v>186</v>
      </c>
      <c r="F20" s="11" t="s">
        <v>187</v>
      </c>
      <c r="G20" s="11" t="s">
        <v>74</v>
      </c>
      <c r="H20" s="44">
        <v>1997.0068212824</v>
      </c>
      <c r="I20" s="27">
        <v>440.0</v>
      </c>
      <c r="J20" s="40" t="s">
        <v>188</v>
      </c>
      <c r="K20" s="11" t="s">
        <v>188</v>
      </c>
      <c r="L20" s="29" t="s">
        <v>81</v>
      </c>
      <c r="M20" s="39" t="s">
        <v>189</v>
      </c>
      <c r="N20" s="11" t="s">
        <v>196</v>
      </c>
    </row>
    <row r="21">
      <c r="A21" s="11" t="s">
        <v>57</v>
      </c>
      <c r="B21" s="11" t="s">
        <v>20</v>
      </c>
      <c r="C21" s="11" t="s">
        <v>184</v>
      </c>
      <c r="D21" s="11" t="s">
        <v>185</v>
      </c>
      <c r="E21" s="11" t="s">
        <v>186</v>
      </c>
      <c r="F21" s="11" t="s">
        <v>187</v>
      </c>
      <c r="G21" s="11" t="s">
        <v>74</v>
      </c>
      <c r="H21" s="44">
        <v>1998.06275579809</v>
      </c>
      <c r="I21" s="27">
        <v>347.0</v>
      </c>
      <c r="J21" s="40" t="s">
        <v>188</v>
      </c>
      <c r="K21" s="11" t="s">
        <v>188</v>
      </c>
      <c r="L21" s="29" t="s">
        <v>81</v>
      </c>
      <c r="M21" s="39" t="s">
        <v>189</v>
      </c>
      <c r="N21" s="11" t="s">
        <v>196</v>
      </c>
    </row>
    <row r="22">
      <c r="A22" s="11" t="s">
        <v>57</v>
      </c>
      <c r="B22" s="11" t="s">
        <v>20</v>
      </c>
      <c r="C22" s="11" t="s">
        <v>184</v>
      </c>
      <c r="D22" s="11" t="s">
        <v>185</v>
      </c>
      <c r="E22" s="11" t="s">
        <v>186</v>
      </c>
      <c r="F22" s="11" t="s">
        <v>187</v>
      </c>
      <c r="G22" s="11" t="s">
        <v>74</v>
      </c>
      <c r="H22" s="44">
        <v>1998.94270122783</v>
      </c>
      <c r="I22" s="27">
        <v>367.0</v>
      </c>
      <c r="J22" s="40" t="s">
        <v>188</v>
      </c>
      <c r="K22" s="11" t="s">
        <v>188</v>
      </c>
      <c r="L22" s="29" t="s">
        <v>81</v>
      </c>
      <c r="M22" s="39" t="s">
        <v>189</v>
      </c>
      <c r="N22" s="11" t="s">
        <v>196</v>
      </c>
    </row>
    <row r="23">
      <c r="A23" s="11" t="s">
        <v>57</v>
      </c>
      <c r="B23" s="11" t="s">
        <v>20</v>
      </c>
      <c r="C23" s="11" t="s">
        <v>184</v>
      </c>
      <c r="D23" s="11" t="s">
        <v>185</v>
      </c>
      <c r="E23" s="11" t="s">
        <v>186</v>
      </c>
      <c r="F23" s="11" t="s">
        <v>187</v>
      </c>
      <c r="G23" s="11" t="s">
        <v>74</v>
      </c>
      <c r="H23" s="44">
        <v>1999.99863574352</v>
      </c>
      <c r="I23" s="27">
        <v>435.0</v>
      </c>
      <c r="J23" s="40" t="s">
        <v>188</v>
      </c>
      <c r="K23" s="11" t="s">
        <v>188</v>
      </c>
      <c r="L23" s="29" t="s">
        <v>81</v>
      </c>
      <c r="M23" s="39" t="s">
        <v>189</v>
      </c>
      <c r="N23" s="11" t="s">
        <v>196</v>
      </c>
    </row>
    <row r="24">
      <c r="A24" s="11" t="s">
        <v>57</v>
      </c>
      <c r="B24" s="11" t="s">
        <v>20</v>
      </c>
      <c r="C24" s="11" t="s">
        <v>184</v>
      </c>
      <c r="D24" s="11" t="s">
        <v>185</v>
      </c>
      <c r="E24" s="11" t="s">
        <v>186</v>
      </c>
      <c r="F24" s="11" t="s">
        <v>187</v>
      </c>
      <c r="G24" s="11" t="s">
        <v>74</v>
      </c>
      <c r="H24" s="44">
        <v>2000.99590723056</v>
      </c>
      <c r="I24" s="27">
        <v>386.0</v>
      </c>
      <c r="J24" s="40" t="s">
        <v>188</v>
      </c>
      <c r="K24" s="11" t="s">
        <v>188</v>
      </c>
      <c r="L24" s="29" t="s">
        <v>81</v>
      </c>
      <c r="M24" s="39" t="s">
        <v>189</v>
      </c>
      <c r="N24" s="11" t="s">
        <v>196</v>
      </c>
    </row>
    <row r="25">
      <c r="A25" s="11" t="s">
        <v>57</v>
      </c>
      <c r="B25" s="11" t="s">
        <v>20</v>
      </c>
      <c r="C25" s="11" t="s">
        <v>184</v>
      </c>
      <c r="D25" s="11" t="s">
        <v>185</v>
      </c>
      <c r="E25" s="11" t="s">
        <v>186</v>
      </c>
      <c r="F25" s="11" t="s">
        <v>187</v>
      </c>
      <c r="G25" s="11" t="s">
        <v>74</v>
      </c>
      <c r="H25" s="44">
        <v>2001.9931787176</v>
      </c>
      <c r="I25" s="27">
        <v>313.0</v>
      </c>
      <c r="J25" s="40" t="s">
        <v>188</v>
      </c>
      <c r="K25" s="11" t="s">
        <v>188</v>
      </c>
      <c r="L25" s="29" t="s">
        <v>81</v>
      </c>
      <c r="M25" s="39" t="s">
        <v>189</v>
      </c>
      <c r="N25" s="11" t="s">
        <v>196</v>
      </c>
    </row>
    <row r="26">
      <c r="A26" s="11" t="s">
        <v>57</v>
      </c>
      <c r="B26" s="11" t="s">
        <v>20</v>
      </c>
      <c r="C26" s="11" t="s">
        <v>184</v>
      </c>
      <c r="D26" s="11" t="s">
        <v>185</v>
      </c>
      <c r="E26" s="11" t="s">
        <v>186</v>
      </c>
      <c r="F26" s="11" t="s">
        <v>187</v>
      </c>
      <c r="G26" s="11" t="s">
        <v>74</v>
      </c>
      <c r="H26" s="44">
        <v>2002.99045020464</v>
      </c>
      <c r="I26" s="27">
        <v>357.0</v>
      </c>
      <c r="J26" s="40" t="s">
        <v>188</v>
      </c>
      <c r="K26" s="11" t="s">
        <v>188</v>
      </c>
      <c r="L26" s="29" t="s">
        <v>81</v>
      </c>
      <c r="M26" s="39" t="s">
        <v>189</v>
      </c>
      <c r="N26" s="11" t="s">
        <v>196</v>
      </c>
    </row>
    <row r="27">
      <c r="A27" s="11" t="s">
        <v>57</v>
      </c>
      <c r="B27" s="11" t="s">
        <v>20</v>
      </c>
      <c r="C27" s="11" t="s">
        <v>184</v>
      </c>
      <c r="D27" s="11" t="s">
        <v>185</v>
      </c>
      <c r="E27" s="11" t="s">
        <v>186</v>
      </c>
      <c r="F27" s="11" t="s">
        <v>187</v>
      </c>
      <c r="G27" s="11" t="s">
        <v>74</v>
      </c>
      <c r="H27" s="44">
        <v>2003.98772169168</v>
      </c>
      <c r="I27" s="27">
        <v>366.0</v>
      </c>
      <c r="J27" s="40" t="s">
        <v>188</v>
      </c>
      <c r="K27" s="11" t="s">
        <v>188</v>
      </c>
      <c r="L27" s="29" t="s">
        <v>81</v>
      </c>
      <c r="M27" s="39" t="s">
        <v>189</v>
      </c>
      <c r="N27" s="11" t="s">
        <v>196</v>
      </c>
    </row>
    <row r="28">
      <c r="A28" s="11" t="s">
        <v>57</v>
      </c>
      <c r="B28" s="11" t="s">
        <v>20</v>
      </c>
      <c r="C28" s="11" t="s">
        <v>184</v>
      </c>
      <c r="D28" s="11" t="s">
        <v>185</v>
      </c>
      <c r="E28" s="11" t="s">
        <v>186</v>
      </c>
      <c r="F28" s="11" t="s">
        <v>187</v>
      </c>
      <c r="G28" s="11" t="s">
        <v>74</v>
      </c>
      <c r="H28" s="44">
        <v>2004.98499317872</v>
      </c>
      <c r="I28" s="27">
        <v>278.0</v>
      </c>
      <c r="J28" s="40" t="s">
        <v>188</v>
      </c>
      <c r="K28" s="11" t="s">
        <v>188</v>
      </c>
      <c r="L28" s="29" t="s">
        <v>81</v>
      </c>
      <c r="M28" s="39" t="s">
        <v>189</v>
      </c>
      <c r="N28" s="11" t="s">
        <v>196</v>
      </c>
    </row>
    <row r="29">
      <c r="A29" s="11" t="s">
        <v>57</v>
      </c>
      <c r="B29" s="11" t="s">
        <v>20</v>
      </c>
      <c r="C29" s="11" t="s">
        <v>184</v>
      </c>
      <c r="D29" s="11" t="s">
        <v>185</v>
      </c>
      <c r="E29" s="11" t="s">
        <v>186</v>
      </c>
      <c r="F29" s="11" t="s">
        <v>187</v>
      </c>
      <c r="G29" s="11" t="s">
        <v>74</v>
      </c>
      <c r="H29" s="44">
        <v>2005.98226466576</v>
      </c>
      <c r="I29" s="27">
        <v>305.0</v>
      </c>
      <c r="J29" s="40" t="s">
        <v>188</v>
      </c>
      <c r="K29" s="11" t="s">
        <v>188</v>
      </c>
      <c r="L29" s="29" t="s">
        <v>81</v>
      </c>
      <c r="M29" s="39" t="s">
        <v>189</v>
      </c>
      <c r="N29" s="11" t="s">
        <v>196</v>
      </c>
    </row>
    <row r="30">
      <c r="A30" s="11" t="s">
        <v>57</v>
      </c>
      <c r="B30" s="11" t="s">
        <v>20</v>
      </c>
      <c r="C30" s="11" t="s">
        <v>184</v>
      </c>
      <c r="D30" s="11" t="s">
        <v>185</v>
      </c>
      <c r="E30" s="11" t="s">
        <v>186</v>
      </c>
      <c r="F30" s="11" t="s">
        <v>187</v>
      </c>
      <c r="G30" s="11" t="s">
        <v>74</v>
      </c>
      <c r="H30" s="44">
        <v>2006.9795361528</v>
      </c>
      <c r="I30" s="27">
        <v>375.0</v>
      </c>
      <c r="J30" s="40" t="s">
        <v>188</v>
      </c>
      <c r="K30" s="11" t="s">
        <v>188</v>
      </c>
      <c r="L30" s="29" t="s">
        <v>81</v>
      </c>
      <c r="M30" s="39" t="s">
        <v>189</v>
      </c>
      <c r="N30" s="11" t="s">
        <v>196</v>
      </c>
    </row>
    <row r="31">
      <c r="A31" s="11" t="s">
        <v>57</v>
      </c>
      <c r="B31" s="11" t="s">
        <v>20</v>
      </c>
      <c r="C31" s="11" t="s">
        <v>184</v>
      </c>
      <c r="D31" s="11" t="s">
        <v>185</v>
      </c>
      <c r="E31" s="11" t="s">
        <v>186</v>
      </c>
      <c r="F31" s="11" t="s">
        <v>187</v>
      </c>
      <c r="G31" s="11" t="s">
        <v>74</v>
      </c>
      <c r="H31" s="44">
        <v>2007.97680763984</v>
      </c>
      <c r="I31" s="27">
        <v>375.0</v>
      </c>
      <c r="J31" s="40" t="s">
        <v>188</v>
      </c>
      <c r="K31" s="11" t="s">
        <v>188</v>
      </c>
      <c r="L31" s="29" t="s">
        <v>81</v>
      </c>
      <c r="M31" s="39" t="s">
        <v>189</v>
      </c>
      <c r="N31" s="11" t="s">
        <v>196</v>
      </c>
    </row>
    <row r="32">
      <c r="A32" s="11" t="s">
        <v>57</v>
      </c>
      <c r="B32" s="11" t="s">
        <v>20</v>
      </c>
      <c r="C32" s="11" t="s">
        <v>184</v>
      </c>
      <c r="D32" s="11" t="s">
        <v>185</v>
      </c>
      <c r="E32" s="11" t="s">
        <v>186</v>
      </c>
      <c r="F32" s="11" t="s">
        <v>187</v>
      </c>
      <c r="G32" s="11" t="s">
        <v>74</v>
      </c>
      <c r="H32" s="44">
        <v>2009.03274215553</v>
      </c>
      <c r="I32" s="27">
        <v>321.0</v>
      </c>
      <c r="J32" s="40" t="s">
        <v>188</v>
      </c>
      <c r="K32" s="11" t="s">
        <v>188</v>
      </c>
      <c r="L32" s="29" t="s">
        <v>81</v>
      </c>
      <c r="M32" s="39" t="s">
        <v>189</v>
      </c>
      <c r="N32" s="11" t="s">
        <v>196</v>
      </c>
    </row>
    <row r="33">
      <c r="A33" s="11" t="s">
        <v>57</v>
      </c>
      <c r="B33" s="11" t="s">
        <v>20</v>
      </c>
      <c r="C33" s="11" t="s">
        <v>184</v>
      </c>
      <c r="D33" s="11" t="s">
        <v>185</v>
      </c>
      <c r="E33" s="11" t="s">
        <v>186</v>
      </c>
      <c r="F33" s="11" t="s">
        <v>187</v>
      </c>
      <c r="G33" s="11" t="s">
        <v>74</v>
      </c>
      <c r="H33" s="44">
        <v>2009.97135061392</v>
      </c>
      <c r="I33" s="27">
        <v>340.0</v>
      </c>
      <c r="J33" s="40" t="s">
        <v>188</v>
      </c>
      <c r="K33" s="11" t="s">
        <v>188</v>
      </c>
      <c r="L33" s="29" t="s">
        <v>81</v>
      </c>
      <c r="M33" s="39" t="s">
        <v>189</v>
      </c>
      <c r="N33" s="11" t="s">
        <v>196</v>
      </c>
    </row>
    <row r="34">
      <c r="A34" s="11" t="s">
        <v>57</v>
      </c>
      <c r="B34" s="11" t="s">
        <v>20</v>
      </c>
      <c r="C34" s="11" t="s">
        <v>184</v>
      </c>
      <c r="D34" s="11" t="s">
        <v>185</v>
      </c>
      <c r="E34" s="11" t="s">
        <v>186</v>
      </c>
      <c r="F34" s="11" t="s">
        <v>187</v>
      </c>
      <c r="G34" s="11" t="s">
        <v>74</v>
      </c>
      <c r="H34" s="27">
        <v>2011.0</v>
      </c>
      <c r="I34" s="27">
        <v>284.0</v>
      </c>
      <c r="J34" s="40" t="s">
        <v>188</v>
      </c>
      <c r="K34" s="11" t="s">
        <v>188</v>
      </c>
      <c r="L34" s="29" t="s">
        <v>81</v>
      </c>
      <c r="M34" s="39" t="s">
        <v>189</v>
      </c>
      <c r="N34" s="11" t="s">
        <v>196</v>
      </c>
    </row>
    <row r="35">
      <c r="A35" s="11" t="s">
        <v>57</v>
      </c>
      <c r="B35" s="11" t="s">
        <v>20</v>
      </c>
      <c r="C35" s="11" t="s">
        <v>184</v>
      </c>
      <c r="D35" s="11" t="s">
        <v>185</v>
      </c>
      <c r="E35" s="11" t="s">
        <v>186</v>
      </c>
      <c r="F35" s="11" t="s">
        <v>187</v>
      </c>
      <c r="G35" s="11" t="s">
        <v>74</v>
      </c>
      <c r="H35" s="44">
        <v>2012.02455661664</v>
      </c>
      <c r="I35" s="27">
        <v>312.0</v>
      </c>
      <c r="J35" s="40" t="s">
        <v>188</v>
      </c>
      <c r="K35" s="11" t="s">
        <v>188</v>
      </c>
      <c r="L35" s="29" t="s">
        <v>81</v>
      </c>
      <c r="M35" s="39" t="s">
        <v>189</v>
      </c>
      <c r="N35" s="11" t="s">
        <v>196</v>
      </c>
    </row>
    <row r="36">
      <c r="A36" s="11" t="s">
        <v>57</v>
      </c>
      <c r="B36" s="11" t="s">
        <v>20</v>
      </c>
      <c r="C36" s="11" t="s">
        <v>184</v>
      </c>
      <c r="D36" s="11" t="s">
        <v>185</v>
      </c>
      <c r="E36" s="11" t="s">
        <v>186</v>
      </c>
      <c r="F36" s="11" t="s">
        <v>187</v>
      </c>
      <c r="G36" s="11" t="s">
        <v>74</v>
      </c>
      <c r="H36" s="44">
        <v>2013.96043656207</v>
      </c>
      <c r="I36" s="27">
        <v>379.0</v>
      </c>
      <c r="J36" s="40" t="s">
        <v>188</v>
      </c>
      <c r="K36" s="11" t="s">
        <v>188</v>
      </c>
      <c r="L36" s="29" t="s">
        <v>81</v>
      </c>
      <c r="M36" s="39" t="s">
        <v>189</v>
      </c>
      <c r="N36" s="11" t="s">
        <v>196</v>
      </c>
    </row>
    <row r="37">
      <c r="A37" s="11" t="s">
        <v>57</v>
      </c>
      <c r="B37" s="11" t="s">
        <v>20</v>
      </c>
      <c r="C37" s="11" t="s">
        <v>184</v>
      </c>
      <c r="D37" s="11" t="s">
        <v>185</v>
      </c>
      <c r="E37" s="11" t="s">
        <v>186</v>
      </c>
      <c r="F37" s="11" t="s">
        <v>187</v>
      </c>
      <c r="G37" s="11" t="s">
        <v>74</v>
      </c>
      <c r="H37" s="44">
        <v>2016.0136425648</v>
      </c>
      <c r="I37" s="27">
        <v>247.0</v>
      </c>
      <c r="J37" s="40" t="s">
        <v>188</v>
      </c>
      <c r="K37" s="11" t="s">
        <v>188</v>
      </c>
      <c r="L37" s="29" t="s">
        <v>81</v>
      </c>
      <c r="M37" s="39" t="s">
        <v>189</v>
      </c>
      <c r="N37" s="11" t="s">
        <v>196</v>
      </c>
    </row>
    <row r="38">
      <c r="A38" s="11" t="s">
        <v>57</v>
      </c>
      <c r="B38" s="11" t="s">
        <v>20</v>
      </c>
      <c r="C38" s="11" t="s">
        <v>184</v>
      </c>
      <c r="D38" s="11" t="s">
        <v>185</v>
      </c>
      <c r="E38" s="11" t="s">
        <v>186</v>
      </c>
      <c r="F38" s="11" t="s">
        <v>187</v>
      </c>
      <c r="G38" s="11" t="s">
        <v>74</v>
      </c>
      <c r="H38" s="44">
        <v>2018.00818553888</v>
      </c>
      <c r="I38" s="27">
        <v>269.0</v>
      </c>
      <c r="J38" s="40" t="s">
        <v>188</v>
      </c>
      <c r="K38" s="11" t="s">
        <v>188</v>
      </c>
      <c r="L38" s="29" t="s">
        <v>81</v>
      </c>
      <c r="M38" s="39" t="s">
        <v>189</v>
      </c>
      <c r="N38" s="11" t="s">
        <v>196</v>
      </c>
    </row>
    <row r="39">
      <c r="A39" s="45" t="s">
        <v>57</v>
      </c>
      <c r="B39" s="46" t="s">
        <v>20</v>
      </c>
      <c r="C39" s="46" t="s">
        <v>254</v>
      </c>
      <c r="D39" s="46" t="s">
        <v>61</v>
      </c>
      <c r="E39" s="11" t="s">
        <v>256</v>
      </c>
      <c r="F39" s="25" t="s">
        <v>257</v>
      </c>
      <c r="G39" s="46" t="s">
        <v>74</v>
      </c>
      <c r="H39" s="47">
        <v>1991.0</v>
      </c>
      <c r="I39" s="48">
        <v>2582.0</v>
      </c>
      <c r="J39" s="48">
        <v>1070.0</v>
      </c>
      <c r="K39" s="29" t="s">
        <v>188</v>
      </c>
      <c r="L39" s="29" t="s">
        <v>260</v>
      </c>
      <c r="M39" s="49" t="s">
        <v>66</v>
      </c>
      <c r="N39" s="50" t="s">
        <v>266</v>
      </c>
      <c r="O39" s="25" t="s">
        <v>270</v>
      </c>
      <c r="P39" s="51"/>
      <c r="Q39" s="51"/>
      <c r="R39" s="51"/>
      <c r="S39" s="51"/>
      <c r="T39" s="51"/>
      <c r="U39" s="51"/>
      <c r="V39" s="51"/>
      <c r="W39" s="51"/>
      <c r="X39" s="51"/>
      <c r="Y39" s="51"/>
      <c r="Z39" s="51"/>
      <c r="AA39" s="51"/>
      <c r="AB39" s="51"/>
      <c r="AC39" s="51"/>
      <c r="AD39" s="51"/>
      <c r="AE39" s="51"/>
      <c r="AF39" s="51"/>
      <c r="AG39" s="51"/>
      <c r="AH39" s="51"/>
    </row>
    <row r="40">
      <c r="A40" s="45" t="s">
        <v>57</v>
      </c>
      <c r="B40" s="46" t="s">
        <v>20</v>
      </c>
      <c r="C40" s="46" t="s">
        <v>254</v>
      </c>
      <c r="D40" s="46" t="s">
        <v>61</v>
      </c>
      <c r="E40" s="11" t="s">
        <v>256</v>
      </c>
      <c r="F40" s="25" t="s">
        <v>257</v>
      </c>
      <c r="G40" s="46" t="s">
        <v>74</v>
      </c>
      <c r="H40" s="47">
        <v>1993.0</v>
      </c>
      <c r="I40" s="48">
        <v>2644.0</v>
      </c>
      <c r="J40" s="48">
        <v>735.0</v>
      </c>
      <c r="K40" s="29" t="s">
        <v>188</v>
      </c>
      <c r="L40" s="29" t="s">
        <v>260</v>
      </c>
      <c r="M40" s="49" t="s">
        <v>66</v>
      </c>
      <c r="N40" s="52" t="s">
        <v>86</v>
      </c>
      <c r="O40" s="51"/>
      <c r="P40" s="51"/>
      <c r="Q40" s="51"/>
      <c r="R40" s="51"/>
      <c r="S40" s="51"/>
      <c r="T40" s="51"/>
      <c r="U40" s="51"/>
      <c r="V40" s="51"/>
      <c r="W40" s="51"/>
      <c r="X40" s="51"/>
      <c r="Y40" s="51"/>
      <c r="Z40" s="51"/>
      <c r="AA40" s="51"/>
      <c r="AB40" s="51"/>
      <c r="AC40" s="51"/>
      <c r="AD40" s="51"/>
      <c r="AE40" s="51"/>
      <c r="AF40" s="51"/>
      <c r="AG40" s="51"/>
      <c r="AH40" s="51"/>
    </row>
    <row r="41">
      <c r="A41" s="45" t="s">
        <v>57</v>
      </c>
      <c r="B41" s="46" t="s">
        <v>20</v>
      </c>
      <c r="C41" s="46" t="s">
        <v>254</v>
      </c>
      <c r="D41" s="46" t="s">
        <v>61</v>
      </c>
      <c r="E41" s="11" t="s">
        <v>256</v>
      </c>
      <c r="F41" s="25" t="s">
        <v>257</v>
      </c>
      <c r="G41" s="46" t="s">
        <v>74</v>
      </c>
      <c r="H41" s="47">
        <v>1996.0</v>
      </c>
      <c r="I41" s="48">
        <v>2948.0</v>
      </c>
      <c r="J41" s="48">
        <v>1226.0</v>
      </c>
      <c r="K41" s="29">
        <v>4148.0</v>
      </c>
      <c r="L41" s="29" t="s">
        <v>260</v>
      </c>
      <c r="M41" s="49" t="s">
        <v>66</v>
      </c>
      <c r="N41" s="52" t="s">
        <v>86</v>
      </c>
      <c r="O41" s="51"/>
      <c r="P41" s="51"/>
      <c r="Q41" s="51"/>
      <c r="R41" s="51"/>
      <c r="S41" s="51"/>
      <c r="T41" s="51"/>
      <c r="U41" s="51"/>
      <c r="V41" s="51"/>
      <c r="W41" s="51"/>
      <c r="X41" s="51"/>
      <c r="Y41" s="51"/>
      <c r="Z41" s="51"/>
      <c r="AA41" s="51"/>
      <c r="AB41" s="51"/>
      <c r="AC41" s="51"/>
      <c r="AD41" s="51"/>
      <c r="AE41" s="51"/>
      <c r="AF41" s="51"/>
      <c r="AG41" s="51"/>
      <c r="AH41" s="51"/>
    </row>
    <row r="42">
      <c r="A42" s="45" t="s">
        <v>57</v>
      </c>
      <c r="B42" s="46" t="s">
        <v>20</v>
      </c>
      <c r="C42" s="46" t="s">
        <v>254</v>
      </c>
      <c r="D42" s="46" t="s">
        <v>61</v>
      </c>
      <c r="E42" s="11" t="s">
        <v>256</v>
      </c>
      <c r="F42" s="25" t="s">
        <v>257</v>
      </c>
      <c r="G42" s="46" t="s">
        <v>74</v>
      </c>
      <c r="H42" s="47">
        <v>2001.0</v>
      </c>
      <c r="I42" s="48">
        <v>961.0</v>
      </c>
      <c r="J42" s="48">
        <v>408.0</v>
      </c>
      <c r="K42" s="29">
        <v>2239.0</v>
      </c>
      <c r="L42" s="29" t="s">
        <v>260</v>
      </c>
      <c r="M42" s="49" t="s">
        <v>66</v>
      </c>
      <c r="N42" s="52" t="s">
        <v>86</v>
      </c>
      <c r="O42" s="51"/>
      <c r="P42" s="51"/>
      <c r="Q42" s="51"/>
      <c r="R42" s="51"/>
      <c r="S42" s="51"/>
      <c r="T42" s="51"/>
      <c r="U42" s="51"/>
      <c r="V42" s="51"/>
      <c r="W42" s="51"/>
      <c r="X42" s="51"/>
      <c r="Y42" s="51"/>
      <c r="Z42" s="51"/>
      <c r="AA42" s="51"/>
      <c r="AB42" s="51"/>
      <c r="AC42" s="51"/>
      <c r="AD42" s="51"/>
      <c r="AE42" s="51"/>
      <c r="AF42" s="51"/>
      <c r="AG42" s="51"/>
      <c r="AH42" s="51"/>
    </row>
    <row r="43">
      <c r="A43" s="45" t="s">
        <v>57</v>
      </c>
      <c r="B43" s="46" t="s">
        <v>20</v>
      </c>
      <c r="C43" s="46" t="s">
        <v>254</v>
      </c>
      <c r="D43" s="46" t="s">
        <v>61</v>
      </c>
      <c r="E43" s="11" t="s">
        <v>256</v>
      </c>
      <c r="F43" s="25" t="s">
        <v>257</v>
      </c>
      <c r="G43" s="46" t="s">
        <v>74</v>
      </c>
      <c r="H43" s="47">
        <v>2005.0</v>
      </c>
      <c r="I43" s="48">
        <v>1460.0</v>
      </c>
      <c r="J43" s="48">
        <v>626.0</v>
      </c>
      <c r="K43" s="29">
        <v>3400.0</v>
      </c>
      <c r="L43" s="29" t="s">
        <v>260</v>
      </c>
      <c r="M43" s="49" t="s">
        <v>66</v>
      </c>
      <c r="N43" s="52" t="s">
        <v>86</v>
      </c>
      <c r="O43" s="51"/>
      <c r="P43" s="51"/>
      <c r="Q43" s="51"/>
      <c r="R43" s="51"/>
      <c r="S43" s="51"/>
      <c r="T43" s="51"/>
      <c r="U43" s="51"/>
      <c r="V43" s="51"/>
      <c r="W43" s="51"/>
      <c r="X43" s="51"/>
      <c r="Y43" s="51"/>
      <c r="Z43" s="51"/>
      <c r="AA43" s="51"/>
      <c r="AB43" s="51"/>
      <c r="AC43" s="51"/>
      <c r="AD43" s="51"/>
      <c r="AE43" s="51"/>
      <c r="AF43" s="51"/>
      <c r="AG43" s="51"/>
      <c r="AH43" s="51"/>
    </row>
    <row r="44">
      <c r="A44" s="45" t="s">
        <v>57</v>
      </c>
      <c r="B44" s="46" t="s">
        <v>20</v>
      </c>
      <c r="C44" s="46" t="s">
        <v>254</v>
      </c>
      <c r="D44" s="46" t="s">
        <v>61</v>
      </c>
      <c r="E44" s="11" t="s">
        <v>256</v>
      </c>
      <c r="F44" s="25" t="s">
        <v>257</v>
      </c>
      <c r="G44" s="46" t="s">
        <v>74</v>
      </c>
      <c r="H44" s="47">
        <v>2008.0</v>
      </c>
      <c r="I44" s="48">
        <v>875.0</v>
      </c>
      <c r="J44" s="48">
        <v>330.0</v>
      </c>
      <c r="K44" s="29">
        <v>2255.0</v>
      </c>
      <c r="L44" s="29" t="s">
        <v>260</v>
      </c>
      <c r="M44" s="49" t="s">
        <v>66</v>
      </c>
      <c r="N44" s="52" t="s">
        <v>86</v>
      </c>
      <c r="O44" s="51"/>
      <c r="P44" s="51"/>
      <c r="Q44" s="51"/>
      <c r="R44" s="51"/>
      <c r="S44" s="51"/>
      <c r="T44" s="51"/>
      <c r="U44" s="51"/>
      <c r="V44" s="51"/>
      <c r="W44" s="51"/>
      <c r="X44" s="51"/>
      <c r="Y44" s="51"/>
      <c r="Z44" s="51"/>
      <c r="AA44" s="51"/>
      <c r="AB44" s="51"/>
      <c r="AC44" s="51"/>
      <c r="AD44" s="51"/>
      <c r="AE44" s="51"/>
      <c r="AF44" s="51"/>
      <c r="AG44" s="51"/>
      <c r="AH44" s="51"/>
    </row>
    <row r="45">
      <c r="A45" s="45" t="s">
        <v>57</v>
      </c>
      <c r="B45" s="54" t="s">
        <v>20</v>
      </c>
      <c r="C45" s="54" t="s">
        <v>254</v>
      </c>
      <c r="D45" s="54" t="s">
        <v>61</v>
      </c>
      <c r="E45" s="11" t="s">
        <v>256</v>
      </c>
      <c r="F45" s="11" t="s">
        <v>257</v>
      </c>
      <c r="G45" s="54" t="s">
        <v>74</v>
      </c>
      <c r="H45" s="56">
        <v>2014.0</v>
      </c>
      <c r="I45" s="27">
        <v>1483.0</v>
      </c>
      <c r="J45" s="27">
        <v>649.0</v>
      </c>
      <c r="K45" s="28">
        <v>3416.0</v>
      </c>
      <c r="L45" s="29" t="s">
        <v>260</v>
      </c>
      <c r="M45" s="57" t="s">
        <v>66</v>
      </c>
      <c r="N45" s="52" t="s">
        <v>86</v>
      </c>
    </row>
    <row r="46">
      <c r="A46" s="45" t="s">
        <v>57</v>
      </c>
      <c r="B46" s="11" t="s">
        <v>20</v>
      </c>
      <c r="C46" s="54" t="s">
        <v>254</v>
      </c>
      <c r="D46" s="11" t="s">
        <v>291</v>
      </c>
      <c r="E46" s="11" t="s">
        <v>256</v>
      </c>
      <c r="F46" s="11" t="s">
        <v>157</v>
      </c>
      <c r="G46" s="11" t="s">
        <v>158</v>
      </c>
      <c r="H46" s="11">
        <v>1996.0</v>
      </c>
      <c r="I46" s="41">
        <v>1946.0</v>
      </c>
      <c r="J46" s="11">
        <v>945.0</v>
      </c>
      <c r="K46" s="41">
        <v>4009.0</v>
      </c>
      <c r="L46" s="42" t="s">
        <v>160</v>
      </c>
      <c r="M46" s="57" t="s">
        <v>66</v>
      </c>
      <c r="N46" s="52" t="s">
        <v>86</v>
      </c>
    </row>
    <row r="47">
      <c r="A47" s="45" t="s">
        <v>57</v>
      </c>
      <c r="B47" s="11" t="s">
        <v>20</v>
      </c>
      <c r="C47" s="54" t="s">
        <v>254</v>
      </c>
      <c r="D47" s="11" t="s">
        <v>291</v>
      </c>
      <c r="E47" s="11" t="s">
        <v>256</v>
      </c>
      <c r="F47" s="11" t="s">
        <v>157</v>
      </c>
      <c r="G47" s="11" t="s">
        <v>158</v>
      </c>
      <c r="H47" s="11">
        <v>2001.0</v>
      </c>
      <c r="I47" s="41">
        <v>1657.0</v>
      </c>
      <c r="J47" s="11">
        <v>868.0</v>
      </c>
      <c r="K47" s="41">
        <v>3162.0</v>
      </c>
      <c r="L47" s="42" t="s">
        <v>160</v>
      </c>
      <c r="M47" s="57" t="s">
        <v>66</v>
      </c>
      <c r="N47" s="52" t="s">
        <v>86</v>
      </c>
    </row>
    <row r="48">
      <c r="A48" s="45" t="s">
        <v>57</v>
      </c>
      <c r="B48" s="11" t="s">
        <v>20</v>
      </c>
      <c r="C48" s="54" t="s">
        <v>254</v>
      </c>
      <c r="D48" s="11" t="s">
        <v>291</v>
      </c>
      <c r="E48" s="11" t="s">
        <v>256</v>
      </c>
      <c r="F48" s="11" t="s">
        <v>157</v>
      </c>
      <c r="G48" s="11" t="s">
        <v>158</v>
      </c>
      <c r="H48" s="11">
        <v>2005.0</v>
      </c>
      <c r="I48" s="41">
        <v>1042.0</v>
      </c>
      <c r="J48" s="11">
        <v>542.0</v>
      </c>
      <c r="K48" s="41">
        <v>2004.0</v>
      </c>
      <c r="L48" s="42" t="s">
        <v>160</v>
      </c>
      <c r="M48" s="57" t="s">
        <v>66</v>
      </c>
      <c r="N48" s="52" t="s">
        <v>86</v>
      </c>
    </row>
    <row r="49">
      <c r="A49" s="45" t="s">
        <v>57</v>
      </c>
      <c r="B49" s="11" t="s">
        <v>20</v>
      </c>
      <c r="C49" s="54" t="s">
        <v>254</v>
      </c>
      <c r="D49" s="11" t="s">
        <v>291</v>
      </c>
      <c r="E49" s="11" t="s">
        <v>256</v>
      </c>
      <c r="F49" s="11" t="s">
        <v>157</v>
      </c>
      <c r="G49" s="11" t="s">
        <v>158</v>
      </c>
      <c r="H49" s="11">
        <v>2008.0</v>
      </c>
      <c r="I49" s="11">
        <v>919.0</v>
      </c>
      <c r="J49" s="11">
        <v>445.0</v>
      </c>
      <c r="K49" s="41">
        <v>1899.0</v>
      </c>
      <c r="L49" s="42" t="s">
        <v>160</v>
      </c>
      <c r="M49" s="57" t="s">
        <v>66</v>
      </c>
      <c r="N49" s="52" t="s">
        <v>86</v>
      </c>
    </row>
    <row r="50">
      <c r="A50" s="45" t="s">
        <v>57</v>
      </c>
      <c r="B50" s="11" t="s">
        <v>20</v>
      </c>
      <c r="C50" s="54" t="s">
        <v>254</v>
      </c>
      <c r="D50" s="11" t="s">
        <v>291</v>
      </c>
      <c r="E50" s="11" t="s">
        <v>256</v>
      </c>
      <c r="F50" s="11" t="s">
        <v>157</v>
      </c>
      <c r="G50" s="11" t="s">
        <v>158</v>
      </c>
      <c r="H50" s="11">
        <v>2014.0</v>
      </c>
      <c r="I50" s="41">
        <v>1077.0</v>
      </c>
      <c r="J50" s="11">
        <v>495.0</v>
      </c>
      <c r="K50" s="41">
        <v>2342.0</v>
      </c>
      <c r="L50" s="42" t="s">
        <v>160</v>
      </c>
      <c r="M50" s="57" t="s">
        <v>66</v>
      </c>
      <c r="N50" s="52" t="s">
        <v>86</v>
      </c>
    </row>
    <row r="51">
      <c r="A51" s="45" t="s">
        <v>57</v>
      </c>
      <c r="B51" s="11" t="s">
        <v>20</v>
      </c>
      <c r="C51" s="54" t="s">
        <v>254</v>
      </c>
      <c r="D51" s="11" t="s">
        <v>291</v>
      </c>
      <c r="E51" s="11" t="s">
        <v>256</v>
      </c>
      <c r="F51" s="11" t="s">
        <v>157</v>
      </c>
      <c r="G51" s="11" t="s">
        <v>158</v>
      </c>
      <c r="H51" s="11">
        <v>2018.0</v>
      </c>
      <c r="I51" s="11">
        <v>670.0</v>
      </c>
      <c r="J51" s="11">
        <v>299.0</v>
      </c>
      <c r="K51" s="41">
        <v>1502.0</v>
      </c>
      <c r="L51" s="42" t="s">
        <v>160</v>
      </c>
      <c r="M51" s="57" t="s">
        <v>66</v>
      </c>
      <c r="N51" s="52" t="s">
        <v>86</v>
      </c>
    </row>
    <row r="52">
      <c r="A52" s="45" t="s">
        <v>57</v>
      </c>
      <c r="B52" s="11" t="s">
        <v>20</v>
      </c>
      <c r="C52" s="54" t="s">
        <v>254</v>
      </c>
      <c r="D52" s="11" t="s">
        <v>291</v>
      </c>
      <c r="E52" s="11" t="s">
        <v>256</v>
      </c>
      <c r="F52" s="11" t="s">
        <v>299</v>
      </c>
      <c r="G52" s="11" t="s">
        <v>158</v>
      </c>
      <c r="H52" s="11">
        <v>1986.0</v>
      </c>
      <c r="I52" s="11" t="s">
        <v>188</v>
      </c>
      <c r="J52" s="40" t="s">
        <v>188</v>
      </c>
      <c r="K52" s="11" t="s">
        <v>188</v>
      </c>
      <c r="L52" s="42" t="s">
        <v>160</v>
      </c>
      <c r="M52" s="57" t="s">
        <v>66</v>
      </c>
      <c r="N52" s="52" t="s">
        <v>86</v>
      </c>
    </row>
    <row r="53">
      <c r="A53" s="45" t="s">
        <v>57</v>
      </c>
      <c r="B53" s="11" t="s">
        <v>20</v>
      </c>
      <c r="C53" s="54" t="s">
        <v>254</v>
      </c>
      <c r="D53" s="11" t="s">
        <v>291</v>
      </c>
      <c r="E53" s="11" t="s">
        <v>256</v>
      </c>
      <c r="F53" s="11" t="s">
        <v>299</v>
      </c>
      <c r="G53" s="11" t="s">
        <v>158</v>
      </c>
      <c r="H53" s="11">
        <v>1987.0</v>
      </c>
      <c r="I53" s="11" t="s">
        <v>188</v>
      </c>
      <c r="J53" s="40" t="s">
        <v>188</v>
      </c>
      <c r="K53" s="11" t="s">
        <v>188</v>
      </c>
      <c r="L53" s="42" t="s">
        <v>160</v>
      </c>
      <c r="M53" s="57" t="s">
        <v>66</v>
      </c>
      <c r="N53" s="52" t="s">
        <v>86</v>
      </c>
    </row>
    <row r="54">
      <c r="A54" s="45" t="s">
        <v>57</v>
      </c>
      <c r="B54" s="11" t="s">
        <v>20</v>
      </c>
      <c r="C54" s="54" t="s">
        <v>254</v>
      </c>
      <c r="D54" s="11" t="s">
        <v>291</v>
      </c>
      <c r="E54" s="11" t="s">
        <v>256</v>
      </c>
      <c r="F54" s="11" t="s">
        <v>299</v>
      </c>
      <c r="G54" s="11" t="s">
        <v>158</v>
      </c>
      <c r="H54" s="11">
        <v>1988.0</v>
      </c>
      <c r="I54" s="11" t="s">
        <v>188</v>
      </c>
      <c r="J54" s="40" t="s">
        <v>188</v>
      </c>
      <c r="K54" s="11" t="s">
        <v>188</v>
      </c>
      <c r="L54" s="42" t="s">
        <v>160</v>
      </c>
      <c r="M54" s="57" t="s">
        <v>66</v>
      </c>
      <c r="N54" s="52" t="s">
        <v>86</v>
      </c>
    </row>
    <row r="55">
      <c r="A55" s="45" t="s">
        <v>57</v>
      </c>
      <c r="B55" s="11" t="s">
        <v>20</v>
      </c>
      <c r="C55" s="54" t="s">
        <v>254</v>
      </c>
      <c r="D55" s="11" t="s">
        <v>291</v>
      </c>
      <c r="E55" s="11" t="s">
        <v>256</v>
      </c>
      <c r="F55" s="11" t="s">
        <v>299</v>
      </c>
      <c r="G55" s="11" t="s">
        <v>158</v>
      </c>
      <c r="H55" s="11">
        <v>1989.0</v>
      </c>
      <c r="I55" s="11">
        <v>742.0</v>
      </c>
      <c r="J55" s="40" t="s">
        <v>188</v>
      </c>
      <c r="K55" s="11" t="s">
        <v>188</v>
      </c>
      <c r="L55" s="42" t="s">
        <v>160</v>
      </c>
      <c r="M55" s="57" t="s">
        <v>66</v>
      </c>
      <c r="N55" s="52" t="s">
        <v>86</v>
      </c>
    </row>
    <row r="56">
      <c r="A56" s="45" t="s">
        <v>57</v>
      </c>
      <c r="B56" s="11" t="s">
        <v>20</v>
      </c>
      <c r="C56" s="54" t="s">
        <v>254</v>
      </c>
      <c r="D56" s="11" t="s">
        <v>291</v>
      </c>
      <c r="E56" s="11" t="s">
        <v>256</v>
      </c>
      <c r="F56" s="11" t="s">
        <v>299</v>
      </c>
      <c r="G56" s="11" t="s">
        <v>158</v>
      </c>
      <c r="H56" s="11">
        <v>1990.0</v>
      </c>
      <c r="I56" s="11">
        <v>588.0</v>
      </c>
      <c r="J56" s="40" t="s">
        <v>188</v>
      </c>
      <c r="K56" s="11" t="s">
        <v>188</v>
      </c>
      <c r="L56" s="42" t="s">
        <v>160</v>
      </c>
      <c r="M56" s="57" t="s">
        <v>66</v>
      </c>
      <c r="N56" s="52" t="s">
        <v>86</v>
      </c>
      <c r="O56" s="41"/>
    </row>
    <row r="57">
      <c r="A57" s="45" t="s">
        <v>57</v>
      </c>
      <c r="B57" s="11" t="s">
        <v>20</v>
      </c>
      <c r="C57" s="54" t="s">
        <v>254</v>
      </c>
      <c r="D57" s="11" t="s">
        <v>291</v>
      </c>
      <c r="E57" s="11" t="s">
        <v>256</v>
      </c>
      <c r="F57" s="11" t="s">
        <v>299</v>
      </c>
      <c r="G57" s="11" t="s">
        <v>158</v>
      </c>
      <c r="H57" s="11">
        <v>1991.0</v>
      </c>
      <c r="I57" s="11">
        <v>641.0</v>
      </c>
      <c r="J57" s="40" t="s">
        <v>188</v>
      </c>
      <c r="K57" s="11" t="s">
        <v>188</v>
      </c>
      <c r="L57" s="42" t="s">
        <v>160</v>
      </c>
      <c r="M57" s="57" t="s">
        <v>66</v>
      </c>
      <c r="N57" s="52" t="s">
        <v>86</v>
      </c>
    </row>
    <row r="58">
      <c r="A58" s="45" t="s">
        <v>57</v>
      </c>
      <c r="B58" s="11" t="s">
        <v>20</v>
      </c>
      <c r="C58" s="54" t="s">
        <v>254</v>
      </c>
      <c r="D58" s="11" t="s">
        <v>291</v>
      </c>
      <c r="E58" s="11" t="s">
        <v>256</v>
      </c>
      <c r="F58" s="11" t="s">
        <v>299</v>
      </c>
      <c r="G58" s="11" t="s">
        <v>158</v>
      </c>
      <c r="H58" s="11">
        <v>1992.0</v>
      </c>
      <c r="I58" s="41">
        <v>1050.0</v>
      </c>
      <c r="J58" s="40" t="s">
        <v>188</v>
      </c>
      <c r="K58" s="11" t="s">
        <v>188</v>
      </c>
      <c r="L58" s="42" t="s">
        <v>160</v>
      </c>
      <c r="M58" s="57" t="s">
        <v>66</v>
      </c>
      <c r="N58" s="52" t="s">
        <v>86</v>
      </c>
    </row>
    <row r="59">
      <c r="A59" s="45" t="s">
        <v>57</v>
      </c>
      <c r="B59" s="11" t="s">
        <v>20</v>
      </c>
      <c r="C59" s="54" t="s">
        <v>254</v>
      </c>
      <c r="D59" s="11" t="s">
        <v>291</v>
      </c>
      <c r="E59" s="11" t="s">
        <v>256</v>
      </c>
      <c r="F59" s="11" t="s">
        <v>299</v>
      </c>
      <c r="G59" s="11" t="s">
        <v>158</v>
      </c>
      <c r="H59" s="11">
        <v>1993.0</v>
      </c>
      <c r="I59" s="11">
        <v>980.0</v>
      </c>
      <c r="J59" s="40" t="s">
        <v>188</v>
      </c>
      <c r="K59" s="11" t="s">
        <v>188</v>
      </c>
      <c r="L59" s="42" t="s">
        <v>160</v>
      </c>
      <c r="M59" s="57" t="s">
        <v>66</v>
      </c>
      <c r="N59" s="52" t="s">
        <v>86</v>
      </c>
    </row>
    <row r="60">
      <c r="A60" s="45" t="s">
        <v>57</v>
      </c>
      <c r="B60" s="11" t="s">
        <v>20</v>
      </c>
      <c r="C60" s="54" t="s">
        <v>254</v>
      </c>
      <c r="D60" s="11" t="s">
        <v>291</v>
      </c>
      <c r="E60" s="11" t="s">
        <v>256</v>
      </c>
      <c r="F60" s="11" t="s">
        <v>299</v>
      </c>
      <c r="G60" s="11" t="s">
        <v>158</v>
      </c>
      <c r="H60" s="11">
        <v>1994.0</v>
      </c>
      <c r="I60" s="41">
        <v>1361.0</v>
      </c>
      <c r="J60" s="40" t="s">
        <v>188</v>
      </c>
      <c r="K60" s="11" t="s">
        <v>188</v>
      </c>
      <c r="L60" s="42" t="s">
        <v>160</v>
      </c>
      <c r="M60" s="57" t="s">
        <v>66</v>
      </c>
      <c r="N60" s="52" t="s">
        <v>86</v>
      </c>
    </row>
    <row r="61">
      <c r="A61" s="45" t="s">
        <v>57</v>
      </c>
      <c r="B61" s="11" t="s">
        <v>20</v>
      </c>
      <c r="C61" s="54" t="s">
        <v>254</v>
      </c>
      <c r="D61" s="11" t="s">
        <v>291</v>
      </c>
      <c r="E61" s="11" t="s">
        <v>256</v>
      </c>
      <c r="F61" s="11" t="s">
        <v>299</v>
      </c>
      <c r="G61" s="11" t="s">
        <v>158</v>
      </c>
      <c r="H61" s="11">
        <v>1995.0</v>
      </c>
      <c r="I61" s="41">
        <v>1335.0</v>
      </c>
      <c r="J61" s="40" t="s">
        <v>188</v>
      </c>
      <c r="K61" s="11" t="s">
        <v>188</v>
      </c>
      <c r="L61" s="42" t="s">
        <v>160</v>
      </c>
      <c r="M61" s="57" t="s">
        <v>66</v>
      </c>
      <c r="N61" s="52" t="s">
        <v>86</v>
      </c>
    </row>
    <row r="62">
      <c r="A62" s="45" t="s">
        <v>57</v>
      </c>
      <c r="B62" s="11" t="s">
        <v>20</v>
      </c>
      <c r="C62" s="54" t="s">
        <v>254</v>
      </c>
      <c r="D62" s="11" t="s">
        <v>291</v>
      </c>
      <c r="E62" s="11" t="s">
        <v>256</v>
      </c>
      <c r="F62" s="11" t="s">
        <v>299</v>
      </c>
      <c r="G62" s="11" t="s">
        <v>158</v>
      </c>
      <c r="H62" s="11">
        <v>1996.0</v>
      </c>
      <c r="I62" s="41">
        <v>1502.0</v>
      </c>
      <c r="J62" s="40" t="s">
        <v>188</v>
      </c>
      <c r="K62" s="11" t="s">
        <v>188</v>
      </c>
      <c r="L62" s="42" t="s">
        <v>160</v>
      </c>
      <c r="M62" s="57" t="s">
        <v>66</v>
      </c>
      <c r="N62" s="52" t="s">
        <v>86</v>
      </c>
    </row>
    <row r="63">
      <c r="A63" s="45" t="s">
        <v>57</v>
      </c>
      <c r="B63" s="11" t="s">
        <v>20</v>
      </c>
      <c r="C63" s="54" t="s">
        <v>254</v>
      </c>
      <c r="D63" s="11" t="s">
        <v>291</v>
      </c>
      <c r="E63" s="11" t="s">
        <v>256</v>
      </c>
      <c r="F63" s="11" t="s">
        <v>299</v>
      </c>
      <c r="G63" s="11" t="s">
        <v>158</v>
      </c>
      <c r="H63" s="11">
        <v>1997.0</v>
      </c>
      <c r="I63" s="41">
        <v>1224.0</v>
      </c>
      <c r="J63" s="40" t="s">
        <v>188</v>
      </c>
      <c r="K63" s="11" t="s">
        <v>188</v>
      </c>
      <c r="L63" s="42" t="s">
        <v>160</v>
      </c>
      <c r="M63" s="57" t="s">
        <v>66</v>
      </c>
      <c r="N63" s="52" t="s">
        <v>86</v>
      </c>
    </row>
    <row r="64">
      <c r="A64" s="45" t="s">
        <v>57</v>
      </c>
      <c r="B64" s="11" t="s">
        <v>20</v>
      </c>
      <c r="C64" s="54" t="s">
        <v>254</v>
      </c>
      <c r="D64" s="11" t="s">
        <v>291</v>
      </c>
      <c r="E64" s="11" t="s">
        <v>256</v>
      </c>
      <c r="F64" s="11" t="s">
        <v>299</v>
      </c>
      <c r="G64" s="11" t="s">
        <v>158</v>
      </c>
      <c r="H64" s="11">
        <v>1998.0</v>
      </c>
      <c r="I64" s="41">
        <v>1422.0</v>
      </c>
      <c r="J64" s="40" t="s">
        <v>188</v>
      </c>
      <c r="K64" s="11" t="s">
        <v>188</v>
      </c>
      <c r="L64" s="42" t="s">
        <v>160</v>
      </c>
      <c r="M64" s="57" t="s">
        <v>66</v>
      </c>
      <c r="N64" s="52" t="s">
        <v>86</v>
      </c>
    </row>
    <row r="65">
      <c r="A65" s="45" t="s">
        <v>57</v>
      </c>
      <c r="B65" s="11" t="s">
        <v>20</v>
      </c>
      <c r="C65" s="54" t="s">
        <v>254</v>
      </c>
      <c r="D65" s="11" t="s">
        <v>291</v>
      </c>
      <c r="E65" s="11" t="s">
        <v>256</v>
      </c>
      <c r="F65" s="11" t="s">
        <v>299</v>
      </c>
      <c r="G65" s="11" t="s">
        <v>158</v>
      </c>
      <c r="H65" s="11">
        <v>1999.0</v>
      </c>
      <c r="I65" s="41">
        <v>1260.0</v>
      </c>
      <c r="J65" s="40" t="s">
        <v>188</v>
      </c>
      <c r="K65" s="11" t="s">
        <v>188</v>
      </c>
      <c r="L65" s="42" t="s">
        <v>160</v>
      </c>
      <c r="M65" s="57" t="s">
        <v>66</v>
      </c>
      <c r="N65" s="52" t="s">
        <v>86</v>
      </c>
    </row>
    <row r="66">
      <c r="A66" s="45" t="s">
        <v>57</v>
      </c>
      <c r="B66" s="11" t="s">
        <v>20</v>
      </c>
      <c r="C66" s="54" t="s">
        <v>254</v>
      </c>
      <c r="D66" s="11" t="s">
        <v>291</v>
      </c>
      <c r="E66" s="11" t="s">
        <v>256</v>
      </c>
      <c r="F66" s="11" t="s">
        <v>299</v>
      </c>
      <c r="G66" s="11" t="s">
        <v>158</v>
      </c>
      <c r="H66" s="11">
        <v>2000.0</v>
      </c>
      <c r="I66" s="41">
        <v>1072.0</v>
      </c>
      <c r="J66" s="40" t="s">
        <v>188</v>
      </c>
      <c r="K66" s="11" t="s">
        <v>188</v>
      </c>
      <c r="L66" s="42" t="s">
        <v>160</v>
      </c>
      <c r="M66" s="57" t="s">
        <v>66</v>
      </c>
      <c r="N66" s="52" t="s">
        <v>86</v>
      </c>
    </row>
    <row r="67">
      <c r="A67" s="45" t="s">
        <v>57</v>
      </c>
      <c r="B67" s="11" t="s">
        <v>20</v>
      </c>
      <c r="C67" s="54" t="s">
        <v>254</v>
      </c>
      <c r="D67" s="11" t="s">
        <v>291</v>
      </c>
      <c r="E67" s="11" t="s">
        <v>256</v>
      </c>
      <c r="F67" s="11" t="s">
        <v>299</v>
      </c>
      <c r="G67" s="11" t="s">
        <v>158</v>
      </c>
      <c r="H67" s="11">
        <v>2001.0</v>
      </c>
      <c r="I67" s="41">
        <v>1158.0</v>
      </c>
      <c r="J67" s="40" t="s">
        <v>188</v>
      </c>
      <c r="K67" s="11" t="s">
        <v>188</v>
      </c>
      <c r="L67" s="42" t="s">
        <v>160</v>
      </c>
      <c r="M67" s="57" t="s">
        <v>66</v>
      </c>
      <c r="N67" s="52" t="s">
        <v>86</v>
      </c>
    </row>
    <row r="68">
      <c r="A68" s="45" t="s">
        <v>57</v>
      </c>
      <c r="B68" s="11" t="s">
        <v>20</v>
      </c>
      <c r="C68" s="54" t="s">
        <v>254</v>
      </c>
      <c r="D68" s="11" t="s">
        <v>291</v>
      </c>
      <c r="E68" s="11" t="s">
        <v>256</v>
      </c>
      <c r="F68" s="11" t="s">
        <v>299</v>
      </c>
      <c r="G68" s="11" t="s">
        <v>158</v>
      </c>
      <c r="H68" s="11">
        <v>2002.0</v>
      </c>
      <c r="I68" s="41">
        <v>1343.0</v>
      </c>
      <c r="J68" s="40" t="s">
        <v>188</v>
      </c>
      <c r="K68" s="11" t="s">
        <v>188</v>
      </c>
      <c r="L68" s="42" t="s">
        <v>160</v>
      </c>
      <c r="M68" s="57" t="s">
        <v>66</v>
      </c>
      <c r="N68" s="52" t="s">
        <v>86</v>
      </c>
    </row>
    <row r="69">
      <c r="A69" s="45" t="s">
        <v>57</v>
      </c>
      <c r="B69" s="11" t="s">
        <v>20</v>
      </c>
      <c r="C69" s="54" t="s">
        <v>254</v>
      </c>
      <c r="D69" s="11" t="s">
        <v>291</v>
      </c>
      <c r="E69" s="11" t="s">
        <v>256</v>
      </c>
      <c r="F69" s="11" t="s">
        <v>299</v>
      </c>
      <c r="G69" s="11" t="s">
        <v>158</v>
      </c>
      <c r="H69" s="11">
        <v>2003.0</v>
      </c>
      <c r="I69" s="41">
        <v>1224.0</v>
      </c>
      <c r="J69" s="40" t="s">
        <v>188</v>
      </c>
      <c r="K69" s="11" t="s">
        <v>188</v>
      </c>
      <c r="L69" s="42" t="s">
        <v>160</v>
      </c>
      <c r="M69" s="57" t="s">
        <v>66</v>
      </c>
      <c r="N69" s="52" t="s">
        <v>86</v>
      </c>
    </row>
    <row r="70">
      <c r="A70" s="45" t="s">
        <v>57</v>
      </c>
      <c r="B70" s="11" t="s">
        <v>20</v>
      </c>
      <c r="C70" s="54" t="s">
        <v>254</v>
      </c>
      <c r="D70" s="11" t="s">
        <v>291</v>
      </c>
      <c r="E70" s="11" t="s">
        <v>256</v>
      </c>
      <c r="F70" s="11" t="s">
        <v>299</v>
      </c>
      <c r="G70" s="11" t="s">
        <v>158</v>
      </c>
      <c r="H70" s="11">
        <v>2004.0</v>
      </c>
      <c r="I70" s="41">
        <v>1391.0</v>
      </c>
      <c r="J70" s="40" t="s">
        <v>188</v>
      </c>
      <c r="K70" s="11" t="s">
        <v>188</v>
      </c>
      <c r="L70" s="42" t="s">
        <v>160</v>
      </c>
      <c r="M70" s="57" t="s">
        <v>66</v>
      </c>
      <c r="N70" s="52" t="s">
        <v>86</v>
      </c>
    </row>
    <row r="71">
      <c r="A71" s="45" t="s">
        <v>57</v>
      </c>
      <c r="B71" s="11" t="s">
        <v>20</v>
      </c>
      <c r="C71" s="54" t="s">
        <v>254</v>
      </c>
      <c r="D71" s="11" t="s">
        <v>291</v>
      </c>
      <c r="E71" s="11" t="s">
        <v>256</v>
      </c>
      <c r="F71" s="11" t="s">
        <v>299</v>
      </c>
      <c r="G71" s="11" t="s">
        <v>158</v>
      </c>
      <c r="H71" s="11">
        <v>2005.0</v>
      </c>
      <c r="I71" s="41">
        <v>1522.0</v>
      </c>
      <c r="J71" s="40" t="s">
        <v>188</v>
      </c>
      <c r="K71" s="11" t="s">
        <v>188</v>
      </c>
      <c r="L71" s="42" t="s">
        <v>160</v>
      </c>
      <c r="M71" s="57" t="s">
        <v>66</v>
      </c>
      <c r="N71" s="52" t="s">
        <v>86</v>
      </c>
    </row>
    <row r="72">
      <c r="A72" s="45" t="s">
        <v>57</v>
      </c>
      <c r="B72" s="11" t="s">
        <v>20</v>
      </c>
      <c r="C72" s="54" t="s">
        <v>254</v>
      </c>
      <c r="D72" s="11" t="s">
        <v>291</v>
      </c>
      <c r="E72" s="11" t="s">
        <v>256</v>
      </c>
      <c r="F72" s="11" t="s">
        <v>299</v>
      </c>
      <c r="G72" s="11" t="s">
        <v>158</v>
      </c>
      <c r="H72" s="11">
        <v>2006.0</v>
      </c>
      <c r="I72" s="41">
        <v>1619.0</v>
      </c>
      <c r="J72" s="40" t="s">
        <v>188</v>
      </c>
      <c r="K72" s="11" t="s">
        <v>188</v>
      </c>
      <c r="L72" s="42" t="s">
        <v>160</v>
      </c>
      <c r="M72" s="57" t="s">
        <v>66</v>
      </c>
      <c r="N72" s="52" t="s">
        <v>86</v>
      </c>
    </row>
    <row r="73">
      <c r="A73" s="45" t="s">
        <v>57</v>
      </c>
      <c r="B73" s="11" t="s">
        <v>20</v>
      </c>
      <c r="C73" s="54" t="s">
        <v>254</v>
      </c>
      <c r="D73" s="11" t="s">
        <v>291</v>
      </c>
      <c r="E73" s="11" t="s">
        <v>256</v>
      </c>
      <c r="F73" s="11" t="s">
        <v>299</v>
      </c>
      <c r="G73" s="11" t="s">
        <v>158</v>
      </c>
      <c r="H73" s="11">
        <v>2007.0</v>
      </c>
      <c r="I73" s="41">
        <v>1327.0</v>
      </c>
      <c r="J73" s="40" t="s">
        <v>188</v>
      </c>
      <c r="K73" s="11" t="s">
        <v>188</v>
      </c>
      <c r="L73" s="42" t="s">
        <v>160</v>
      </c>
      <c r="M73" s="57" t="s">
        <v>66</v>
      </c>
      <c r="N73" s="52" t="s">
        <v>86</v>
      </c>
    </row>
    <row r="74">
      <c r="A74" s="45" t="s">
        <v>57</v>
      </c>
      <c r="B74" s="11" t="s">
        <v>20</v>
      </c>
      <c r="C74" s="54" t="s">
        <v>254</v>
      </c>
      <c r="D74" s="11" t="s">
        <v>291</v>
      </c>
      <c r="E74" s="11" t="s">
        <v>256</v>
      </c>
      <c r="F74" s="11" t="s">
        <v>299</v>
      </c>
      <c r="G74" s="11" t="s">
        <v>158</v>
      </c>
      <c r="H74" s="11">
        <v>2008.0</v>
      </c>
      <c r="I74" s="41">
        <v>1397.0</v>
      </c>
      <c r="J74" s="40" t="s">
        <v>188</v>
      </c>
      <c r="K74" s="11" t="s">
        <v>188</v>
      </c>
      <c r="L74" s="42" t="s">
        <v>160</v>
      </c>
      <c r="M74" s="57" t="s">
        <v>66</v>
      </c>
      <c r="N74" s="52" t="s">
        <v>86</v>
      </c>
    </row>
    <row r="75">
      <c r="A75" s="45" t="s">
        <v>57</v>
      </c>
      <c r="B75" s="11" t="s">
        <v>20</v>
      </c>
      <c r="C75" s="54" t="s">
        <v>254</v>
      </c>
      <c r="D75" s="11" t="s">
        <v>291</v>
      </c>
      <c r="E75" s="11" t="s">
        <v>256</v>
      </c>
      <c r="F75" s="11" t="s">
        <v>299</v>
      </c>
      <c r="G75" s="11" t="s">
        <v>158</v>
      </c>
      <c r="H75" s="11">
        <v>2009.0</v>
      </c>
      <c r="I75" s="41">
        <v>1490.0</v>
      </c>
      <c r="J75" s="40" t="s">
        <v>188</v>
      </c>
      <c r="K75" s="11" t="s">
        <v>188</v>
      </c>
      <c r="L75" s="42" t="s">
        <v>160</v>
      </c>
      <c r="M75" s="57" t="s">
        <v>66</v>
      </c>
      <c r="N75" s="52" t="s">
        <v>86</v>
      </c>
    </row>
    <row r="76">
      <c r="A76" s="45" t="s">
        <v>57</v>
      </c>
      <c r="B76" s="11" t="s">
        <v>20</v>
      </c>
      <c r="C76" s="54" t="s">
        <v>254</v>
      </c>
      <c r="D76" s="11" t="s">
        <v>291</v>
      </c>
      <c r="E76" s="11" t="s">
        <v>256</v>
      </c>
      <c r="F76" s="11" t="s">
        <v>299</v>
      </c>
      <c r="G76" s="11" t="s">
        <v>158</v>
      </c>
      <c r="H76" s="11">
        <v>2010.0</v>
      </c>
      <c r="I76" s="41">
        <v>1358.0</v>
      </c>
      <c r="J76" s="40" t="s">
        <v>188</v>
      </c>
      <c r="K76" s="11" t="s">
        <v>188</v>
      </c>
      <c r="L76" s="42" t="s">
        <v>160</v>
      </c>
      <c r="M76" s="57" t="s">
        <v>66</v>
      </c>
      <c r="N76" s="52" t="s">
        <v>86</v>
      </c>
    </row>
    <row r="77">
      <c r="A77" s="45" t="s">
        <v>57</v>
      </c>
      <c r="B77" s="11" t="s">
        <v>20</v>
      </c>
      <c r="C77" s="54" t="s">
        <v>254</v>
      </c>
      <c r="D77" s="11" t="s">
        <v>291</v>
      </c>
      <c r="E77" s="11" t="s">
        <v>256</v>
      </c>
      <c r="F77" s="11" t="s">
        <v>299</v>
      </c>
      <c r="G77" s="11" t="s">
        <v>158</v>
      </c>
      <c r="H77" s="11">
        <v>2011.0</v>
      </c>
      <c r="I77" s="41">
        <v>1391.0</v>
      </c>
      <c r="J77" s="40" t="s">
        <v>188</v>
      </c>
      <c r="K77" s="11" t="s">
        <v>188</v>
      </c>
      <c r="L77" s="42" t="s">
        <v>160</v>
      </c>
      <c r="M77" s="57" t="s">
        <v>66</v>
      </c>
      <c r="N77" s="52" t="s">
        <v>86</v>
      </c>
    </row>
    <row r="78">
      <c r="A78" s="45" t="s">
        <v>57</v>
      </c>
      <c r="B78" s="11" t="s">
        <v>20</v>
      </c>
      <c r="C78" s="54" t="s">
        <v>254</v>
      </c>
      <c r="D78" s="11" t="s">
        <v>291</v>
      </c>
      <c r="E78" s="11" t="s">
        <v>256</v>
      </c>
      <c r="F78" s="11" t="s">
        <v>299</v>
      </c>
      <c r="G78" s="11" t="s">
        <v>158</v>
      </c>
      <c r="H78" s="11">
        <v>2012.0</v>
      </c>
      <c r="I78" s="41">
        <v>1426.0</v>
      </c>
      <c r="J78" s="40" t="s">
        <v>188</v>
      </c>
      <c r="K78" s="11" t="s">
        <v>188</v>
      </c>
      <c r="L78" s="42" t="s">
        <v>160</v>
      </c>
      <c r="M78" s="57" t="s">
        <v>66</v>
      </c>
      <c r="N78" s="52" t="s">
        <v>86</v>
      </c>
    </row>
    <row r="79">
      <c r="A79" s="45" t="s">
        <v>57</v>
      </c>
      <c r="B79" s="11" t="s">
        <v>20</v>
      </c>
      <c r="C79" s="54" t="s">
        <v>254</v>
      </c>
      <c r="D79" s="11" t="s">
        <v>291</v>
      </c>
      <c r="E79" s="11" t="s">
        <v>256</v>
      </c>
      <c r="F79" s="11" t="s">
        <v>299</v>
      </c>
      <c r="G79" s="11" t="s">
        <v>158</v>
      </c>
      <c r="H79" s="11">
        <v>2013.0</v>
      </c>
      <c r="I79" s="41">
        <v>1375.0</v>
      </c>
      <c r="J79" s="40" t="s">
        <v>188</v>
      </c>
      <c r="K79" s="11" t="s">
        <v>188</v>
      </c>
      <c r="L79" s="42" t="s">
        <v>160</v>
      </c>
      <c r="M79" s="57" t="s">
        <v>66</v>
      </c>
      <c r="N79" s="52" t="s">
        <v>86</v>
      </c>
    </row>
    <row r="80">
      <c r="A80" s="45" t="s">
        <v>57</v>
      </c>
      <c r="B80" s="11" t="s">
        <v>20</v>
      </c>
      <c r="C80" s="54" t="s">
        <v>254</v>
      </c>
      <c r="D80" s="11" t="s">
        <v>291</v>
      </c>
      <c r="E80" s="11" t="s">
        <v>256</v>
      </c>
      <c r="F80" s="11" t="s">
        <v>299</v>
      </c>
      <c r="G80" s="11" t="s">
        <v>158</v>
      </c>
      <c r="H80" s="11">
        <v>2014.0</v>
      </c>
      <c r="I80" s="41">
        <v>2123.0</v>
      </c>
      <c r="J80" s="40" t="s">
        <v>188</v>
      </c>
      <c r="K80" s="11" t="s">
        <v>188</v>
      </c>
      <c r="L80" s="42" t="s">
        <v>160</v>
      </c>
      <c r="M80" s="57" t="s">
        <v>66</v>
      </c>
      <c r="N80" s="52" t="s">
        <v>86</v>
      </c>
    </row>
    <row r="81">
      <c r="A81" s="45" t="s">
        <v>57</v>
      </c>
      <c r="B81" s="11" t="s">
        <v>20</v>
      </c>
      <c r="C81" s="54" t="s">
        <v>254</v>
      </c>
      <c r="D81" s="11" t="s">
        <v>291</v>
      </c>
      <c r="E81" s="11" t="s">
        <v>256</v>
      </c>
      <c r="F81" s="11" t="s">
        <v>299</v>
      </c>
      <c r="G81" s="11" t="s">
        <v>158</v>
      </c>
      <c r="H81" s="11">
        <v>2015.0</v>
      </c>
      <c r="I81" s="41">
        <v>2173.0</v>
      </c>
      <c r="J81" s="40" t="s">
        <v>188</v>
      </c>
      <c r="K81" s="11" t="s">
        <v>188</v>
      </c>
      <c r="L81" s="42" t="s">
        <v>160</v>
      </c>
      <c r="M81" s="57" t="s">
        <v>66</v>
      </c>
      <c r="N81" s="52" t="s">
        <v>86</v>
      </c>
    </row>
    <row r="82">
      <c r="A82" s="45" t="s">
        <v>57</v>
      </c>
      <c r="B82" s="11" t="s">
        <v>20</v>
      </c>
      <c r="C82" s="54" t="s">
        <v>254</v>
      </c>
      <c r="D82" s="11" t="s">
        <v>291</v>
      </c>
      <c r="E82" s="11" t="s">
        <v>256</v>
      </c>
      <c r="F82" s="11" t="s">
        <v>299</v>
      </c>
      <c r="G82" s="11" t="s">
        <v>158</v>
      </c>
      <c r="H82" s="11">
        <v>2016.0</v>
      </c>
      <c r="I82" s="41">
        <v>1860.0</v>
      </c>
      <c r="J82" s="40" t="s">
        <v>188</v>
      </c>
      <c r="K82" s="11" t="s">
        <v>188</v>
      </c>
      <c r="L82" s="42" t="s">
        <v>160</v>
      </c>
      <c r="M82" s="57" t="s">
        <v>66</v>
      </c>
      <c r="N82" s="52" t="s">
        <v>86</v>
      </c>
    </row>
    <row r="83">
      <c r="A83" s="45" t="s">
        <v>57</v>
      </c>
      <c r="B83" s="11" t="s">
        <v>20</v>
      </c>
      <c r="C83" s="54" t="s">
        <v>254</v>
      </c>
      <c r="D83" s="11" t="s">
        <v>291</v>
      </c>
      <c r="E83" s="11" t="s">
        <v>256</v>
      </c>
      <c r="F83" s="11" t="s">
        <v>299</v>
      </c>
      <c r="G83" s="11" t="s">
        <v>158</v>
      </c>
      <c r="H83" s="11">
        <v>2017.0</v>
      </c>
      <c r="I83" s="41">
        <v>2088.0</v>
      </c>
      <c r="J83" s="40" t="s">
        <v>188</v>
      </c>
      <c r="K83" s="11" t="s">
        <v>188</v>
      </c>
      <c r="L83" s="42" t="s">
        <v>160</v>
      </c>
      <c r="M83" s="57" t="s">
        <v>66</v>
      </c>
      <c r="N83" s="52" t="s">
        <v>86</v>
      </c>
    </row>
    <row r="84">
      <c r="A84" s="45" t="s">
        <v>57</v>
      </c>
      <c r="B84" s="11" t="s">
        <v>20</v>
      </c>
      <c r="C84" s="54" t="s">
        <v>254</v>
      </c>
      <c r="D84" s="11" t="s">
        <v>291</v>
      </c>
      <c r="E84" s="11" t="s">
        <v>256</v>
      </c>
      <c r="F84" s="11" t="s">
        <v>299</v>
      </c>
      <c r="G84" s="11" t="s">
        <v>158</v>
      </c>
      <c r="H84" s="11">
        <v>2018.0</v>
      </c>
      <c r="I84" s="41">
        <v>1898.0</v>
      </c>
      <c r="J84" s="40" t="s">
        <v>188</v>
      </c>
      <c r="K84" s="11" t="s">
        <v>188</v>
      </c>
      <c r="L84" s="42" t="s">
        <v>160</v>
      </c>
      <c r="M84" s="57" t="s">
        <v>66</v>
      </c>
      <c r="N84" s="52" t="s">
        <v>86</v>
      </c>
    </row>
    <row r="85">
      <c r="A85" s="59" t="s">
        <v>88</v>
      </c>
      <c r="B85" s="54" t="s">
        <v>20</v>
      </c>
      <c r="C85" s="54" t="s">
        <v>369</v>
      </c>
      <c r="D85" s="54" t="s">
        <v>91</v>
      </c>
      <c r="E85" s="11" t="s">
        <v>370</v>
      </c>
      <c r="F85" s="54" t="s">
        <v>371</v>
      </c>
      <c r="G85" s="54" t="s">
        <v>74</v>
      </c>
      <c r="H85" s="68">
        <v>1978.04143126177</v>
      </c>
      <c r="I85" s="69">
        <v>4765.0</v>
      </c>
      <c r="J85" s="68">
        <v>2660.23994837554</v>
      </c>
      <c r="K85" s="70">
        <v>8534.49751754837</v>
      </c>
      <c r="L85" s="29" t="s">
        <v>81</v>
      </c>
      <c r="M85" s="57" t="s">
        <v>95</v>
      </c>
      <c r="N85" s="59" t="s">
        <v>105</v>
      </c>
      <c r="O85" s="72" t="s">
        <v>379</v>
      </c>
      <c r="P85" s="54"/>
      <c r="Q85" s="54"/>
      <c r="R85" s="54"/>
      <c r="S85" s="54"/>
      <c r="T85" s="54"/>
      <c r="U85" s="54"/>
      <c r="V85" s="54"/>
      <c r="W85" s="54"/>
      <c r="X85" s="54"/>
      <c r="Y85" s="54"/>
      <c r="Z85" s="54"/>
      <c r="AA85" s="54"/>
      <c r="AB85" s="54"/>
      <c r="AC85" s="54"/>
      <c r="AD85" s="54"/>
      <c r="AE85" s="54"/>
      <c r="AF85" s="54"/>
      <c r="AG85" s="54"/>
      <c r="AH85" s="54"/>
    </row>
    <row r="86">
      <c r="A86" s="59" t="s">
        <v>88</v>
      </c>
      <c r="B86" s="54" t="s">
        <v>20</v>
      </c>
      <c r="C86" s="54" t="s">
        <v>369</v>
      </c>
      <c r="D86" s="54" t="s">
        <v>91</v>
      </c>
      <c r="E86" s="11" t="s">
        <v>370</v>
      </c>
      <c r="F86" s="54" t="s">
        <v>371</v>
      </c>
      <c r="G86" s="54" t="s">
        <v>74</v>
      </c>
      <c r="H86" s="68">
        <v>1980.0</v>
      </c>
      <c r="I86" s="69">
        <v>3885.0</v>
      </c>
      <c r="J86" s="68">
        <v>1964.49501534247</v>
      </c>
      <c r="K86" s="70">
        <v>7069.39012023758</v>
      </c>
      <c r="L86" s="29" t="s">
        <v>81</v>
      </c>
      <c r="M86" s="57" t="s">
        <v>95</v>
      </c>
      <c r="N86" s="59" t="s">
        <v>105</v>
      </c>
      <c r="O86" s="54"/>
      <c r="P86" s="54"/>
      <c r="Q86" s="54"/>
      <c r="R86" s="54"/>
      <c r="S86" s="54"/>
      <c r="T86" s="54"/>
      <c r="U86" s="54"/>
      <c r="V86" s="54"/>
      <c r="W86" s="54"/>
      <c r="X86" s="54"/>
      <c r="Y86" s="54"/>
      <c r="Z86" s="54"/>
      <c r="AA86" s="54"/>
      <c r="AB86" s="54"/>
      <c r="AC86" s="54"/>
      <c r="AD86" s="54"/>
      <c r="AE86" s="54"/>
      <c r="AF86" s="54"/>
      <c r="AG86" s="54"/>
      <c r="AH86" s="54"/>
    </row>
    <row r="87">
      <c r="A87" s="59" t="s">
        <v>88</v>
      </c>
      <c r="B87" s="54" t="s">
        <v>20</v>
      </c>
      <c r="C87" s="54" t="s">
        <v>369</v>
      </c>
      <c r="D87" s="54" t="s">
        <v>91</v>
      </c>
      <c r="E87" s="11" t="s">
        <v>370</v>
      </c>
      <c r="F87" s="54" t="s">
        <v>371</v>
      </c>
      <c r="G87" s="54" t="s">
        <v>74</v>
      </c>
      <c r="H87" s="68">
        <v>1980.97928436912</v>
      </c>
      <c r="I87" s="69">
        <v>4467.0</v>
      </c>
      <c r="J87" s="68">
        <v>2595.57768032344</v>
      </c>
      <c r="K87" s="70">
        <v>7560.61264535841</v>
      </c>
      <c r="L87" s="29" t="s">
        <v>81</v>
      </c>
      <c r="M87" s="57" t="s">
        <v>95</v>
      </c>
      <c r="N87" s="59" t="s">
        <v>105</v>
      </c>
      <c r="O87" s="54"/>
      <c r="P87" s="54"/>
      <c r="Q87" s="54"/>
      <c r="R87" s="54"/>
      <c r="S87" s="54"/>
      <c r="T87" s="54"/>
      <c r="U87" s="54"/>
      <c r="V87" s="54"/>
      <c r="W87" s="54"/>
      <c r="X87" s="54"/>
      <c r="Y87" s="54"/>
      <c r="Z87" s="54"/>
      <c r="AA87" s="54"/>
      <c r="AB87" s="54"/>
      <c r="AC87" s="54"/>
      <c r="AD87" s="54"/>
      <c r="AE87" s="54"/>
      <c r="AF87" s="54"/>
      <c r="AG87" s="54"/>
      <c r="AH87" s="54"/>
    </row>
    <row r="88">
      <c r="A88" s="59" t="s">
        <v>88</v>
      </c>
      <c r="B88" s="54" t="s">
        <v>20</v>
      </c>
      <c r="C88" s="54" t="s">
        <v>369</v>
      </c>
      <c r="D88" s="54" t="s">
        <v>91</v>
      </c>
      <c r="E88" s="11" t="s">
        <v>370</v>
      </c>
      <c r="F88" s="54" t="s">
        <v>371</v>
      </c>
      <c r="G88" s="54" t="s">
        <v>74</v>
      </c>
      <c r="H88" s="68">
        <v>1981.95856873823</v>
      </c>
      <c r="I88" s="69">
        <v>7395.0</v>
      </c>
      <c r="J88" s="68">
        <v>4275.61139425546</v>
      </c>
      <c r="K88" s="70">
        <v>12177.7092963534</v>
      </c>
      <c r="L88" s="29" t="s">
        <v>81</v>
      </c>
      <c r="M88" s="57" t="s">
        <v>95</v>
      </c>
      <c r="N88" s="59" t="s">
        <v>105</v>
      </c>
      <c r="O88" s="54"/>
      <c r="P88" s="54"/>
      <c r="Q88" s="54"/>
      <c r="R88" s="54"/>
      <c r="S88" s="54"/>
      <c r="T88" s="54"/>
      <c r="U88" s="54"/>
      <c r="V88" s="54"/>
      <c r="W88" s="54"/>
      <c r="X88" s="54"/>
      <c r="Y88" s="54"/>
      <c r="Z88" s="54"/>
      <c r="AA88" s="54"/>
      <c r="AB88" s="54"/>
      <c r="AC88" s="54"/>
      <c r="AD88" s="54"/>
      <c r="AE88" s="54"/>
      <c r="AF88" s="54"/>
      <c r="AG88" s="54"/>
      <c r="AH88" s="54"/>
    </row>
    <row r="89">
      <c r="A89" s="59" t="s">
        <v>88</v>
      </c>
      <c r="B89" s="54" t="s">
        <v>20</v>
      </c>
      <c r="C89" s="54" t="s">
        <v>369</v>
      </c>
      <c r="D89" s="54" t="s">
        <v>91</v>
      </c>
      <c r="E89" s="11" t="s">
        <v>370</v>
      </c>
      <c r="F89" s="54" t="s">
        <v>371</v>
      </c>
      <c r="G89" s="54" t="s">
        <v>74</v>
      </c>
      <c r="H89" s="68">
        <v>1982.93785310734</v>
      </c>
      <c r="I89" s="69">
        <v>6573.0</v>
      </c>
      <c r="J89" s="68">
        <v>3438.16259070496</v>
      </c>
      <c r="K89" s="70">
        <v>12738.8618914043</v>
      </c>
      <c r="L89" s="29" t="s">
        <v>81</v>
      </c>
      <c r="M89" s="57" t="s">
        <v>95</v>
      </c>
      <c r="N89" s="59" t="s">
        <v>105</v>
      </c>
      <c r="O89" s="54"/>
      <c r="P89" s="54"/>
      <c r="Q89" s="54"/>
      <c r="R89" s="54"/>
      <c r="S89" s="54"/>
      <c r="T89" s="54"/>
      <c r="U89" s="54"/>
      <c r="V89" s="54"/>
      <c r="W89" s="54"/>
      <c r="X89" s="54"/>
      <c r="Y89" s="54"/>
      <c r="Z89" s="54"/>
      <c r="AA89" s="54"/>
      <c r="AB89" s="54"/>
      <c r="AC89" s="54"/>
      <c r="AD89" s="54"/>
      <c r="AE89" s="54"/>
      <c r="AF89" s="54"/>
      <c r="AG89" s="54"/>
      <c r="AH89" s="54"/>
    </row>
    <row r="90">
      <c r="A90" s="59" t="s">
        <v>88</v>
      </c>
      <c r="B90" s="54" t="s">
        <v>20</v>
      </c>
      <c r="C90" s="54" t="s">
        <v>369</v>
      </c>
      <c r="D90" s="54" t="s">
        <v>91</v>
      </c>
      <c r="E90" s="11" t="s">
        <v>370</v>
      </c>
      <c r="F90" s="54" t="s">
        <v>371</v>
      </c>
      <c r="G90" s="54" t="s">
        <v>74</v>
      </c>
      <c r="H90" s="68">
        <v>1984.97175141243</v>
      </c>
      <c r="I90" s="69">
        <v>5762.0</v>
      </c>
      <c r="J90" s="68">
        <v>3511.64842690267</v>
      </c>
      <c r="K90" s="70">
        <v>9455.70437095861</v>
      </c>
      <c r="L90" s="29" t="s">
        <v>81</v>
      </c>
      <c r="M90" s="57" t="s">
        <v>95</v>
      </c>
      <c r="N90" s="59" t="s">
        <v>105</v>
      </c>
      <c r="O90" s="54"/>
      <c r="P90" s="54"/>
      <c r="Q90" s="54"/>
      <c r="R90" s="54"/>
      <c r="S90" s="54"/>
      <c r="T90" s="54"/>
      <c r="U90" s="54"/>
      <c r="V90" s="54"/>
      <c r="W90" s="54"/>
      <c r="X90" s="54"/>
      <c r="Y90" s="54"/>
      <c r="Z90" s="54"/>
      <c r="AA90" s="54"/>
      <c r="AB90" s="54"/>
      <c r="AC90" s="54"/>
      <c r="AD90" s="54"/>
      <c r="AE90" s="54"/>
      <c r="AF90" s="54"/>
      <c r="AG90" s="54"/>
      <c r="AH90" s="54"/>
    </row>
    <row r="91">
      <c r="A91" s="59" t="s">
        <v>88</v>
      </c>
      <c r="B91" s="54" t="s">
        <v>20</v>
      </c>
      <c r="C91" s="54" t="s">
        <v>369</v>
      </c>
      <c r="D91" s="54" t="s">
        <v>91</v>
      </c>
      <c r="E91" s="11" t="s">
        <v>370</v>
      </c>
      <c r="F91" s="54" t="s">
        <v>371</v>
      </c>
      <c r="G91" s="54" t="s">
        <v>74</v>
      </c>
      <c r="H91" s="68">
        <v>1985.95103578154</v>
      </c>
      <c r="I91" s="69">
        <v>8917.0</v>
      </c>
      <c r="J91" s="68">
        <v>5890.98284013538</v>
      </c>
      <c r="K91" s="70">
        <v>13513.360462513</v>
      </c>
      <c r="L91" s="29" t="s">
        <v>81</v>
      </c>
      <c r="M91" s="57" t="s">
        <v>95</v>
      </c>
      <c r="N91" s="59" t="s">
        <v>105</v>
      </c>
      <c r="O91" s="54"/>
      <c r="P91" s="54"/>
      <c r="Q91" s="54"/>
      <c r="R91" s="54"/>
      <c r="S91" s="54"/>
      <c r="T91" s="54"/>
      <c r="U91" s="54"/>
      <c r="V91" s="54"/>
      <c r="W91" s="54"/>
      <c r="X91" s="54"/>
      <c r="Y91" s="54"/>
      <c r="Z91" s="54"/>
      <c r="AA91" s="54"/>
      <c r="AB91" s="54"/>
      <c r="AC91" s="54"/>
      <c r="AD91" s="54"/>
      <c r="AE91" s="54"/>
      <c r="AF91" s="54"/>
      <c r="AG91" s="54"/>
      <c r="AH91" s="54"/>
    </row>
    <row r="92">
      <c r="A92" s="59" t="s">
        <v>88</v>
      </c>
      <c r="B92" s="54" t="s">
        <v>20</v>
      </c>
      <c r="C92" s="54" t="s">
        <v>369</v>
      </c>
      <c r="D92" s="54" t="s">
        <v>91</v>
      </c>
      <c r="E92" s="11" t="s">
        <v>370</v>
      </c>
      <c r="F92" s="54" t="s">
        <v>371</v>
      </c>
      <c r="G92" s="54" t="s">
        <v>74</v>
      </c>
      <c r="H92" s="68">
        <v>1986.93032015066</v>
      </c>
      <c r="I92" s="69">
        <v>5298.0</v>
      </c>
      <c r="J92" s="68">
        <v>2885.83356379967</v>
      </c>
      <c r="K92" s="70">
        <v>9319.3999973661</v>
      </c>
      <c r="L92" s="29" t="s">
        <v>81</v>
      </c>
      <c r="M92" s="57" t="s">
        <v>95</v>
      </c>
      <c r="N92" s="59" t="s">
        <v>105</v>
      </c>
      <c r="O92" s="54"/>
      <c r="P92" s="54"/>
      <c r="Q92" s="54"/>
      <c r="R92" s="54"/>
      <c r="S92" s="54"/>
      <c r="T92" s="54"/>
      <c r="U92" s="54"/>
      <c r="V92" s="54"/>
      <c r="W92" s="54"/>
      <c r="X92" s="54"/>
      <c r="Y92" s="54"/>
      <c r="Z92" s="54"/>
      <c r="AA92" s="54"/>
      <c r="AB92" s="54"/>
      <c r="AC92" s="54"/>
      <c r="AD92" s="54"/>
      <c r="AE92" s="54"/>
      <c r="AF92" s="54"/>
      <c r="AG92" s="54"/>
      <c r="AH92" s="54"/>
    </row>
    <row r="93">
      <c r="A93" s="59" t="s">
        <v>88</v>
      </c>
      <c r="B93" s="54" t="s">
        <v>20</v>
      </c>
      <c r="C93" s="54" t="s">
        <v>369</v>
      </c>
      <c r="D93" s="54" t="s">
        <v>91</v>
      </c>
      <c r="E93" s="11" t="s">
        <v>370</v>
      </c>
      <c r="F93" s="54" t="s">
        <v>371</v>
      </c>
      <c r="G93" s="54" t="s">
        <v>74</v>
      </c>
      <c r="H93" s="68">
        <v>1987.90960451977</v>
      </c>
      <c r="I93" s="69">
        <v>6928.0</v>
      </c>
      <c r="J93" s="68">
        <v>5544.88825675266</v>
      </c>
      <c r="K93" s="70">
        <v>8761.80316858283</v>
      </c>
      <c r="L93" s="29" t="s">
        <v>81</v>
      </c>
      <c r="M93" s="57" t="s">
        <v>95</v>
      </c>
      <c r="N93" s="59" t="s">
        <v>105</v>
      </c>
      <c r="O93" s="54"/>
      <c r="P93" s="54"/>
      <c r="Q93" s="54"/>
      <c r="R93" s="54"/>
      <c r="S93" s="54"/>
      <c r="T93" s="54"/>
      <c r="U93" s="54"/>
      <c r="V93" s="54"/>
      <c r="W93" s="54"/>
      <c r="X93" s="54"/>
      <c r="Y93" s="54"/>
      <c r="Z93" s="54"/>
      <c r="AA93" s="54"/>
      <c r="AB93" s="54"/>
      <c r="AC93" s="54"/>
      <c r="AD93" s="54"/>
      <c r="AE93" s="54"/>
      <c r="AF93" s="54"/>
      <c r="AG93" s="54"/>
      <c r="AH93" s="54"/>
    </row>
    <row r="94">
      <c r="A94" s="59" t="s">
        <v>88</v>
      </c>
      <c r="B94" s="54" t="s">
        <v>20</v>
      </c>
      <c r="C94" s="54" t="s">
        <v>369</v>
      </c>
      <c r="D94" s="54" t="s">
        <v>91</v>
      </c>
      <c r="E94" s="11" t="s">
        <v>370</v>
      </c>
      <c r="F94" s="54" t="s">
        <v>371</v>
      </c>
      <c r="G94" s="54" t="s">
        <v>74</v>
      </c>
      <c r="H94" s="68">
        <v>1992.95668549906</v>
      </c>
      <c r="I94" s="69">
        <v>8167.0</v>
      </c>
      <c r="J94" s="68">
        <v>7161.97173824292</v>
      </c>
      <c r="K94" s="70">
        <v>9329.80390607509</v>
      </c>
      <c r="L94" s="29" t="s">
        <v>81</v>
      </c>
      <c r="M94" s="57" t="s">
        <v>95</v>
      </c>
      <c r="N94" s="59" t="s">
        <v>105</v>
      </c>
      <c r="O94" s="54"/>
      <c r="P94" s="54"/>
      <c r="Q94" s="54"/>
      <c r="R94" s="54"/>
      <c r="S94" s="54"/>
      <c r="T94" s="54"/>
      <c r="U94" s="54"/>
      <c r="V94" s="54"/>
      <c r="W94" s="54"/>
      <c r="X94" s="54"/>
      <c r="Y94" s="54"/>
      <c r="Z94" s="54"/>
      <c r="AA94" s="54"/>
      <c r="AB94" s="54"/>
      <c r="AC94" s="54"/>
      <c r="AD94" s="54"/>
      <c r="AE94" s="54"/>
      <c r="AF94" s="54"/>
      <c r="AG94" s="54"/>
      <c r="AH94" s="54"/>
    </row>
    <row r="95">
      <c r="A95" s="59" t="s">
        <v>88</v>
      </c>
      <c r="B95" s="54" t="s">
        <v>20</v>
      </c>
      <c r="C95" s="54" t="s">
        <v>369</v>
      </c>
      <c r="D95" s="54" t="s">
        <v>91</v>
      </c>
      <c r="E95" s="11" t="s">
        <v>370</v>
      </c>
      <c r="F95" s="54" t="s">
        <v>371</v>
      </c>
      <c r="G95" s="54" t="s">
        <v>74</v>
      </c>
      <c r="H95" s="68">
        <v>2001.01694915254</v>
      </c>
      <c r="I95" s="69">
        <v>10545.0</v>
      </c>
      <c r="J95" s="68">
        <v>8225.01415721755</v>
      </c>
      <c r="K95" s="70">
        <v>13329.9092621127</v>
      </c>
      <c r="L95" s="29" t="s">
        <v>81</v>
      </c>
      <c r="M95" s="57" t="s">
        <v>95</v>
      </c>
      <c r="N95" s="59" t="s">
        <v>105</v>
      </c>
      <c r="O95" s="54"/>
      <c r="P95" s="54"/>
      <c r="Q95" s="54"/>
      <c r="R95" s="54"/>
      <c r="S95" s="54"/>
      <c r="T95" s="54"/>
      <c r="U95" s="54"/>
      <c r="V95" s="54"/>
      <c r="W95" s="54"/>
      <c r="X95" s="54"/>
      <c r="Y95" s="54"/>
      <c r="Z95" s="54"/>
      <c r="AA95" s="54"/>
      <c r="AB95" s="54"/>
      <c r="AC95" s="54"/>
      <c r="AD95" s="54"/>
      <c r="AE95" s="54"/>
      <c r="AF95" s="54"/>
      <c r="AG95" s="54"/>
      <c r="AH95" s="54"/>
    </row>
    <row r="96">
      <c r="A96" s="59" t="s">
        <v>88</v>
      </c>
      <c r="B96" s="54" t="s">
        <v>20</v>
      </c>
      <c r="C96" s="54" t="s">
        <v>369</v>
      </c>
      <c r="D96" s="54" t="s">
        <v>91</v>
      </c>
      <c r="E96" s="11" t="s">
        <v>370</v>
      </c>
      <c r="F96" s="54" t="s">
        <v>371</v>
      </c>
      <c r="G96" s="54" t="s">
        <v>74</v>
      </c>
      <c r="H96" s="68">
        <v>2004.03013182674</v>
      </c>
      <c r="I96" s="69">
        <v>12631.0</v>
      </c>
      <c r="J96" s="68">
        <v>7880.49991439822</v>
      </c>
      <c r="K96" s="70">
        <v>19698.813427627</v>
      </c>
      <c r="L96" s="29" t="s">
        <v>81</v>
      </c>
      <c r="M96" s="57" t="s">
        <v>95</v>
      </c>
      <c r="N96" s="59" t="s">
        <v>105</v>
      </c>
      <c r="O96" s="54"/>
      <c r="P96" s="54"/>
      <c r="Q96" s="54"/>
      <c r="R96" s="54"/>
      <c r="S96" s="54"/>
      <c r="T96" s="54"/>
      <c r="U96" s="54"/>
      <c r="V96" s="54"/>
      <c r="W96" s="54"/>
      <c r="X96" s="54"/>
      <c r="Y96" s="54"/>
      <c r="Z96" s="54"/>
      <c r="AA96" s="54"/>
      <c r="AB96" s="54"/>
      <c r="AC96" s="54"/>
      <c r="AD96" s="54"/>
      <c r="AE96" s="54"/>
      <c r="AF96" s="54"/>
      <c r="AG96" s="54"/>
      <c r="AH96" s="54"/>
    </row>
    <row r="97">
      <c r="A97" s="59" t="s">
        <v>88</v>
      </c>
      <c r="B97" s="54" t="s">
        <v>20</v>
      </c>
      <c r="C97" s="54" t="s">
        <v>369</v>
      </c>
      <c r="D97" s="54" t="s">
        <v>91</v>
      </c>
      <c r="E97" s="11" t="s">
        <v>370</v>
      </c>
      <c r="F97" s="54" t="s">
        <v>371</v>
      </c>
      <c r="G97" s="54" t="s">
        <v>74</v>
      </c>
      <c r="H97" s="68">
        <v>2010.9604519774</v>
      </c>
      <c r="I97" s="69">
        <v>16820.0</v>
      </c>
      <c r="J97" s="68">
        <v>15165.6065215387</v>
      </c>
      <c r="K97" s="70">
        <v>18731.9083929253</v>
      </c>
      <c r="L97" s="29" t="s">
        <v>81</v>
      </c>
      <c r="M97" s="57" t="s">
        <v>95</v>
      </c>
      <c r="N97" s="59" t="s">
        <v>105</v>
      </c>
      <c r="O97" s="54"/>
      <c r="P97" s="54"/>
      <c r="Q97" s="54"/>
      <c r="R97" s="54"/>
      <c r="S97" s="54"/>
      <c r="T97" s="54"/>
      <c r="U97" s="54"/>
      <c r="V97" s="54"/>
      <c r="W97" s="54"/>
      <c r="X97" s="54"/>
      <c r="Y97" s="54"/>
      <c r="Z97" s="54"/>
      <c r="AA97" s="54"/>
      <c r="AB97" s="54"/>
      <c r="AC97" s="54"/>
      <c r="AD97" s="54"/>
      <c r="AE97" s="54"/>
      <c r="AF97" s="54"/>
      <c r="AG97" s="54"/>
      <c r="AH97" s="54"/>
    </row>
    <row r="98">
      <c r="A98" s="59" t="s">
        <v>88</v>
      </c>
      <c r="B98" s="54" t="s">
        <v>20</v>
      </c>
      <c r="C98" s="54" t="s">
        <v>369</v>
      </c>
      <c r="D98" s="54" t="s">
        <v>91</v>
      </c>
      <c r="E98" s="11" t="s">
        <v>370</v>
      </c>
      <c r="F98" s="54" t="s">
        <v>371</v>
      </c>
      <c r="G98" s="54" t="s">
        <v>74</v>
      </c>
      <c r="H98" s="68">
        <v>2018.94538606403</v>
      </c>
      <c r="I98" s="69">
        <v>14025.0</v>
      </c>
      <c r="J98" s="68">
        <v>9025.72004266919</v>
      </c>
      <c r="K98" s="70">
        <v>21962.7829797321</v>
      </c>
      <c r="L98" s="29" t="s">
        <v>81</v>
      </c>
      <c r="M98" s="57" t="s">
        <v>95</v>
      </c>
      <c r="N98" s="59" t="s">
        <v>105</v>
      </c>
      <c r="O98" s="54"/>
      <c r="P98" s="54"/>
      <c r="Q98" s="54"/>
      <c r="R98" s="54"/>
      <c r="S98" s="54"/>
      <c r="T98" s="54"/>
      <c r="U98" s="54"/>
      <c r="V98" s="54"/>
      <c r="W98" s="54"/>
      <c r="X98" s="54"/>
      <c r="Y98" s="54"/>
      <c r="Z98" s="54"/>
      <c r="AA98" s="54"/>
      <c r="AB98" s="54"/>
      <c r="AC98" s="54"/>
      <c r="AD98" s="54"/>
      <c r="AE98" s="54"/>
      <c r="AF98" s="54"/>
      <c r="AG98" s="54"/>
      <c r="AH98" s="54"/>
    </row>
    <row r="99">
      <c r="A99" s="59" t="s">
        <v>240</v>
      </c>
      <c r="B99" s="54" t="s">
        <v>20</v>
      </c>
      <c r="C99" s="54" t="s">
        <v>21</v>
      </c>
      <c r="D99" s="54" t="s">
        <v>22</v>
      </c>
      <c r="E99" s="11" t="s">
        <v>416</v>
      </c>
      <c r="F99" s="11" t="s">
        <v>417</v>
      </c>
      <c r="G99" s="59" t="s">
        <v>418</v>
      </c>
      <c r="H99" s="75">
        <v>1975.0</v>
      </c>
      <c r="I99" s="76">
        <v>88924.0</v>
      </c>
      <c r="J99" s="77">
        <v>66009.0</v>
      </c>
      <c r="K99" s="75">
        <v>107960.0</v>
      </c>
      <c r="L99" s="29" t="s">
        <v>81</v>
      </c>
      <c r="M99" s="30" t="s">
        <v>243</v>
      </c>
      <c r="N99" s="11" t="s">
        <v>423</v>
      </c>
      <c r="O99" s="11" t="s">
        <v>424</v>
      </c>
    </row>
    <row r="100">
      <c r="A100" s="59" t="s">
        <v>240</v>
      </c>
      <c r="B100" s="54" t="s">
        <v>20</v>
      </c>
      <c r="C100" s="54" t="s">
        <v>21</v>
      </c>
      <c r="D100" s="54" t="s">
        <v>22</v>
      </c>
      <c r="E100" s="11" t="s">
        <v>416</v>
      </c>
      <c r="F100" s="11" t="s">
        <v>417</v>
      </c>
      <c r="G100" s="59" t="s">
        <v>418</v>
      </c>
      <c r="H100" s="75">
        <v>1976.0</v>
      </c>
      <c r="I100" s="76">
        <v>94170.0</v>
      </c>
      <c r="J100" s="77">
        <v>70692.0</v>
      </c>
      <c r="K100" s="75">
        <v>113970.0</v>
      </c>
      <c r="L100" s="29" t="s">
        <v>81</v>
      </c>
      <c r="M100" s="30" t="s">
        <v>243</v>
      </c>
      <c r="N100" s="11" t="s">
        <v>427</v>
      </c>
    </row>
    <row r="101">
      <c r="A101" s="59" t="s">
        <v>240</v>
      </c>
      <c r="B101" s="54" t="s">
        <v>20</v>
      </c>
      <c r="C101" s="54" t="s">
        <v>21</v>
      </c>
      <c r="D101" s="54" t="s">
        <v>22</v>
      </c>
      <c r="E101" s="11" t="s">
        <v>416</v>
      </c>
      <c r="F101" s="11" t="s">
        <v>417</v>
      </c>
      <c r="G101" s="59" t="s">
        <v>418</v>
      </c>
      <c r="H101" s="75">
        <v>1977.0</v>
      </c>
      <c r="I101" s="76">
        <v>91199.0</v>
      </c>
      <c r="J101" s="77">
        <v>69378.0</v>
      </c>
      <c r="K101" s="75">
        <v>108664.0</v>
      </c>
      <c r="L101" s="29" t="s">
        <v>81</v>
      </c>
      <c r="M101" s="30" t="s">
        <v>243</v>
      </c>
      <c r="N101" s="11" t="s">
        <v>432</v>
      </c>
    </row>
    <row r="102">
      <c r="A102" s="59" t="s">
        <v>240</v>
      </c>
      <c r="B102" s="54" t="s">
        <v>20</v>
      </c>
      <c r="C102" s="54" t="s">
        <v>21</v>
      </c>
      <c r="D102" s="54" t="s">
        <v>22</v>
      </c>
      <c r="E102" s="11" t="s">
        <v>416</v>
      </c>
      <c r="F102" s="11" t="s">
        <v>417</v>
      </c>
      <c r="G102" s="59" t="s">
        <v>418</v>
      </c>
      <c r="H102" s="75">
        <v>1978.0</v>
      </c>
      <c r="I102" s="76">
        <v>90913.0</v>
      </c>
      <c r="J102" s="77">
        <v>70730.0</v>
      </c>
      <c r="K102" s="75">
        <v>104688.0</v>
      </c>
      <c r="L102" s="29" t="s">
        <v>81</v>
      </c>
      <c r="M102" s="30" t="s">
        <v>243</v>
      </c>
      <c r="N102" s="11" t="s">
        <v>435</v>
      </c>
    </row>
    <row r="103">
      <c r="A103" s="59" t="s">
        <v>240</v>
      </c>
      <c r="B103" s="54" t="s">
        <v>20</v>
      </c>
      <c r="C103" s="54" t="s">
        <v>21</v>
      </c>
      <c r="D103" s="54" t="s">
        <v>22</v>
      </c>
      <c r="E103" s="11" t="s">
        <v>416</v>
      </c>
      <c r="F103" s="11" t="s">
        <v>417</v>
      </c>
      <c r="G103" s="59" t="s">
        <v>418</v>
      </c>
      <c r="H103" s="75">
        <v>1979.0</v>
      </c>
      <c r="I103" s="76">
        <v>92812.0</v>
      </c>
      <c r="J103" s="77">
        <v>73411.0</v>
      </c>
      <c r="K103" s="75">
        <v>106038.0</v>
      </c>
      <c r="L103" s="29" t="s">
        <v>81</v>
      </c>
      <c r="M103" s="30" t="s">
        <v>243</v>
      </c>
      <c r="N103" s="11" t="s">
        <v>437</v>
      </c>
    </row>
    <row r="104">
      <c r="A104" s="59" t="s">
        <v>240</v>
      </c>
      <c r="B104" s="54" t="s">
        <v>20</v>
      </c>
      <c r="C104" s="54" t="s">
        <v>21</v>
      </c>
      <c r="D104" s="54" t="s">
        <v>22</v>
      </c>
      <c r="E104" s="11" t="s">
        <v>416</v>
      </c>
      <c r="F104" s="11" t="s">
        <v>417</v>
      </c>
      <c r="G104" s="59" t="s">
        <v>418</v>
      </c>
      <c r="H104" s="75">
        <v>1980.0</v>
      </c>
      <c r="I104" s="76">
        <v>94333.0</v>
      </c>
      <c r="J104" s="77">
        <v>75428.0</v>
      </c>
      <c r="K104" s="75">
        <v>104726.0</v>
      </c>
      <c r="L104" s="29" t="s">
        <v>81</v>
      </c>
      <c r="M104" s="30" t="s">
        <v>243</v>
      </c>
      <c r="N104" s="11" t="s">
        <v>440</v>
      </c>
    </row>
    <row r="105">
      <c r="A105" s="59" t="s">
        <v>240</v>
      </c>
      <c r="B105" s="54" t="s">
        <v>20</v>
      </c>
      <c r="C105" s="54" t="s">
        <v>21</v>
      </c>
      <c r="D105" s="54" t="s">
        <v>22</v>
      </c>
      <c r="E105" s="11" t="s">
        <v>416</v>
      </c>
      <c r="F105" s="11" t="s">
        <v>417</v>
      </c>
      <c r="G105" s="59" t="s">
        <v>418</v>
      </c>
      <c r="H105" s="75">
        <v>1981.0</v>
      </c>
      <c r="I105" s="76">
        <v>96997.0</v>
      </c>
      <c r="J105" s="77">
        <v>78776.0</v>
      </c>
      <c r="K105" s="75">
        <v>107409.0</v>
      </c>
      <c r="L105" s="29" t="s">
        <v>81</v>
      </c>
      <c r="M105" s="30" t="s">
        <v>243</v>
      </c>
      <c r="N105" s="11" t="s">
        <v>444</v>
      </c>
    </row>
    <row r="106">
      <c r="A106" s="59" t="s">
        <v>240</v>
      </c>
      <c r="B106" s="54" t="s">
        <v>20</v>
      </c>
      <c r="C106" s="54" t="s">
        <v>21</v>
      </c>
      <c r="D106" s="54" t="s">
        <v>22</v>
      </c>
      <c r="E106" s="11" t="s">
        <v>416</v>
      </c>
      <c r="F106" s="11" t="s">
        <v>417</v>
      </c>
      <c r="G106" s="59" t="s">
        <v>418</v>
      </c>
      <c r="H106" s="75">
        <v>1982.0</v>
      </c>
      <c r="I106" s="76">
        <v>104780.0</v>
      </c>
      <c r="J106" s="77">
        <v>88116.0</v>
      </c>
      <c r="K106" s="75">
        <v>114751.0</v>
      </c>
      <c r="L106" s="29" t="s">
        <v>81</v>
      </c>
      <c r="M106" s="30" t="s">
        <v>243</v>
      </c>
      <c r="N106" s="11" t="s">
        <v>447</v>
      </c>
    </row>
    <row r="107">
      <c r="A107" s="59" t="s">
        <v>240</v>
      </c>
      <c r="B107" s="54" t="s">
        <v>20</v>
      </c>
      <c r="C107" s="54" t="s">
        <v>21</v>
      </c>
      <c r="D107" s="54" t="s">
        <v>22</v>
      </c>
      <c r="E107" s="11" t="s">
        <v>416</v>
      </c>
      <c r="F107" s="11" t="s">
        <v>417</v>
      </c>
      <c r="G107" s="59" t="s">
        <v>418</v>
      </c>
      <c r="H107" s="75">
        <v>1983.0</v>
      </c>
      <c r="I107" s="76">
        <v>96807.0</v>
      </c>
      <c r="J107" s="77">
        <v>80145.0</v>
      </c>
      <c r="K107" s="75">
        <v>108112.0</v>
      </c>
      <c r="L107" s="29" t="s">
        <v>81</v>
      </c>
      <c r="M107" s="30" t="s">
        <v>243</v>
      </c>
      <c r="N107" s="11" t="s">
        <v>449</v>
      </c>
    </row>
    <row r="108">
      <c r="A108" s="59" t="s">
        <v>240</v>
      </c>
      <c r="B108" s="54" t="s">
        <v>20</v>
      </c>
      <c r="C108" s="54" t="s">
        <v>21</v>
      </c>
      <c r="D108" s="54" t="s">
        <v>22</v>
      </c>
      <c r="E108" s="11" t="s">
        <v>416</v>
      </c>
      <c r="F108" s="11" t="s">
        <v>417</v>
      </c>
      <c r="G108" s="59" t="s">
        <v>418</v>
      </c>
      <c r="H108" s="75">
        <v>1984.0</v>
      </c>
      <c r="I108" s="76">
        <v>93011.0</v>
      </c>
      <c r="J108" s="77">
        <v>75503.0</v>
      </c>
      <c r="K108" s="75">
        <v>103470.0</v>
      </c>
      <c r="L108" s="29" t="s">
        <v>81</v>
      </c>
      <c r="M108" s="30" t="s">
        <v>243</v>
      </c>
      <c r="N108" s="11" t="s">
        <v>452</v>
      </c>
    </row>
    <row r="109">
      <c r="A109" s="59" t="s">
        <v>240</v>
      </c>
      <c r="B109" s="54" t="s">
        <v>20</v>
      </c>
      <c r="C109" s="54" t="s">
        <v>21</v>
      </c>
      <c r="D109" s="54" t="s">
        <v>22</v>
      </c>
      <c r="E109" s="11" t="s">
        <v>416</v>
      </c>
      <c r="F109" s="11" t="s">
        <v>417</v>
      </c>
      <c r="G109" s="59" t="s">
        <v>418</v>
      </c>
      <c r="H109" s="75">
        <v>1985.0</v>
      </c>
      <c r="I109" s="76">
        <v>93012.0</v>
      </c>
      <c r="J109" s="77">
        <v>76189.0</v>
      </c>
      <c r="K109" s="75">
        <v>103488.0</v>
      </c>
      <c r="L109" s="29" t="s">
        <v>81</v>
      </c>
      <c r="M109" s="30" t="s">
        <v>243</v>
      </c>
      <c r="N109" s="11" t="s">
        <v>456</v>
      </c>
    </row>
    <row r="110">
      <c r="A110" s="59" t="s">
        <v>240</v>
      </c>
      <c r="B110" s="54" t="s">
        <v>20</v>
      </c>
      <c r="C110" s="54" t="s">
        <v>21</v>
      </c>
      <c r="D110" s="54" t="s">
        <v>22</v>
      </c>
      <c r="E110" s="11" t="s">
        <v>416</v>
      </c>
      <c r="F110" s="11" t="s">
        <v>417</v>
      </c>
      <c r="G110" s="59" t="s">
        <v>418</v>
      </c>
      <c r="H110" s="75">
        <v>1986.0</v>
      </c>
      <c r="I110" s="76">
        <v>96676.0</v>
      </c>
      <c r="J110" s="77">
        <v>78871.0</v>
      </c>
      <c r="K110" s="75">
        <v>106837.0</v>
      </c>
      <c r="L110" s="29" t="s">
        <v>81</v>
      </c>
      <c r="M110" s="30" t="s">
        <v>243</v>
      </c>
      <c r="N110" s="11" t="s">
        <v>462</v>
      </c>
    </row>
    <row r="111">
      <c r="A111" s="59" t="s">
        <v>240</v>
      </c>
      <c r="B111" s="54" t="s">
        <v>20</v>
      </c>
      <c r="C111" s="54" t="s">
        <v>21</v>
      </c>
      <c r="D111" s="54" t="s">
        <v>22</v>
      </c>
      <c r="E111" s="11" t="s">
        <v>416</v>
      </c>
      <c r="F111" s="11" t="s">
        <v>417</v>
      </c>
      <c r="G111" s="59" t="s">
        <v>418</v>
      </c>
      <c r="H111" s="75">
        <v>1987.0</v>
      </c>
      <c r="I111" s="76">
        <v>101844.0</v>
      </c>
      <c r="J111" s="77">
        <v>85549.0</v>
      </c>
      <c r="K111" s="75">
        <v>112849.0</v>
      </c>
      <c r="L111" s="29" t="s">
        <v>81</v>
      </c>
      <c r="M111" s="30" t="s">
        <v>243</v>
      </c>
      <c r="N111" s="11" t="s">
        <v>465</v>
      </c>
    </row>
    <row r="112">
      <c r="A112" s="59" t="s">
        <v>240</v>
      </c>
      <c r="B112" s="54" t="s">
        <v>20</v>
      </c>
      <c r="C112" s="54" t="s">
        <v>21</v>
      </c>
      <c r="D112" s="54" t="s">
        <v>22</v>
      </c>
      <c r="E112" s="11" t="s">
        <v>416</v>
      </c>
      <c r="F112" s="11" t="s">
        <v>417</v>
      </c>
      <c r="G112" s="59" t="s">
        <v>418</v>
      </c>
      <c r="H112" s="75">
        <v>1988.0</v>
      </c>
      <c r="I112" s="76">
        <v>106850.0</v>
      </c>
      <c r="J112" s="77">
        <v>90895.0</v>
      </c>
      <c r="K112" s="75">
        <v>117528.0</v>
      </c>
      <c r="L112" s="29" t="s">
        <v>81</v>
      </c>
      <c r="M112" s="30" t="s">
        <v>243</v>
      </c>
      <c r="N112" s="11" t="s">
        <v>466</v>
      </c>
    </row>
    <row r="113">
      <c r="A113" s="59" t="s">
        <v>240</v>
      </c>
      <c r="B113" s="54" t="s">
        <v>20</v>
      </c>
      <c r="C113" s="54" t="s">
        <v>21</v>
      </c>
      <c r="D113" s="54" t="s">
        <v>22</v>
      </c>
      <c r="E113" s="11" t="s">
        <v>416</v>
      </c>
      <c r="F113" s="11" t="s">
        <v>417</v>
      </c>
      <c r="G113" s="59" t="s">
        <v>418</v>
      </c>
      <c r="H113" s="75">
        <v>1989.0</v>
      </c>
      <c r="I113" s="76">
        <v>116183.0</v>
      </c>
      <c r="J113" s="77">
        <v>101569.0</v>
      </c>
      <c r="K113" s="75">
        <v>126205.0</v>
      </c>
      <c r="L113" s="29" t="s">
        <v>81</v>
      </c>
      <c r="M113" s="30" t="s">
        <v>243</v>
      </c>
      <c r="N113" s="11" t="s">
        <v>467</v>
      </c>
    </row>
    <row r="114">
      <c r="A114" s="59" t="s">
        <v>240</v>
      </c>
      <c r="B114" s="54" t="s">
        <v>20</v>
      </c>
      <c r="C114" s="54" t="s">
        <v>21</v>
      </c>
      <c r="D114" s="54" t="s">
        <v>22</v>
      </c>
      <c r="E114" s="11" t="s">
        <v>416</v>
      </c>
      <c r="F114" s="11" t="s">
        <v>417</v>
      </c>
      <c r="G114" s="59" t="s">
        <v>418</v>
      </c>
      <c r="H114" s="75">
        <v>1990.0</v>
      </c>
      <c r="I114" s="76">
        <v>126321.0</v>
      </c>
      <c r="J114" s="77">
        <v>111575.0</v>
      </c>
      <c r="K114" s="75">
        <v>136212.0</v>
      </c>
      <c r="L114" s="29" t="s">
        <v>81</v>
      </c>
      <c r="M114" s="30" t="s">
        <v>243</v>
      </c>
      <c r="N114" s="11" t="s">
        <v>474</v>
      </c>
    </row>
    <row r="115">
      <c r="A115" s="59" t="s">
        <v>240</v>
      </c>
      <c r="B115" s="54" t="s">
        <v>20</v>
      </c>
      <c r="C115" s="54" t="s">
        <v>21</v>
      </c>
      <c r="D115" s="54" t="s">
        <v>22</v>
      </c>
      <c r="E115" s="11" t="s">
        <v>416</v>
      </c>
      <c r="F115" s="11" t="s">
        <v>417</v>
      </c>
      <c r="G115" s="59" t="s">
        <v>418</v>
      </c>
      <c r="H115" s="75">
        <v>1991.0</v>
      </c>
      <c r="I115" s="76">
        <v>139223.0</v>
      </c>
      <c r="J115" s="77">
        <v>125578.0</v>
      </c>
      <c r="K115" s="75">
        <v>148217.0</v>
      </c>
      <c r="L115" s="29" t="s">
        <v>81</v>
      </c>
      <c r="M115" s="30" t="s">
        <v>243</v>
      </c>
      <c r="N115" s="11" t="s">
        <v>475</v>
      </c>
    </row>
    <row r="116">
      <c r="A116" s="59" t="s">
        <v>240</v>
      </c>
      <c r="B116" s="54" t="s">
        <v>20</v>
      </c>
      <c r="C116" s="54" t="s">
        <v>21</v>
      </c>
      <c r="D116" s="54" t="s">
        <v>22</v>
      </c>
      <c r="E116" s="11" t="s">
        <v>416</v>
      </c>
      <c r="F116" s="11" t="s">
        <v>417</v>
      </c>
      <c r="G116" s="59" t="s">
        <v>418</v>
      </c>
      <c r="H116" s="75">
        <v>1992.0</v>
      </c>
      <c r="I116" s="76">
        <v>140338.0</v>
      </c>
      <c r="J116" s="77">
        <v>125597.0</v>
      </c>
      <c r="K116" s="75">
        <v>149566.0</v>
      </c>
      <c r="L116" s="29" t="s">
        <v>81</v>
      </c>
      <c r="M116" s="30" t="s">
        <v>243</v>
      </c>
      <c r="N116" s="11" t="s">
        <v>479</v>
      </c>
    </row>
    <row r="117">
      <c r="A117" s="59" t="s">
        <v>240</v>
      </c>
      <c r="B117" s="54" t="s">
        <v>20</v>
      </c>
      <c r="C117" s="54" t="s">
        <v>21</v>
      </c>
      <c r="D117" s="54" t="s">
        <v>22</v>
      </c>
      <c r="E117" s="11" t="s">
        <v>416</v>
      </c>
      <c r="F117" s="11" t="s">
        <v>417</v>
      </c>
      <c r="G117" s="59" t="s">
        <v>418</v>
      </c>
      <c r="H117" s="75">
        <v>1993.0</v>
      </c>
      <c r="I117" s="76">
        <v>139859.0</v>
      </c>
      <c r="J117" s="77">
        <v>124950.0</v>
      </c>
      <c r="K117" s="75">
        <v>149586.0</v>
      </c>
      <c r="L117" s="29" t="s">
        <v>81</v>
      </c>
      <c r="M117" s="30" t="s">
        <v>243</v>
      </c>
      <c r="N117" s="11" t="s">
        <v>484</v>
      </c>
    </row>
    <row r="118">
      <c r="A118" s="59" t="s">
        <v>240</v>
      </c>
      <c r="B118" s="54" t="s">
        <v>20</v>
      </c>
      <c r="C118" s="54" t="s">
        <v>21</v>
      </c>
      <c r="D118" s="54" t="s">
        <v>22</v>
      </c>
      <c r="E118" s="11" t="s">
        <v>416</v>
      </c>
      <c r="F118" s="11" t="s">
        <v>417</v>
      </c>
      <c r="G118" s="59" t="s">
        <v>418</v>
      </c>
      <c r="H118" s="75">
        <v>1994.0</v>
      </c>
      <c r="I118" s="76">
        <v>154128.0</v>
      </c>
      <c r="J118" s="77">
        <v>138951.0</v>
      </c>
      <c r="K118" s="75">
        <v>164254.0</v>
      </c>
      <c r="L118" s="29" t="s">
        <v>81</v>
      </c>
      <c r="M118" s="30" t="s">
        <v>243</v>
      </c>
      <c r="N118" s="11" t="s">
        <v>485</v>
      </c>
    </row>
    <row r="119">
      <c r="A119" s="59" t="s">
        <v>240</v>
      </c>
      <c r="B119" s="54" t="s">
        <v>20</v>
      </c>
      <c r="C119" s="54" t="s">
        <v>21</v>
      </c>
      <c r="D119" s="54" t="s">
        <v>22</v>
      </c>
      <c r="E119" s="11" t="s">
        <v>416</v>
      </c>
      <c r="F119" s="11" t="s">
        <v>417</v>
      </c>
      <c r="G119" s="59" t="s">
        <v>418</v>
      </c>
      <c r="H119" s="75">
        <v>1995.0</v>
      </c>
      <c r="I119" s="76">
        <v>169098.0</v>
      </c>
      <c r="J119" s="77">
        <v>149624.0</v>
      </c>
      <c r="K119" s="75">
        <v>180254.0</v>
      </c>
      <c r="L119" s="29" t="s">
        <v>81</v>
      </c>
      <c r="M119" s="30" t="s">
        <v>243</v>
      </c>
      <c r="N119" s="11" t="s">
        <v>490</v>
      </c>
    </row>
    <row r="120">
      <c r="A120" s="59" t="s">
        <v>240</v>
      </c>
      <c r="B120" s="54" t="s">
        <v>20</v>
      </c>
      <c r="C120" s="54" t="s">
        <v>21</v>
      </c>
      <c r="D120" s="54" t="s">
        <v>22</v>
      </c>
      <c r="E120" s="11" t="s">
        <v>416</v>
      </c>
      <c r="F120" s="11" t="s">
        <v>417</v>
      </c>
      <c r="G120" s="59" t="s">
        <v>418</v>
      </c>
      <c r="H120" s="75">
        <v>1996.0</v>
      </c>
      <c r="I120" s="76">
        <v>183101.0</v>
      </c>
      <c r="J120" s="77">
        <v>166956.0</v>
      </c>
      <c r="K120" s="75">
        <v>192924.0</v>
      </c>
      <c r="L120" s="29" t="s">
        <v>81</v>
      </c>
      <c r="M120" s="30" t="s">
        <v>243</v>
      </c>
      <c r="N120" s="11" t="s">
        <v>494</v>
      </c>
    </row>
    <row r="121">
      <c r="A121" s="59" t="s">
        <v>240</v>
      </c>
      <c r="B121" s="54" t="s">
        <v>20</v>
      </c>
      <c r="C121" s="54" t="s">
        <v>21</v>
      </c>
      <c r="D121" s="54" t="s">
        <v>22</v>
      </c>
      <c r="E121" s="11" t="s">
        <v>416</v>
      </c>
      <c r="F121" s="11" t="s">
        <v>417</v>
      </c>
      <c r="G121" s="59" t="s">
        <v>418</v>
      </c>
      <c r="H121" s="75">
        <v>1997.0</v>
      </c>
      <c r="I121" s="76">
        <v>191799.0</v>
      </c>
      <c r="J121" s="77">
        <v>174298.0</v>
      </c>
      <c r="K121" s="75">
        <v>202265.0</v>
      </c>
      <c r="L121" s="29" t="s">
        <v>81</v>
      </c>
      <c r="M121" s="30" t="s">
        <v>243</v>
      </c>
      <c r="N121" s="11" t="s">
        <v>495</v>
      </c>
    </row>
    <row r="122">
      <c r="A122" s="59" t="s">
        <v>240</v>
      </c>
      <c r="B122" s="54" t="s">
        <v>20</v>
      </c>
      <c r="C122" s="54" t="s">
        <v>21</v>
      </c>
      <c r="D122" s="54" t="s">
        <v>22</v>
      </c>
      <c r="E122" s="11" t="s">
        <v>416</v>
      </c>
      <c r="F122" s="11" t="s">
        <v>417</v>
      </c>
      <c r="G122" s="59" t="s">
        <v>418</v>
      </c>
      <c r="H122" s="75">
        <v>1998.0</v>
      </c>
      <c r="I122" s="76">
        <v>145911.0</v>
      </c>
      <c r="J122" s="77">
        <v>129705.0</v>
      </c>
      <c r="K122" s="75">
        <v>155675.0</v>
      </c>
      <c r="L122" s="29" t="s">
        <v>81</v>
      </c>
      <c r="M122" s="30" t="s">
        <v>243</v>
      </c>
      <c r="N122" s="11" t="s">
        <v>498</v>
      </c>
    </row>
    <row r="123">
      <c r="A123" s="59" t="s">
        <v>240</v>
      </c>
      <c r="B123" s="54" t="s">
        <v>20</v>
      </c>
      <c r="C123" s="54" t="s">
        <v>21</v>
      </c>
      <c r="D123" s="54" t="s">
        <v>22</v>
      </c>
      <c r="E123" s="11" t="s">
        <v>416</v>
      </c>
      <c r="F123" s="11" t="s">
        <v>417</v>
      </c>
      <c r="G123" s="59" t="s">
        <v>418</v>
      </c>
      <c r="H123" s="75">
        <v>1999.0</v>
      </c>
      <c r="I123" s="76">
        <v>167358.0</v>
      </c>
      <c r="J123" s="77">
        <v>153696.0</v>
      </c>
      <c r="K123" s="75">
        <v>178332.0</v>
      </c>
      <c r="L123" s="29" t="s">
        <v>81</v>
      </c>
      <c r="M123" s="30" t="s">
        <v>243</v>
      </c>
      <c r="N123" s="11" t="s">
        <v>502</v>
      </c>
    </row>
    <row r="124">
      <c r="A124" s="59" t="s">
        <v>240</v>
      </c>
      <c r="B124" s="54" t="s">
        <v>20</v>
      </c>
      <c r="C124" s="54" t="s">
        <v>21</v>
      </c>
      <c r="D124" s="54" t="s">
        <v>22</v>
      </c>
      <c r="E124" s="11" t="s">
        <v>416</v>
      </c>
      <c r="F124" s="11" t="s">
        <v>417</v>
      </c>
      <c r="G124" s="59" t="s">
        <v>418</v>
      </c>
      <c r="H124" s="75">
        <v>2000.0</v>
      </c>
      <c r="I124" s="76">
        <v>191632.0</v>
      </c>
      <c r="J124" s="77">
        <v>177685.0</v>
      </c>
      <c r="K124" s="75">
        <v>199658.0</v>
      </c>
      <c r="L124" s="29" t="s">
        <v>81</v>
      </c>
      <c r="M124" s="30" t="s">
        <v>243</v>
      </c>
      <c r="N124" s="11" t="s">
        <v>508</v>
      </c>
    </row>
    <row r="125">
      <c r="A125" s="59" t="s">
        <v>240</v>
      </c>
      <c r="B125" s="54" t="s">
        <v>20</v>
      </c>
      <c r="C125" s="54" t="s">
        <v>21</v>
      </c>
      <c r="D125" s="54" t="s">
        <v>22</v>
      </c>
      <c r="E125" s="11" t="s">
        <v>416</v>
      </c>
      <c r="F125" s="11" t="s">
        <v>417</v>
      </c>
      <c r="G125" s="59" t="s">
        <v>418</v>
      </c>
      <c r="H125" s="75">
        <v>2001.0</v>
      </c>
      <c r="I125" s="76">
        <v>195805.0</v>
      </c>
      <c r="J125" s="77">
        <v>181700.0</v>
      </c>
      <c r="K125" s="75">
        <v>204338.0</v>
      </c>
      <c r="L125" s="29" t="s">
        <v>81</v>
      </c>
      <c r="M125" s="30" t="s">
        <v>243</v>
      </c>
      <c r="N125" s="11" t="s">
        <v>509</v>
      </c>
    </row>
    <row r="126">
      <c r="A126" s="59" t="s">
        <v>240</v>
      </c>
      <c r="B126" s="54" t="s">
        <v>20</v>
      </c>
      <c r="C126" s="54" t="s">
        <v>21</v>
      </c>
      <c r="D126" s="54" t="s">
        <v>22</v>
      </c>
      <c r="E126" s="11" t="s">
        <v>416</v>
      </c>
      <c r="F126" s="11" t="s">
        <v>417</v>
      </c>
      <c r="G126" s="59" t="s">
        <v>418</v>
      </c>
      <c r="H126" s="75">
        <v>2002.0</v>
      </c>
      <c r="I126" s="76">
        <v>200865.0</v>
      </c>
      <c r="J126" s="77">
        <v>187712.0</v>
      </c>
      <c r="K126" s="75">
        <v>210351.0</v>
      </c>
      <c r="L126" s="29" t="s">
        <v>81</v>
      </c>
      <c r="M126" s="30" t="s">
        <v>243</v>
      </c>
      <c r="N126" s="11" t="s">
        <v>514</v>
      </c>
    </row>
    <row r="127">
      <c r="A127" s="59" t="s">
        <v>240</v>
      </c>
      <c r="B127" s="54" t="s">
        <v>20</v>
      </c>
      <c r="C127" s="54" t="s">
        <v>21</v>
      </c>
      <c r="D127" s="54" t="s">
        <v>22</v>
      </c>
      <c r="E127" s="11" t="s">
        <v>416</v>
      </c>
      <c r="F127" s="11" t="s">
        <v>417</v>
      </c>
      <c r="G127" s="59" t="s">
        <v>418</v>
      </c>
      <c r="H127" s="75">
        <v>2003.0</v>
      </c>
      <c r="I127" s="76">
        <v>192075.0</v>
      </c>
      <c r="J127" s="77">
        <v>179076.0</v>
      </c>
      <c r="K127" s="75">
        <v>203713.0</v>
      </c>
      <c r="L127" s="29" t="s">
        <v>81</v>
      </c>
      <c r="M127" s="30" t="s">
        <v>243</v>
      </c>
      <c r="N127" s="11" t="s">
        <v>519</v>
      </c>
    </row>
    <row r="128">
      <c r="A128" s="59" t="s">
        <v>240</v>
      </c>
      <c r="B128" s="54" t="s">
        <v>20</v>
      </c>
      <c r="C128" s="54" t="s">
        <v>21</v>
      </c>
      <c r="D128" s="54" t="s">
        <v>22</v>
      </c>
      <c r="E128" s="11" t="s">
        <v>416</v>
      </c>
      <c r="F128" s="11" t="s">
        <v>417</v>
      </c>
      <c r="G128" s="59" t="s">
        <v>418</v>
      </c>
      <c r="H128" s="75">
        <v>2004.0</v>
      </c>
      <c r="I128" s="76">
        <v>200327.0</v>
      </c>
      <c r="J128" s="77">
        <v>187750.0</v>
      </c>
      <c r="K128" s="75">
        <v>210389.0</v>
      </c>
      <c r="L128" s="29" t="s">
        <v>81</v>
      </c>
      <c r="M128" s="30" t="s">
        <v>243</v>
      </c>
      <c r="N128" s="11" t="s">
        <v>520</v>
      </c>
    </row>
    <row r="129">
      <c r="A129" s="59" t="s">
        <v>240</v>
      </c>
      <c r="B129" s="54" t="s">
        <v>20</v>
      </c>
      <c r="C129" s="54" t="s">
        <v>21</v>
      </c>
      <c r="D129" s="54" t="s">
        <v>22</v>
      </c>
      <c r="E129" s="11" t="s">
        <v>416</v>
      </c>
      <c r="F129" s="11" t="s">
        <v>417</v>
      </c>
      <c r="G129" s="59" t="s">
        <v>418</v>
      </c>
      <c r="H129" s="75">
        <v>2005.0</v>
      </c>
      <c r="I129" s="76">
        <v>215248.0</v>
      </c>
      <c r="J129" s="77">
        <v>203083.0</v>
      </c>
      <c r="K129" s="75">
        <v>226389.0</v>
      </c>
      <c r="L129" s="29" t="s">
        <v>81</v>
      </c>
      <c r="M129" s="30" t="s">
        <v>243</v>
      </c>
      <c r="N129" s="11" t="s">
        <v>522</v>
      </c>
    </row>
    <row r="130">
      <c r="A130" s="59" t="s">
        <v>240</v>
      </c>
      <c r="B130" s="54" t="s">
        <v>20</v>
      </c>
      <c r="C130" s="54" t="s">
        <v>21</v>
      </c>
      <c r="D130" s="54" t="s">
        <v>22</v>
      </c>
      <c r="E130" s="11" t="s">
        <v>416</v>
      </c>
      <c r="F130" s="11" t="s">
        <v>417</v>
      </c>
      <c r="G130" s="59" t="s">
        <v>418</v>
      </c>
      <c r="H130" s="75">
        <v>2006.0</v>
      </c>
      <c r="I130" s="76">
        <v>242193.0</v>
      </c>
      <c r="J130" s="77">
        <v>229737.0</v>
      </c>
      <c r="K130" s="75">
        <v>253708.0</v>
      </c>
      <c r="L130" s="29" t="s">
        <v>81</v>
      </c>
      <c r="M130" s="30" t="s">
        <v>243</v>
      </c>
      <c r="N130" s="11" t="s">
        <v>527</v>
      </c>
    </row>
    <row r="131">
      <c r="A131" s="59" t="s">
        <v>240</v>
      </c>
      <c r="B131" s="54" t="s">
        <v>20</v>
      </c>
      <c r="C131" s="54" t="s">
        <v>21</v>
      </c>
      <c r="D131" s="54" t="s">
        <v>22</v>
      </c>
      <c r="E131" s="11" t="s">
        <v>416</v>
      </c>
      <c r="F131" s="11" t="s">
        <v>417</v>
      </c>
      <c r="G131" s="59" t="s">
        <v>418</v>
      </c>
      <c r="H131" s="75">
        <v>2007.0</v>
      </c>
      <c r="I131" s="76">
        <v>259004.0</v>
      </c>
      <c r="J131" s="77">
        <v>245071.0</v>
      </c>
      <c r="K131" s="75">
        <v>272372.0</v>
      </c>
      <c r="L131" s="29" t="s">
        <v>81</v>
      </c>
      <c r="M131" s="30" t="s">
        <v>243</v>
      </c>
      <c r="N131" s="11" t="s">
        <v>532</v>
      </c>
    </row>
    <row r="132">
      <c r="A132" s="59" t="s">
        <v>240</v>
      </c>
      <c r="B132" s="54" t="s">
        <v>20</v>
      </c>
      <c r="C132" s="54" t="s">
        <v>21</v>
      </c>
      <c r="D132" s="54" t="s">
        <v>22</v>
      </c>
      <c r="E132" s="11" t="s">
        <v>416</v>
      </c>
      <c r="F132" s="11" t="s">
        <v>417</v>
      </c>
      <c r="G132" s="59" t="s">
        <v>418</v>
      </c>
      <c r="H132" s="75">
        <v>2008.0</v>
      </c>
      <c r="I132" s="76">
        <v>281450.0</v>
      </c>
      <c r="J132" s="77">
        <v>267064.0</v>
      </c>
      <c r="K132" s="75">
        <v>295029.0</v>
      </c>
      <c r="L132" s="29" t="s">
        <v>81</v>
      </c>
      <c r="M132" s="30" t="s">
        <v>243</v>
      </c>
      <c r="N132" s="11" t="s">
        <v>534</v>
      </c>
    </row>
    <row r="133">
      <c r="A133" s="59" t="s">
        <v>240</v>
      </c>
      <c r="B133" s="54" t="s">
        <v>20</v>
      </c>
      <c r="C133" s="54" t="s">
        <v>21</v>
      </c>
      <c r="D133" s="54" t="s">
        <v>22</v>
      </c>
      <c r="E133" s="11" t="s">
        <v>416</v>
      </c>
      <c r="F133" s="11" t="s">
        <v>417</v>
      </c>
      <c r="G133" s="59" t="s">
        <v>418</v>
      </c>
      <c r="H133" s="75">
        <v>2009.0</v>
      </c>
      <c r="I133" s="76">
        <v>276155.0</v>
      </c>
      <c r="J133" s="77">
        <v>254431.0</v>
      </c>
      <c r="K133" s="75">
        <v>291720.0</v>
      </c>
      <c r="L133" s="29" t="s">
        <v>81</v>
      </c>
      <c r="M133" s="30" t="s">
        <v>243</v>
      </c>
      <c r="N133" s="11" t="s">
        <v>536</v>
      </c>
    </row>
    <row r="134">
      <c r="A134" s="59" t="s">
        <v>240</v>
      </c>
      <c r="B134" s="54" t="s">
        <v>20</v>
      </c>
      <c r="C134" s="54" t="s">
        <v>21</v>
      </c>
      <c r="D134" s="54" t="s">
        <v>22</v>
      </c>
      <c r="E134" s="11" t="s">
        <v>416</v>
      </c>
      <c r="F134" s="11" t="s">
        <v>417</v>
      </c>
      <c r="G134" s="59" t="s">
        <v>418</v>
      </c>
      <c r="H134" s="75">
        <v>2010.0</v>
      </c>
      <c r="I134" s="76">
        <v>246331.0</v>
      </c>
      <c r="J134" s="77">
        <v>228481.0</v>
      </c>
      <c r="K134" s="75">
        <v>261775.0</v>
      </c>
      <c r="L134" s="29" t="s">
        <v>81</v>
      </c>
      <c r="M134" s="30" t="s">
        <v>243</v>
      </c>
      <c r="N134" s="11" t="s">
        <v>537</v>
      </c>
    </row>
    <row r="135">
      <c r="A135" s="59" t="s">
        <v>240</v>
      </c>
      <c r="B135" s="54" t="s">
        <v>20</v>
      </c>
      <c r="C135" s="54" t="s">
        <v>21</v>
      </c>
      <c r="D135" s="54" t="s">
        <v>22</v>
      </c>
      <c r="E135" s="11" t="s">
        <v>416</v>
      </c>
      <c r="F135" s="11" t="s">
        <v>417</v>
      </c>
      <c r="G135" s="59" t="s">
        <v>418</v>
      </c>
      <c r="H135" s="75">
        <v>2011.0</v>
      </c>
      <c r="I135" s="76">
        <v>275489.0</v>
      </c>
      <c r="J135" s="77">
        <v>257132.0</v>
      </c>
      <c r="K135" s="75">
        <v>289759.0</v>
      </c>
      <c r="L135" s="29" t="s">
        <v>81</v>
      </c>
      <c r="M135" s="30" t="s">
        <v>243</v>
      </c>
      <c r="N135" s="11" t="s">
        <v>541</v>
      </c>
    </row>
    <row r="136">
      <c r="A136" s="59" t="s">
        <v>240</v>
      </c>
      <c r="B136" s="54" t="s">
        <v>20</v>
      </c>
      <c r="C136" s="54" t="s">
        <v>21</v>
      </c>
      <c r="D136" s="54" t="s">
        <v>22</v>
      </c>
      <c r="E136" s="11" t="s">
        <v>416</v>
      </c>
      <c r="F136" s="11" t="s">
        <v>417</v>
      </c>
      <c r="G136" s="59" t="s">
        <v>418</v>
      </c>
      <c r="H136" s="75">
        <v>2012.0</v>
      </c>
      <c r="I136" s="76">
        <v>306220.0</v>
      </c>
      <c r="J136" s="77">
        <v>280457.0</v>
      </c>
      <c r="K136" s="75">
        <v>321074.0</v>
      </c>
      <c r="L136" s="29" t="s">
        <v>81</v>
      </c>
      <c r="M136" s="30" t="s">
        <v>243</v>
      </c>
      <c r="N136" s="11" t="s">
        <v>546</v>
      </c>
    </row>
    <row r="137">
      <c r="A137" s="59" t="s">
        <v>240</v>
      </c>
      <c r="B137" s="54" t="s">
        <v>20</v>
      </c>
      <c r="C137" s="54" t="s">
        <v>21</v>
      </c>
      <c r="D137" s="54" t="s">
        <v>22</v>
      </c>
      <c r="E137" s="11" t="s">
        <v>416</v>
      </c>
      <c r="F137" s="11" t="s">
        <v>417</v>
      </c>
      <c r="G137" s="59" t="s">
        <v>418</v>
      </c>
      <c r="H137" s="75">
        <v>2013.0</v>
      </c>
      <c r="I137" s="76">
        <v>253662.0</v>
      </c>
      <c r="J137" s="77">
        <v>232534.0</v>
      </c>
      <c r="K137" s="75">
        <v>267824.0</v>
      </c>
      <c r="L137" s="29" t="s">
        <v>81</v>
      </c>
      <c r="M137" s="30" t="s">
        <v>243</v>
      </c>
      <c r="N137" s="11" t="s">
        <v>547</v>
      </c>
    </row>
    <row r="138">
      <c r="A138" s="59" t="s">
        <v>240</v>
      </c>
      <c r="B138" s="54" t="s">
        <v>20</v>
      </c>
      <c r="C138" s="54" t="s">
        <v>21</v>
      </c>
      <c r="D138" s="54" t="s">
        <v>22</v>
      </c>
      <c r="E138" s="11" t="s">
        <v>416</v>
      </c>
      <c r="F138" s="11" t="s">
        <v>417</v>
      </c>
      <c r="G138" s="59" t="s">
        <v>418</v>
      </c>
      <c r="H138" s="75">
        <v>2014.0</v>
      </c>
      <c r="I138" s="76">
        <v>257606.0</v>
      </c>
      <c r="J138" s="77">
        <v>235216.0</v>
      </c>
      <c r="K138" s="75">
        <v>272505.0</v>
      </c>
      <c r="L138" s="29" t="s">
        <v>81</v>
      </c>
      <c r="M138" s="30" t="s">
        <v>243</v>
      </c>
      <c r="N138" s="11" t="s">
        <v>548</v>
      </c>
    </row>
    <row r="139">
      <c r="A139" s="59" t="s">
        <v>240</v>
      </c>
      <c r="B139" s="54" t="s">
        <v>20</v>
      </c>
      <c r="C139" s="54" t="s">
        <v>21</v>
      </c>
      <c r="D139" s="54" t="s">
        <v>22</v>
      </c>
      <c r="E139" s="80" t="s">
        <v>416</v>
      </c>
      <c r="F139" s="59" t="s">
        <v>554</v>
      </c>
      <c r="G139" s="59" t="s">
        <v>555</v>
      </c>
      <c r="H139" s="75">
        <v>1975.0</v>
      </c>
      <c r="I139" s="76">
        <v>12499.0</v>
      </c>
      <c r="J139" s="76" t="s">
        <v>188</v>
      </c>
      <c r="K139" s="81" t="s">
        <v>188</v>
      </c>
      <c r="L139" s="82" t="s">
        <v>81</v>
      </c>
      <c r="M139" s="30" t="s">
        <v>243</v>
      </c>
      <c r="N139" s="80" t="s">
        <v>423</v>
      </c>
      <c r="O139" s="54" t="s">
        <v>424</v>
      </c>
      <c r="P139" s="54"/>
      <c r="Q139" s="54"/>
      <c r="R139" s="54"/>
      <c r="S139" s="54"/>
      <c r="T139" s="54"/>
      <c r="U139" s="54"/>
      <c r="V139" s="54"/>
      <c r="W139" s="54"/>
      <c r="X139" s="54"/>
      <c r="Y139" s="54"/>
      <c r="Z139" s="54"/>
      <c r="AA139" s="54"/>
      <c r="AB139" s="54"/>
      <c r="AC139" s="54"/>
      <c r="AD139" s="54"/>
      <c r="AE139" s="54"/>
      <c r="AF139" s="54"/>
      <c r="AG139" s="54"/>
      <c r="AH139" s="54"/>
    </row>
    <row r="140">
      <c r="A140" s="59" t="s">
        <v>240</v>
      </c>
      <c r="B140" s="80" t="s">
        <v>20</v>
      </c>
      <c r="C140" s="80" t="s">
        <v>21</v>
      </c>
      <c r="D140" s="80" t="s">
        <v>22</v>
      </c>
      <c r="E140" s="80" t="s">
        <v>416</v>
      </c>
      <c r="F140" s="59" t="s">
        <v>554</v>
      </c>
      <c r="G140" s="59" t="s">
        <v>555</v>
      </c>
      <c r="H140" s="83">
        <v>1976.0</v>
      </c>
      <c r="I140" s="76">
        <v>14749.0</v>
      </c>
      <c r="J140" s="76" t="s">
        <v>188</v>
      </c>
      <c r="K140" s="81" t="s">
        <v>188</v>
      </c>
      <c r="L140" s="82" t="s">
        <v>81</v>
      </c>
      <c r="M140" s="30" t="s">
        <v>243</v>
      </c>
      <c r="N140" s="54" t="s">
        <v>427</v>
      </c>
      <c r="O140" s="54"/>
      <c r="P140" s="54"/>
      <c r="Q140" s="54"/>
      <c r="R140" s="54"/>
      <c r="S140" s="54"/>
      <c r="T140" s="54"/>
      <c r="U140" s="54"/>
      <c r="V140" s="54"/>
      <c r="W140" s="54"/>
      <c r="X140" s="54"/>
      <c r="Y140" s="54"/>
      <c r="Z140" s="54"/>
      <c r="AA140" s="54"/>
      <c r="AB140" s="54"/>
      <c r="AC140" s="54"/>
      <c r="AD140" s="54"/>
      <c r="AE140" s="54"/>
      <c r="AF140" s="54"/>
      <c r="AG140" s="54"/>
      <c r="AH140" s="54"/>
    </row>
    <row r="141">
      <c r="A141" s="59" t="s">
        <v>240</v>
      </c>
      <c r="B141" s="80" t="s">
        <v>20</v>
      </c>
      <c r="C141" s="80" t="s">
        <v>21</v>
      </c>
      <c r="D141" s="80" t="s">
        <v>22</v>
      </c>
      <c r="E141" s="80" t="s">
        <v>416</v>
      </c>
      <c r="F141" s="59" t="s">
        <v>554</v>
      </c>
      <c r="G141" s="59" t="s">
        <v>555</v>
      </c>
      <c r="H141" s="83">
        <v>1977.0</v>
      </c>
      <c r="I141" s="76">
        <v>11712.0</v>
      </c>
      <c r="J141" s="76" t="s">
        <v>188</v>
      </c>
      <c r="K141" s="81" t="s">
        <v>188</v>
      </c>
      <c r="L141" s="82" t="s">
        <v>81</v>
      </c>
      <c r="M141" s="30" t="s">
        <v>243</v>
      </c>
      <c r="N141" s="54" t="s">
        <v>432</v>
      </c>
      <c r="O141" s="54"/>
      <c r="P141" s="54"/>
      <c r="Q141" s="54"/>
      <c r="R141" s="54"/>
      <c r="S141" s="54"/>
      <c r="T141" s="54"/>
      <c r="U141" s="54"/>
      <c r="V141" s="54"/>
      <c r="W141" s="54"/>
      <c r="X141" s="54"/>
      <c r="Y141" s="54"/>
      <c r="Z141" s="54"/>
      <c r="AA141" s="54"/>
      <c r="AB141" s="54"/>
      <c r="AC141" s="54"/>
      <c r="AD141" s="54"/>
      <c r="AE141" s="54"/>
      <c r="AF141" s="54"/>
      <c r="AG141" s="54"/>
      <c r="AH141" s="54"/>
    </row>
    <row r="142">
      <c r="A142" s="59" t="s">
        <v>240</v>
      </c>
      <c r="B142" s="80" t="s">
        <v>20</v>
      </c>
      <c r="C142" s="80" t="s">
        <v>21</v>
      </c>
      <c r="D142" s="80" t="s">
        <v>22</v>
      </c>
      <c r="E142" s="80" t="s">
        <v>416</v>
      </c>
      <c r="F142" s="59" t="s">
        <v>554</v>
      </c>
      <c r="G142" s="59" t="s">
        <v>555</v>
      </c>
      <c r="H142" s="83">
        <v>1978.0</v>
      </c>
      <c r="I142" s="76">
        <v>13449.0</v>
      </c>
      <c r="J142" s="76" t="s">
        <v>188</v>
      </c>
      <c r="K142" s="81" t="s">
        <v>188</v>
      </c>
      <c r="L142" s="82" t="s">
        <v>81</v>
      </c>
      <c r="M142" s="30" t="s">
        <v>243</v>
      </c>
      <c r="N142" s="54" t="s">
        <v>435</v>
      </c>
      <c r="O142" s="54"/>
      <c r="P142" s="54"/>
      <c r="Q142" s="54"/>
      <c r="R142" s="54"/>
      <c r="S142" s="54"/>
      <c r="T142" s="54"/>
      <c r="U142" s="54"/>
      <c r="V142" s="54"/>
      <c r="W142" s="54"/>
      <c r="X142" s="54"/>
      <c r="Y142" s="54"/>
      <c r="Z142" s="54"/>
      <c r="AA142" s="54"/>
      <c r="AB142" s="54"/>
      <c r="AC142" s="54"/>
      <c r="AD142" s="54"/>
      <c r="AE142" s="54"/>
      <c r="AF142" s="54"/>
      <c r="AG142" s="54"/>
      <c r="AH142" s="54"/>
    </row>
    <row r="143">
      <c r="A143" s="59" t="s">
        <v>240</v>
      </c>
      <c r="B143" s="80" t="s">
        <v>20</v>
      </c>
      <c r="C143" s="80" t="s">
        <v>21</v>
      </c>
      <c r="D143" s="80" t="s">
        <v>22</v>
      </c>
      <c r="E143" s="80" t="s">
        <v>416</v>
      </c>
      <c r="F143" s="59" t="s">
        <v>554</v>
      </c>
      <c r="G143" s="59" t="s">
        <v>555</v>
      </c>
      <c r="H143" s="83">
        <v>1979.0</v>
      </c>
      <c r="I143" s="76">
        <v>14145.0</v>
      </c>
      <c r="J143" s="76" t="s">
        <v>188</v>
      </c>
      <c r="K143" s="81" t="s">
        <v>188</v>
      </c>
      <c r="L143" s="82" t="s">
        <v>81</v>
      </c>
      <c r="M143" s="30" t="s">
        <v>243</v>
      </c>
      <c r="N143" s="54" t="s">
        <v>437</v>
      </c>
      <c r="O143" s="54"/>
      <c r="P143" s="54"/>
      <c r="Q143" s="54"/>
      <c r="R143" s="54"/>
      <c r="S143" s="54"/>
      <c r="T143" s="54"/>
      <c r="U143" s="54"/>
      <c r="V143" s="54"/>
      <c r="W143" s="54"/>
      <c r="X143" s="54"/>
      <c r="Y143" s="54"/>
      <c r="Z143" s="54"/>
      <c r="AA143" s="54"/>
      <c r="AB143" s="54"/>
      <c r="AC143" s="54"/>
      <c r="AD143" s="54"/>
      <c r="AE143" s="54"/>
      <c r="AF143" s="54"/>
      <c r="AG143" s="54"/>
      <c r="AH143" s="54"/>
    </row>
    <row r="144">
      <c r="A144" s="59" t="s">
        <v>240</v>
      </c>
      <c r="B144" s="80" t="s">
        <v>20</v>
      </c>
      <c r="C144" s="80" t="s">
        <v>21</v>
      </c>
      <c r="D144" s="80" t="s">
        <v>22</v>
      </c>
      <c r="E144" s="80" t="s">
        <v>416</v>
      </c>
      <c r="F144" s="59" t="s">
        <v>554</v>
      </c>
      <c r="G144" s="59" t="s">
        <v>555</v>
      </c>
      <c r="H144" s="83">
        <v>1980.0</v>
      </c>
      <c r="I144" s="76">
        <v>14878.0</v>
      </c>
      <c r="J144" s="76" t="s">
        <v>188</v>
      </c>
      <c r="K144" s="81" t="s">
        <v>188</v>
      </c>
      <c r="L144" s="82" t="s">
        <v>81</v>
      </c>
      <c r="M144" s="30" t="s">
        <v>243</v>
      </c>
      <c r="N144" s="54" t="s">
        <v>440</v>
      </c>
      <c r="O144" s="54"/>
      <c r="P144" s="54"/>
      <c r="Q144" s="54"/>
      <c r="R144" s="54"/>
      <c r="S144" s="54"/>
      <c r="T144" s="54"/>
      <c r="U144" s="54"/>
      <c r="V144" s="54"/>
      <c r="W144" s="54"/>
      <c r="X144" s="54"/>
      <c r="Y144" s="54"/>
      <c r="Z144" s="54"/>
      <c r="AA144" s="54"/>
      <c r="AB144" s="54"/>
      <c r="AC144" s="54"/>
      <c r="AD144" s="54"/>
      <c r="AE144" s="54"/>
      <c r="AF144" s="54"/>
      <c r="AG144" s="54"/>
      <c r="AH144" s="54"/>
    </row>
    <row r="145">
      <c r="A145" s="59" t="s">
        <v>240</v>
      </c>
      <c r="B145" s="80" t="s">
        <v>20</v>
      </c>
      <c r="C145" s="80" t="s">
        <v>21</v>
      </c>
      <c r="D145" s="80" t="s">
        <v>22</v>
      </c>
      <c r="E145" s="80" t="s">
        <v>416</v>
      </c>
      <c r="F145" s="59" t="s">
        <v>554</v>
      </c>
      <c r="G145" s="59" t="s">
        <v>555</v>
      </c>
      <c r="H145" s="83">
        <v>1981.0</v>
      </c>
      <c r="I145" s="76">
        <v>16701.0</v>
      </c>
      <c r="J145" s="76" t="s">
        <v>188</v>
      </c>
      <c r="K145" s="81" t="s">
        <v>188</v>
      </c>
      <c r="L145" s="82" t="s">
        <v>81</v>
      </c>
      <c r="M145" s="30" t="s">
        <v>243</v>
      </c>
      <c r="N145" s="54" t="s">
        <v>444</v>
      </c>
      <c r="O145" s="54"/>
      <c r="P145" s="54"/>
      <c r="Q145" s="54"/>
      <c r="R145" s="54"/>
      <c r="S145" s="54"/>
      <c r="T145" s="54"/>
      <c r="U145" s="54"/>
      <c r="V145" s="54"/>
      <c r="W145" s="54"/>
      <c r="X145" s="54"/>
      <c r="Y145" s="54"/>
      <c r="Z145" s="54"/>
      <c r="AA145" s="54"/>
      <c r="AB145" s="54"/>
      <c r="AC145" s="54"/>
      <c r="AD145" s="54"/>
      <c r="AE145" s="54"/>
      <c r="AF145" s="54"/>
      <c r="AG145" s="54"/>
      <c r="AH145" s="54"/>
    </row>
    <row r="146">
      <c r="A146" s="59" t="s">
        <v>240</v>
      </c>
      <c r="B146" s="80" t="s">
        <v>20</v>
      </c>
      <c r="C146" s="80" t="s">
        <v>21</v>
      </c>
      <c r="D146" s="80" t="s">
        <v>22</v>
      </c>
      <c r="E146" s="80" t="s">
        <v>416</v>
      </c>
      <c r="F146" s="59" t="s">
        <v>554</v>
      </c>
      <c r="G146" s="59" t="s">
        <v>555</v>
      </c>
      <c r="H146" s="83">
        <v>1982.0</v>
      </c>
      <c r="I146" s="76">
        <v>20540.0</v>
      </c>
      <c r="J146" s="76" t="s">
        <v>188</v>
      </c>
      <c r="K146" s="81" t="s">
        <v>188</v>
      </c>
      <c r="L146" s="82" t="s">
        <v>81</v>
      </c>
      <c r="M146" s="30" t="s">
        <v>243</v>
      </c>
      <c r="N146" s="54" t="s">
        <v>447</v>
      </c>
      <c r="O146" s="54"/>
      <c r="P146" s="54"/>
      <c r="Q146" s="54"/>
      <c r="R146" s="54"/>
      <c r="S146" s="54"/>
      <c r="T146" s="54"/>
      <c r="U146" s="54"/>
      <c r="V146" s="54"/>
      <c r="W146" s="54"/>
      <c r="X146" s="54"/>
      <c r="Y146" s="54"/>
      <c r="Z146" s="54"/>
      <c r="AA146" s="54"/>
      <c r="AB146" s="54"/>
      <c r="AC146" s="54"/>
      <c r="AD146" s="54"/>
      <c r="AE146" s="54"/>
      <c r="AF146" s="54"/>
      <c r="AG146" s="54"/>
      <c r="AH146" s="54"/>
    </row>
    <row r="147">
      <c r="A147" s="59" t="s">
        <v>240</v>
      </c>
      <c r="B147" s="80" t="s">
        <v>20</v>
      </c>
      <c r="C147" s="80" t="s">
        <v>21</v>
      </c>
      <c r="D147" s="80" t="s">
        <v>22</v>
      </c>
      <c r="E147" s="80" t="s">
        <v>416</v>
      </c>
      <c r="F147" s="59" t="s">
        <v>554</v>
      </c>
      <c r="G147" s="59" t="s">
        <v>555</v>
      </c>
      <c r="H147" s="83">
        <v>1983.0</v>
      </c>
      <c r="I147" s="76">
        <v>11595.0</v>
      </c>
      <c r="J147" s="76" t="s">
        <v>188</v>
      </c>
      <c r="K147" s="81" t="s">
        <v>188</v>
      </c>
      <c r="L147" s="82" t="s">
        <v>81</v>
      </c>
      <c r="M147" s="30" t="s">
        <v>243</v>
      </c>
      <c r="N147" s="54" t="s">
        <v>449</v>
      </c>
      <c r="O147" s="54"/>
      <c r="P147" s="54"/>
      <c r="Q147" s="54"/>
      <c r="R147" s="54"/>
      <c r="S147" s="54"/>
      <c r="T147" s="54"/>
      <c r="U147" s="54"/>
      <c r="V147" s="54"/>
      <c r="W147" s="54"/>
      <c r="X147" s="54"/>
      <c r="Y147" s="54"/>
      <c r="Z147" s="54"/>
      <c r="AA147" s="54"/>
      <c r="AB147" s="54"/>
      <c r="AC147" s="54"/>
      <c r="AD147" s="54"/>
      <c r="AE147" s="54"/>
      <c r="AF147" s="54"/>
      <c r="AG147" s="54"/>
      <c r="AH147" s="54"/>
    </row>
    <row r="148">
      <c r="A148" s="59" t="s">
        <v>240</v>
      </c>
      <c r="B148" s="80" t="s">
        <v>20</v>
      </c>
      <c r="C148" s="80" t="s">
        <v>21</v>
      </c>
      <c r="D148" s="80" t="s">
        <v>22</v>
      </c>
      <c r="E148" s="80" t="s">
        <v>416</v>
      </c>
      <c r="F148" s="59" t="s">
        <v>554</v>
      </c>
      <c r="G148" s="59" t="s">
        <v>555</v>
      </c>
      <c r="H148" s="83">
        <v>1984.0</v>
      </c>
      <c r="I148" s="76">
        <v>13550.0</v>
      </c>
      <c r="J148" s="76" t="s">
        <v>188</v>
      </c>
      <c r="K148" s="81" t="s">
        <v>188</v>
      </c>
      <c r="L148" s="82" t="s">
        <v>81</v>
      </c>
      <c r="M148" s="30" t="s">
        <v>243</v>
      </c>
      <c r="N148" s="54" t="s">
        <v>452</v>
      </c>
      <c r="O148" s="54"/>
      <c r="P148" s="54"/>
      <c r="Q148" s="54"/>
      <c r="R148" s="54"/>
      <c r="S148" s="54"/>
      <c r="T148" s="54"/>
      <c r="U148" s="54"/>
      <c r="V148" s="54"/>
      <c r="W148" s="54"/>
      <c r="X148" s="54"/>
      <c r="Y148" s="54"/>
      <c r="Z148" s="54"/>
      <c r="AA148" s="54"/>
      <c r="AB148" s="54"/>
      <c r="AC148" s="54"/>
      <c r="AD148" s="54"/>
      <c r="AE148" s="54"/>
      <c r="AF148" s="54"/>
      <c r="AG148" s="54"/>
      <c r="AH148" s="54"/>
    </row>
    <row r="149">
      <c r="A149" s="59" t="s">
        <v>240</v>
      </c>
      <c r="B149" s="80" t="s">
        <v>20</v>
      </c>
      <c r="C149" s="80" t="s">
        <v>21</v>
      </c>
      <c r="D149" s="80" t="s">
        <v>22</v>
      </c>
      <c r="E149" s="80" t="s">
        <v>416</v>
      </c>
      <c r="F149" s="59" t="s">
        <v>554</v>
      </c>
      <c r="G149" s="59" t="s">
        <v>555</v>
      </c>
      <c r="H149" s="83">
        <v>1985.0</v>
      </c>
      <c r="I149" s="76">
        <v>15224.0</v>
      </c>
      <c r="J149" s="76" t="s">
        <v>188</v>
      </c>
      <c r="K149" s="81" t="s">
        <v>188</v>
      </c>
      <c r="L149" s="82" t="s">
        <v>81</v>
      </c>
      <c r="M149" s="30" t="s">
        <v>243</v>
      </c>
      <c r="N149" s="54" t="s">
        <v>456</v>
      </c>
      <c r="O149" s="54"/>
      <c r="P149" s="54"/>
      <c r="Q149" s="54"/>
      <c r="R149" s="54"/>
      <c r="S149" s="54"/>
      <c r="T149" s="54"/>
      <c r="U149" s="54"/>
      <c r="V149" s="54"/>
      <c r="W149" s="54"/>
      <c r="X149" s="54"/>
      <c r="Y149" s="54"/>
      <c r="Z149" s="54"/>
      <c r="AA149" s="54"/>
      <c r="AB149" s="54"/>
      <c r="AC149" s="54"/>
      <c r="AD149" s="54"/>
      <c r="AE149" s="54"/>
      <c r="AF149" s="54"/>
      <c r="AG149" s="54"/>
      <c r="AH149" s="54"/>
    </row>
    <row r="150">
      <c r="A150" s="59" t="s">
        <v>240</v>
      </c>
      <c r="B150" s="80" t="s">
        <v>20</v>
      </c>
      <c r="C150" s="80" t="s">
        <v>21</v>
      </c>
      <c r="D150" s="80" t="s">
        <v>22</v>
      </c>
      <c r="E150" s="80" t="s">
        <v>416</v>
      </c>
      <c r="F150" s="59" t="s">
        <v>554</v>
      </c>
      <c r="G150" s="59" t="s">
        <v>555</v>
      </c>
      <c r="H150" s="83">
        <v>1986.0</v>
      </c>
      <c r="I150" s="76">
        <v>17896.0</v>
      </c>
      <c r="J150" s="76" t="s">
        <v>188</v>
      </c>
      <c r="K150" s="81" t="s">
        <v>188</v>
      </c>
      <c r="L150" s="82" t="s">
        <v>81</v>
      </c>
      <c r="M150" s="30" t="s">
        <v>243</v>
      </c>
      <c r="N150" s="54" t="s">
        <v>462</v>
      </c>
      <c r="O150" s="54"/>
      <c r="P150" s="54"/>
      <c r="Q150" s="54"/>
      <c r="R150" s="54"/>
      <c r="S150" s="54"/>
      <c r="T150" s="54"/>
      <c r="U150" s="54"/>
      <c r="V150" s="54"/>
      <c r="W150" s="54"/>
      <c r="X150" s="54"/>
      <c r="Y150" s="54"/>
      <c r="Z150" s="54"/>
      <c r="AA150" s="54"/>
      <c r="AB150" s="54"/>
      <c r="AC150" s="54"/>
      <c r="AD150" s="54"/>
      <c r="AE150" s="54"/>
      <c r="AF150" s="54"/>
      <c r="AG150" s="54"/>
      <c r="AH150" s="54"/>
    </row>
    <row r="151">
      <c r="A151" s="59" t="s">
        <v>240</v>
      </c>
      <c r="B151" s="80" t="s">
        <v>20</v>
      </c>
      <c r="C151" s="80" t="s">
        <v>21</v>
      </c>
      <c r="D151" s="80" t="s">
        <v>22</v>
      </c>
      <c r="E151" s="80" t="s">
        <v>416</v>
      </c>
      <c r="F151" s="59" t="s">
        <v>554</v>
      </c>
      <c r="G151" s="59" t="s">
        <v>555</v>
      </c>
      <c r="H151" s="83">
        <v>1987.0</v>
      </c>
      <c r="I151" s="76">
        <v>19796.0</v>
      </c>
      <c r="J151" s="76" t="s">
        <v>188</v>
      </c>
      <c r="K151" s="81" t="s">
        <v>188</v>
      </c>
      <c r="L151" s="82" t="s">
        <v>81</v>
      </c>
      <c r="M151" s="30" t="s">
        <v>243</v>
      </c>
      <c r="N151" s="54" t="s">
        <v>465</v>
      </c>
      <c r="O151" s="54"/>
      <c r="P151" s="54"/>
      <c r="Q151" s="54"/>
      <c r="R151" s="54"/>
      <c r="S151" s="54"/>
      <c r="T151" s="54"/>
      <c r="U151" s="54"/>
      <c r="V151" s="54"/>
      <c r="W151" s="54"/>
      <c r="X151" s="54"/>
      <c r="Y151" s="54"/>
      <c r="Z151" s="54"/>
      <c r="AA151" s="54"/>
      <c r="AB151" s="54"/>
      <c r="AC151" s="54"/>
      <c r="AD151" s="54"/>
      <c r="AE151" s="54"/>
      <c r="AF151" s="54"/>
      <c r="AG151" s="54"/>
      <c r="AH151" s="54"/>
    </row>
    <row r="152">
      <c r="A152" s="59" t="s">
        <v>240</v>
      </c>
      <c r="B152" s="80" t="s">
        <v>20</v>
      </c>
      <c r="C152" s="80" t="s">
        <v>21</v>
      </c>
      <c r="D152" s="80" t="s">
        <v>22</v>
      </c>
      <c r="E152" s="80" t="s">
        <v>416</v>
      </c>
      <c r="F152" s="59" t="s">
        <v>554</v>
      </c>
      <c r="G152" s="59" t="s">
        <v>555</v>
      </c>
      <c r="H152" s="83">
        <v>1988.0</v>
      </c>
      <c r="I152" s="76">
        <v>19452.0</v>
      </c>
      <c r="J152" s="76" t="s">
        <v>188</v>
      </c>
      <c r="K152" s="81" t="s">
        <v>188</v>
      </c>
      <c r="L152" s="82" t="s">
        <v>81</v>
      </c>
      <c r="M152" s="30" t="s">
        <v>243</v>
      </c>
      <c r="N152" s="54" t="s">
        <v>466</v>
      </c>
      <c r="O152" s="54"/>
      <c r="P152" s="54"/>
      <c r="Q152" s="54"/>
      <c r="R152" s="54"/>
      <c r="S152" s="54"/>
      <c r="T152" s="54"/>
      <c r="U152" s="54"/>
      <c r="V152" s="54"/>
      <c r="W152" s="54"/>
      <c r="X152" s="54"/>
      <c r="Y152" s="54"/>
      <c r="Z152" s="54"/>
      <c r="AA152" s="54"/>
      <c r="AB152" s="54"/>
      <c r="AC152" s="54"/>
      <c r="AD152" s="54"/>
      <c r="AE152" s="54"/>
      <c r="AF152" s="54"/>
      <c r="AG152" s="54"/>
      <c r="AH152" s="54"/>
    </row>
    <row r="153">
      <c r="A153" s="59" t="s">
        <v>240</v>
      </c>
      <c r="B153" s="80" t="s">
        <v>20</v>
      </c>
      <c r="C153" s="80" t="s">
        <v>21</v>
      </c>
      <c r="D153" s="80" t="s">
        <v>22</v>
      </c>
      <c r="E153" s="80" t="s">
        <v>416</v>
      </c>
      <c r="F153" s="59" t="s">
        <v>554</v>
      </c>
      <c r="G153" s="59" t="s">
        <v>555</v>
      </c>
      <c r="H153" s="83">
        <v>1989.0</v>
      </c>
      <c r="I153" s="76">
        <v>23757.0</v>
      </c>
      <c r="J153" s="76" t="s">
        <v>188</v>
      </c>
      <c r="K153" s="81" t="s">
        <v>188</v>
      </c>
      <c r="L153" s="82" t="s">
        <v>81</v>
      </c>
      <c r="M153" s="30" t="s">
        <v>243</v>
      </c>
      <c r="N153" s="54" t="s">
        <v>467</v>
      </c>
      <c r="O153" s="54"/>
      <c r="P153" s="54"/>
      <c r="Q153" s="54"/>
      <c r="R153" s="54"/>
      <c r="S153" s="54"/>
      <c r="T153" s="54"/>
      <c r="U153" s="54"/>
      <c r="V153" s="54"/>
      <c r="W153" s="54"/>
      <c r="X153" s="54"/>
      <c r="Y153" s="54"/>
      <c r="Z153" s="54"/>
      <c r="AA153" s="54"/>
      <c r="AB153" s="54"/>
      <c r="AC153" s="54"/>
      <c r="AD153" s="54"/>
      <c r="AE153" s="54"/>
      <c r="AF153" s="54"/>
      <c r="AG153" s="54"/>
      <c r="AH153" s="54"/>
    </row>
    <row r="154">
      <c r="A154" s="59" t="s">
        <v>240</v>
      </c>
      <c r="B154" s="80" t="s">
        <v>20</v>
      </c>
      <c r="C154" s="80" t="s">
        <v>21</v>
      </c>
      <c r="D154" s="80" t="s">
        <v>22</v>
      </c>
      <c r="E154" s="80" t="s">
        <v>416</v>
      </c>
      <c r="F154" s="59" t="s">
        <v>554</v>
      </c>
      <c r="G154" s="59" t="s">
        <v>555</v>
      </c>
      <c r="H154" s="83">
        <v>1990.0</v>
      </c>
      <c r="I154" s="76">
        <v>25422.0</v>
      </c>
      <c r="J154" s="76" t="s">
        <v>188</v>
      </c>
      <c r="K154" s="81" t="s">
        <v>188</v>
      </c>
      <c r="L154" s="82" t="s">
        <v>81</v>
      </c>
      <c r="M154" s="30" t="s">
        <v>243</v>
      </c>
      <c r="N154" s="54" t="s">
        <v>474</v>
      </c>
      <c r="O154" s="54"/>
      <c r="P154" s="54"/>
      <c r="Q154" s="54"/>
      <c r="R154" s="54"/>
      <c r="S154" s="54"/>
      <c r="T154" s="54"/>
      <c r="U154" s="54"/>
      <c r="V154" s="54"/>
      <c r="W154" s="54"/>
      <c r="X154" s="54"/>
      <c r="Y154" s="54"/>
      <c r="Z154" s="54"/>
      <c r="AA154" s="54"/>
      <c r="AB154" s="54"/>
      <c r="AC154" s="54"/>
      <c r="AD154" s="54"/>
      <c r="AE154" s="54"/>
      <c r="AF154" s="54"/>
      <c r="AG154" s="54"/>
      <c r="AH154" s="54"/>
    </row>
    <row r="155">
      <c r="A155" s="59" t="s">
        <v>240</v>
      </c>
      <c r="B155" s="80" t="s">
        <v>20</v>
      </c>
      <c r="C155" s="80" t="s">
        <v>21</v>
      </c>
      <c r="D155" s="80" t="s">
        <v>22</v>
      </c>
      <c r="E155" s="80" t="s">
        <v>416</v>
      </c>
      <c r="F155" s="59" t="s">
        <v>554</v>
      </c>
      <c r="G155" s="59" t="s">
        <v>555</v>
      </c>
      <c r="H155" s="83">
        <v>1991.0</v>
      </c>
      <c r="I155" s="76">
        <v>30747.0</v>
      </c>
      <c r="J155" s="76" t="s">
        <v>188</v>
      </c>
      <c r="K155" s="81" t="s">
        <v>188</v>
      </c>
      <c r="L155" s="82" t="s">
        <v>81</v>
      </c>
      <c r="M155" s="30" t="s">
        <v>243</v>
      </c>
      <c r="N155" s="54" t="s">
        <v>475</v>
      </c>
      <c r="O155" s="54"/>
      <c r="P155" s="54"/>
      <c r="Q155" s="54"/>
      <c r="R155" s="54"/>
      <c r="S155" s="54"/>
      <c r="T155" s="54"/>
      <c r="U155" s="54"/>
      <c r="V155" s="54"/>
      <c r="W155" s="54"/>
      <c r="X155" s="54"/>
      <c r="Y155" s="54"/>
      <c r="Z155" s="54"/>
      <c r="AA155" s="54"/>
      <c r="AB155" s="54"/>
      <c r="AC155" s="54"/>
      <c r="AD155" s="54"/>
      <c r="AE155" s="54"/>
      <c r="AF155" s="54"/>
      <c r="AG155" s="54"/>
      <c r="AH155" s="54"/>
    </row>
    <row r="156">
      <c r="A156" s="59" t="s">
        <v>240</v>
      </c>
      <c r="B156" s="80" t="s">
        <v>20</v>
      </c>
      <c r="C156" s="80" t="s">
        <v>21</v>
      </c>
      <c r="D156" s="80" t="s">
        <v>22</v>
      </c>
      <c r="E156" s="80" t="s">
        <v>416</v>
      </c>
      <c r="F156" s="59" t="s">
        <v>554</v>
      </c>
      <c r="G156" s="59" t="s">
        <v>555</v>
      </c>
      <c r="H156" s="83">
        <v>1992.0</v>
      </c>
      <c r="I156" s="76">
        <v>22364.0</v>
      </c>
      <c r="J156" s="76" t="s">
        <v>188</v>
      </c>
      <c r="K156" s="81" t="s">
        <v>188</v>
      </c>
      <c r="L156" s="82" t="s">
        <v>81</v>
      </c>
      <c r="M156" s="30" t="s">
        <v>243</v>
      </c>
      <c r="N156" s="54" t="s">
        <v>479</v>
      </c>
      <c r="O156" s="54"/>
      <c r="P156" s="54"/>
      <c r="Q156" s="54"/>
      <c r="R156" s="54"/>
      <c r="S156" s="54"/>
      <c r="T156" s="54"/>
      <c r="U156" s="54"/>
      <c r="V156" s="54"/>
      <c r="W156" s="54"/>
      <c r="X156" s="54"/>
      <c r="Y156" s="54"/>
      <c r="Z156" s="54"/>
      <c r="AA156" s="54"/>
      <c r="AB156" s="54"/>
      <c r="AC156" s="54"/>
      <c r="AD156" s="54"/>
      <c r="AE156" s="54"/>
      <c r="AF156" s="54"/>
      <c r="AG156" s="54"/>
      <c r="AH156" s="54"/>
    </row>
    <row r="157">
      <c r="A157" s="59" t="s">
        <v>240</v>
      </c>
      <c r="B157" s="80" t="s">
        <v>20</v>
      </c>
      <c r="C157" s="80" t="s">
        <v>21</v>
      </c>
      <c r="D157" s="80" t="s">
        <v>22</v>
      </c>
      <c r="E157" s="80" t="s">
        <v>416</v>
      </c>
      <c r="F157" s="59" t="s">
        <v>554</v>
      </c>
      <c r="G157" s="59" t="s">
        <v>555</v>
      </c>
      <c r="H157" s="83">
        <v>1993.0</v>
      </c>
      <c r="I157" s="76">
        <v>24274.0</v>
      </c>
      <c r="J157" s="76" t="s">
        <v>188</v>
      </c>
      <c r="K157" s="81" t="s">
        <v>188</v>
      </c>
      <c r="L157" s="82" t="s">
        <v>81</v>
      </c>
      <c r="M157" s="30" t="s">
        <v>243</v>
      </c>
      <c r="N157" s="54" t="s">
        <v>484</v>
      </c>
      <c r="O157" s="54"/>
      <c r="P157" s="54"/>
      <c r="Q157" s="54"/>
      <c r="R157" s="54"/>
      <c r="S157" s="54"/>
      <c r="T157" s="54"/>
      <c r="U157" s="54"/>
      <c r="V157" s="54"/>
      <c r="W157" s="54"/>
      <c r="X157" s="54"/>
      <c r="Y157" s="54"/>
      <c r="Z157" s="54"/>
      <c r="AA157" s="54"/>
      <c r="AB157" s="54"/>
      <c r="AC157" s="54"/>
      <c r="AD157" s="54"/>
      <c r="AE157" s="54"/>
      <c r="AF157" s="54"/>
      <c r="AG157" s="54"/>
      <c r="AH157" s="54"/>
    </row>
    <row r="158">
      <c r="A158" s="59" t="s">
        <v>240</v>
      </c>
      <c r="B158" s="80" t="s">
        <v>20</v>
      </c>
      <c r="C158" s="80" t="s">
        <v>21</v>
      </c>
      <c r="D158" s="80" t="s">
        <v>22</v>
      </c>
      <c r="E158" s="80" t="s">
        <v>416</v>
      </c>
      <c r="F158" s="59" t="s">
        <v>554</v>
      </c>
      <c r="G158" s="59" t="s">
        <v>555</v>
      </c>
      <c r="H158" s="83">
        <v>1994.0</v>
      </c>
      <c r="I158" s="76">
        <v>36184.0</v>
      </c>
      <c r="J158" s="76" t="s">
        <v>188</v>
      </c>
      <c r="K158" s="81" t="s">
        <v>188</v>
      </c>
      <c r="L158" s="82" t="s">
        <v>81</v>
      </c>
      <c r="M158" s="30" t="s">
        <v>243</v>
      </c>
      <c r="N158" s="54" t="s">
        <v>485</v>
      </c>
      <c r="O158" s="54"/>
      <c r="P158" s="54"/>
      <c r="Q158" s="54"/>
      <c r="R158" s="54"/>
      <c r="S158" s="54"/>
      <c r="T158" s="54"/>
      <c r="U158" s="54"/>
      <c r="V158" s="54"/>
      <c r="W158" s="54"/>
      <c r="X158" s="54"/>
      <c r="Y158" s="54"/>
      <c r="Z158" s="54"/>
      <c r="AA158" s="54"/>
      <c r="AB158" s="54"/>
      <c r="AC158" s="54"/>
      <c r="AD158" s="54"/>
      <c r="AE158" s="54"/>
      <c r="AF158" s="54"/>
      <c r="AG158" s="54"/>
      <c r="AH158" s="54"/>
    </row>
    <row r="159">
      <c r="A159" s="59" t="s">
        <v>240</v>
      </c>
      <c r="B159" s="80" t="s">
        <v>20</v>
      </c>
      <c r="C159" s="80" t="s">
        <v>21</v>
      </c>
      <c r="D159" s="80" t="s">
        <v>22</v>
      </c>
      <c r="E159" s="80" t="s">
        <v>416</v>
      </c>
      <c r="F159" s="59" t="s">
        <v>554</v>
      </c>
      <c r="G159" s="59" t="s">
        <v>555</v>
      </c>
      <c r="H159" s="83">
        <v>1995.0</v>
      </c>
      <c r="I159" s="76">
        <v>36073.0</v>
      </c>
      <c r="J159" s="76" t="s">
        <v>188</v>
      </c>
      <c r="K159" s="81" t="s">
        <v>188</v>
      </c>
      <c r="L159" s="82" t="s">
        <v>81</v>
      </c>
      <c r="M159" s="30" t="s">
        <v>243</v>
      </c>
      <c r="N159" s="54" t="s">
        <v>490</v>
      </c>
      <c r="O159" s="54"/>
      <c r="P159" s="54"/>
      <c r="Q159" s="54"/>
      <c r="R159" s="54"/>
      <c r="S159" s="54"/>
      <c r="T159" s="54"/>
      <c r="U159" s="54"/>
      <c r="V159" s="54"/>
      <c r="W159" s="54"/>
      <c r="X159" s="54"/>
      <c r="Y159" s="54"/>
      <c r="Z159" s="54"/>
      <c r="AA159" s="54"/>
      <c r="AB159" s="54"/>
      <c r="AC159" s="54"/>
      <c r="AD159" s="54"/>
      <c r="AE159" s="54"/>
      <c r="AF159" s="54"/>
      <c r="AG159" s="54"/>
      <c r="AH159" s="54"/>
    </row>
    <row r="160">
      <c r="A160" s="59" t="s">
        <v>240</v>
      </c>
      <c r="B160" s="80" t="s">
        <v>20</v>
      </c>
      <c r="C160" s="80" t="s">
        <v>21</v>
      </c>
      <c r="D160" s="80" t="s">
        <v>22</v>
      </c>
      <c r="E160" s="80" t="s">
        <v>416</v>
      </c>
      <c r="F160" s="59" t="s">
        <v>554</v>
      </c>
      <c r="G160" s="59" t="s">
        <v>555</v>
      </c>
      <c r="H160" s="83">
        <v>1996.0</v>
      </c>
      <c r="I160" s="76">
        <v>41044.0</v>
      </c>
      <c r="J160" s="76" t="s">
        <v>188</v>
      </c>
      <c r="K160" s="81" t="s">
        <v>188</v>
      </c>
      <c r="L160" s="82" t="s">
        <v>81</v>
      </c>
      <c r="M160" s="30" t="s">
        <v>243</v>
      </c>
      <c r="N160" s="54" t="s">
        <v>494</v>
      </c>
      <c r="O160" s="54"/>
      <c r="P160" s="54"/>
      <c r="Q160" s="54"/>
      <c r="R160" s="54"/>
      <c r="S160" s="54"/>
      <c r="T160" s="54"/>
      <c r="U160" s="54"/>
      <c r="V160" s="54"/>
      <c r="W160" s="54"/>
      <c r="X160" s="54"/>
      <c r="Y160" s="54"/>
      <c r="Z160" s="54"/>
      <c r="AA160" s="54"/>
      <c r="AB160" s="54"/>
      <c r="AC160" s="54"/>
      <c r="AD160" s="54"/>
      <c r="AE160" s="54"/>
      <c r="AF160" s="54"/>
      <c r="AG160" s="54"/>
      <c r="AH160" s="54"/>
    </row>
    <row r="161">
      <c r="A161" s="59" t="s">
        <v>240</v>
      </c>
      <c r="B161" s="80" t="s">
        <v>20</v>
      </c>
      <c r="C161" s="80" t="s">
        <v>21</v>
      </c>
      <c r="D161" s="80" t="s">
        <v>22</v>
      </c>
      <c r="E161" s="80" t="s">
        <v>416</v>
      </c>
      <c r="F161" s="59" t="s">
        <v>554</v>
      </c>
      <c r="G161" s="59" t="s">
        <v>555</v>
      </c>
      <c r="H161" s="83">
        <v>1997.0</v>
      </c>
      <c r="I161" s="76">
        <v>39245.0</v>
      </c>
      <c r="J161" s="76" t="s">
        <v>188</v>
      </c>
      <c r="K161" s="81" t="s">
        <v>188</v>
      </c>
      <c r="L161" s="82" t="s">
        <v>81</v>
      </c>
      <c r="M161" s="30" t="s">
        <v>243</v>
      </c>
      <c r="N161" s="54" t="s">
        <v>495</v>
      </c>
      <c r="O161" s="54"/>
      <c r="P161" s="54"/>
      <c r="Q161" s="54"/>
      <c r="R161" s="54"/>
      <c r="S161" s="54"/>
      <c r="T161" s="54"/>
      <c r="U161" s="54"/>
      <c r="V161" s="54"/>
      <c r="W161" s="54"/>
      <c r="X161" s="54"/>
      <c r="Y161" s="54"/>
      <c r="Z161" s="54"/>
      <c r="AA161" s="54"/>
      <c r="AB161" s="54"/>
      <c r="AC161" s="54"/>
      <c r="AD161" s="54"/>
      <c r="AE161" s="54"/>
      <c r="AF161" s="54"/>
      <c r="AG161" s="54"/>
      <c r="AH161" s="54"/>
    </row>
    <row r="162">
      <c r="A162" s="59" t="s">
        <v>240</v>
      </c>
      <c r="B162" s="80" t="s">
        <v>20</v>
      </c>
      <c r="C162" s="80" t="s">
        <v>21</v>
      </c>
      <c r="D162" s="80" t="s">
        <v>22</v>
      </c>
      <c r="E162" s="80" t="s">
        <v>416</v>
      </c>
      <c r="F162" s="59" t="s">
        <v>554</v>
      </c>
      <c r="G162" s="59" t="s">
        <v>555</v>
      </c>
      <c r="H162" s="83">
        <v>1998.0</v>
      </c>
      <c r="I162" s="76">
        <v>14506.0</v>
      </c>
      <c r="J162" s="76" t="s">
        <v>188</v>
      </c>
      <c r="K162" s="81" t="s">
        <v>188</v>
      </c>
      <c r="L162" s="82" t="s">
        <v>81</v>
      </c>
      <c r="M162" s="30" t="s">
        <v>243</v>
      </c>
      <c r="N162" s="54" t="s">
        <v>498</v>
      </c>
      <c r="O162" s="54"/>
      <c r="P162" s="54"/>
      <c r="Q162" s="54"/>
      <c r="R162" s="54"/>
      <c r="S162" s="54"/>
      <c r="T162" s="54"/>
      <c r="U162" s="54"/>
      <c r="V162" s="54"/>
      <c r="W162" s="54"/>
      <c r="X162" s="54"/>
      <c r="Y162" s="54"/>
      <c r="Z162" s="54"/>
      <c r="AA162" s="54"/>
      <c r="AB162" s="54"/>
      <c r="AC162" s="54"/>
      <c r="AD162" s="54"/>
      <c r="AE162" s="54"/>
      <c r="AF162" s="54"/>
      <c r="AG162" s="54"/>
      <c r="AH162" s="54"/>
    </row>
    <row r="163">
      <c r="A163" s="59" t="s">
        <v>240</v>
      </c>
      <c r="B163" s="80" t="s">
        <v>20</v>
      </c>
      <c r="C163" s="80" t="s">
        <v>21</v>
      </c>
      <c r="D163" s="80" t="s">
        <v>22</v>
      </c>
      <c r="E163" s="80" t="s">
        <v>416</v>
      </c>
      <c r="F163" s="59" t="s">
        <v>554</v>
      </c>
      <c r="G163" s="59" t="s">
        <v>555</v>
      </c>
      <c r="H163" s="83">
        <v>1999.0</v>
      </c>
      <c r="I163" s="76">
        <v>41695.0</v>
      </c>
      <c r="J163" s="76" t="s">
        <v>188</v>
      </c>
      <c r="K163" s="81" t="s">
        <v>188</v>
      </c>
      <c r="L163" s="82" t="s">
        <v>81</v>
      </c>
      <c r="M163" s="30" t="s">
        <v>243</v>
      </c>
      <c r="N163" s="54" t="s">
        <v>502</v>
      </c>
      <c r="O163" s="54"/>
      <c r="P163" s="54"/>
      <c r="Q163" s="54"/>
      <c r="R163" s="54"/>
      <c r="S163" s="54"/>
      <c r="T163" s="54"/>
      <c r="U163" s="54"/>
      <c r="V163" s="54"/>
      <c r="W163" s="54"/>
      <c r="X163" s="54"/>
      <c r="Y163" s="54"/>
      <c r="Z163" s="54"/>
      <c r="AA163" s="54"/>
      <c r="AB163" s="54"/>
      <c r="AC163" s="54"/>
      <c r="AD163" s="54"/>
      <c r="AE163" s="54"/>
      <c r="AF163" s="54"/>
      <c r="AG163" s="54"/>
      <c r="AH163" s="54"/>
    </row>
    <row r="164">
      <c r="A164" s="59" t="s">
        <v>240</v>
      </c>
      <c r="B164" s="80" t="s">
        <v>20</v>
      </c>
      <c r="C164" s="80" t="s">
        <v>21</v>
      </c>
      <c r="D164" s="80" t="s">
        <v>22</v>
      </c>
      <c r="E164" s="80" t="s">
        <v>416</v>
      </c>
      <c r="F164" s="59" t="s">
        <v>554</v>
      </c>
      <c r="G164" s="59" t="s">
        <v>555</v>
      </c>
      <c r="H164" s="83">
        <v>2000.0</v>
      </c>
      <c r="I164" s="76">
        <v>49372.0</v>
      </c>
      <c r="J164" s="76" t="s">
        <v>188</v>
      </c>
      <c r="K164" s="81" t="s">
        <v>188</v>
      </c>
      <c r="L164" s="82" t="s">
        <v>81</v>
      </c>
      <c r="M164" s="30" t="s">
        <v>243</v>
      </c>
      <c r="N164" s="54" t="s">
        <v>508</v>
      </c>
      <c r="O164" s="54"/>
      <c r="P164" s="54"/>
      <c r="Q164" s="54"/>
      <c r="R164" s="54"/>
      <c r="S164" s="54"/>
      <c r="T164" s="54"/>
      <c r="U164" s="54"/>
      <c r="V164" s="54"/>
      <c r="W164" s="54"/>
      <c r="X164" s="54"/>
      <c r="Y164" s="54"/>
      <c r="Z164" s="54"/>
      <c r="AA164" s="54"/>
      <c r="AB164" s="54"/>
      <c r="AC164" s="54"/>
      <c r="AD164" s="54"/>
      <c r="AE164" s="54"/>
      <c r="AF164" s="54"/>
      <c r="AG164" s="54"/>
      <c r="AH164" s="54"/>
    </row>
    <row r="165">
      <c r="A165" s="59" t="s">
        <v>240</v>
      </c>
      <c r="B165" s="80" t="s">
        <v>20</v>
      </c>
      <c r="C165" s="80" t="s">
        <v>21</v>
      </c>
      <c r="D165" s="80" t="s">
        <v>22</v>
      </c>
      <c r="E165" s="80" t="s">
        <v>416</v>
      </c>
      <c r="F165" s="59" t="s">
        <v>554</v>
      </c>
      <c r="G165" s="59" t="s">
        <v>555</v>
      </c>
      <c r="H165" s="83">
        <v>2001.0</v>
      </c>
      <c r="I165" s="76">
        <v>49078.0</v>
      </c>
      <c r="J165" s="76" t="s">
        <v>188</v>
      </c>
      <c r="K165" s="81" t="s">
        <v>188</v>
      </c>
      <c r="L165" s="82" t="s">
        <v>81</v>
      </c>
      <c r="M165" s="30" t="s">
        <v>243</v>
      </c>
      <c r="N165" s="54" t="s">
        <v>509</v>
      </c>
      <c r="O165" s="54"/>
      <c r="P165" s="54"/>
      <c r="Q165" s="54"/>
      <c r="R165" s="54"/>
      <c r="S165" s="54"/>
      <c r="T165" s="54"/>
      <c r="U165" s="54"/>
      <c r="V165" s="54"/>
      <c r="W165" s="54"/>
      <c r="X165" s="54"/>
      <c r="Y165" s="54"/>
      <c r="Z165" s="54"/>
      <c r="AA165" s="54"/>
      <c r="AB165" s="54"/>
      <c r="AC165" s="54"/>
      <c r="AD165" s="54"/>
      <c r="AE165" s="54"/>
      <c r="AF165" s="54"/>
      <c r="AG165" s="54"/>
      <c r="AH165" s="54"/>
    </row>
    <row r="166">
      <c r="A166" s="59" t="s">
        <v>240</v>
      </c>
      <c r="B166" s="80" t="s">
        <v>20</v>
      </c>
      <c r="C166" s="80" t="s">
        <v>21</v>
      </c>
      <c r="D166" s="80" t="s">
        <v>22</v>
      </c>
      <c r="E166" s="80" t="s">
        <v>416</v>
      </c>
      <c r="F166" s="59" t="s">
        <v>554</v>
      </c>
      <c r="G166" s="59" t="s">
        <v>555</v>
      </c>
      <c r="H166" s="83">
        <v>2002.0</v>
      </c>
      <c r="I166" s="76">
        <v>45658.0</v>
      </c>
      <c r="J166" s="76" t="s">
        <v>188</v>
      </c>
      <c r="K166" s="81" t="s">
        <v>188</v>
      </c>
      <c r="L166" s="82" t="s">
        <v>81</v>
      </c>
      <c r="M166" s="30" t="s">
        <v>243</v>
      </c>
      <c r="N166" s="54" t="s">
        <v>514</v>
      </c>
      <c r="O166" s="54"/>
      <c r="P166" s="54"/>
      <c r="Q166" s="54"/>
      <c r="R166" s="54"/>
      <c r="S166" s="54"/>
      <c r="T166" s="54"/>
      <c r="U166" s="54"/>
      <c r="V166" s="54"/>
      <c r="W166" s="54"/>
      <c r="X166" s="54"/>
      <c r="Y166" s="54"/>
      <c r="Z166" s="54"/>
      <c r="AA166" s="54"/>
      <c r="AB166" s="54"/>
      <c r="AC166" s="54"/>
      <c r="AD166" s="54"/>
      <c r="AE166" s="54"/>
      <c r="AF166" s="54"/>
      <c r="AG166" s="54"/>
      <c r="AH166" s="54"/>
    </row>
    <row r="167">
      <c r="A167" s="59" t="s">
        <v>240</v>
      </c>
      <c r="B167" s="80" t="s">
        <v>20</v>
      </c>
      <c r="C167" s="80" t="s">
        <v>21</v>
      </c>
      <c r="D167" s="80" t="s">
        <v>22</v>
      </c>
      <c r="E167" s="80" t="s">
        <v>416</v>
      </c>
      <c r="F167" s="59" t="s">
        <v>554</v>
      </c>
      <c r="G167" s="59" t="s">
        <v>555</v>
      </c>
      <c r="H167" s="83">
        <v>2003.0</v>
      </c>
      <c r="I167" s="76">
        <v>36659.0</v>
      </c>
      <c r="J167" s="76" t="s">
        <v>188</v>
      </c>
      <c r="K167" s="81" t="s">
        <v>188</v>
      </c>
      <c r="L167" s="82" t="s">
        <v>81</v>
      </c>
      <c r="M167" s="30" t="s">
        <v>243</v>
      </c>
      <c r="N167" s="54" t="s">
        <v>519</v>
      </c>
      <c r="O167" s="54"/>
      <c r="P167" s="54"/>
      <c r="Q167" s="54"/>
      <c r="R167" s="54"/>
      <c r="S167" s="54"/>
      <c r="T167" s="54"/>
      <c r="U167" s="54"/>
      <c r="V167" s="54"/>
      <c r="W167" s="54"/>
      <c r="X167" s="54"/>
      <c r="Y167" s="54"/>
      <c r="Z167" s="54"/>
      <c r="AA167" s="54"/>
      <c r="AB167" s="54"/>
      <c r="AC167" s="54"/>
      <c r="AD167" s="54"/>
      <c r="AE167" s="54"/>
      <c r="AF167" s="54"/>
      <c r="AG167" s="54"/>
      <c r="AH167" s="54"/>
    </row>
    <row r="168">
      <c r="A168" s="59" t="s">
        <v>240</v>
      </c>
      <c r="B168" s="80" t="s">
        <v>20</v>
      </c>
      <c r="C168" s="80" t="s">
        <v>21</v>
      </c>
      <c r="D168" s="80" t="s">
        <v>22</v>
      </c>
      <c r="E168" s="80" t="s">
        <v>416</v>
      </c>
      <c r="F168" s="59" t="s">
        <v>554</v>
      </c>
      <c r="G168" s="59" t="s">
        <v>555</v>
      </c>
      <c r="H168" s="83">
        <v>2004.0</v>
      </c>
      <c r="I168" s="76">
        <v>43490.0</v>
      </c>
      <c r="J168" s="76" t="s">
        <v>188</v>
      </c>
      <c r="K168" s="81" t="s">
        <v>188</v>
      </c>
      <c r="L168" s="82" t="s">
        <v>81</v>
      </c>
      <c r="M168" s="30" t="s">
        <v>243</v>
      </c>
      <c r="N168" s="54" t="s">
        <v>520</v>
      </c>
      <c r="O168" s="54"/>
      <c r="P168" s="54"/>
      <c r="Q168" s="54"/>
      <c r="R168" s="54"/>
      <c r="S168" s="54"/>
      <c r="T168" s="54"/>
      <c r="U168" s="54"/>
      <c r="V168" s="54"/>
      <c r="W168" s="54"/>
      <c r="X168" s="54"/>
      <c r="Y168" s="54"/>
      <c r="Z168" s="54"/>
      <c r="AA168" s="54"/>
      <c r="AB168" s="54"/>
      <c r="AC168" s="54"/>
      <c r="AD168" s="54"/>
      <c r="AE168" s="54"/>
      <c r="AF168" s="54"/>
      <c r="AG168" s="54"/>
      <c r="AH168" s="54"/>
    </row>
    <row r="169">
      <c r="A169" s="59" t="s">
        <v>240</v>
      </c>
      <c r="B169" s="80" t="s">
        <v>20</v>
      </c>
      <c r="C169" s="80" t="s">
        <v>21</v>
      </c>
      <c r="D169" s="80" t="s">
        <v>22</v>
      </c>
      <c r="E169" s="80" t="s">
        <v>416</v>
      </c>
      <c r="F169" s="59" t="s">
        <v>554</v>
      </c>
      <c r="G169" s="59" t="s">
        <v>555</v>
      </c>
      <c r="H169" s="83">
        <v>2005.0</v>
      </c>
      <c r="I169" s="76">
        <v>48331.0</v>
      </c>
      <c r="J169" s="76" t="s">
        <v>188</v>
      </c>
      <c r="K169" s="81" t="s">
        <v>188</v>
      </c>
      <c r="L169" s="82" t="s">
        <v>81</v>
      </c>
      <c r="M169" s="30" t="s">
        <v>243</v>
      </c>
      <c r="N169" s="54" t="s">
        <v>522</v>
      </c>
      <c r="O169" s="54"/>
      <c r="P169" s="54"/>
      <c r="Q169" s="54"/>
      <c r="R169" s="54"/>
      <c r="S169" s="54"/>
      <c r="T169" s="54"/>
      <c r="U169" s="54"/>
      <c r="V169" s="54"/>
      <c r="W169" s="54"/>
      <c r="X169" s="54"/>
      <c r="Y169" s="54"/>
      <c r="Z169" s="54"/>
      <c r="AA169" s="54"/>
      <c r="AB169" s="54"/>
      <c r="AC169" s="54"/>
      <c r="AD169" s="54"/>
      <c r="AE169" s="54"/>
      <c r="AF169" s="54"/>
      <c r="AG169" s="54"/>
      <c r="AH169" s="54"/>
    </row>
    <row r="170">
      <c r="A170" s="59" t="s">
        <v>240</v>
      </c>
      <c r="B170" s="80" t="s">
        <v>20</v>
      </c>
      <c r="C170" s="80" t="s">
        <v>21</v>
      </c>
      <c r="D170" s="80" t="s">
        <v>22</v>
      </c>
      <c r="E170" s="80" t="s">
        <v>416</v>
      </c>
      <c r="F170" s="59" t="s">
        <v>554</v>
      </c>
      <c r="G170" s="59" t="s">
        <v>555</v>
      </c>
      <c r="H170" s="83">
        <v>2006.0</v>
      </c>
      <c r="I170" s="76">
        <v>56144.0</v>
      </c>
      <c r="J170" s="76" t="s">
        <v>188</v>
      </c>
      <c r="K170" s="81" t="s">
        <v>188</v>
      </c>
      <c r="L170" s="82" t="s">
        <v>81</v>
      </c>
      <c r="M170" s="30" t="s">
        <v>243</v>
      </c>
      <c r="N170" s="54" t="s">
        <v>527</v>
      </c>
      <c r="O170" s="54"/>
      <c r="P170" s="54"/>
      <c r="Q170" s="54"/>
      <c r="R170" s="54"/>
      <c r="S170" s="54"/>
      <c r="T170" s="54"/>
      <c r="U170" s="54"/>
      <c r="V170" s="54"/>
      <c r="W170" s="54"/>
      <c r="X170" s="54"/>
      <c r="Y170" s="54"/>
      <c r="Z170" s="54"/>
      <c r="AA170" s="54"/>
      <c r="AB170" s="54"/>
      <c r="AC170" s="54"/>
      <c r="AD170" s="54"/>
      <c r="AE170" s="54"/>
      <c r="AF170" s="54"/>
      <c r="AG170" s="54"/>
      <c r="AH170" s="54"/>
    </row>
    <row r="171">
      <c r="A171" s="59" t="s">
        <v>240</v>
      </c>
      <c r="B171" s="80" t="s">
        <v>20</v>
      </c>
      <c r="C171" s="80" t="s">
        <v>21</v>
      </c>
      <c r="D171" s="80" t="s">
        <v>22</v>
      </c>
      <c r="E171" s="80" t="s">
        <v>416</v>
      </c>
      <c r="F171" s="59" t="s">
        <v>554</v>
      </c>
      <c r="G171" s="59" t="s">
        <v>555</v>
      </c>
      <c r="H171" s="83">
        <v>2007.0</v>
      </c>
      <c r="I171" s="76">
        <v>54088.0</v>
      </c>
      <c r="J171" s="76" t="s">
        <v>188</v>
      </c>
      <c r="K171" s="81" t="s">
        <v>188</v>
      </c>
      <c r="L171" s="82" t="s">
        <v>81</v>
      </c>
      <c r="M171" s="30" t="s">
        <v>243</v>
      </c>
      <c r="N171" s="54" t="s">
        <v>532</v>
      </c>
      <c r="O171" s="54"/>
      <c r="P171" s="54"/>
      <c r="Q171" s="54"/>
      <c r="R171" s="54"/>
      <c r="S171" s="54"/>
      <c r="T171" s="54"/>
      <c r="U171" s="54"/>
      <c r="V171" s="54"/>
      <c r="W171" s="54"/>
      <c r="X171" s="54"/>
      <c r="Y171" s="54"/>
      <c r="Z171" s="54"/>
      <c r="AA171" s="54"/>
      <c r="AB171" s="54"/>
      <c r="AC171" s="54"/>
      <c r="AD171" s="54"/>
      <c r="AE171" s="54"/>
      <c r="AF171" s="54"/>
      <c r="AG171" s="54"/>
      <c r="AH171" s="54"/>
    </row>
    <row r="172">
      <c r="A172" s="59" t="s">
        <v>240</v>
      </c>
      <c r="B172" s="80" t="s">
        <v>20</v>
      </c>
      <c r="C172" s="80" t="s">
        <v>21</v>
      </c>
      <c r="D172" s="80" t="s">
        <v>22</v>
      </c>
      <c r="E172" s="80" t="s">
        <v>416</v>
      </c>
      <c r="F172" s="59" t="s">
        <v>554</v>
      </c>
      <c r="G172" s="59" t="s">
        <v>555</v>
      </c>
      <c r="H172" s="83">
        <v>2008.0</v>
      </c>
      <c r="I172" s="76">
        <v>59774.0</v>
      </c>
      <c r="J172" s="76" t="s">
        <v>188</v>
      </c>
      <c r="K172" s="81" t="s">
        <v>188</v>
      </c>
      <c r="L172" s="82" t="s">
        <v>81</v>
      </c>
      <c r="M172" s="30" t="s">
        <v>243</v>
      </c>
      <c r="N172" s="54" t="s">
        <v>534</v>
      </c>
      <c r="O172" s="54"/>
      <c r="P172" s="54"/>
      <c r="Q172" s="54"/>
      <c r="R172" s="54"/>
      <c r="S172" s="54"/>
      <c r="T172" s="54"/>
      <c r="U172" s="54"/>
      <c r="V172" s="54"/>
      <c r="W172" s="54"/>
      <c r="X172" s="54"/>
      <c r="Y172" s="54"/>
      <c r="Z172" s="54"/>
      <c r="AA172" s="54"/>
      <c r="AB172" s="54"/>
      <c r="AC172" s="54"/>
      <c r="AD172" s="54"/>
      <c r="AE172" s="54"/>
      <c r="AF172" s="54"/>
      <c r="AG172" s="54"/>
      <c r="AH172" s="54"/>
    </row>
    <row r="173">
      <c r="A173" s="59" t="s">
        <v>240</v>
      </c>
      <c r="B173" s="80" t="s">
        <v>20</v>
      </c>
      <c r="C173" s="80" t="s">
        <v>21</v>
      </c>
      <c r="D173" s="80" t="s">
        <v>22</v>
      </c>
      <c r="E173" s="80" t="s">
        <v>416</v>
      </c>
      <c r="F173" s="59" t="s">
        <v>554</v>
      </c>
      <c r="G173" s="59" t="s">
        <v>555</v>
      </c>
      <c r="H173" s="83">
        <v>2009.0</v>
      </c>
      <c r="I173" s="76">
        <v>35914.0</v>
      </c>
      <c r="J173" s="76" t="s">
        <v>188</v>
      </c>
      <c r="K173" s="81" t="s">
        <v>188</v>
      </c>
      <c r="L173" s="82" t="s">
        <v>81</v>
      </c>
      <c r="M173" s="30" t="s">
        <v>243</v>
      </c>
      <c r="N173" s="54" t="s">
        <v>536</v>
      </c>
      <c r="O173" s="54"/>
      <c r="P173" s="54"/>
      <c r="Q173" s="54"/>
      <c r="R173" s="54"/>
      <c r="S173" s="54"/>
      <c r="T173" s="54"/>
      <c r="U173" s="54"/>
      <c r="V173" s="54"/>
      <c r="W173" s="54"/>
      <c r="X173" s="54"/>
      <c r="Y173" s="54"/>
      <c r="Z173" s="54"/>
      <c r="AA173" s="54"/>
      <c r="AB173" s="54"/>
      <c r="AC173" s="54"/>
      <c r="AD173" s="54"/>
      <c r="AE173" s="54"/>
      <c r="AF173" s="54"/>
      <c r="AG173" s="54"/>
      <c r="AH173" s="54"/>
    </row>
    <row r="174">
      <c r="A174" s="59" t="s">
        <v>240</v>
      </c>
      <c r="B174" s="80" t="s">
        <v>20</v>
      </c>
      <c r="C174" s="80" t="s">
        <v>21</v>
      </c>
      <c r="D174" s="80" t="s">
        <v>22</v>
      </c>
      <c r="E174" s="80" t="s">
        <v>416</v>
      </c>
      <c r="F174" s="59" t="s">
        <v>554</v>
      </c>
      <c r="G174" s="59" t="s">
        <v>555</v>
      </c>
      <c r="H174" s="83">
        <v>2010.0</v>
      </c>
      <c r="I174" s="76">
        <v>33873.0</v>
      </c>
      <c r="J174" s="76" t="s">
        <v>188</v>
      </c>
      <c r="K174" s="81" t="s">
        <v>188</v>
      </c>
      <c r="L174" s="82" t="s">
        <v>81</v>
      </c>
      <c r="M174" s="30" t="s">
        <v>243</v>
      </c>
      <c r="N174" s="54" t="s">
        <v>537</v>
      </c>
      <c r="O174" s="54"/>
      <c r="P174" s="54"/>
      <c r="Q174" s="54"/>
      <c r="R174" s="54"/>
      <c r="S174" s="54"/>
      <c r="T174" s="54"/>
      <c r="U174" s="54"/>
      <c r="V174" s="54"/>
      <c r="W174" s="54"/>
      <c r="X174" s="54"/>
      <c r="Y174" s="54"/>
      <c r="Z174" s="54"/>
      <c r="AA174" s="54"/>
      <c r="AB174" s="54"/>
      <c r="AC174" s="54"/>
      <c r="AD174" s="54"/>
      <c r="AE174" s="54"/>
      <c r="AF174" s="54"/>
      <c r="AG174" s="54"/>
      <c r="AH174" s="54"/>
    </row>
    <row r="175">
      <c r="A175" s="59" t="s">
        <v>240</v>
      </c>
      <c r="B175" s="80" t="s">
        <v>20</v>
      </c>
      <c r="C175" s="80" t="s">
        <v>21</v>
      </c>
      <c r="D175" s="80" t="s">
        <v>22</v>
      </c>
      <c r="E175" s="80" t="s">
        <v>416</v>
      </c>
      <c r="F175" s="59" t="s">
        <v>554</v>
      </c>
      <c r="G175" s="59" t="s">
        <v>555</v>
      </c>
      <c r="H175" s="83">
        <v>2011.0</v>
      </c>
      <c r="I175" s="76">
        <v>62109.0</v>
      </c>
      <c r="J175" s="76" t="s">
        <v>188</v>
      </c>
      <c r="K175" s="81" t="s">
        <v>188</v>
      </c>
      <c r="L175" s="82" t="s">
        <v>81</v>
      </c>
      <c r="M175" s="30" t="s">
        <v>243</v>
      </c>
      <c r="N175" s="54" t="s">
        <v>541</v>
      </c>
      <c r="O175" s="54"/>
      <c r="P175" s="54"/>
      <c r="Q175" s="54"/>
      <c r="R175" s="54"/>
      <c r="S175" s="54"/>
      <c r="T175" s="54"/>
      <c r="U175" s="54"/>
      <c r="V175" s="54"/>
      <c r="W175" s="54"/>
      <c r="X175" s="54"/>
      <c r="Y175" s="54"/>
      <c r="Z175" s="54"/>
      <c r="AA175" s="54"/>
      <c r="AB175" s="54"/>
      <c r="AC175" s="54"/>
      <c r="AD175" s="54"/>
      <c r="AE175" s="54"/>
      <c r="AF175" s="54"/>
      <c r="AG175" s="54"/>
      <c r="AH175" s="54"/>
    </row>
    <row r="176">
      <c r="A176" s="59" t="s">
        <v>240</v>
      </c>
      <c r="B176" s="80" t="s">
        <v>20</v>
      </c>
      <c r="C176" s="80" t="s">
        <v>21</v>
      </c>
      <c r="D176" s="80" t="s">
        <v>22</v>
      </c>
      <c r="E176" s="80" t="s">
        <v>416</v>
      </c>
      <c r="F176" s="59" t="s">
        <v>554</v>
      </c>
      <c r="G176" s="59" t="s">
        <v>555</v>
      </c>
      <c r="H176" s="83">
        <v>2012.0</v>
      </c>
      <c r="I176" s="76">
        <v>67396.0</v>
      </c>
      <c r="J176" s="76" t="s">
        <v>188</v>
      </c>
      <c r="K176" s="81" t="s">
        <v>188</v>
      </c>
      <c r="L176" s="82" t="s">
        <v>81</v>
      </c>
      <c r="M176" s="30" t="s">
        <v>243</v>
      </c>
      <c r="N176" s="54" t="s">
        <v>546</v>
      </c>
      <c r="O176" s="54"/>
      <c r="P176" s="54"/>
      <c r="Q176" s="54"/>
      <c r="R176" s="54"/>
      <c r="S176" s="54"/>
      <c r="T176" s="54"/>
      <c r="U176" s="54"/>
      <c r="V176" s="54"/>
      <c r="W176" s="54"/>
      <c r="X176" s="54"/>
      <c r="Y176" s="54"/>
      <c r="Z176" s="54"/>
      <c r="AA176" s="54"/>
      <c r="AB176" s="54"/>
      <c r="AC176" s="54"/>
      <c r="AD176" s="54"/>
      <c r="AE176" s="54"/>
      <c r="AF176" s="54"/>
      <c r="AG176" s="54"/>
      <c r="AH176" s="54"/>
    </row>
    <row r="177">
      <c r="A177" s="59" t="s">
        <v>240</v>
      </c>
      <c r="B177" s="80" t="s">
        <v>20</v>
      </c>
      <c r="C177" s="80" t="s">
        <v>21</v>
      </c>
      <c r="D177" s="80" t="s">
        <v>22</v>
      </c>
      <c r="E177" s="80" t="s">
        <v>416</v>
      </c>
      <c r="F177" s="59" t="s">
        <v>554</v>
      </c>
      <c r="G177" s="59" t="s">
        <v>555</v>
      </c>
      <c r="H177" s="83">
        <v>2013.0</v>
      </c>
      <c r="I177" s="76">
        <v>42913.0</v>
      </c>
      <c r="J177" s="76" t="s">
        <v>188</v>
      </c>
      <c r="K177" s="81" t="s">
        <v>188</v>
      </c>
      <c r="L177" s="82" t="s">
        <v>81</v>
      </c>
      <c r="M177" s="30" t="s">
        <v>243</v>
      </c>
      <c r="N177" s="54" t="s">
        <v>547</v>
      </c>
      <c r="O177" s="54"/>
      <c r="P177" s="54"/>
      <c r="Q177" s="54"/>
      <c r="R177" s="54"/>
      <c r="S177" s="54"/>
      <c r="T177" s="54"/>
      <c r="U177" s="54"/>
      <c r="V177" s="54"/>
      <c r="W177" s="54"/>
      <c r="X177" s="54"/>
      <c r="Y177" s="54"/>
      <c r="Z177" s="54"/>
      <c r="AA177" s="54"/>
      <c r="AB177" s="54"/>
      <c r="AC177" s="54"/>
      <c r="AD177" s="54"/>
      <c r="AE177" s="54"/>
      <c r="AF177" s="54"/>
      <c r="AG177" s="54"/>
      <c r="AH177" s="54"/>
    </row>
    <row r="178">
      <c r="A178" s="59" t="s">
        <v>240</v>
      </c>
      <c r="B178" s="80" t="s">
        <v>20</v>
      </c>
      <c r="C178" s="80" t="s">
        <v>21</v>
      </c>
      <c r="D178" s="80" t="s">
        <v>22</v>
      </c>
      <c r="E178" s="80" t="s">
        <v>416</v>
      </c>
      <c r="F178" s="59" t="s">
        <v>554</v>
      </c>
      <c r="G178" s="59" t="s">
        <v>555</v>
      </c>
      <c r="H178" s="83">
        <v>2014.0</v>
      </c>
      <c r="I178" s="76">
        <v>47691.0</v>
      </c>
      <c r="J178" s="76" t="s">
        <v>188</v>
      </c>
      <c r="K178" s="81" t="s">
        <v>188</v>
      </c>
      <c r="L178" s="82" t="s">
        <v>81</v>
      </c>
      <c r="M178" s="30" t="s">
        <v>243</v>
      </c>
      <c r="N178" s="54" t="s">
        <v>548</v>
      </c>
      <c r="O178" s="54"/>
      <c r="P178" s="54"/>
      <c r="Q178" s="54"/>
      <c r="R178" s="54"/>
      <c r="S178" s="54"/>
      <c r="T178" s="54"/>
      <c r="U178" s="54"/>
      <c r="V178" s="54"/>
      <c r="W178" s="54"/>
      <c r="X178" s="54"/>
      <c r="Y178" s="54"/>
      <c r="Z178" s="54"/>
      <c r="AA178" s="54"/>
      <c r="AB178" s="54"/>
      <c r="AC178" s="54"/>
      <c r="AD178" s="54"/>
      <c r="AE178" s="54"/>
      <c r="AF178" s="54"/>
      <c r="AG178" s="54"/>
      <c r="AH178" s="54"/>
    </row>
    <row r="179">
      <c r="A179" s="11" t="s">
        <v>88</v>
      </c>
      <c r="B179" s="11" t="s">
        <v>20</v>
      </c>
      <c r="C179" s="11" t="s">
        <v>68</v>
      </c>
      <c r="D179" s="11" t="s">
        <v>635</v>
      </c>
      <c r="E179" s="11" t="s">
        <v>636</v>
      </c>
      <c r="F179" s="11" t="s">
        <v>72</v>
      </c>
      <c r="G179" s="25" t="s">
        <v>74</v>
      </c>
      <c r="H179" s="87">
        <v>1990.96875</v>
      </c>
      <c r="I179" s="27">
        <v>4860.0</v>
      </c>
      <c r="J179" s="44">
        <v>1619.59654178674</v>
      </c>
      <c r="K179" s="87">
        <v>14207.492795389</v>
      </c>
      <c r="L179" s="29" t="s">
        <v>81</v>
      </c>
      <c r="M179" s="30" t="s">
        <v>205</v>
      </c>
      <c r="N179" s="11" t="s">
        <v>207</v>
      </c>
      <c r="O179" s="11" t="s">
        <v>638</v>
      </c>
    </row>
    <row r="180">
      <c r="A180" s="11" t="s">
        <v>88</v>
      </c>
      <c r="B180" s="11" t="s">
        <v>20</v>
      </c>
      <c r="C180" s="11" t="s">
        <v>68</v>
      </c>
      <c r="D180" s="11" t="s">
        <v>635</v>
      </c>
      <c r="E180" s="11" t="s">
        <v>636</v>
      </c>
      <c r="F180" s="11" t="s">
        <v>72</v>
      </c>
      <c r="G180" s="25" t="s">
        <v>74</v>
      </c>
      <c r="H180" s="87">
        <v>1993.03125</v>
      </c>
      <c r="I180" s="27">
        <v>4812.0</v>
      </c>
      <c r="J180" s="44">
        <v>1654.17867435159</v>
      </c>
      <c r="K180" s="87">
        <v>14311.2391930836</v>
      </c>
      <c r="L180" s="29" t="s">
        <v>81</v>
      </c>
      <c r="M180" s="30" t="s">
        <v>205</v>
      </c>
      <c r="N180" s="11" t="s">
        <v>207</v>
      </c>
    </row>
    <row r="181">
      <c r="A181" s="11" t="s">
        <v>88</v>
      </c>
      <c r="B181" s="11" t="s">
        <v>20</v>
      </c>
      <c r="C181" s="11" t="s">
        <v>68</v>
      </c>
      <c r="D181" s="11" t="s">
        <v>635</v>
      </c>
      <c r="E181" s="11" t="s">
        <v>636</v>
      </c>
      <c r="F181" s="11" t="s">
        <v>72</v>
      </c>
      <c r="G181" s="25" t="s">
        <v>74</v>
      </c>
      <c r="H181" s="87">
        <v>1996.03125</v>
      </c>
      <c r="I181" s="27">
        <v>2680.0</v>
      </c>
      <c r="J181" s="44">
        <v>858.78962536023</v>
      </c>
      <c r="K181" s="87">
        <v>8190.20172910663</v>
      </c>
      <c r="L181" s="29" t="s">
        <v>81</v>
      </c>
      <c r="M181" s="30" t="s">
        <v>205</v>
      </c>
      <c r="N181" s="11" t="s">
        <v>207</v>
      </c>
    </row>
    <row r="182">
      <c r="A182" s="11" t="s">
        <v>88</v>
      </c>
      <c r="B182" s="11" t="s">
        <v>20</v>
      </c>
      <c r="C182" s="11" t="s">
        <v>68</v>
      </c>
      <c r="D182" s="11" t="s">
        <v>635</v>
      </c>
      <c r="E182" s="11" t="s">
        <v>636</v>
      </c>
      <c r="F182" s="11" t="s">
        <v>72</v>
      </c>
      <c r="G182" s="25" t="s">
        <v>74</v>
      </c>
      <c r="H182" s="87">
        <v>2000.96875</v>
      </c>
      <c r="I182" s="27">
        <v>2422.0</v>
      </c>
      <c r="J182" s="44">
        <v>789.625360230548</v>
      </c>
      <c r="K182" s="87">
        <v>7913.5446685879</v>
      </c>
      <c r="L182" s="29" t="s">
        <v>81</v>
      </c>
      <c r="M182" s="30" t="s">
        <v>205</v>
      </c>
      <c r="N182" s="11" t="s">
        <v>207</v>
      </c>
    </row>
    <row r="183">
      <c r="A183" s="11" t="s">
        <v>88</v>
      </c>
      <c r="B183" s="11" t="s">
        <v>20</v>
      </c>
      <c r="C183" s="11" t="s">
        <v>68</v>
      </c>
      <c r="D183" s="11" t="s">
        <v>635</v>
      </c>
      <c r="E183" s="11" t="s">
        <v>636</v>
      </c>
      <c r="F183" s="11" t="s">
        <v>72</v>
      </c>
      <c r="G183" s="25" t="s">
        <v>74</v>
      </c>
      <c r="H183" s="87">
        <v>2005.03125</v>
      </c>
      <c r="I183" s="27">
        <v>2246.0</v>
      </c>
      <c r="J183" s="44">
        <v>720.461095100865</v>
      </c>
      <c r="K183" s="87">
        <v>7325.64841498559</v>
      </c>
      <c r="L183" s="29" t="s">
        <v>81</v>
      </c>
      <c r="M183" s="30" t="s">
        <v>205</v>
      </c>
      <c r="N183" s="11" t="s">
        <v>207</v>
      </c>
    </row>
    <row r="184">
      <c r="A184" s="11" t="s">
        <v>88</v>
      </c>
      <c r="B184" s="11" t="s">
        <v>20</v>
      </c>
      <c r="C184" s="11" t="s">
        <v>68</v>
      </c>
      <c r="D184" s="11" t="s">
        <v>635</v>
      </c>
      <c r="E184" s="11" t="s">
        <v>636</v>
      </c>
      <c r="F184" s="11" t="s">
        <v>72</v>
      </c>
      <c r="G184" s="25" t="s">
        <v>74</v>
      </c>
      <c r="H184" s="87">
        <v>2008.0625</v>
      </c>
      <c r="I184" s="27">
        <v>3314.0</v>
      </c>
      <c r="J184" s="44">
        <v>1031.70028818444</v>
      </c>
      <c r="K184" s="87">
        <v>10334.2939481268</v>
      </c>
      <c r="L184" s="29" t="s">
        <v>81</v>
      </c>
      <c r="M184" s="30" t="s">
        <v>205</v>
      </c>
      <c r="N184" s="11" t="s">
        <v>207</v>
      </c>
    </row>
    <row r="185">
      <c r="A185" s="11" t="s">
        <v>88</v>
      </c>
      <c r="B185" s="11" t="s">
        <v>20</v>
      </c>
      <c r="C185" s="11" t="s">
        <v>68</v>
      </c>
      <c r="D185" s="11" t="s">
        <v>635</v>
      </c>
      <c r="E185" s="11" t="s">
        <v>636</v>
      </c>
      <c r="F185" s="11" t="s">
        <v>72</v>
      </c>
      <c r="G185" s="25" t="s">
        <v>74</v>
      </c>
      <c r="H185" s="87">
        <v>2014.03125</v>
      </c>
      <c r="I185" s="27">
        <v>3274.0</v>
      </c>
      <c r="J185" s="44">
        <v>997.118155619595</v>
      </c>
      <c r="K185" s="87">
        <v>10853.0259365994</v>
      </c>
      <c r="L185" s="29" t="s">
        <v>81</v>
      </c>
      <c r="M185" s="30" t="s">
        <v>205</v>
      </c>
      <c r="N185" s="39" t="s">
        <v>643</v>
      </c>
    </row>
    <row r="186">
      <c r="A186" s="11" t="s">
        <v>88</v>
      </c>
      <c r="B186" s="11" t="s">
        <v>20</v>
      </c>
      <c r="C186" s="11" t="s">
        <v>68</v>
      </c>
      <c r="D186" s="11" t="s">
        <v>635</v>
      </c>
      <c r="E186" s="11" t="s">
        <v>636</v>
      </c>
      <c r="F186" s="11" t="s">
        <v>644</v>
      </c>
      <c r="G186" s="25" t="s">
        <v>74</v>
      </c>
      <c r="H186" s="88">
        <v>2016.0</v>
      </c>
      <c r="I186" s="27">
        <v>5454.0</v>
      </c>
      <c r="J186" s="27">
        <v>3151.0</v>
      </c>
      <c r="K186" s="28">
        <v>8907.0</v>
      </c>
      <c r="L186" s="29" t="s">
        <v>81</v>
      </c>
      <c r="M186" s="30" t="s">
        <v>205</v>
      </c>
      <c r="N186" s="39" t="s">
        <v>645</v>
      </c>
      <c r="O186" s="11" t="s">
        <v>646</v>
      </c>
    </row>
    <row r="187">
      <c r="A187" s="11" t="s">
        <v>57</v>
      </c>
      <c r="B187" s="11" t="s">
        <v>20</v>
      </c>
      <c r="C187" s="11" t="s">
        <v>68</v>
      </c>
      <c r="D187" s="11" t="s">
        <v>607</v>
      </c>
      <c r="E187" s="11" t="s">
        <v>648</v>
      </c>
      <c r="F187" s="11" t="s">
        <v>257</v>
      </c>
      <c r="G187" s="25" t="s">
        <v>74</v>
      </c>
      <c r="H187" s="11">
        <v>1991.0</v>
      </c>
      <c r="I187" s="89">
        <v>25323.0</v>
      </c>
      <c r="J187" s="89">
        <v>4134.0</v>
      </c>
      <c r="K187" s="90">
        <v>151421.0</v>
      </c>
      <c r="L187" s="42" t="s">
        <v>260</v>
      </c>
      <c r="M187" s="30" t="s">
        <v>649</v>
      </c>
      <c r="N187" s="67"/>
    </row>
    <row r="188">
      <c r="A188" s="11" t="s">
        <v>57</v>
      </c>
      <c r="B188" s="11" t="s">
        <v>20</v>
      </c>
      <c r="C188" s="11" t="s">
        <v>68</v>
      </c>
      <c r="D188" s="11" t="s">
        <v>607</v>
      </c>
      <c r="E188" s="11" t="s">
        <v>648</v>
      </c>
      <c r="F188" s="11" t="s">
        <v>257</v>
      </c>
      <c r="G188" s="25" t="s">
        <v>74</v>
      </c>
      <c r="H188" s="11">
        <v>1993.0</v>
      </c>
      <c r="I188" s="89">
        <v>8269.0</v>
      </c>
      <c r="J188" s="89">
        <v>1034.0</v>
      </c>
      <c r="K188" s="90">
        <v>63049.0</v>
      </c>
      <c r="L188" s="42" t="s">
        <v>260</v>
      </c>
      <c r="M188" s="30" t="s">
        <v>649</v>
      </c>
      <c r="N188" s="67"/>
    </row>
    <row r="189">
      <c r="A189" s="11" t="s">
        <v>57</v>
      </c>
      <c r="B189" s="11" t="s">
        <v>20</v>
      </c>
      <c r="C189" s="11" t="s">
        <v>68</v>
      </c>
      <c r="D189" s="11" t="s">
        <v>607</v>
      </c>
      <c r="E189" s="11" t="s">
        <v>648</v>
      </c>
      <c r="F189" s="11" t="s">
        <v>257</v>
      </c>
      <c r="G189" s="25" t="s">
        <v>74</v>
      </c>
      <c r="H189" s="11">
        <v>1996.0</v>
      </c>
      <c r="I189" s="89">
        <v>56848.0</v>
      </c>
      <c r="J189" s="89">
        <v>17054.0</v>
      </c>
      <c r="K189" s="90">
        <v>200000.0</v>
      </c>
      <c r="L189" s="42" t="s">
        <v>260</v>
      </c>
      <c r="M189" s="30" t="s">
        <v>649</v>
      </c>
      <c r="N189" s="67"/>
    </row>
    <row r="190">
      <c r="A190" s="11" t="s">
        <v>57</v>
      </c>
      <c r="B190" s="11" t="s">
        <v>20</v>
      </c>
      <c r="C190" s="11" t="s">
        <v>68</v>
      </c>
      <c r="D190" s="11" t="s">
        <v>607</v>
      </c>
      <c r="E190" s="11" t="s">
        <v>648</v>
      </c>
      <c r="F190" s="11" t="s">
        <v>257</v>
      </c>
      <c r="G190" s="25" t="s">
        <v>74</v>
      </c>
      <c r="H190" s="11">
        <v>2001.0</v>
      </c>
      <c r="I190" s="89">
        <v>27390.0</v>
      </c>
      <c r="J190" s="89">
        <v>10336.0</v>
      </c>
      <c r="K190" s="90">
        <v>78036.0</v>
      </c>
      <c r="L190" s="42" t="s">
        <v>260</v>
      </c>
      <c r="M190" s="30" t="s">
        <v>649</v>
      </c>
      <c r="N190" s="67"/>
    </row>
    <row r="191">
      <c r="A191" s="11" t="s">
        <v>57</v>
      </c>
      <c r="B191" s="11" t="s">
        <v>20</v>
      </c>
      <c r="C191" s="11" t="s">
        <v>68</v>
      </c>
      <c r="D191" s="11" t="s">
        <v>607</v>
      </c>
      <c r="E191" s="11" t="s">
        <v>648</v>
      </c>
      <c r="F191" s="11" t="s">
        <v>257</v>
      </c>
      <c r="G191" s="25" t="s">
        <v>74</v>
      </c>
      <c r="H191" s="11">
        <v>2005.0</v>
      </c>
      <c r="I191" s="89">
        <v>45995.0</v>
      </c>
      <c r="J191" s="89">
        <v>12920.0</v>
      </c>
      <c r="K191" s="90">
        <v>168992.0</v>
      </c>
      <c r="L191" s="42" t="s">
        <v>260</v>
      </c>
      <c r="M191" s="30" t="s">
        <v>649</v>
      </c>
      <c r="N191" s="67"/>
    </row>
    <row r="192">
      <c r="A192" s="11" t="s">
        <v>57</v>
      </c>
      <c r="B192" s="11" t="s">
        <v>20</v>
      </c>
      <c r="C192" s="11" t="s">
        <v>68</v>
      </c>
      <c r="D192" s="11" t="s">
        <v>607</v>
      </c>
      <c r="E192" s="11" t="s">
        <v>648</v>
      </c>
      <c r="F192" s="11" t="s">
        <v>257</v>
      </c>
      <c r="G192" s="25" t="s">
        <v>74</v>
      </c>
      <c r="H192" s="11">
        <v>2008.0</v>
      </c>
      <c r="I192" s="89">
        <v>29974.0</v>
      </c>
      <c r="J192" s="89">
        <v>10336.0</v>
      </c>
      <c r="K192" s="90">
        <v>90439.0</v>
      </c>
      <c r="L192" s="42" t="s">
        <v>260</v>
      </c>
      <c r="M192" s="30" t="s">
        <v>649</v>
      </c>
      <c r="N192" s="67"/>
    </row>
    <row r="193">
      <c r="A193" s="11" t="s">
        <v>57</v>
      </c>
      <c r="B193" s="11" t="s">
        <v>20</v>
      </c>
      <c r="C193" s="11" t="s">
        <v>68</v>
      </c>
      <c r="D193" s="11" t="s">
        <v>607</v>
      </c>
      <c r="E193" s="11" t="s">
        <v>648</v>
      </c>
      <c r="F193" s="11" t="s">
        <v>257</v>
      </c>
      <c r="G193" s="25" t="s">
        <v>74</v>
      </c>
      <c r="H193" s="11">
        <v>2014.0</v>
      </c>
      <c r="I193" s="89">
        <v>21705.0</v>
      </c>
      <c r="J193" s="89">
        <v>6718.0</v>
      </c>
      <c r="K193" s="90">
        <v>77519.0</v>
      </c>
      <c r="L193" s="42" t="s">
        <v>260</v>
      </c>
      <c r="M193" s="30" t="s">
        <v>649</v>
      </c>
      <c r="N193" s="67"/>
    </row>
    <row r="194">
      <c r="A194" s="11" t="s">
        <v>57</v>
      </c>
      <c r="B194" s="11" t="s">
        <v>20</v>
      </c>
      <c r="C194" s="11" t="s">
        <v>68</v>
      </c>
      <c r="D194" s="11" t="s">
        <v>607</v>
      </c>
      <c r="E194" s="11" t="s">
        <v>648</v>
      </c>
      <c r="F194" s="11" t="s">
        <v>651</v>
      </c>
      <c r="G194" s="25" t="s">
        <v>74</v>
      </c>
      <c r="H194" s="11">
        <v>1996.0</v>
      </c>
      <c r="I194" s="89">
        <v>50129.0</v>
      </c>
      <c r="J194" s="89">
        <v>36693.0</v>
      </c>
      <c r="K194" s="90">
        <v>66667.0</v>
      </c>
      <c r="L194" s="42" t="s">
        <v>260</v>
      </c>
      <c r="M194" s="30" t="s">
        <v>649</v>
      </c>
      <c r="N194" s="67"/>
    </row>
    <row r="195">
      <c r="A195" s="11" t="s">
        <v>57</v>
      </c>
      <c r="B195" s="11" t="s">
        <v>20</v>
      </c>
      <c r="C195" s="11" t="s">
        <v>68</v>
      </c>
      <c r="D195" s="11" t="s">
        <v>607</v>
      </c>
      <c r="E195" s="11" t="s">
        <v>648</v>
      </c>
      <c r="F195" s="11" t="s">
        <v>651</v>
      </c>
      <c r="G195" s="25" t="s">
        <v>74</v>
      </c>
      <c r="H195" s="11">
        <v>2002.0</v>
      </c>
      <c r="I195" s="89">
        <v>48062.0</v>
      </c>
      <c r="J195" s="89">
        <v>33075.0</v>
      </c>
      <c r="K195" s="90">
        <v>68217.0</v>
      </c>
      <c r="L195" s="42" t="s">
        <v>260</v>
      </c>
      <c r="M195" s="30" t="s">
        <v>649</v>
      </c>
      <c r="N195" s="67"/>
    </row>
    <row r="196">
      <c r="A196" s="11" t="s">
        <v>57</v>
      </c>
      <c r="B196" s="11" t="s">
        <v>20</v>
      </c>
      <c r="C196" s="11" t="s">
        <v>68</v>
      </c>
      <c r="D196" s="11" t="s">
        <v>607</v>
      </c>
      <c r="E196" s="11" t="s">
        <v>648</v>
      </c>
      <c r="F196" s="11" t="s">
        <v>651</v>
      </c>
      <c r="G196" s="25" t="s">
        <v>74</v>
      </c>
      <c r="H196" s="11">
        <v>2006.0</v>
      </c>
      <c r="I196" s="89">
        <v>49096.0</v>
      </c>
      <c r="J196" s="89">
        <v>35142.0</v>
      </c>
      <c r="K196" s="90">
        <v>67700.0</v>
      </c>
      <c r="L196" s="42" t="s">
        <v>260</v>
      </c>
      <c r="M196" s="30" t="s">
        <v>649</v>
      </c>
      <c r="N196" s="67"/>
    </row>
    <row r="197">
      <c r="A197" s="11" t="s">
        <v>57</v>
      </c>
      <c r="B197" s="11" t="s">
        <v>20</v>
      </c>
      <c r="C197" s="11" t="s">
        <v>68</v>
      </c>
      <c r="D197" s="11" t="s">
        <v>607</v>
      </c>
      <c r="E197" s="11" t="s">
        <v>648</v>
      </c>
      <c r="F197" s="11" t="s">
        <v>651</v>
      </c>
      <c r="G197" s="25" t="s">
        <v>74</v>
      </c>
      <c r="H197" s="11">
        <v>2009.0</v>
      </c>
      <c r="I197" s="89">
        <v>39793.0</v>
      </c>
      <c r="J197" s="89">
        <v>27390.0</v>
      </c>
      <c r="K197" s="90">
        <v>55297.0</v>
      </c>
      <c r="L197" s="42" t="s">
        <v>260</v>
      </c>
      <c r="M197" s="30" t="s">
        <v>649</v>
      </c>
      <c r="N197" s="67"/>
    </row>
    <row r="198">
      <c r="A198" s="11" t="s">
        <v>57</v>
      </c>
      <c r="B198" s="11" t="s">
        <v>20</v>
      </c>
      <c r="C198" s="11" t="s">
        <v>68</v>
      </c>
      <c r="D198" s="11" t="s">
        <v>607</v>
      </c>
      <c r="E198" s="11" t="s">
        <v>648</v>
      </c>
      <c r="F198" s="11" t="s">
        <v>157</v>
      </c>
      <c r="G198" s="11" t="s">
        <v>158</v>
      </c>
      <c r="H198" s="11">
        <v>1996.0</v>
      </c>
      <c r="I198" s="40">
        <v>49811.0</v>
      </c>
      <c r="J198" s="40">
        <v>17541.0</v>
      </c>
      <c r="K198" s="41">
        <v>141452.0</v>
      </c>
      <c r="L198" s="42" t="s">
        <v>160</v>
      </c>
      <c r="M198" s="30" t="s">
        <v>649</v>
      </c>
      <c r="N198" s="67"/>
    </row>
    <row r="199">
      <c r="A199" s="11" t="s">
        <v>57</v>
      </c>
      <c r="B199" s="11" t="s">
        <v>20</v>
      </c>
      <c r="C199" s="11" t="s">
        <v>68</v>
      </c>
      <c r="D199" s="11" t="s">
        <v>607</v>
      </c>
      <c r="E199" s="11" t="s">
        <v>648</v>
      </c>
      <c r="F199" s="11" t="s">
        <v>157</v>
      </c>
      <c r="G199" s="11" t="s">
        <v>158</v>
      </c>
      <c r="H199" s="11">
        <v>2001.0</v>
      </c>
      <c r="I199" s="40">
        <v>44418.0</v>
      </c>
      <c r="J199" s="40">
        <v>16376.0</v>
      </c>
      <c r="K199" s="41">
        <v>120481.0</v>
      </c>
      <c r="L199" s="42" t="s">
        <v>160</v>
      </c>
      <c r="M199" s="30" t="s">
        <v>649</v>
      </c>
      <c r="N199" s="67"/>
    </row>
    <row r="200">
      <c r="A200" s="11" t="s">
        <v>57</v>
      </c>
      <c r="B200" s="11" t="s">
        <v>20</v>
      </c>
      <c r="C200" s="11" t="s">
        <v>68</v>
      </c>
      <c r="D200" s="11" t="s">
        <v>607</v>
      </c>
      <c r="E200" s="11" t="s">
        <v>648</v>
      </c>
      <c r="F200" s="11" t="s">
        <v>157</v>
      </c>
      <c r="G200" s="11" t="s">
        <v>158</v>
      </c>
      <c r="H200" s="11">
        <v>2005.0</v>
      </c>
      <c r="I200" s="40">
        <v>36373.0</v>
      </c>
      <c r="J200" s="40">
        <v>13328.0</v>
      </c>
      <c r="K200" s="41">
        <v>99264.0</v>
      </c>
      <c r="L200" s="42" t="s">
        <v>160</v>
      </c>
      <c r="M200" s="30" t="s">
        <v>649</v>
      </c>
      <c r="N200" s="67"/>
    </row>
    <row r="201">
      <c r="A201" s="11" t="s">
        <v>57</v>
      </c>
      <c r="B201" s="11" t="s">
        <v>20</v>
      </c>
      <c r="C201" s="11" t="s">
        <v>68</v>
      </c>
      <c r="D201" s="11" t="s">
        <v>607</v>
      </c>
      <c r="E201" s="11" t="s">
        <v>648</v>
      </c>
      <c r="F201" s="11" t="s">
        <v>157</v>
      </c>
      <c r="G201" s="11" t="s">
        <v>158</v>
      </c>
      <c r="H201" s="11">
        <v>2008.0</v>
      </c>
      <c r="I201" s="40">
        <v>34654.0</v>
      </c>
      <c r="J201" s="40">
        <v>12861.0</v>
      </c>
      <c r="K201" s="41">
        <v>93374.0</v>
      </c>
      <c r="L201" s="42" t="s">
        <v>160</v>
      </c>
      <c r="M201" s="30" t="s">
        <v>649</v>
      </c>
      <c r="N201" s="67"/>
    </row>
    <row r="202">
      <c r="A202" s="11" t="s">
        <v>57</v>
      </c>
      <c r="B202" s="11" t="s">
        <v>20</v>
      </c>
      <c r="C202" s="11" t="s">
        <v>68</v>
      </c>
      <c r="D202" s="11" t="s">
        <v>607</v>
      </c>
      <c r="E202" s="11" t="s">
        <v>648</v>
      </c>
      <c r="F202" s="11" t="s">
        <v>157</v>
      </c>
      <c r="G202" s="11" t="s">
        <v>158</v>
      </c>
      <c r="H202" s="11">
        <v>2014.0</v>
      </c>
      <c r="I202" s="40">
        <v>21219.0</v>
      </c>
      <c r="J202" s="40">
        <v>7686.0</v>
      </c>
      <c r="K202" s="41">
        <v>58580.0</v>
      </c>
      <c r="L202" s="42" t="s">
        <v>160</v>
      </c>
      <c r="M202" s="30" t="s">
        <v>649</v>
      </c>
      <c r="N202" s="67"/>
    </row>
    <row r="203">
      <c r="A203" s="11" t="s">
        <v>57</v>
      </c>
      <c r="B203" s="11" t="s">
        <v>20</v>
      </c>
      <c r="C203" s="11" t="s">
        <v>68</v>
      </c>
      <c r="D203" s="11" t="s">
        <v>607</v>
      </c>
      <c r="E203" s="11" t="s">
        <v>648</v>
      </c>
      <c r="F203" s="11" t="s">
        <v>157</v>
      </c>
      <c r="G203" s="11" t="s">
        <v>158</v>
      </c>
      <c r="H203" s="11">
        <v>2018.0</v>
      </c>
      <c r="I203" s="40">
        <v>16498.0</v>
      </c>
      <c r="J203" s="40">
        <v>5493.0</v>
      </c>
      <c r="K203" s="41">
        <v>49554.0</v>
      </c>
      <c r="L203" s="42" t="s">
        <v>160</v>
      </c>
      <c r="M203" s="30" t="s">
        <v>649</v>
      </c>
      <c r="N203" s="67"/>
    </row>
    <row r="204">
      <c r="A204" s="11" t="s">
        <v>57</v>
      </c>
      <c r="B204" s="11" t="s">
        <v>20</v>
      </c>
      <c r="C204" s="11" t="s">
        <v>309</v>
      </c>
      <c r="D204" s="11" t="s">
        <v>213</v>
      </c>
      <c r="E204" s="11" t="s">
        <v>655</v>
      </c>
      <c r="F204" s="11" t="s">
        <v>656</v>
      </c>
      <c r="G204" s="11" t="s">
        <v>74</v>
      </c>
      <c r="H204" s="11">
        <v>2002.0</v>
      </c>
      <c r="I204" s="40">
        <v>613.0</v>
      </c>
      <c r="J204" s="40">
        <v>96.0</v>
      </c>
      <c r="K204" s="11">
        <v>3906.0</v>
      </c>
      <c r="L204" s="29" t="s">
        <v>81</v>
      </c>
      <c r="M204" s="30" t="s">
        <v>215</v>
      </c>
      <c r="N204" s="11" t="s">
        <v>217</v>
      </c>
      <c r="O204" s="11" t="s">
        <v>657</v>
      </c>
    </row>
    <row r="205">
      <c r="A205" s="11" t="s">
        <v>57</v>
      </c>
      <c r="B205" s="11" t="s">
        <v>20</v>
      </c>
      <c r="C205" s="11" t="s">
        <v>309</v>
      </c>
      <c r="D205" s="11" t="s">
        <v>213</v>
      </c>
      <c r="E205" s="11" t="s">
        <v>655</v>
      </c>
      <c r="F205" s="11" t="s">
        <v>656</v>
      </c>
      <c r="G205" s="11" t="s">
        <v>74</v>
      </c>
      <c r="H205" s="11">
        <v>2010.0</v>
      </c>
      <c r="I205" s="40">
        <v>2489.0</v>
      </c>
      <c r="J205" s="40">
        <v>678.0</v>
      </c>
      <c r="K205" s="11">
        <v>9143.0</v>
      </c>
      <c r="L205" s="29" t="s">
        <v>81</v>
      </c>
      <c r="M205" s="30" t="s">
        <v>215</v>
      </c>
      <c r="N205" s="11" t="s">
        <v>217</v>
      </c>
    </row>
    <row r="206">
      <c r="A206" s="11" t="s">
        <v>57</v>
      </c>
      <c r="B206" s="11" t="s">
        <v>20</v>
      </c>
      <c r="C206" s="11" t="s">
        <v>309</v>
      </c>
      <c r="D206" s="11" t="s">
        <v>213</v>
      </c>
      <c r="E206" s="11" t="s">
        <v>655</v>
      </c>
      <c r="F206" s="11" t="s">
        <v>656</v>
      </c>
      <c r="G206" s="11" t="s">
        <v>74</v>
      </c>
      <c r="H206" s="11">
        <v>2017.0</v>
      </c>
      <c r="I206" s="40">
        <v>5106.0</v>
      </c>
      <c r="J206" s="40">
        <v>1640.0</v>
      </c>
      <c r="K206" s="11">
        <v>15892.0</v>
      </c>
      <c r="L206" s="29" t="s">
        <v>81</v>
      </c>
      <c r="M206" s="30" t="s">
        <v>215</v>
      </c>
      <c r="N206" s="11" t="s">
        <v>217</v>
      </c>
    </row>
    <row r="207">
      <c r="A207" s="11" t="s">
        <v>57</v>
      </c>
      <c r="B207" s="11" t="s">
        <v>20</v>
      </c>
      <c r="C207" s="11" t="s">
        <v>309</v>
      </c>
      <c r="D207" s="11" t="s">
        <v>213</v>
      </c>
      <c r="E207" s="11" t="s">
        <v>655</v>
      </c>
      <c r="F207" s="11" t="s">
        <v>659</v>
      </c>
      <c r="G207" s="11" t="s">
        <v>74</v>
      </c>
      <c r="H207" s="11">
        <v>2002.0</v>
      </c>
      <c r="I207" s="40">
        <v>2122.0</v>
      </c>
      <c r="J207" s="40">
        <v>1136.0</v>
      </c>
      <c r="K207" s="11">
        <v>3964.0</v>
      </c>
      <c r="L207" s="29" t="s">
        <v>81</v>
      </c>
      <c r="M207" s="30" t="s">
        <v>215</v>
      </c>
      <c r="N207" s="11" t="s">
        <v>217</v>
      </c>
    </row>
    <row r="208">
      <c r="A208" s="11" t="s">
        <v>57</v>
      </c>
      <c r="B208" s="11" t="s">
        <v>20</v>
      </c>
      <c r="C208" s="11" t="s">
        <v>309</v>
      </c>
      <c r="D208" s="11" t="s">
        <v>213</v>
      </c>
      <c r="E208" s="11" t="s">
        <v>655</v>
      </c>
      <c r="F208" s="11" t="s">
        <v>659</v>
      </c>
      <c r="G208" s="11" t="s">
        <v>74</v>
      </c>
      <c r="H208" s="11">
        <v>2010.0</v>
      </c>
      <c r="I208" s="40">
        <v>2144.0</v>
      </c>
      <c r="J208" s="40">
        <v>1159.0</v>
      </c>
      <c r="K208" s="11">
        <v>3965.0</v>
      </c>
      <c r="L208" s="29" t="s">
        <v>81</v>
      </c>
      <c r="M208" s="30" t="s">
        <v>215</v>
      </c>
      <c r="N208" s="11" t="s">
        <v>217</v>
      </c>
    </row>
    <row r="209">
      <c r="A209" s="11" t="s">
        <v>57</v>
      </c>
      <c r="B209" s="11" t="s">
        <v>20</v>
      </c>
      <c r="C209" s="11" t="s">
        <v>309</v>
      </c>
      <c r="D209" s="11" t="s">
        <v>213</v>
      </c>
      <c r="E209" s="11" t="s">
        <v>655</v>
      </c>
      <c r="F209" s="11" t="s">
        <v>659</v>
      </c>
      <c r="G209" s="11" t="s">
        <v>74</v>
      </c>
      <c r="H209" s="11">
        <v>2017.0</v>
      </c>
      <c r="I209" s="40">
        <v>2086.0</v>
      </c>
      <c r="J209" s="40">
        <v>1079.0</v>
      </c>
      <c r="K209" s="11">
        <v>4031.0</v>
      </c>
      <c r="L209" s="29" t="s">
        <v>81</v>
      </c>
      <c r="M209" s="30" t="s">
        <v>215</v>
      </c>
      <c r="N209" s="11" t="s">
        <v>217</v>
      </c>
    </row>
    <row r="210">
      <c r="A210" s="11" t="s">
        <v>57</v>
      </c>
      <c r="B210" s="11" t="s">
        <v>20</v>
      </c>
      <c r="C210" s="11" t="s">
        <v>68</v>
      </c>
      <c r="D210" s="11" t="s">
        <v>109</v>
      </c>
      <c r="E210" s="11" t="s">
        <v>661</v>
      </c>
      <c r="F210" s="11" t="s">
        <v>662</v>
      </c>
      <c r="G210" s="11" t="s">
        <v>74</v>
      </c>
      <c r="H210" s="27">
        <v>1991.0</v>
      </c>
      <c r="I210" s="27">
        <v>1381.0</v>
      </c>
      <c r="J210" s="27">
        <v>1077.0</v>
      </c>
      <c r="K210" s="28">
        <v>2795.0</v>
      </c>
      <c r="L210" s="29" t="s">
        <v>81</v>
      </c>
      <c r="M210" s="30" t="s">
        <v>111</v>
      </c>
      <c r="N210" s="11" t="s">
        <v>120</v>
      </c>
      <c r="O210" s="11" t="s">
        <v>666</v>
      </c>
    </row>
    <row r="211">
      <c r="A211" s="11" t="s">
        <v>57</v>
      </c>
      <c r="B211" s="11" t="s">
        <v>20</v>
      </c>
      <c r="C211" s="11" t="s">
        <v>68</v>
      </c>
      <c r="D211" s="11" t="s">
        <v>109</v>
      </c>
      <c r="E211" s="11" t="s">
        <v>661</v>
      </c>
      <c r="F211" s="11" t="s">
        <v>662</v>
      </c>
      <c r="G211" s="11" t="s">
        <v>74</v>
      </c>
      <c r="H211" s="27">
        <v>1993.0</v>
      </c>
      <c r="I211" s="27">
        <v>2779.0</v>
      </c>
      <c r="J211" s="27">
        <v>2285.0</v>
      </c>
      <c r="K211" s="28">
        <v>5099.0</v>
      </c>
      <c r="L211" s="29" t="s">
        <v>81</v>
      </c>
      <c r="M211" s="30" t="s">
        <v>111</v>
      </c>
      <c r="N211" s="11" t="s">
        <v>120</v>
      </c>
    </row>
    <row r="212">
      <c r="A212" s="11" t="s">
        <v>57</v>
      </c>
      <c r="B212" s="11" t="s">
        <v>20</v>
      </c>
      <c r="C212" s="11" t="s">
        <v>68</v>
      </c>
      <c r="D212" s="11" t="s">
        <v>109</v>
      </c>
      <c r="E212" s="11" t="s">
        <v>661</v>
      </c>
      <c r="F212" s="11" t="s">
        <v>662</v>
      </c>
      <c r="G212" s="11" t="s">
        <v>74</v>
      </c>
      <c r="H212" s="44">
        <v>1995.50380228137</v>
      </c>
      <c r="I212" s="27">
        <v>3680.0</v>
      </c>
      <c r="J212" s="27">
        <v>3071.0</v>
      </c>
      <c r="K212" s="28">
        <v>5196.0</v>
      </c>
      <c r="L212" s="29" t="s">
        <v>81</v>
      </c>
      <c r="M212" s="30" t="s">
        <v>111</v>
      </c>
      <c r="N212" s="11" t="s">
        <v>120</v>
      </c>
    </row>
    <row r="213">
      <c r="A213" s="11" t="s">
        <v>57</v>
      </c>
      <c r="B213" s="11" t="s">
        <v>20</v>
      </c>
      <c r="C213" s="11" t="s">
        <v>68</v>
      </c>
      <c r="D213" s="11" t="s">
        <v>109</v>
      </c>
      <c r="E213" s="11" t="s">
        <v>661</v>
      </c>
      <c r="F213" s="11" t="s">
        <v>662</v>
      </c>
      <c r="G213" s="11" t="s">
        <v>74</v>
      </c>
      <c r="H213" s="44">
        <v>2000.53231939164</v>
      </c>
      <c r="I213" s="27">
        <v>3491.0</v>
      </c>
      <c r="J213" s="27">
        <v>2680.0</v>
      </c>
      <c r="K213" s="28">
        <v>6050.0</v>
      </c>
      <c r="L213" s="29" t="s">
        <v>81</v>
      </c>
      <c r="M213" s="30" t="s">
        <v>111</v>
      </c>
      <c r="N213" s="11" t="s">
        <v>120</v>
      </c>
    </row>
    <row r="214">
      <c r="A214" s="11" t="s">
        <v>57</v>
      </c>
      <c r="B214" s="11" t="s">
        <v>20</v>
      </c>
      <c r="C214" s="11" t="s">
        <v>68</v>
      </c>
      <c r="D214" s="11" t="s">
        <v>109</v>
      </c>
      <c r="E214" s="11" t="s">
        <v>661</v>
      </c>
      <c r="F214" s="11" t="s">
        <v>662</v>
      </c>
      <c r="G214" s="11" t="s">
        <v>74</v>
      </c>
      <c r="H214" s="27">
        <v>2005.0</v>
      </c>
      <c r="I214" s="27">
        <v>6801.0</v>
      </c>
      <c r="J214" s="27">
        <v>6048.0</v>
      </c>
      <c r="K214" s="28">
        <v>9775.0</v>
      </c>
      <c r="L214" s="29" t="s">
        <v>81</v>
      </c>
      <c r="M214" s="30" t="s">
        <v>111</v>
      </c>
      <c r="N214" s="11" t="s">
        <v>120</v>
      </c>
    </row>
    <row r="215">
      <c r="A215" s="11" t="s">
        <v>57</v>
      </c>
      <c r="B215" s="11" t="s">
        <v>20</v>
      </c>
      <c r="C215" s="11" t="s">
        <v>68</v>
      </c>
      <c r="D215" s="11" t="s">
        <v>109</v>
      </c>
      <c r="E215" s="11" t="s">
        <v>661</v>
      </c>
      <c r="F215" s="11" t="s">
        <v>662</v>
      </c>
      <c r="G215" s="11" t="s">
        <v>74</v>
      </c>
      <c r="H215" s="27">
        <v>2008.0</v>
      </c>
      <c r="I215" s="27">
        <v>7624.0</v>
      </c>
      <c r="J215" s="27">
        <v>6567.0</v>
      </c>
      <c r="K215" s="28">
        <v>11740.0</v>
      </c>
      <c r="L215" s="29" t="s">
        <v>81</v>
      </c>
      <c r="M215" s="30" t="s">
        <v>111</v>
      </c>
      <c r="N215" s="11" t="s">
        <v>120</v>
      </c>
    </row>
    <row r="216">
      <c r="A216" s="11" t="s">
        <v>57</v>
      </c>
      <c r="B216" s="11" t="s">
        <v>20</v>
      </c>
      <c r="C216" s="11" t="s">
        <v>68</v>
      </c>
      <c r="D216" s="11" t="s">
        <v>109</v>
      </c>
      <c r="E216" s="11" t="s">
        <v>661</v>
      </c>
      <c r="F216" s="11" t="s">
        <v>662</v>
      </c>
      <c r="G216" s="11" t="s">
        <v>74</v>
      </c>
      <c r="H216" s="27">
        <v>2014.0</v>
      </c>
      <c r="I216" s="27">
        <v>8127.0</v>
      </c>
      <c r="J216" s="27">
        <v>7185.0</v>
      </c>
      <c r="K216" s="28">
        <v>11386.0</v>
      </c>
      <c r="L216" s="29" t="s">
        <v>81</v>
      </c>
      <c r="M216" s="30" t="s">
        <v>111</v>
      </c>
      <c r="N216" s="11" t="s">
        <v>120</v>
      </c>
    </row>
    <row r="217">
      <c r="A217" s="11" t="s">
        <v>57</v>
      </c>
      <c r="B217" s="11" t="s">
        <v>20</v>
      </c>
      <c r="C217" s="11" t="s">
        <v>68</v>
      </c>
      <c r="D217" s="11" t="s">
        <v>109</v>
      </c>
      <c r="E217" s="11" t="s">
        <v>661</v>
      </c>
      <c r="F217" s="11" t="s">
        <v>669</v>
      </c>
      <c r="G217" s="11" t="s">
        <v>74</v>
      </c>
      <c r="H217" s="87">
        <v>1991.48098859316</v>
      </c>
      <c r="I217" s="44">
        <v>1486.61361765513</v>
      </c>
      <c r="J217" s="44">
        <v>455.685782603581</v>
      </c>
      <c r="K217" s="87">
        <v>4734.0362980675</v>
      </c>
      <c r="L217" s="29" t="s">
        <v>260</v>
      </c>
      <c r="M217" s="30" t="s">
        <v>111</v>
      </c>
      <c r="N217" s="11" t="s">
        <v>120</v>
      </c>
    </row>
    <row r="218">
      <c r="A218" s="11" t="s">
        <v>57</v>
      </c>
      <c r="B218" s="11" t="s">
        <v>20</v>
      </c>
      <c r="C218" s="11" t="s">
        <v>68</v>
      </c>
      <c r="D218" s="11" t="s">
        <v>109</v>
      </c>
      <c r="E218" s="11" t="s">
        <v>661</v>
      </c>
      <c r="F218" s="11" t="s">
        <v>669</v>
      </c>
      <c r="G218" s="11" t="s">
        <v>74</v>
      </c>
      <c r="H218" s="87">
        <v>1993.44866920152</v>
      </c>
      <c r="I218" s="44">
        <v>3080.14189957273</v>
      </c>
      <c r="J218" s="44">
        <v>1276.01818823253</v>
      </c>
      <c r="K218" s="87">
        <v>7358.49241503665</v>
      </c>
      <c r="L218" s="29" t="s">
        <v>260</v>
      </c>
      <c r="M218" s="30" t="s">
        <v>111</v>
      </c>
      <c r="N218" s="11" t="s">
        <v>120</v>
      </c>
    </row>
    <row r="219">
      <c r="A219" s="11" t="s">
        <v>57</v>
      </c>
      <c r="B219" s="11" t="s">
        <v>20</v>
      </c>
      <c r="C219" s="11" t="s">
        <v>68</v>
      </c>
      <c r="D219" s="11" t="s">
        <v>109</v>
      </c>
      <c r="E219" s="11" t="s">
        <v>661</v>
      </c>
      <c r="F219" s="11" t="s">
        <v>669</v>
      </c>
      <c r="G219" s="11" t="s">
        <v>74</v>
      </c>
      <c r="H219" s="87">
        <v>1996.46577946768</v>
      </c>
      <c r="I219" s="44">
        <v>4671.31825487045</v>
      </c>
      <c r="J219" s="44">
        <v>2557.81819607228</v>
      </c>
      <c r="K219" s="87">
        <v>8691.93681157148</v>
      </c>
      <c r="L219" s="29" t="s">
        <v>260</v>
      </c>
      <c r="M219" s="30" t="s">
        <v>111</v>
      </c>
      <c r="N219" s="11" t="s">
        <v>120</v>
      </c>
    </row>
    <row r="220">
      <c r="A220" s="11" t="s">
        <v>57</v>
      </c>
      <c r="B220" s="11" t="s">
        <v>20</v>
      </c>
      <c r="C220" s="11" t="s">
        <v>68</v>
      </c>
      <c r="D220" s="11" t="s">
        <v>109</v>
      </c>
      <c r="E220" s="11" t="s">
        <v>661</v>
      </c>
      <c r="F220" s="11" t="s">
        <v>669</v>
      </c>
      <c r="G220" s="11" t="s">
        <v>74</v>
      </c>
      <c r="H220" s="87">
        <v>2001.45057034221</v>
      </c>
      <c r="I220" s="44">
        <v>5072.51773744659</v>
      </c>
      <c r="J220" s="44">
        <v>1567.26510132883</v>
      </c>
      <c r="K220" s="87">
        <v>16309.533142566</v>
      </c>
      <c r="L220" s="29" t="s">
        <v>260</v>
      </c>
      <c r="M220" s="30" t="s">
        <v>111</v>
      </c>
      <c r="N220" s="11" t="s">
        <v>120</v>
      </c>
    </row>
    <row r="221">
      <c r="A221" s="11" t="s">
        <v>57</v>
      </c>
      <c r="B221" s="11" t="s">
        <v>20</v>
      </c>
      <c r="C221" s="11" t="s">
        <v>68</v>
      </c>
      <c r="D221" s="11" t="s">
        <v>109</v>
      </c>
      <c r="E221" s="11" t="s">
        <v>661</v>
      </c>
      <c r="F221" s="11" t="s">
        <v>669</v>
      </c>
      <c r="G221" s="11" t="s">
        <v>74</v>
      </c>
      <c r="H221" s="87">
        <v>2005.47338403042</v>
      </c>
      <c r="I221" s="44">
        <v>8207.83191564423</v>
      </c>
      <c r="J221" s="44">
        <v>4238.85774763827</v>
      </c>
      <c r="K221" s="87">
        <v>15733.6051115205</v>
      </c>
      <c r="L221" s="29" t="s">
        <v>260</v>
      </c>
      <c r="M221" s="30" t="s">
        <v>111</v>
      </c>
      <c r="N221" s="11" t="s">
        <v>120</v>
      </c>
    </row>
    <row r="222">
      <c r="A222" s="11" t="s">
        <v>57</v>
      </c>
      <c r="B222" s="11" t="s">
        <v>20</v>
      </c>
      <c r="C222" s="11" t="s">
        <v>68</v>
      </c>
      <c r="D222" s="11" t="s">
        <v>109</v>
      </c>
      <c r="E222" s="11" t="s">
        <v>661</v>
      </c>
      <c r="F222" s="11" t="s">
        <v>669</v>
      </c>
      <c r="G222" s="11" t="s">
        <v>74</v>
      </c>
      <c r="H222" s="87">
        <v>2008.44676806084</v>
      </c>
      <c r="I222" s="44">
        <v>7221.78668025558</v>
      </c>
      <c r="J222" s="44">
        <v>4283.54435341617</v>
      </c>
      <c r="K222" s="87">
        <v>12221.6886833131</v>
      </c>
      <c r="L222" s="29" t="s">
        <v>260</v>
      </c>
      <c r="M222" s="30" t="s">
        <v>111</v>
      </c>
      <c r="N222" s="11" t="s">
        <v>120</v>
      </c>
    </row>
    <row r="223">
      <c r="A223" s="11" t="s">
        <v>57</v>
      </c>
      <c r="B223" s="11" t="s">
        <v>20</v>
      </c>
      <c r="C223" s="11" t="s">
        <v>68</v>
      </c>
      <c r="D223" s="11" t="s">
        <v>109</v>
      </c>
      <c r="E223" s="11" t="s">
        <v>661</v>
      </c>
      <c r="F223" s="11" t="s">
        <v>669</v>
      </c>
      <c r="G223" s="11" t="s">
        <v>74</v>
      </c>
      <c r="H223" s="87">
        <v>2014.48098859316</v>
      </c>
      <c r="I223" s="44">
        <v>9785.58268982008</v>
      </c>
      <c r="J223" s="44">
        <v>4734.03629806749</v>
      </c>
      <c r="K223" s="87">
        <v>20301.0466073459</v>
      </c>
      <c r="L223" s="29" t="s">
        <v>260</v>
      </c>
      <c r="M223" s="30" t="s">
        <v>111</v>
      </c>
      <c r="N223" s="11" t="s">
        <v>120</v>
      </c>
    </row>
    <row r="224">
      <c r="A224" s="11" t="s">
        <v>57</v>
      </c>
      <c r="B224" s="11" t="s">
        <v>20</v>
      </c>
      <c r="C224" s="11" t="s">
        <v>68</v>
      </c>
      <c r="D224" s="11" t="s">
        <v>612</v>
      </c>
      <c r="E224" s="11" t="s">
        <v>661</v>
      </c>
      <c r="F224" s="11" t="s">
        <v>157</v>
      </c>
      <c r="G224" s="11" t="s">
        <v>158</v>
      </c>
      <c r="H224" s="11">
        <v>1996.0</v>
      </c>
      <c r="I224" s="40">
        <v>3804.0</v>
      </c>
      <c r="J224" s="40">
        <v>2120.0</v>
      </c>
      <c r="K224" s="41">
        <v>6826.0</v>
      </c>
      <c r="L224" s="42" t="s">
        <v>160</v>
      </c>
      <c r="M224" s="30" t="s">
        <v>111</v>
      </c>
      <c r="N224" s="11" t="s">
        <v>120</v>
      </c>
    </row>
    <row r="225">
      <c r="A225" s="11" t="s">
        <v>57</v>
      </c>
      <c r="B225" s="11" t="s">
        <v>20</v>
      </c>
      <c r="C225" s="11" t="s">
        <v>68</v>
      </c>
      <c r="D225" s="11" t="s">
        <v>612</v>
      </c>
      <c r="E225" s="11" t="s">
        <v>661</v>
      </c>
      <c r="F225" s="11" t="s">
        <v>157</v>
      </c>
      <c r="G225" s="11" t="s">
        <v>158</v>
      </c>
      <c r="H225" s="11">
        <v>2001.0</v>
      </c>
      <c r="I225" s="40">
        <v>5733.0</v>
      </c>
      <c r="J225" s="40">
        <v>3149.0</v>
      </c>
      <c r="K225" s="41">
        <v>10439.0</v>
      </c>
      <c r="L225" s="42" t="s">
        <v>160</v>
      </c>
      <c r="M225" s="30" t="s">
        <v>111</v>
      </c>
      <c r="N225" s="11" t="s">
        <v>120</v>
      </c>
    </row>
    <row r="226">
      <c r="A226" s="11" t="s">
        <v>57</v>
      </c>
      <c r="B226" s="11" t="s">
        <v>20</v>
      </c>
      <c r="C226" s="11" t="s">
        <v>68</v>
      </c>
      <c r="D226" s="11" t="s">
        <v>612</v>
      </c>
      <c r="E226" s="11" t="s">
        <v>661</v>
      </c>
      <c r="F226" s="11" t="s">
        <v>157</v>
      </c>
      <c r="G226" s="11" t="s">
        <v>158</v>
      </c>
      <c r="H226" s="11">
        <v>2005.0</v>
      </c>
      <c r="I226" s="40">
        <v>7319.0</v>
      </c>
      <c r="J226" s="40">
        <v>3828.0</v>
      </c>
      <c r="K226" s="41">
        <v>13994.0</v>
      </c>
      <c r="L226" s="42" t="s">
        <v>160</v>
      </c>
      <c r="M226" s="30" t="s">
        <v>111</v>
      </c>
      <c r="N226" s="11" t="s">
        <v>120</v>
      </c>
    </row>
    <row r="227">
      <c r="A227" s="11" t="s">
        <v>57</v>
      </c>
      <c r="B227" s="11" t="s">
        <v>20</v>
      </c>
      <c r="C227" s="11" t="s">
        <v>68</v>
      </c>
      <c r="D227" s="11" t="s">
        <v>612</v>
      </c>
      <c r="E227" s="11" t="s">
        <v>661</v>
      </c>
      <c r="F227" s="11" t="s">
        <v>157</v>
      </c>
      <c r="G227" s="11" t="s">
        <v>158</v>
      </c>
      <c r="H227" s="11">
        <v>2008.0</v>
      </c>
      <c r="I227" s="40">
        <v>7606.0</v>
      </c>
      <c r="J227" s="40">
        <v>3699.0</v>
      </c>
      <c r="K227" s="41">
        <v>15640.0</v>
      </c>
      <c r="L227" s="42" t="s">
        <v>160</v>
      </c>
      <c r="M227" s="30" t="s">
        <v>111</v>
      </c>
      <c r="N227" s="11" t="s">
        <v>120</v>
      </c>
    </row>
    <row r="228">
      <c r="A228" s="11" t="s">
        <v>57</v>
      </c>
      <c r="B228" s="11" t="s">
        <v>20</v>
      </c>
      <c r="C228" s="11" t="s">
        <v>68</v>
      </c>
      <c r="D228" s="11" t="s">
        <v>612</v>
      </c>
      <c r="E228" s="11" t="s">
        <v>661</v>
      </c>
      <c r="F228" s="11" t="s">
        <v>157</v>
      </c>
      <c r="G228" s="11" t="s">
        <v>158</v>
      </c>
      <c r="H228" s="11">
        <v>2014.0</v>
      </c>
      <c r="I228" s="40">
        <v>10139.0</v>
      </c>
      <c r="J228" s="40">
        <v>5817.0</v>
      </c>
      <c r="K228" s="41">
        <v>17672.0</v>
      </c>
      <c r="L228" s="42" t="s">
        <v>160</v>
      </c>
      <c r="M228" s="30" t="s">
        <v>111</v>
      </c>
      <c r="N228" s="11" t="s">
        <v>120</v>
      </c>
    </row>
    <row r="229">
      <c r="A229" s="11" t="s">
        <v>57</v>
      </c>
      <c r="B229" s="11" t="s">
        <v>20</v>
      </c>
      <c r="C229" s="11" t="s">
        <v>68</v>
      </c>
      <c r="D229" s="11" t="s">
        <v>612</v>
      </c>
      <c r="E229" s="11" t="s">
        <v>661</v>
      </c>
      <c r="F229" s="11" t="s">
        <v>157</v>
      </c>
      <c r="G229" s="11" t="s">
        <v>158</v>
      </c>
      <c r="H229" s="11">
        <v>2018.0</v>
      </c>
      <c r="I229" s="40">
        <v>11065.0</v>
      </c>
      <c r="J229" s="40">
        <v>5156.0</v>
      </c>
      <c r="K229" s="41">
        <v>23747.0</v>
      </c>
      <c r="L229" s="42" t="s">
        <v>160</v>
      </c>
      <c r="M229" s="30" t="s">
        <v>111</v>
      </c>
      <c r="N229" s="11" t="s">
        <v>120</v>
      </c>
    </row>
    <row r="230">
      <c r="A230" s="11" t="s">
        <v>121</v>
      </c>
      <c r="B230" s="25" t="s">
        <v>20</v>
      </c>
      <c r="C230" s="25" t="s">
        <v>254</v>
      </c>
      <c r="D230" s="25" t="s">
        <v>141</v>
      </c>
      <c r="E230" s="11" t="s">
        <v>673</v>
      </c>
      <c r="F230" s="25" t="s">
        <v>674</v>
      </c>
      <c r="G230" s="25" t="s">
        <v>74</v>
      </c>
      <c r="H230" s="87">
        <v>1966.92697768763</v>
      </c>
      <c r="I230" s="27">
        <v>13426.0</v>
      </c>
      <c r="J230" s="27">
        <v>10952.4</v>
      </c>
      <c r="K230" s="28">
        <v>15899.6</v>
      </c>
      <c r="L230" s="29" t="s">
        <v>160</v>
      </c>
      <c r="M230" s="55" t="s">
        <v>145</v>
      </c>
      <c r="N230" s="11" t="s">
        <v>151</v>
      </c>
      <c r="O230" s="25"/>
      <c r="P230" s="51"/>
      <c r="Q230" s="51"/>
      <c r="R230" s="51"/>
      <c r="S230" s="51"/>
      <c r="T230" s="51"/>
      <c r="U230" s="51"/>
      <c r="V230" s="51"/>
      <c r="W230" s="51"/>
      <c r="X230" s="51"/>
      <c r="Y230" s="51"/>
      <c r="Z230" s="51"/>
      <c r="AA230" s="51"/>
      <c r="AB230" s="51"/>
      <c r="AC230" s="51"/>
      <c r="AD230" s="51"/>
      <c r="AE230" s="51"/>
      <c r="AF230" s="51"/>
      <c r="AG230" s="51"/>
      <c r="AH230" s="51"/>
    </row>
    <row r="231">
      <c r="A231" s="11" t="s">
        <v>121</v>
      </c>
      <c r="B231" s="25" t="s">
        <v>20</v>
      </c>
      <c r="C231" s="25" t="s">
        <v>254</v>
      </c>
      <c r="D231" s="25" t="s">
        <v>141</v>
      </c>
      <c r="E231" s="11" t="s">
        <v>673</v>
      </c>
      <c r="F231" s="25" t="s">
        <v>674</v>
      </c>
      <c r="G231" s="25" t="s">
        <v>74</v>
      </c>
      <c r="H231" s="87">
        <v>1967.94117647059</v>
      </c>
      <c r="I231" s="27">
        <v>14548.0</v>
      </c>
      <c r="J231" s="27">
        <v>12266.9</v>
      </c>
      <c r="K231" s="28">
        <v>16829.1</v>
      </c>
      <c r="L231" s="29" t="s">
        <v>160</v>
      </c>
      <c r="M231" s="55" t="s">
        <v>145</v>
      </c>
      <c r="N231" s="11" t="s">
        <v>151</v>
      </c>
    </row>
    <row r="232">
      <c r="A232" s="11" t="s">
        <v>121</v>
      </c>
      <c r="B232" s="25" t="s">
        <v>20</v>
      </c>
      <c r="C232" s="25" t="s">
        <v>254</v>
      </c>
      <c r="D232" s="25" t="s">
        <v>141</v>
      </c>
      <c r="E232" s="11" t="s">
        <v>673</v>
      </c>
      <c r="F232" s="25" t="s">
        <v>674</v>
      </c>
      <c r="G232" s="25" t="s">
        <v>74</v>
      </c>
      <c r="H232" s="87">
        <v>1968.85395537525</v>
      </c>
      <c r="I232" s="27">
        <v>14553.0</v>
      </c>
      <c r="J232" s="27">
        <v>12185.5</v>
      </c>
      <c r="K232" s="28">
        <v>16920.5</v>
      </c>
      <c r="L232" s="29" t="s">
        <v>160</v>
      </c>
      <c r="M232" s="55" t="s">
        <v>145</v>
      </c>
      <c r="N232" s="11" t="s">
        <v>151</v>
      </c>
    </row>
    <row r="233">
      <c r="A233" s="11" t="s">
        <v>121</v>
      </c>
      <c r="B233" s="25" t="s">
        <v>20</v>
      </c>
      <c r="C233" s="25" t="s">
        <v>254</v>
      </c>
      <c r="D233" s="25" t="s">
        <v>141</v>
      </c>
      <c r="E233" s="11" t="s">
        <v>673</v>
      </c>
      <c r="F233" s="25" t="s">
        <v>674</v>
      </c>
      <c r="G233" s="25" t="s">
        <v>74</v>
      </c>
      <c r="H233" s="87">
        <v>1969.96957403651</v>
      </c>
      <c r="I233" s="27">
        <v>12771.0</v>
      </c>
      <c r="J233" s="27">
        <v>10734.5</v>
      </c>
      <c r="K233" s="28">
        <v>14798.5</v>
      </c>
      <c r="L233" s="29" t="s">
        <v>160</v>
      </c>
      <c r="M233" s="55" t="s">
        <v>145</v>
      </c>
      <c r="N233" s="11" t="s">
        <v>151</v>
      </c>
    </row>
    <row r="234">
      <c r="A234" s="11" t="s">
        <v>121</v>
      </c>
      <c r="B234" s="25" t="s">
        <v>20</v>
      </c>
      <c r="C234" s="25" t="s">
        <v>254</v>
      </c>
      <c r="D234" s="25" t="s">
        <v>141</v>
      </c>
      <c r="E234" s="11" t="s">
        <v>673</v>
      </c>
      <c r="F234" s="25" t="s">
        <v>674</v>
      </c>
      <c r="G234" s="25" t="s">
        <v>74</v>
      </c>
      <c r="H234" s="87">
        <v>1970.88235294118</v>
      </c>
      <c r="I234" s="27">
        <v>11079.0</v>
      </c>
      <c r="J234" s="27">
        <v>9059.5</v>
      </c>
      <c r="K234" s="28">
        <v>13098.5</v>
      </c>
      <c r="L234" s="29" t="s">
        <v>160</v>
      </c>
      <c r="M234" s="55" t="s">
        <v>145</v>
      </c>
      <c r="N234" s="11" t="s">
        <v>151</v>
      </c>
    </row>
    <row r="235">
      <c r="A235" s="11" t="s">
        <v>121</v>
      </c>
      <c r="B235" s="25" t="s">
        <v>20</v>
      </c>
      <c r="C235" s="25" t="s">
        <v>254</v>
      </c>
      <c r="D235" s="25" t="s">
        <v>141</v>
      </c>
      <c r="E235" s="11" t="s">
        <v>673</v>
      </c>
      <c r="F235" s="25" t="s">
        <v>674</v>
      </c>
      <c r="G235" s="25" t="s">
        <v>74</v>
      </c>
      <c r="H235" s="87">
        <v>1971.89655172414</v>
      </c>
      <c r="I235" s="27">
        <v>17365.0</v>
      </c>
      <c r="J235" s="27">
        <v>14342.2</v>
      </c>
      <c r="K235" s="28">
        <v>20087.8</v>
      </c>
      <c r="L235" s="29" t="s">
        <v>160</v>
      </c>
      <c r="M235" s="55" t="s">
        <v>145</v>
      </c>
      <c r="N235" s="11" t="s">
        <v>151</v>
      </c>
    </row>
    <row r="236">
      <c r="A236" s="11" t="s">
        <v>121</v>
      </c>
      <c r="B236" s="25" t="s">
        <v>20</v>
      </c>
      <c r="C236" s="25" t="s">
        <v>254</v>
      </c>
      <c r="D236" s="25" t="s">
        <v>141</v>
      </c>
      <c r="E236" s="11" t="s">
        <v>673</v>
      </c>
      <c r="F236" s="25" t="s">
        <v>674</v>
      </c>
      <c r="G236" s="25" t="s">
        <v>74</v>
      </c>
      <c r="H236" s="87">
        <v>1972.9107505071</v>
      </c>
      <c r="I236" s="27">
        <v>17375.0</v>
      </c>
      <c r="J236" s="27">
        <v>14682.5</v>
      </c>
      <c r="K236" s="28">
        <v>20167.5</v>
      </c>
      <c r="L236" s="29" t="s">
        <v>160</v>
      </c>
      <c r="M236" s="55" t="s">
        <v>145</v>
      </c>
      <c r="N236" s="11" t="s">
        <v>151</v>
      </c>
    </row>
    <row r="237">
      <c r="A237" s="11" t="s">
        <v>121</v>
      </c>
      <c r="B237" s="25" t="s">
        <v>20</v>
      </c>
      <c r="C237" s="25" t="s">
        <v>254</v>
      </c>
      <c r="D237" s="25" t="s">
        <v>141</v>
      </c>
      <c r="E237" s="11" t="s">
        <v>673</v>
      </c>
      <c r="F237" s="25" t="s">
        <v>674</v>
      </c>
      <c r="G237" s="25" t="s">
        <v>74</v>
      </c>
      <c r="H237" s="87">
        <v>1973.92494929006</v>
      </c>
      <c r="I237" s="27">
        <v>15290.0</v>
      </c>
      <c r="J237" s="27">
        <v>12772.7</v>
      </c>
      <c r="K237" s="28">
        <v>17807.3</v>
      </c>
      <c r="L237" s="29" t="s">
        <v>160</v>
      </c>
      <c r="M237" s="55" t="s">
        <v>145</v>
      </c>
      <c r="N237" s="11" t="s">
        <v>151</v>
      </c>
      <c r="O237" s="62"/>
      <c r="P237" s="54"/>
      <c r="Q237" s="54"/>
      <c r="R237" s="54"/>
      <c r="S237" s="54"/>
      <c r="T237" s="54"/>
      <c r="U237" s="54"/>
      <c r="V237" s="54"/>
      <c r="W237" s="54"/>
      <c r="X237" s="54"/>
      <c r="Y237" s="54"/>
      <c r="Z237" s="54"/>
      <c r="AA237" s="54"/>
      <c r="AB237" s="54"/>
      <c r="AC237" s="54"/>
      <c r="AD237" s="54"/>
      <c r="AE237" s="54"/>
      <c r="AF237" s="54"/>
      <c r="AG237" s="54"/>
      <c r="AH237" s="54"/>
    </row>
    <row r="238">
      <c r="A238" s="11" t="s">
        <v>121</v>
      </c>
      <c r="B238" s="25" t="s">
        <v>20</v>
      </c>
      <c r="C238" s="25" t="s">
        <v>254</v>
      </c>
      <c r="D238" s="25" t="s">
        <v>141</v>
      </c>
      <c r="E238" s="11" t="s">
        <v>673</v>
      </c>
      <c r="F238" s="25" t="s">
        <v>674</v>
      </c>
      <c r="G238" s="25" t="s">
        <v>74</v>
      </c>
      <c r="H238" s="87">
        <v>1974.83772819473</v>
      </c>
      <c r="I238" s="27">
        <v>17564.0</v>
      </c>
      <c r="J238" s="27">
        <v>14063.4</v>
      </c>
      <c r="K238" s="28">
        <v>20524.6</v>
      </c>
      <c r="L238" s="29" t="s">
        <v>160</v>
      </c>
      <c r="M238" s="55" t="s">
        <v>145</v>
      </c>
      <c r="N238" s="11" t="s">
        <v>151</v>
      </c>
      <c r="O238" s="54"/>
      <c r="P238" s="54"/>
      <c r="Q238" s="54"/>
      <c r="R238" s="54"/>
      <c r="S238" s="54"/>
      <c r="T238" s="54"/>
      <c r="U238" s="54"/>
      <c r="V238" s="54"/>
      <c r="W238" s="54"/>
      <c r="X238" s="54"/>
      <c r="Y238" s="54"/>
      <c r="Z238" s="54"/>
      <c r="AA238" s="54"/>
      <c r="AB238" s="54"/>
      <c r="AC238" s="54"/>
      <c r="AD238" s="54"/>
      <c r="AE238" s="54"/>
      <c r="AF238" s="54"/>
      <c r="AG238" s="54"/>
      <c r="AH238" s="54"/>
    </row>
    <row r="239">
      <c r="A239" s="11" t="s">
        <v>121</v>
      </c>
      <c r="B239" s="25" t="s">
        <v>20</v>
      </c>
      <c r="C239" s="25" t="s">
        <v>254</v>
      </c>
      <c r="D239" s="25" t="s">
        <v>141</v>
      </c>
      <c r="E239" s="11" t="s">
        <v>673</v>
      </c>
      <c r="F239" s="25" t="s">
        <v>674</v>
      </c>
      <c r="G239" s="25" t="s">
        <v>74</v>
      </c>
      <c r="H239" s="87">
        <v>1975.95334685598</v>
      </c>
      <c r="I239" s="27">
        <v>18377.0</v>
      </c>
      <c r="J239" s="27">
        <v>15495.5</v>
      </c>
      <c r="K239" s="28">
        <v>21258.5</v>
      </c>
      <c r="L239" s="29" t="s">
        <v>160</v>
      </c>
      <c r="M239" s="55" t="s">
        <v>145</v>
      </c>
      <c r="N239" s="11" t="s">
        <v>151</v>
      </c>
      <c r="O239" s="54"/>
      <c r="P239" s="54"/>
      <c r="Q239" s="54"/>
      <c r="R239" s="54"/>
      <c r="S239" s="54"/>
      <c r="T239" s="54"/>
      <c r="U239" s="54"/>
      <c r="V239" s="54"/>
      <c r="W239" s="54"/>
      <c r="X239" s="54"/>
      <c r="Y239" s="54"/>
      <c r="Z239" s="54"/>
      <c r="AA239" s="54"/>
      <c r="AB239" s="54"/>
      <c r="AC239" s="54"/>
      <c r="AD239" s="54"/>
      <c r="AE239" s="54"/>
      <c r="AF239" s="54"/>
      <c r="AG239" s="54"/>
      <c r="AH239" s="54"/>
    </row>
    <row r="240">
      <c r="A240" s="11" t="s">
        <v>121</v>
      </c>
      <c r="B240" s="25" t="s">
        <v>20</v>
      </c>
      <c r="C240" s="25" t="s">
        <v>254</v>
      </c>
      <c r="D240" s="25" t="s">
        <v>141</v>
      </c>
      <c r="E240" s="11" t="s">
        <v>673</v>
      </c>
      <c r="F240" s="25" t="s">
        <v>674</v>
      </c>
      <c r="G240" s="25" t="s">
        <v>74</v>
      </c>
      <c r="H240" s="87">
        <v>1976.96754563895</v>
      </c>
      <c r="I240" s="27">
        <v>19538.0</v>
      </c>
      <c r="J240" s="27">
        <v>16168.1</v>
      </c>
      <c r="K240" s="28">
        <v>22907.9</v>
      </c>
      <c r="L240" s="29" t="s">
        <v>160</v>
      </c>
      <c r="M240" s="55" t="s">
        <v>145</v>
      </c>
      <c r="N240" s="11" t="s">
        <v>151</v>
      </c>
      <c r="O240" s="54"/>
      <c r="P240" s="54"/>
      <c r="Q240" s="54"/>
      <c r="R240" s="54"/>
      <c r="S240" s="54"/>
      <c r="T240" s="54"/>
      <c r="U240" s="54"/>
      <c r="V240" s="54"/>
      <c r="W240" s="54"/>
      <c r="X240" s="54"/>
      <c r="Y240" s="54"/>
      <c r="Z240" s="54"/>
      <c r="AA240" s="54"/>
      <c r="AB240" s="54"/>
      <c r="AC240" s="54"/>
      <c r="AD240" s="54"/>
      <c r="AE240" s="54"/>
      <c r="AF240" s="54"/>
      <c r="AG240" s="54"/>
      <c r="AH240" s="54"/>
    </row>
    <row r="241">
      <c r="A241" s="11" t="s">
        <v>121</v>
      </c>
      <c r="B241" s="25" t="s">
        <v>20</v>
      </c>
      <c r="C241" s="25" t="s">
        <v>254</v>
      </c>
      <c r="D241" s="25" t="s">
        <v>141</v>
      </c>
      <c r="E241" s="11" t="s">
        <v>673</v>
      </c>
      <c r="F241" s="25" t="s">
        <v>674</v>
      </c>
      <c r="G241" s="25" t="s">
        <v>74</v>
      </c>
      <c r="H241" s="87">
        <v>1977.88032454361</v>
      </c>
      <c r="I241" s="27">
        <v>15384.0</v>
      </c>
      <c r="J241" s="27">
        <v>12971.8</v>
      </c>
      <c r="K241" s="28">
        <v>17796.2</v>
      </c>
      <c r="L241" s="29" t="s">
        <v>160</v>
      </c>
      <c r="M241" s="55" t="s">
        <v>145</v>
      </c>
      <c r="N241" s="11" t="s">
        <v>151</v>
      </c>
      <c r="O241" s="54"/>
      <c r="P241" s="54"/>
      <c r="Q241" s="54"/>
      <c r="R241" s="54"/>
      <c r="S241" s="54"/>
      <c r="T241" s="54"/>
      <c r="U241" s="54"/>
      <c r="V241" s="54"/>
      <c r="W241" s="54"/>
      <c r="X241" s="54"/>
      <c r="Y241" s="54"/>
      <c r="Z241" s="54"/>
      <c r="AA241" s="54"/>
      <c r="AB241" s="54"/>
      <c r="AC241" s="54"/>
      <c r="AD241" s="54"/>
      <c r="AE241" s="54"/>
      <c r="AF241" s="54"/>
      <c r="AG241" s="54"/>
      <c r="AH241" s="54"/>
    </row>
    <row r="242">
      <c r="A242" s="11" t="s">
        <v>121</v>
      </c>
      <c r="B242" s="25" t="s">
        <v>20</v>
      </c>
      <c r="C242" s="25" t="s">
        <v>254</v>
      </c>
      <c r="D242" s="25" t="s">
        <v>141</v>
      </c>
      <c r="E242" s="11" t="s">
        <v>673</v>
      </c>
      <c r="F242" s="25" t="s">
        <v>674</v>
      </c>
      <c r="G242" s="25" t="s">
        <v>74</v>
      </c>
      <c r="H242" s="87">
        <v>1978.89452332657</v>
      </c>
      <c r="I242" s="27">
        <v>19763.0</v>
      </c>
      <c r="J242" s="27">
        <v>16548.0</v>
      </c>
      <c r="K242" s="28">
        <v>22978.0</v>
      </c>
      <c r="L242" s="29" t="s">
        <v>160</v>
      </c>
      <c r="M242" s="55" t="s">
        <v>145</v>
      </c>
      <c r="N242" s="11" t="s">
        <v>151</v>
      </c>
      <c r="O242" s="54"/>
      <c r="P242" s="54"/>
      <c r="Q242" s="54"/>
      <c r="R242" s="54"/>
      <c r="S242" s="54"/>
      <c r="T242" s="54"/>
      <c r="U242" s="54"/>
      <c r="V242" s="54"/>
      <c r="W242" s="54"/>
      <c r="X242" s="54"/>
      <c r="Y242" s="54"/>
      <c r="Z242" s="54"/>
      <c r="AA242" s="54"/>
      <c r="AB242" s="54"/>
      <c r="AC242" s="54"/>
      <c r="AD242" s="54"/>
      <c r="AE242" s="54"/>
      <c r="AF242" s="54"/>
      <c r="AG242" s="54"/>
      <c r="AH242" s="54"/>
    </row>
    <row r="243">
      <c r="A243" s="11" t="s">
        <v>121</v>
      </c>
      <c r="B243" s="25" t="s">
        <v>20</v>
      </c>
      <c r="C243" s="25" t="s">
        <v>254</v>
      </c>
      <c r="D243" s="25" t="s">
        <v>141</v>
      </c>
      <c r="E243" s="11" t="s">
        <v>673</v>
      </c>
      <c r="F243" s="25" t="s">
        <v>674</v>
      </c>
      <c r="G243" s="25" t="s">
        <v>74</v>
      </c>
      <c r="H243" s="87">
        <v>1983.96551724138</v>
      </c>
      <c r="I243" s="27">
        <v>23499.0</v>
      </c>
      <c r="J243" s="27">
        <v>19399.8</v>
      </c>
      <c r="K243" s="28">
        <v>27598.2</v>
      </c>
      <c r="L243" s="29" t="s">
        <v>160</v>
      </c>
      <c r="M243" s="55" t="s">
        <v>145</v>
      </c>
      <c r="N243" s="11" t="s">
        <v>151</v>
      </c>
      <c r="O243" s="54"/>
      <c r="P243" s="54"/>
      <c r="Q243" s="54"/>
      <c r="R243" s="54"/>
      <c r="S243" s="54"/>
      <c r="T243" s="54"/>
      <c r="U243" s="54"/>
      <c r="V243" s="54"/>
      <c r="W243" s="54"/>
      <c r="X243" s="54"/>
      <c r="Y243" s="54"/>
      <c r="Z243" s="54"/>
      <c r="AA243" s="54"/>
      <c r="AB243" s="54"/>
      <c r="AC243" s="54"/>
      <c r="AD243" s="54"/>
      <c r="AE243" s="54"/>
      <c r="AF243" s="54"/>
      <c r="AG243" s="54"/>
      <c r="AH243" s="54"/>
    </row>
    <row r="244">
      <c r="A244" s="11" t="s">
        <v>121</v>
      </c>
      <c r="B244" s="25" t="s">
        <v>20</v>
      </c>
      <c r="C244" s="25" t="s">
        <v>254</v>
      </c>
      <c r="D244" s="25" t="s">
        <v>141</v>
      </c>
      <c r="E244" s="11" t="s">
        <v>673</v>
      </c>
      <c r="F244" s="25" t="s">
        <v>674</v>
      </c>
      <c r="G244" s="25" t="s">
        <v>74</v>
      </c>
      <c r="H244" s="87">
        <v>1984.97971602434</v>
      </c>
      <c r="I244" s="27">
        <v>22921.0</v>
      </c>
      <c r="J244" s="27">
        <v>19237.1</v>
      </c>
      <c r="K244" s="28">
        <v>26604.9</v>
      </c>
      <c r="L244" s="29" t="s">
        <v>160</v>
      </c>
      <c r="M244" s="55" t="s">
        <v>145</v>
      </c>
      <c r="N244" s="11" t="s">
        <v>151</v>
      </c>
      <c r="O244" s="54"/>
      <c r="P244" s="54"/>
      <c r="Q244" s="54"/>
      <c r="R244" s="54"/>
      <c r="S244" s="54"/>
      <c r="T244" s="54"/>
      <c r="U244" s="54"/>
      <c r="V244" s="54"/>
      <c r="W244" s="54"/>
      <c r="X244" s="54"/>
      <c r="Y244" s="54"/>
      <c r="Z244" s="54"/>
      <c r="AA244" s="54"/>
      <c r="AB244" s="54"/>
      <c r="AC244" s="54"/>
      <c r="AD244" s="54"/>
      <c r="AE244" s="54"/>
      <c r="AF244" s="54"/>
      <c r="AG244" s="54"/>
      <c r="AH244" s="54"/>
    </row>
    <row r="245">
      <c r="A245" s="11" t="s">
        <v>121</v>
      </c>
      <c r="B245" s="25" t="s">
        <v>20</v>
      </c>
      <c r="C245" s="25" t="s">
        <v>254</v>
      </c>
      <c r="D245" s="25" t="s">
        <v>141</v>
      </c>
      <c r="E245" s="11" t="s">
        <v>673</v>
      </c>
      <c r="F245" s="25" t="s">
        <v>674</v>
      </c>
      <c r="G245" s="25" t="s">
        <v>74</v>
      </c>
      <c r="H245" s="87">
        <v>1987.00811359026</v>
      </c>
      <c r="I245" s="27">
        <v>26916.0</v>
      </c>
      <c r="J245" s="27">
        <v>23856.2</v>
      </c>
      <c r="K245" s="28">
        <v>29957.8</v>
      </c>
      <c r="L245" s="29" t="s">
        <v>160</v>
      </c>
      <c r="M245" s="55" t="s">
        <v>145</v>
      </c>
      <c r="N245" s="11" t="s">
        <v>151</v>
      </c>
      <c r="O245" s="54"/>
      <c r="P245" s="54"/>
      <c r="Q245" s="54"/>
      <c r="R245" s="54"/>
      <c r="S245" s="54"/>
      <c r="T245" s="54"/>
      <c r="U245" s="54"/>
      <c r="V245" s="54"/>
      <c r="W245" s="54"/>
      <c r="X245" s="54"/>
      <c r="Y245" s="54"/>
      <c r="Z245" s="54"/>
      <c r="AA245" s="54"/>
      <c r="AB245" s="54"/>
      <c r="AC245" s="54"/>
      <c r="AD245" s="54"/>
      <c r="AE245" s="54"/>
      <c r="AF245" s="54"/>
      <c r="AG245" s="54"/>
      <c r="AH245" s="54"/>
    </row>
    <row r="246">
      <c r="A246" s="11" t="s">
        <v>121</v>
      </c>
      <c r="B246" s="25" t="s">
        <v>20</v>
      </c>
      <c r="C246" s="25" t="s">
        <v>254</v>
      </c>
      <c r="D246" s="25" t="s">
        <v>141</v>
      </c>
      <c r="E246" s="11" t="s">
        <v>673</v>
      </c>
      <c r="F246" s="25" t="s">
        <v>674</v>
      </c>
      <c r="G246" s="25" t="s">
        <v>74</v>
      </c>
      <c r="H246" s="87">
        <v>1991.87626774848</v>
      </c>
      <c r="I246" s="27">
        <v>15762.0</v>
      </c>
      <c r="J246" s="27">
        <v>13611.2</v>
      </c>
      <c r="K246" s="28">
        <v>17862.8</v>
      </c>
      <c r="L246" s="29" t="s">
        <v>160</v>
      </c>
      <c r="M246" s="55" t="s">
        <v>145</v>
      </c>
      <c r="N246" s="11" t="s">
        <v>151</v>
      </c>
      <c r="O246" s="54"/>
      <c r="P246" s="54"/>
      <c r="Q246" s="54"/>
      <c r="R246" s="54"/>
      <c r="S246" s="54"/>
      <c r="T246" s="54"/>
      <c r="U246" s="54"/>
      <c r="V246" s="54"/>
      <c r="W246" s="54"/>
      <c r="X246" s="54"/>
      <c r="Y246" s="54"/>
      <c r="Z246" s="54"/>
      <c r="AA246" s="54"/>
      <c r="AB246" s="54"/>
      <c r="AC246" s="54"/>
      <c r="AD246" s="54"/>
      <c r="AE246" s="54"/>
      <c r="AF246" s="54"/>
      <c r="AG246" s="54"/>
      <c r="AH246" s="54"/>
    </row>
    <row r="247">
      <c r="A247" s="11" t="s">
        <v>121</v>
      </c>
      <c r="B247" s="25" t="s">
        <v>20</v>
      </c>
      <c r="C247" s="25" t="s">
        <v>254</v>
      </c>
      <c r="D247" s="25" t="s">
        <v>141</v>
      </c>
      <c r="E247" s="11" t="s">
        <v>673</v>
      </c>
      <c r="F247" s="25" t="s">
        <v>674</v>
      </c>
      <c r="G247" s="25" t="s">
        <v>74</v>
      </c>
      <c r="H247" s="87">
        <v>1992.99188640974</v>
      </c>
      <c r="I247" s="27">
        <v>20103.0</v>
      </c>
      <c r="J247" s="27">
        <v>17953.9</v>
      </c>
      <c r="K247" s="28">
        <v>22270.1</v>
      </c>
      <c r="L247" s="29" t="s">
        <v>160</v>
      </c>
      <c r="M247" s="55" t="s">
        <v>145</v>
      </c>
      <c r="N247" s="11" t="s">
        <v>151</v>
      </c>
      <c r="O247" s="54"/>
      <c r="P247" s="54"/>
      <c r="Q247" s="54"/>
      <c r="R247" s="54"/>
      <c r="S247" s="54"/>
      <c r="T247" s="54"/>
      <c r="U247" s="54"/>
      <c r="V247" s="54"/>
      <c r="W247" s="54"/>
      <c r="X247" s="54"/>
      <c r="Y247" s="54"/>
      <c r="Z247" s="54"/>
      <c r="AA247" s="54"/>
      <c r="AB247" s="54"/>
      <c r="AC247" s="54"/>
      <c r="AD247" s="54"/>
      <c r="AE247" s="54"/>
      <c r="AF247" s="54"/>
      <c r="AG247" s="54"/>
      <c r="AH247" s="54"/>
    </row>
    <row r="248">
      <c r="A248" s="11" t="s">
        <v>121</v>
      </c>
      <c r="B248" s="25" t="s">
        <v>20</v>
      </c>
      <c r="C248" s="25" t="s">
        <v>254</v>
      </c>
      <c r="D248" s="25" t="s">
        <v>141</v>
      </c>
      <c r="E248" s="11" t="s">
        <v>673</v>
      </c>
      <c r="F248" s="25" t="s">
        <v>674</v>
      </c>
      <c r="G248" s="25" t="s">
        <v>74</v>
      </c>
      <c r="H248" s="87">
        <v>1994.81744421907</v>
      </c>
      <c r="I248" s="27">
        <v>20944.0</v>
      </c>
      <c r="J248" s="27">
        <v>18439.9</v>
      </c>
      <c r="K248" s="28">
        <v>23448.1</v>
      </c>
      <c r="L248" s="29" t="s">
        <v>160</v>
      </c>
      <c r="M248" s="55" t="s">
        <v>145</v>
      </c>
      <c r="N248" s="11" t="s">
        <v>151</v>
      </c>
      <c r="O248" s="54"/>
      <c r="P248" s="54"/>
      <c r="Q248" s="54"/>
      <c r="R248" s="54"/>
      <c r="S248" s="54"/>
      <c r="T248" s="54"/>
      <c r="U248" s="54"/>
      <c r="V248" s="54"/>
      <c r="W248" s="54"/>
      <c r="X248" s="54"/>
      <c r="Y248" s="54"/>
      <c r="Z248" s="54"/>
      <c r="AA248" s="54"/>
      <c r="AB248" s="54"/>
      <c r="AC248" s="54"/>
      <c r="AD248" s="54"/>
      <c r="AE248" s="54"/>
      <c r="AF248" s="54"/>
      <c r="AG248" s="54"/>
      <c r="AH248" s="54"/>
    </row>
    <row r="249">
      <c r="A249" s="11" t="s">
        <v>121</v>
      </c>
      <c r="B249" s="25" t="s">
        <v>20</v>
      </c>
      <c r="C249" s="25" t="s">
        <v>254</v>
      </c>
      <c r="D249" s="25" t="s">
        <v>141</v>
      </c>
      <c r="E249" s="11" t="s">
        <v>673</v>
      </c>
      <c r="F249" s="25" t="s">
        <v>674</v>
      </c>
      <c r="G249" s="25" t="s">
        <v>74</v>
      </c>
      <c r="H249" s="87">
        <v>1996.94726166329</v>
      </c>
      <c r="I249" s="27">
        <v>21135.0</v>
      </c>
      <c r="J249" s="27">
        <v>18318.1</v>
      </c>
      <c r="K249" s="28">
        <v>23951.9</v>
      </c>
      <c r="L249" s="29" t="s">
        <v>160</v>
      </c>
      <c r="M249" s="55" t="s">
        <v>145</v>
      </c>
      <c r="N249" s="11" t="s">
        <v>151</v>
      </c>
      <c r="O249" s="54"/>
      <c r="P249" s="54"/>
      <c r="Q249" s="54"/>
      <c r="R249" s="54"/>
      <c r="S249" s="54"/>
      <c r="T249" s="54"/>
      <c r="U249" s="54"/>
      <c r="V249" s="54"/>
      <c r="W249" s="54"/>
      <c r="X249" s="54"/>
      <c r="Y249" s="54"/>
      <c r="Z249" s="54"/>
      <c r="AA249" s="54"/>
      <c r="AB249" s="54"/>
      <c r="AC249" s="54"/>
      <c r="AD249" s="54"/>
      <c r="AE249" s="54"/>
      <c r="AF249" s="54"/>
      <c r="AG249" s="54"/>
      <c r="AH249" s="54"/>
    </row>
    <row r="250">
      <c r="A250" s="11" t="s">
        <v>121</v>
      </c>
      <c r="B250" s="25" t="s">
        <v>20</v>
      </c>
      <c r="C250" s="25" t="s">
        <v>254</v>
      </c>
      <c r="D250" s="25" t="s">
        <v>141</v>
      </c>
      <c r="E250" s="11" t="s">
        <v>673</v>
      </c>
      <c r="F250" s="25" t="s">
        <v>674</v>
      </c>
      <c r="G250" s="25" t="s">
        <v>74</v>
      </c>
      <c r="H250" s="87">
        <v>1999.88843813387</v>
      </c>
      <c r="I250" s="27">
        <v>16369.0</v>
      </c>
      <c r="J250" s="27">
        <v>14411.9</v>
      </c>
      <c r="K250" s="28">
        <v>18326.1</v>
      </c>
      <c r="L250" s="29" t="s">
        <v>160</v>
      </c>
      <c r="M250" s="55" t="s">
        <v>145</v>
      </c>
      <c r="N250" s="11" t="s">
        <v>151</v>
      </c>
      <c r="O250" s="54"/>
      <c r="P250" s="54"/>
      <c r="Q250" s="54"/>
      <c r="R250" s="54"/>
      <c r="S250" s="54"/>
      <c r="T250" s="54"/>
      <c r="U250" s="54"/>
      <c r="V250" s="54"/>
      <c r="W250" s="54"/>
      <c r="X250" s="54"/>
      <c r="Y250" s="54"/>
      <c r="Z250" s="54"/>
      <c r="AA250" s="54"/>
      <c r="AB250" s="54"/>
      <c r="AC250" s="54"/>
      <c r="AD250" s="54"/>
      <c r="AE250" s="54"/>
      <c r="AF250" s="54"/>
      <c r="AG250" s="54"/>
      <c r="AH250" s="54"/>
    </row>
    <row r="251">
      <c r="A251" s="11" t="s">
        <v>121</v>
      </c>
      <c r="B251" s="25" t="s">
        <v>20</v>
      </c>
      <c r="C251" s="25" t="s">
        <v>254</v>
      </c>
      <c r="D251" s="25" t="s">
        <v>141</v>
      </c>
      <c r="E251" s="11" t="s">
        <v>673</v>
      </c>
      <c r="F251" s="25" t="s">
        <v>674</v>
      </c>
      <c r="G251" s="25" t="s">
        <v>74</v>
      </c>
      <c r="H251" s="87">
        <v>2000.90263691684</v>
      </c>
      <c r="I251" s="27">
        <v>16033.0</v>
      </c>
      <c r="J251" s="27">
        <v>13864.7</v>
      </c>
      <c r="K251" s="28">
        <v>18201.3</v>
      </c>
      <c r="L251" s="29" t="s">
        <v>160</v>
      </c>
      <c r="M251" s="55" t="s">
        <v>145</v>
      </c>
      <c r="N251" s="11" t="s">
        <v>151</v>
      </c>
    </row>
    <row r="252">
      <c r="A252" s="11" t="s">
        <v>121</v>
      </c>
      <c r="B252" s="25" t="s">
        <v>20</v>
      </c>
      <c r="C252" s="25" t="s">
        <v>254</v>
      </c>
      <c r="D252" s="25" t="s">
        <v>141</v>
      </c>
      <c r="E252" s="11" t="s">
        <v>673</v>
      </c>
      <c r="F252" s="25" t="s">
        <v>674</v>
      </c>
      <c r="G252" s="25" t="s">
        <v>74</v>
      </c>
      <c r="H252" s="87">
        <v>2005.87221095335</v>
      </c>
      <c r="I252" s="27">
        <v>19126.0</v>
      </c>
      <c r="J252" s="27">
        <v>16464.4</v>
      </c>
      <c r="K252" s="28">
        <v>21787.6</v>
      </c>
      <c r="L252" s="29" t="s">
        <v>160</v>
      </c>
      <c r="M252" s="55" t="s">
        <v>145</v>
      </c>
      <c r="N252" s="11" t="s">
        <v>151</v>
      </c>
    </row>
    <row r="253">
      <c r="A253" s="11" t="s">
        <v>121</v>
      </c>
      <c r="B253" s="25" t="s">
        <v>20</v>
      </c>
      <c r="C253" s="25" t="s">
        <v>254</v>
      </c>
      <c r="D253" s="25" t="s">
        <v>141</v>
      </c>
      <c r="E253" s="11" t="s">
        <v>673</v>
      </c>
      <c r="F253" s="25" t="s">
        <v>674</v>
      </c>
      <c r="G253" s="25" t="s">
        <v>74</v>
      </c>
      <c r="H253" s="28">
        <v>2007.0</v>
      </c>
      <c r="I253" s="27">
        <v>17820.0</v>
      </c>
      <c r="J253" s="27">
        <v>16150.0</v>
      </c>
      <c r="K253" s="28">
        <v>19920.0</v>
      </c>
      <c r="L253" s="29" t="s">
        <v>160</v>
      </c>
      <c r="M253" s="55" t="s">
        <v>145</v>
      </c>
      <c r="N253" s="11" t="s">
        <v>151</v>
      </c>
    </row>
    <row r="254">
      <c r="A254" s="11" t="s">
        <v>121</v>
      </c>
      <c r="B254" s="25" t="s">
        <v>20</v>
      </c>
      <c r="C254" s="25" t="s">
        <v>254</v>
      </c>
      <c r="D254" s="25" t="s">
        <v>141</v>
      </c>
      <c r="E254" s="11" t="s">
        <v>673</v>
      </c>
      <c r="F254" s="25" t="s">
        <v>674</v>
      </c>
      <c r="G254" s="25" t="s">
        <v>74</v>
      </c>
      <c r="H254" s="28">
        <v>2009.0</v>
      </c>
      <c r="I254" s="27">
        <v>21210.0</v>
      </c>
      <c r="J254" s="27">
        <v>19420.0</v>
      </c>
      <c r="K254" s="28">
        <v>23250.0</v>
      </c>
      <c r="L254" s="29" t="s">
        <v>160</v>
      </c>
      <c r="M254" s="55" t="s">
        <v>145</v>
      </c>
      <c r="N254" s="11" t="s">
        <v>151</v>
      </c>
    </row>
    <row r="255">
      <c r="A255" s="11" t="s">
        <v>121</v>
      </c>
      <c r="B255" s="25" t="s">
        <v>20</v>
      </c>
      <c r="C255" s="25" t="s">
        <v>254</v>
      </c>
      <c r="D255" s="25" t="s">
        <v>141</v>
      </c>
      <c r="E255" s="11" t="s">
        <v>673</v>
      </c>
      <c r="F255" s="25" t="s">
        <v>674</v>
      </c>
      <c r="G255" s="25" t="s">
        <v>74</v>
      </c>
      <c r="H255" s="28">
        <v>2010.0</v>
      </c>
      <c r="I255" s="27">
        <v>20990.0</v>
      </c>
      <c r="J255" s="27">
        <v>19230.0</v>
      </c>
      <c r="K255" s="28">
        <v>22900.0</v>
      </c>
      <c r="L255" s="29" t="s">
        <v>160</v>
      </c>
      <c r="M255" s="55" t="s">
        <v>145</v>
      </c>
      <c r="N255" s="11" t="s">
        <v>151</v>
      </c>
    </row>
    <row r="256">
      <c r="A256" s="11" t="s">
        <v>121</v>
      </c>
      <c r="B256" s="25" t="s">
        <v>20</v>
      </c>
      <c r="C256" s="25" t="s">
        <v>254</v>
      </c>
      <c r="D256" s="25" t="s">
        <v>141</v>
      </c>
      <c r="E256" s="11" t="s">
        <v>673</v>
      </c>
      <c r="F256" s="25" t="s">
        <v>674</v>
      </c>
      <c r="G256" s="25" t="s">
        <v>74</v>
      </c>
      <c r="H256" s="28">
        <v>2014.0</v>
      </c>
      <c r="I256" s="27">
        <v>28790.0</v>
      </c>
      <c r="J256" s="27">
        <v>23620.0</v>
      </c>
      <c r="K256" s="28">
        <v>39210.0</v>
      </c>
      <c r="L256" s="29" t="s">
        <v>160</v>
      </c>
      <c r="M256" s="55" t="s">
        <v>145</v>
      </c>
      <c r="N256" s="11" t="s">
        <v>151</v>
      </c>
    </row>
    <row r="257">
      <c r="A257" s="11" t="s">
        <v>121</v>
      </c>
      <c r="B257" s="25" t="s">
        <v>20</v>
      </c>
      <c r="C257" s="25" t="s">
        <v>254</v>
      </c>
      <c r="D257" s="25" t="s">
        <v>141</v>
      </c>
      <c r="E257" s="11" t="s">
        <v>673</v>
      </c>
      <c r="F257" s="25" t="s">
        <v>674</v>
      </c>
      <c r="G257" s="25" t="s">
        <v>74</v>
      </c>
      <c r="H257" s="28">
        <v>2015.0</v>
      </c>
      <c r="I257" s="27">
        <v>26960.0</v>
      </c>
      <c r="J257" s="27">
        <v>24420.0</v>
      </c>
      <c r="K257" s="28">
        <v>29830.0</v>
      </c>
      <c r="L257" s="29" t="s">
        <v>160</v>
      </c>
      <c r="M257" s="55" t="s">
        <v>145</v>
      </c>
      <c r="N257" s="11" t="s">
        <v>151</v>
      </c>
    </row>
    <row r="258">
      <c r="A258" s="25" t="s">
        <v>57</v>
      </c>
      <c r="B258" s="11" t="s">
        <v>20</v>
      </c>
      <c r="C258" s="25" t="s">
        <v>282</v>
      </c>
      <c r="D258" s="25" t="s">
        <v>284</v>
      </c>
      <c r="E258" s="11" t="s">
        <v>689</v>
      </c>
      <c r="F258" s="11" t="s">
        <v>690</v>
      </c>
      <c r="G258" s="11" t="s">
        <v>158</v>
      </c>
      <c r="H258" s="11">
        <v>1986.0</v>
      </c>
      <c r="I258" s="40">
        <v>5014.0</v>
      </c>
      <c r="J258" s="40">
        <v>2642.0</v>
      </c>
      <c r="K258" s="11">
        <v>9824.0</v>
      </c>
      <c r="L258" s="29" t="s">
        <v>260</v>
      </c>
      <c r="M258" s="39" t="s">
        <v>285</v>
      </c>
      <c r="N258" s="11" t="s">
        <v>290</v>
      </c>
    </row>
    <row r="259">
      <c r="A259" s="25" t="s">
        <v>57</v>
      </c>
      <c r="B259" s="11" t="s">
        <v>20</v>
      </c>
      <c r="C259" s="25" t="s">
        <v>282</v>
      </c>
      <c r="D259" s="25" t="s">
        <v>284</v>
      </c>
      <c r="E259" s="11" t="s">
        <v>689</v>
      </c>
      <c r="F259" s="11" t="s">
        <v>690</v>
      </c>
      <c r="G259" s="11" t="s">
        <v>158</v>
      </c>
      <c r="H259" s="11">
        <v>1987.0</v>
      </c>
      <c r="I259" s="40">
        <v>3320.0</v>
      </c>
      <c r="J259" s="40">
        <v>1829.0</v>
      </c>
      <c r="K259" s="11">
        <v>6640.0</v>
      </c>
      <c r="L259" s="29" t="s">
        <v>260</v>
      </c>
      <c r="M259" s="39" t="s">
        <v>285</v>
      </c>
      <c r="N259" s="11" t="s">
        <v>290</v>
      </c>
    </row>
    <row r="260">
      <c r="A260" s="25" t="s">
        <v>57</v>
      </c>
      <c r="B260" s="11" t="s">
        <v>20</v>
      </c>
      <c r="C260" s="25" t="s">
        <v>282</v>
      </c>
      <c r="D260" s="25" t="s">
        <v>284</v>
      </c>
      <c r="E260" s="11" t="s">
        <v>689</v>
      </c>
      <c r="F260" s="11" t="s">
        <v>690</v>
      </c>
      <c r="G260" s="11" t="s">
        <v>158</v>
      </c>
      <c r="H260" s="11">
        <v>1988.0</v>
      </c>
      <c r="I260" s="40">
        <v>3930.0</v>
      </c>
      <c r="J260" s="40">
        <v>2304.0</v>
      </c>
      <c r="K260" s="11">
        <v>7385.0</v>
      </c>
      <c r="L260" s="29" t="s">
        <v>260</v>
      </c>
      <c r="M260" s="39" t="s">
        <v>285</v>
      </c>
      <c r="N260" s="11" t="s">
        <v>290</v>
      </c>
    </row>
    <row r="261">
      <c r="A261" s="25" t="s">
        <v>57</v>
      </c>
      <c r="B261" s="11" t="s">
        <v>20</v>
      </c>
      <c r="C261" s="25" t="s">
        <v>282</v>
      </c>
      <c r="D261" s="25" t="s">
        <v>284</v>
      </c>
      <c r="E261" s="11" t="s">
        <v>689</v>
      </c>
      <c r="F261" s="11" t="s">
        <v>690</v>
      </c>
      <c r="G261" s="11" t="s">
        <v>158</v>
      </c>
      <c r="H261" s="11">
        <v>1989.0</v>
      </c>
      <c r="I261" s="40">
        <v>3930.0</v>
      </c>
      <c r="J261" s="40">
        <v>2236.0</v>
      </c>
      <c r="K261" s="11">
        <v>7182.0</v>
      </c>
      <c r="L261" s="29" t="s">
        <v>260</v>
      </c>
      <c r="M261" s="39" t="s">
        <v>285</v>
      </c>
      <c r="N261" s="11" t="s">
        <v>290</v>
      </c>
    </row>
    <row r="262">
      <c r="A262" s="25" t="s">
        <v>57</v>
      </c>
      <c r="B262" s="11" t="s">
        <v>20</v>
      </c>
      <c r="C262" s="25" t="s">
        <v>282</v>
      </c>
      <c r="D262" s="25" t="s">
        <v>284</v>
      </c>
      <c r="E262" s="11" t="s">
        <v>689</v>
      </c>
      <c r="F262" s="11" t="s">
        <v>690</v>
      </c>
      <c r="G262" s="11" t="s">
        <v>158</v>
      </c>
      <c r="H262" s="11">
        <v>1990.0</v>
      </c>
      <c r="I262" s="40">
        <v>3930.0</v>
      </c>
      <c r="J262" s="40">
        <v>2371.0</v>
      </c>
      <c r="K262" s="11">
        <v>7114.0</v>
      </c>
      <c r="L262" s="29" t="s">
        <v>260</v>
      </c>
      <c r="M262" s="39" t="s">
        <v>285</v>
      </c>
      <c r="N262" s="11" t="s">
        <v>290</v>
      </c>
    </row>
    <row r="263">
      <c r="A263" s="25" t="s">
        <v>57</v>
      </c>
      <c r="B263" s="11" t="s">
        <v>20</v>
      </c>
      <c r="C263" s="25" t="s">
        <v>282</v>
      </c>
      <c r="D263" s="25" t="s">
        <v>284</v>
      </c>
      <c r="E263" s="11" t="s">
        <v>689</v>
      </c>
      <c r="F263" s="11" t="s">
        <v>690</v>
      </c>
      <c r="G263" s="11" t="s">
        <v>158</v>
      </c>
      <c r="H263" s="11">
        <v>1991.0</v>
      </c>
      <c r="I263" s="40">
        <v>3455.0</v>
      </c>
      <c r="J263" s="40">
        <v>1897.0</v>
      </c>
      <c r="K263" s="11">
        <v>6436.0</v>
      </c>
      <c r="L263" s="29" t="s">
        <v>260</v>
      </c>
      <c r="M263" s="39" t="s">
        <v>285</v>
      </c>
      <c r="N263" s="11" t="s">
        <v>290</v>
      </c>
    </row>
    <row r="264">
      <c r="A264" s="25" t="s">
        <v>57</v>
      </c>
      <c r="B264" s="11" t="s">
        <v>20</v>
      </c>
      <c r="C264" s="25" t="s">
        <v>282</v>
      </c>
      <c r="D264" s="25" t="s">
        <v>284</v>
      </c>
      <c r="E264" s="11" t="s">
        <v>689</v>
      </c>
      <c r="F264" s="11" t="s">
        <v>690</v>
      </c>
      <c r="G264" s="11" t="s">
        <v>158</v>
      </c>
      <c r="H264" s="11">
        <v>1992.0</v>
      </c>
      <c r="I264" s="40">
        <v>4065.0</v>
      </c>
      <c r="J264" s="40">
        <v>2236.0</v>
      </c>
      <c r="K264" s="11">
        <v>8062.0</v>
      </c>
      <c r="L264" s="29" t="s">
        <v>260</v>
      </c>
      <c r="M264" s="39" t="s">
        <v>285</v>
      </c>
      <c r="N264" s="11" t="s">
        <v>290</v>
      </c>
    </row>
    <row r="265">
      <c r="A265" s="25" t="s">
        <v>57</v>
      </c>
      <c r="B265" s="11" t="s">
        <v>20</v>
      </c>
      <c r="C265" s="25" t="s">
        <v>282</v>
      </c>
      <c r="D265" s="25" t="s">
        <v>284</v>
      </c>
      <c r="E265" s="11" t="s">
        <v>689</v>
      </c>
      <c r="F265" s="11" t="s">
        <v>690</v>
      </c>
      <c r="G265" s="11" t="s">
        <v>158</v>
      </c>
      <c r="H265" s="11">
        <v>1993.0</v>
      </c>
      <c r="I265" s="40">
        <v>4201.0</v>
      </c>
      <c r="J265" s="40">
        <v>2439.0</v>
      </c>
      <c r="K265" s="11">
        <v>7724.0</v>
      </c>
      <c r="L265" s="29" t="s">
        <v>260</v>
      </c>
      <c r="M265" s="39" t="s">
        <v>285</v>
      </c>
      <c r="N265" s="11" t="s">
        <v>290</v>
      </c>
    </row>
    <row r="266">
      <c r="A266" s="25" t="s">
        <v>57</v>
      </c>
      <c r="B266" s="11" t="s">
        <v>20</v>
      </c>
      <c r="C266" s="25" t="s">
        <v>282</v>
      </c>
      <c r="D266" s="25" t="s">
        <v>284</v>
      </c>
      <c r="E266" s="11" t="s">
        <v>689</v>
      </c>
      <c r="F266" s="11" t="s">
        <v>690</v>
      </c>
      <c r="G266" s="11" t="s">
        <v>158</v>
      </c>
      <c r="H266" s="11">
        <v>1994.0</v>
      </c>
      <c r="I266" s="40">
        <v>4743.0</v>
      </c>
      <c r="J266" s="40">
        <v>2778.0</v>
      </c>
      <c r="K266" s="11">
        <v>9553.0</v>
      </c>
      <c r="L266" s="29" t="s">
        <v>260</v>
      </c>
      <c r="M266" s="39" t="s">
        <v>285</v>
      </c>
      <c r="N266" s="11" t="s">
        <v>290</v>
      </c>
    </row>
    <row r="267">
      <c r="A267" s="25" t="s">
        <v>57</v>
      </c>
      <c r="B267" s="11" t="s">
        <v>20</v>
      </c>
      <c r="C267" s="25" t="s">
        <v>282</v>
      </c>
      <c r="D267" s="25" t="s">
        <v>284</v>
      </c>
      <c r="E267" s="11" t="s">
        <v>689</v>
      </c>
      <c r="F267" s="11" t="s">
        <v>690</v>
      </c>
      <c r="G267" s="11" t="s">
        <v>158</v>
      </c>
      <c r="H267" s="11">
        <v>1995.0</v>
      </c>
      <c r="I267" s="40">
        <v>5149.0</v>
      </c>
      <c r="J267" s="40">
        <v>2981.0</v>
      </c>
      <c r="K267" s="11">
        <v>9688.0</v>
      </c>
      <c r="L267" s="29" t="s">
        <v>260</v>
      </c>
      <c r="M267" s="39" t="s">
        <v>285</v>
      </c>
      <c r="N267" s="11" t="s">
        <v>290</v>
      </c>
    </row>
    <row r="268">
      <c r="A268" s="25" t="s">
        <v>57</v>
      </c>
      <c r="B268" s="11" t="s">
        <v>20</v>
      </c>
      <c r="C268" s="25" t="s">
        <v>282</v>
      </c>
      <c r="D268" s="25" t="s">
        <v>284</v>
      </c>
      <c r="E268" s="11" t="s">
        <v>689</v>
      </c>
      <c r="F268" s="11" t="s">
        <v>690</v>
      </c>
      <c r="G268" s="11" t="s">
        <v>158</v>
      </c>
      <c r="H268" s="11">
        <v>1996.0</v>
      </c>
      <c r="I268" s="40">
        <v>6233.0</v>
      </c>
      <c r="J268" s="40">
        <v>3455.0</v>
      </c>
      <c r="K268" s="11">
        <v>12195.0</v>
      </c>
      <c r="L268" s="29" t="s">
        <v>260</v>
      </c>
      <c r="M268" s="39" t="s">
        <v>285</v>
      </c>
      <c r="N268" s="11" t="s">
        <v>290</v>
      </c>
    </row>
    <row r="269">
      <c r="A269" s="25" t="s">
        <v>57</v>
      </c>
      <c r="B269" s="11" t="s">
        <v>20</v>
      </c>
      <c r="C269" s="25" t="s">
        <v>282</v>
      </c>
      <c r="D269" s="25" t="s">
        <v>284</v>
      </c>
      <c r="E269" s="11" t="s">
        <v>689</v>
      </c>
      <c r="F269" s="11" t="s">
        <v>690</v>
      </c>
      <c r="G269" s="11" t="s">
        <v>158</v>
      </c>
      <c r="H269" s="11">
        <v>1997.0</v>
      </c>
      <c r="I269" s="40">
        <v>7859.0</v>
      </c>
      <c r="J269" s="40">
        <v>4607.0</v>
      </c>
      <c r="K269" s="11">
        <v>14905.0</v>
      </c>
      <c r="L269" s="29" t="s">
        <v>260</v>
      </c>
      <c r="M269" s="39" t="s">
        <v>285</v>
      </c>
      <c r="N269" s="11" t="s">
        <v>290</v>
      </c>
    </row>
    <row r="270">
      <c r="A270" s="25" t="s">
        <v>57</v>
      </c>
      <c r="B270" s="11" t="s">
        <v>20</v>
      </c>
      <c r="C270" s="25" t="s">
        <v>282</v>
      </c>
      <c r="D270" s="25" t="s">
        <v>284</v>
      </c>
      <c r="E270" s="11" t="s">
        <v>689</v>
      </c>
      <c r="F270" s="11" t="s">
        <v>690</v>
      </c>
      <c r="G270" s="11" t="s">
        <v>158</v>
      </c>
      <c r="H270" s="11">
        <v>1998.0</v>
      </c>
      <c r="I270" s="40">
        <v>8333.0</v>
      </c>
      <c r="J270" s="40">
        <v>4607.0</v>
      </c>
      <c r="K270" s="11">
        <v>16396.0</v>
      </c>
      <c r="L270" s="29" t="s">
        <v>260</v>
      </c>
      <c r="M270" s="39" t="s">
        <v>285</v>
      </c>
      <c r="N270" s="11" t="s">
        <v>290</v>
      </c>
    </row>
    <row r="271">
      <c r="A271" s="25" t="s">
        <v>57</v>
      </c>
      <c r="B271" s="11" t="s">
        <v>20</v>
      </c>
      <c r="C271" s="25" t="s">
        <v>282</v>
      </c>
      <c r="D271" s="25" t="s">
        <v>284</v>
      </c>
      <c r="E271" s="11" t="s">
        <v>689</v>
      </c>
      <c r="F271" s="11" t="s">
        <v>690</v>
      </c>
      <c r="G271" s="11" t="s">
        <v>158</v>
      </c>
      <c r="H271" s="11">
        <v>1999.0</v>
      </c>
      <c r="I271" s="40">
        <v>9011.0</v>
      </c>
      <c r="J271" s="40">
        <v>5285.0</v>
      </c>
      <c r="K271" s="11">
        <v>16802.0</v>
      </c>
      <c r="L271" s="29" t="s">
        <v>260</v>
      </c>
      <c r="M271" s="39" t="s">
        <v>285</v>
      </c>
      <c r="N271" s="11" t="s">
        <v>290</v>
      </c>
    </row>
    <row r="272">
      <c r="A272" s="25" t="s">
        <v>57</v>
      </c>
      <c r="B272" s="11" t="s">
        <v>20</v>
      </c>
      <c r="C272" s="25" t="s">
        <v>282</v>
      </c>
      <c r="D272" s="25" t="s">
        <v>284</v>
      </c>
      <c r="E272" s="11" t="s">
        <v>689</v>
      </c>
      <c r="F272" s="11" t="s">
        <v>690</v>
      </c>
      <c r="G272" s="11" t="s">
        <v>158</v>
      </c>
      <c r="H272" s="11">
        <v>2000.0</v>
      </c>
      <c r="I272" s="40">
        <v>9146.0</v>
      </c>
      <c r="J272" s="40">
        <v>5149.0</v>
      </c>
      <c r="K272" s="11">
        <v>16802.0</v>
      </c>
      <c r="L272" s="29" t="s">
        <v>260</v>
      </c>
      <c r="M272" s="39" t="s">
        <v>285</v>
      </c>
      <c r="N272" s="11" t="s">
        <v>290</v>
      </c>
    </row>
    <row r="273">
      <c r="A273" s="25" t="s">
        <v>57</v>
      </c>
      <c r="B273" s="11" t="s">
        <v>20</v>
      </c>
      <c r="C273" s="25" t="s">
        <v>282</v>
      </c>
      <c r="D273" s="25" t="s">
        <v>284</v>
      </c>
      <c r="E273" s="11" t="s">
        <v>689</v>
      </c>
      <c r="F273" s="11" t="s">
        <v>690</v>
      </c>
      <c r="G273" s="11" t="s">
        <v>158</v>
      </c>
      <c r="H273" s="11">
        <v>2001.0</v>
      </c>
      <c r="I273" s="40">
        <v>8672.0</v>
      </c>
      <c r="J273" s="40">
        <v>5014.0</v>
      </c>
      <c r="K273" s="11">
        <v>16192.0</v>
      </c>
      <c r="L273" s="29" t="s">
        <v>260</v>
      </c>
      <c r="M273" s="39" t="s">
        <v>285</v>
      </c>
      <c r="N273" s="11" t="s">
        <v>290</v>
      </c>
    </row>
    <row r="274">
      <c r="A274" s="25" t="s">
        <v>57</v>
      </c>
      <c r="B274" s="11" t="s">
        <v>20</v>
      </c>
      <c r="C274" s="25" t="s">
        <v>282</v>
      </c>
      <c r="D274" s="25" t="s">
        <v>284</v>
      </c>
      <c r="E274" s="11" t="s">
        <v>689</v>
      </c>
      <c r="F274" s="11" t="s">
        <v>690</v>
      </c>
      <c r="G274" s="11" t="s">
        <v>158</v>
      </c>
      <c r="H274" s="11">
        <v>2002.0</v>
      </c>
      <c r="I274" s="40">
        <v>11247.0</v>
      </c>
      <c r="J274" s="40">
        <v>6775.0</v>
      </c>
      <c r="K274" s="11">
        <v>20596.0</v>
      </c>
      <c r="L274" s="29" t="s">
        <v>260</v>
      </c>
      <c r="M274" s="39" t="s">
        <v>285</v>
      </c>
      <c r="N274" s="11" t="s">
        <v>290</v>
      </c>
    </row>
    <row r="275">
      <c r="A275" s="25" t="s">
        <v>57</v>
      </c>
      <c r="B275" s="11" t="s">
        <v>20</v>
      </c>
      <c r="C275" s="25" t="s">
        <v>282</v>
      </c>
      <c r="D275" s="25" t="s">
        <v>284</v>
      </c>
      <c r="E275" s="11" t="s">
        <v>689</v>
      </c>
      <c r="F275" s="11" t="s">
        <v>690</v>
      </c>
      <c r="G275" s="11" t="s">
        <v>158</v>
      </c>
      <c r="H275" s="11">
        <v>2003.0</v>
      </c>
      <c r="I275" s="40">
        <v>11721.0</v>
      </c>
      <c r="J275" s="40">
        <v>6911.0</v>
      </c>
      <c r="K275" s="11">
        <v>22493.0</v>
      </c>
      <c r="L275" s="29" t="s">
        <v>260</v>
      </c>
      <c r="M275" s="39" t="s">
        <v>285</v>
      </c>
      <c r="N275" s="11" t="s">
        <v>290</v>
      </c>
    </row>
    <row r="276">
      <c r="A276" s="25" t="s">
        <v>57</v>
      </c>
      <c r="B276" s="11" t="s">
        <v>20</v>
      </c>
      <c r="C276" s="25" t="s">
        <v>282</v>
      </c>
      <c r="D276" s="25" t="s">
        <v>284</v>
      </c>
      <c r="E276" s="11" t="s">
        <v>689</v>
      </c>
      <c r="F276" s="11" t="s">
        <v>690</v>
      </c>
      <c r="G276" s="11" t="s">
        <v>158</v>
      </c>
      <c r="H276" s="11">
        <v>2004.0</v>
      </c>
      <c r="I276" s="40">
        <v>13076.0</v>
      </c>
      <c r="J276" s="40">
        <v>7656.0</v>
      </c>
      <c r="K276" s="11">
        <v>24593.0</v>
      </c>
      <c r="L276" s="29" t="s">
        <v>260</v>
      </c>
      <c r="M276" s="39" t="s">
        <v>285</v>
      </c>
      <c r="N276" s="11" t="s">
        <v>290</v>
      </c>
    </row>
    <row r="277">
      <c r="A277" s="25" t="s">
        <v>57</v>
      </c>
      <c r="B277" s="11" t="s">
        <v>20</v>
      </c>
      <c r="C277" s="25" t="s">
        <v>282</v>
      </c>
      <c r="D277" s="25" t="s">
        <v>284</v>
      </c>
      <c r="E277" s="11" t="s">
        <v>689</v>
      </c>
      <c r="F277" s="11" t="s">
        <v>690</v>
      </c>
      <c r="G277" s="11" t="s">
        <v>158</v>
      </c>
      <c r="H277" s="11">
        <v>2005.0</v>
      </c>
      <c r="I277" s="40">
        <v>14363.0</v>
      </c>
      <c r="J277" s="40">
        <v>8333.0</v>
      </c>
      <c r="K277" s="11">
        <v>27846.0</v>
      </c>
      <c r="L277" s="29" t="s">
        <v>260</v>
      </c>
      <c r="M277" s="39" t="s">
        <v>285</v>
      </c>
      <c r="N277" s="11" t="s">
        <v>290</v>
      </c>
    </row>
    <row r="278">
      <c r="A278" s="25" t="s">
        <v>57</v>
      </c>
      <c r="B278" s="11" t="s">
        <v>20</v>
      </c>
      <c r="C278" s="25" t="s">
        <v>282</v>
      </c>
      <c r="D278" s="25" t="s">
        <v>284</v>
      </c>
      <c r="E278" s="11" t="s">
        <v>689</v>
      </c>
      <c r="F278" s="11" t="s">
        <v>690</v>
      </c>
      <c r="G278" s="11" t="s">
        <v>158</v>
      </c>
      <c r="H278" s="11">
        <v>2006.0</v>
      </c>
      <c r="I278" s="40">
        <v>10434.0</v>
      </c>
      <c r="J278" s="40">
        <v>6369.0</v>
      </c>
      <c r="K278" s="11">
        <v>19377.0</v>
      </c>
      <c r="L278" s="29" t="s">
        <v>260</v>
      </c>
      <c r="M278" s="39" t="s">
        <v>285</v>
      </c>
      <c r="N278" s="11" t="s">
        <v>290</v>
      </c>
    </row>
    <row r="279">
      <c r="A279" s="25" t="s">
        <v>57</v>
      </c>
      <c r="B279" s="11" t="s">
        <v>20</v>
      </c>
      <c r="C279" s="25" t="s">
        <v>282</v>
      </c>
      <c r="D279" s="25" t="s">
        <v>284</v>
      </c>
      <c r="E279" s="11" t="s">
        <v>689</v>
      </c>
      <c r="F279" s="11" t="s">
        <v>690</v>
      </c>
      <c r="G279" s="11" t="s">
        <v>158</v>
      </c>
      <c r="H279" s="11">
        <v>2007.0</v>
      </c>
      <c r="I279" s="40">
        <v>7995.0</v>
      </c>
      <c r="J279" s="40">
        <v>4743.0</v>
      </c>
      <c r="K279" s="11">
        <v>14905.0</v>
      </c>
      <c r="L279" s="29" t="s">
        <v>260</v>
      </c>
      <c r="M279" s="39" t="s">
        <v>285</v>
      </c>
      <c r="N279" s="11" t="s">
        <v>290</v>
      </c>
    </row>
    <row r="280">
      <c r="A280" s="25" t="s">
        <v>57</v>
      </c>
      <c r="B280" s="11" t="s">
        <v>20</v>
      </c>
      <c r="C280" s="25" t="s">
        <v>282</v>
      </c>
      <c r="D280" s="25" t="s">
        <v>284</v>
      </c>
      <c r="E280" s="11" t="s">
        <v>689</v>
      </c>
      <c r="F280" s="11" t="s">
        <v>690</v>
      </c>
      <c r="G280" s="11" t="s">
        <v>158</v>
      </c>
      <c r="H280" s="11">
        <v>2008.0</v>
      </c>
      <c r="I280" s="40">
        <v>8875.0</v>
      </c>
      <c r="J280" s="40">
        <v>5285.0</v>
      </c>
      <c r="K280" s="11">
        <v>16396.0</v>
      </c>
      <c r="L280" s="29" t="s">
        <v>260</v>
      </c>
      <c r="M280" s="39" t="s">
        <v>285</v>
      </c>
      <c r="N280" s="11" t="s">
        <v>290</v>
      </c>
    </row>
    <row r="281">
      <c r="A281" s="25" t="s">
        <v>57</v>
      </c>
      <c r="B281" s="11" t="s">
        <v>20</v>
      </c>
      <c r="C281" s="25" t="s">
        <v>282</v>
      </c>
      <c r="D281" s="25" t="s">
        <v>284</v>
      </c>
      <c r="E281" s="11" t="s">
        <v>689</v>
      </c>
      <c r="F281" s="11" t="s">
        <v>690</v>
      </c>
      <c r="G281" s="11" t="s">
        <v>158</v>
      </c>
      <c r="H281" s="11">
        <v>2009.0</v>
      </c>
      <c r="I281" s="40">
        <v>8875.0</v>
      </c>
      <c r="J281" s="40">
        <v>5285.0</v>
      </c>
      <c r="K281" s="11">
        <v>16938.0</v>
      </c>
      <c r="L281" s="29" t="s">
        <v>260</v>
      </c>
      <c r="M281" s="39" t="s">
        <v>285</v>
      </c>
      <c r="N281" s="11" t="s">
        <v>290</v>
      </c>
    </row>
    <row r="282">
      <c r="A282" s="25" t="s">
        <v>57</v>
      </c>
      <c r="B282" s="11" t="s">
        <v>20</v>
      </c>
      <c r="C282" s="25" t="s">
        <v>282</v>
      </c>
      <c r="D282" s="25" t="s">
        <v>284</v>
      </c>
      <c r="E282" s="11" t="s">
        <v>689</v>
      </c>
      <c r="F282" s="11" t="s">
        <v>690</v>
      </c>
      <c r="G282" s="11" t="s">
        <v>158</v>
      </c>
      <c r="H282" s="11">
        <v>2010.0</v>
      </c>
      <c r="I282" s="40">
        <v>8333.0</v>
      </c>
      <c r="J282" s="40">
        <v>4946.0</v>
      </c>
      <c r="K282" s="11">
        <v>15650.0</v>
      </c>
      <c r="L282" s="29" t="s">
        <v>260</v>
      </c>
      <c r="M282" s="39" t="s">
        <v>285</v>
      </c>
      <c r="N282" s="11" t="s">
        <v>290</v>
      </c>
    </row>
    <row r="283">
      <c r="A283" s="25" t="s">
        <v>57</v>
      </c>
      <c r="B283" s="11" t="s">
        <v>20</v>
      </c>
      <c r="C283" s="25" t="s">
        <v>282</v>
      </c>
      <c r="D283" s="25" t="s">
        <v>284</v>
      </c>
      <c r="E283" s="11" t="s">
        <v>689</v>
      </c>
      <c r="F283" s="11" t="s">
        <v>690</v>
      </c>
      <c r="G283" s="11" t="s">
        <v>158</v>
      </c>
      <c r="H283" s="11">
        <v>2011.0</v>
      </c>
      <c r="I283" s="40">
        <v>8198.0</v>
      </c>
      <c r="J283" s="40">
        <v>4810.0</v>
      </c>
      <c r="K283" s="11">
        <v>15176.0</v>
      </c>
      <c r="L283" s="29" t="s">
        <v>260</v>
      </c>
      <c r="M283" s="39" t="s">
        <v>285</v>
      </c>
      <c r="N283" s="11" t="s">
        <v>290</v>
      </c>
    </row>
    <row r="284">
      <c r="A284" s="25" t="s">
        <v>57</v>
      </c>
      <c r="B284" s="11" t="s">
        <v>20</v>
      </c>
      <c r="C284" s="25" t="s">
        <v>282</v>
      </c>
      <c r="D284" s="25" t="s">
        <v>284</v>
      </c>
      <c r="E284" s="11" t="s">
        <v>689</v>
      </c>
      <c r="F284" s="11" t="s">
        <v>690</v>
      </c>
      <c r="G284" s="11" t="s">
        <v>158</v>
      </c>
      <c r="H284" s="11">
        <v>2012.0</v>
      </c>
      <c r="I284" s="40">
        <v>7249.0</v>
      </c>
      <c r="J284" s="40">
        <v>3997.0</v>
      </c>
      <c r="K284" s="11">
        <v>14092.0</v>
      </c>
      <c r="L284" s="29" t="s">
        <v>260</v>
      </c>
      <c r="M284" s="39" t="s">
        <v>285</v>
      </c>
      <c r="N284" s="11" t="s">
        <v>290</v>
      </c>
    </row>
    <row r="285">
      <c r="A285" s="25" t="s">
        <v>57</v>
      </c>
      <c r="B285" s="11" t="s">
        <v>20</v>
      </c>
      <c r="C285" s="25" t="s">
        <v>282</v>
      </c>
      <c r="D285" s="25" t="s">
        <v>284</v>
      </c>
      <c r="E285" s="11" t="s">
        <v>689</v>
      </c>
      <c r="F285" s="11" t="s">
        <v>690</v>
      </c>
      <c r="G285" s="11" t="s">
        <v>158</v>
      </c>
      <c r="H285" s="11">
        <v>2013.0</v>
      </c>
      <c r="I285" s="40">
        <v>6843.0</v>
      </c>
      <c r="J285" s="40">
        <v>3794.0</v>
      </c>
      <c r="K285" s="11">
        <v>13008.0</v>
      </c>
      <c r="L285" s="29" t="s">
        <v>260</v>
      </c>
      <c r="M285" s="39" t="s">
        <v>285</v>
      </c>
      <c r="N285" s="11" t="s">
        <v>290</v>
      </c>
    </row>
    <row r="286">
      <c r="A286" s="25" t="s">
        <v>57</v>
      </c>
      <c r="B286" s="11" t="s">
        <v>20</v>
      </c>
      <c r="C286" s="25" t="s">
        <v>282</v>
      </c>
      <c r="D286" s="25" t="s">
        <v>284</v>
      </c>
      <c r="E286" s="11" t="s">
        <v>689</v>
      </c>
      <c r="F286" s="11" t="s">
        <v>690</v>
      </c>
      <c r="G286" s="11" t="s">
        <v>158</v>
      </c>
      <c r="H286" s="11">
        <v>2014.0</v>
      </c>
      <c r="I286" s="40">
        <v>7859.0</v>
      </c>
      <c r="J286" s="40">
        <v>4607.0</v>
      </c>
      <c r="K286" s="11">
        <v>14770.0</v>
      </c>
      <c r="L286" s="29" t="s">
        <v>260</v>
      </c>
      <c r="M286" s="39" t="s">
        <v>285</v>
      </c>
      <c r="N286" s="11" t="s">
        <v>290</v>
      </c>
    </row>
    <row r="287">
      <c r="A287" s="25" t="s">
        <v>57</v>
      </c>
      <c r="B287" s="11" t="s">
        <v>20</v>
      </c>
      <c r="C287" s="25" t="s">
        <v>282</v>
      </c>
      <c r="D287" s="25" t="s">
        <v>284</v>
      </c>
      <c r="E287" s="11" t="s">
        <v>689</v>
      </c>
      <c r="F287" s="11" t="s">
        <v>690</v>
      </c>
      <c r="G287" s="11" t="s">
        <v>158</v>
      </c>
      <c r="H287" s="11">
        <v>2015.0</v>
      </c>
      <c r="I287" s="40">
        <v>7791.0</v>
      </c>
      <c r="J287" s="40">
        <v>4336.0</v>
      </c>
      <c r="K287" s="11">
        <v>15244.0</v>
      </c>
      <c r="L287" s="29" t="s">
        <v>260</v>
      </c>
      <c r="M287" s="39" t="s">
        <v>285</v>
      </c>
      <c r="N287" s="11" t="s">
        <v>290</v>
      </c>
    </row>
    <row r="288">
      <c r="A288" s="25" t="s">
        <v>57</v>
      </c>
      <c r="B288" s="11" t="s">
        <v>20</v>
      </c>
      <c r="C288" s="25" t="s">
        <v>282</v>
      </c>
      <c r="D288" s="25" t="s">
        <v>284</v>
      </c>
      <c r="E288" s="11" t="s">
        <v>689</v>
      </c>
      <c r="F288" s="11" t="s">
        <v>690</v>
      </c>
      <c r="G288" s="11" t="s">
        <v>158</v>
      </c>
      <c r="H288" s="11">
        <v>2016.0</v>
      </c>
      <c r="I288" s="40">
        <v>7791.0</v>
      </c>
      <c r="J288" s="40">
        <v>4607.0</v>
      </c>
      <c r="K288" s="11">
        <v>14770.0</v>
      </c>
      <c r="L288" s="29" t="s">
        <v>260</v>
      </c>
      <c r="M288" s="39" t="s">
        <v>285</v>
      </c>
      <c r="N288" s="11" t="s">
        <v>290</v>
      </c>
    </row>
    <row r="289">
      <c r="A289" s="25" t="s">
        <v>57</v>
      </c>
      <c r="B289" s="11" t="s">
        <v>20</v>
      </c>
      <c r="C289" s="25" t="s">
        <v>282</v>
      </c>
      <c r="D289" s="25" t="s">
        <v>284</v>
      </c>
      <c r="E289" s="11" t="s">
        <v>689</v>
      </c>
      <c r="F289" s="11" t="s">
        <v>690</v>
      </c>
      <c r="G289" s="11" t="s">
        <v>158</v>
      </c>
      <c r="H289" s="11">
        <v>2017.0</v>
      </c>
      <c r="I289" s="40">
        <v>7995.0</v>
      </c>
      <c r="J289" s="40">
        <v>4675.0</v>
      </c>
      <c r="K289" s="11">
        <v>15176.0</v>
      </c>
      <c r="L289" s="29" t="s">
        <v>260</v>
      </c>
      <c r="M289" s="39" t="s">
        <v>285</v>
      </c>
      <c r="N289" s="11" t="s">
        <v>290</v>
      </c>
    </row>
    <row r="290">
      <c r="A290" s="11" t="s">
        <v>57</v>
      </c>
      <c r="B290" s="11" t="s">
        <v>20</v>
      </c>
      <c r="C290" s="11" t="s">
        <v>701</v>
      </c>
      <c r="D290" s="11" t="s">
        <v>268</v>
      </c>
      <c r="E290" s="11" t="s">
        <v>702</v>
      </c>
      <c r="F290" s="11" t="s">
        <v>703</v>
      </c>
      <c r="G290" s="11" t="s">
        <v>74</v>
      </c>
      <c r="H290" s="11">
        <v>1986.0</v>
      </c>
      <c r="I290" s="40">
        <v>1980.0</v>
      </c>
      <c r="J290" s="40">
        <v>1052.0</v>
      </c>
      <c r="K290" s="11">
        <v>3961.0</v>
      </c>
      <c r="L290" s="29" t="s">
        <v>260</v>
      </c>
      <c r="M290" s="30" t="s">
        <v>271</v>
      </c>
      <c r="N290" s="11" t="s">
        <v>277</v>
      </c>
      <c r="O290" s="11" t="s">
        <v>705</v>
      </c>
    </row>
    <row r="291">
      <c r="A291" s="11" t="s">
        <v>57</v>
      </c>
      <c r="B291" s="11" t="s">
        <v>20</v>
      </c>
      <c r="C291" s="11" t="s">
        <v>701</v>
      </c>
      <c r="D291" s="11" t="s">
        <v>268</v>
      </c>
      <c r="E291" s="11" t="s">
        <v>702</v>
      </c>
      <c r="F291" s="11" t="s">
        <v>703</v>
      </c>
      <c r="G291" s="11" t="s">
        <v>74</v>
      </c>
      <c r="H291" s="11">
        <v>1987.0</v>
      </c>
      <c r="I291" s="40">
        <v>1377.0</v>
      </c>
      <c r="J291" s="40">
        <v>750.0</v>
      </c>
      <c r="K291" s="11">
        <v>2732.0</v>
      </c>
      <c r="L291" s="29" t="s">
        <v>260</v>
      </c>
      <c r="M291" s="30" t="s">
        <v>271</v>
      </c>
      <c r="N291" s="11" t="s">
        <v>277</v>
      </c>
    </row>
    <row r="292">
      <c r="A292" s="11" t="s">
        <v>57</v>
      </c>
      <c r="B292" s="11" t="s">
        <v>20</v>
      </c>
      <c r="C292" s="11" t="s">
        <v>701</v>
      </c>
      <c r="D292" s="11" t="s">
        <v>268</v>
      </c>
      <c r="E292" s="11" t="s">
        <v>702</v>
      </c>
      <c r="F292" s="11" t="s">
        <v>703</v>
      </c>
      <c r="G292" s="11" t="s">
        <v>74</v>
      </c>
      <c r="H292" s="11">
        <v>1988.0</v>
      </c>
      <c r="I292" s="40">
        <v>1025.0</v>
      </c>
      <c r="J292" s="40">
        <v>549.0</v>
      </c>
      <c r="K292" s="11">
        <v>1953.0</v>
      </c>
      <c r="L292" s="29" t="s">
        <v>260</v>
      </c>
      <c r="M292" s="30" t="s">
        <v>271</v>
      </c>
      <c r="N292" s="11" t="s">
        <v>277</v>
      </c>
    </row>
    <row r="293">
      <c r="A293" s="11" t="s">
        <v>57</v>
      </c>
      <c r="B293" s="11" t="s">
        <v>20</v>
      </c>
      <c r="C293" s="11" t="s">
        <v>701</v>
      </c>
      <c r="D293" s="11" t="s">
        <v>268</v>
      </c>
      <c r="E293" s="11" t="s">
        <v>702</v>
      </c>
      <c r="F293" s="11" t="s">
        <v>703</v>
      </c>
      <c r="G293" s="11" t="s">
        <v>74</v>
      </c>
      <c r="H293" s="11">
        <v>1989.0</v>
      </c>
      <c r="I293" s="40">
        <v>748.0</v>
      </c>
      <c r="J293" s="40">
        <v>422.0</v>
      </c>
      <c r="K293" s="11">
        <v>1451.0</v>
      </c>
      <c r="L293" s="29" t="s">
        <v>260</v>
      </c>
      <c r="M293" s="30" t="s">
        <v>271</v>
      </c>
      <c r="N293" s="11" t="s">
        <v>277</v>
      </c>
    </row>
    <row r="294">
      <c r="A294" s="11" t="s">
        <v>57</v>
      </c>
      <c r="B294" s="11" t="s">
        <v>20</v>
      </c>
      <c r="C294" s="11" t="s">
        <v>701</v>
      </c>
      <c r="D294" s="11" t="s">
        <v>268</v>
      </c>
      <c r="E294" s="11" t="s">
        <v>702</v>
      </c>
      <c r="F294" s="11" t="s">
        <v>703</v>
      </c>
      <c r="G294" s="11" t="s">
        <v>74</v>
      </c>
      <c r="H294" s="11">
        <v>1990.0</v>
      </c>
      <c r="I294" s="40">
        <v>547.0</v>
      </c>
      <c r="J294" s="40">
        <v>271.0</v>
      </c>
      <c r="K294" s="11">
        <v>1073.0</v>
      </c>
      <c r="L294" s="29" t="s">
        <v>260</v>
      </c>
      <c r="M294" s="30" t="s">
        <v>271</v>
      </c>
      <c r="N294" s="11" t="s">
        <v>277</v>
      </c>
    </row>
    <row r="295">
      <c r="A295" s="11" t="s">
        <v>57</v>
      </c>
      <c r="B295" s="11" t="s">
        <v>20</v>
      </c>
      <c r="C295" s="11" t="s">
        <v>701</v>
      </c>
      <c r="D295" s="11" t="s">
        <v>268</v>
      </c>
      <c r="E295" s="11" t="s">
        <v>702</v>
      </c>
      <c r="F295" s="11" t="s">
        <v>703</v>
      </c>
      <c r="G295" s="11" t="s">
        <v>74</v>
      </c>
      <c r="H295" s="11">
        <v>1991.0</v>
      </c>
      <c r="I295" s="40">
        <v>571.0</v>
      </c>
      <c r="J295" s="40">
        <v>295.0</v>
      </c>
      <c r="K295" s="11">
        <v>1173.0</v>
      </c>
      <c r="L295" s="29" t="s">
        <v>260</v>
      </c>
      <c r="M295" s="30" t="s">
        <v>271</v>
      </c>
      <c r="N295" s="11" t="s">
        <v>277</v>
      </c>
    </row>
    <row r="296">
      <c r="A296" s="11" t="s">
        <v>57</v>
      </c>
      <c r="B296" s="11" t="s">
        <v>20</v>
      </c>
      <c r="C296" s="11" t="s">
        <v>701</v>
      </c>
      <c r="D296" s="11" t="s">
        <v>268</v>
      </c>
      <c r="E296" s="11" t="s">
        <v>702</v>
      </c>
      <c r="F296" s="11" t="s">
        <v>703</v>
      </c>
      <c r="G296" s="11" t="s">
        <v>74</v>
      </c>
      <c r="H296" s="11">
        <v>1992.0</v>
      </c>
      <c r="I296" s="40">
        <v>620.0</v>
      </c>
      <c r="J296" s="40">
        <v>369.0</v>
      </c>
      <c r="K296" s="11">
        <v>1272.0</v>
      </c>
      <c r="L296" s="29" t="s">
        <v>260</v>
      </c>
      <c r="M296" s="30" t="s">
        <v>271</v>
      </c>
      <c r="N296" s="11" t="s">
        <v>277</v>
      </c>
    </row>
    <row r="297">
      <c r="A297" s="11" t="s">
        <v>57</v>
      </c>
      <c r="B297" s="11" t="s">
        <v>20</v>
      </c>
      <c r="C297" s="11" t="s">
        <v>701</v>
      </c>
      <c r="D297" s="11" t="s">
        <v>268</v>
      </c>
      <c r="E297" s="11" t="s">
        <v>702</v>
      </c>
      <c r="F297" s="11" t="s">
        <v>703</v>
      </c>
      <c r="G297" s="11" t="s">
        <v>74</v>
      </c>
      <c r="H297" s="11">
        <v>1993.0</v>
      </c>
      <c r="I297" s="40">
        <v>669.0</v>
      </c>
      <c r="J297" s="40">
        <v>368.0</v>
      </c>
      <c r="K297" s="11">
        <v>1396.0</v>
      </c>
      <c r="L297" s="29" t="s">
        <v>260</v>
      </c>
      <c r="M297" s="30" t="s">
        <v>271</v>
      </c>
      <c r="N297" s="11" t="s">
        <v>277</v>
      </c>
    </row>
    <row r="298">
      <c r="A298" s="11" t="s">
        <v>57</v>
      </c>
      <c r="B298" s="11" t="s">
        <v>20</v>
      </c>
      <c r="C298" s="11" t="s">
        <v>701</v>
      </c>
      <c r="D298" s="11" t="s">
        <v>268</v>
      </c>
      <c r="E298" s="11" t="s">
        <v>702</v>
      </c>
      <c r="F298" s="11" t="s">
        <v>703</v>
      </c>
      <c r="G298" s="11" t="s">
        <v>74</v>
      </c>
      <c r="H298" s="11">
        <v>1994.0</v>
      </c>
      <c r="I298" s="40">
        <v>768.0</v>
      </c>
      <c r="J298" s="40">
        <v>417.0</v>
      </c>
      <c r="K298" s="11">
        <v>1571.0</v>
      </c>
      <c r="L298" s="29" t="s">
        <v>260</v>
      </c>
      <c r="M298" s="30" t="s">
        <v>271</v>
      </c>
      <c r="N298" s="11" t="s">
        <v>277</v>
      </c>
    </row>
    <row r="299">
      <c r="A299" s="11" t="s">
        <v>57</v>
      </c>
      <c r="B299" s="11" t="s">
        <v>20</v>
      </c>
      <c r="C299" s="11" t="s">
        <v>701</v>
      </c>
      <c r="D299" s="11" t="s">
        <v>268</v>
      </c>
      <c r="E299" s="11" t="s">
        <v>702</v>
      </c>
      <c r="F299" s="11" t="s">
        <v>703</v>
      </c>
      <c r="G299" s="11" t="s">
        <v>74</v>
      </c>
      <c r="H299" s="11">
        <v>1995.0</v>
      </c>
      <c r="I299" s="40">
        <v>893.0</v>
      </c>
      <c r="J299" s="40">
        <v>467.0</v>
      </c>
      <c r="K299" s="11">
        <v>1771.0</v>
      </c>
      <c r="L299" s="29" t="s">
        <v>260</v>
      </c>
      <c r="M299" s="30" t="s">
        <v>271</v>
      </c>
      <c r="N299" s="11" t="s">
        <v>277</v>
      </c>
    </row>
    <row r="300">
      <c r="A300" s="11" t="s">
        <v>57</v>
      </c>
      <c r="B300" s="11" t="s">
        <v>20</v>
      </c>
      <c r="C300" s="11" t="s">
        <v>701</v>
      </c>
      <c r="D300" s="11" t="s">
        <v>268</v>
      </c>
      <c r="E300" s="11" t="s">
        <v>702</v>
      </c>
      <c r="F300" s="11" t="s">
        <v>703</v>
      </c>
      <c r="G300" s="11" t="s">
        <v>74</v>
      </c>
      <c r="H300" s="11">
        <v>1996.0</v>
      </c>
      <c r="I300" s="40">
        <v>1017.0</v>
      </c>
      <c r="J300" s="40">
        <v>566.0</v>
      </c>
      <c r="K300" s="11">
        <v>2020.0</v>
      </c>
      <c r="L300" s="29" t="s">
        <v>260</v>
      </c>
      <c r="M300" s="30" t="s">
        <v>271</v>
      </c>
      <c r="N300" s="11" t="s">
        <v>277</v>
      </c>
    </row>
    <row r="301">
      <c r="A301" s="11" t="s">
        <v>57</v>
      </c>
      <c r="B301" s="11" t="s">
        <v>20</v>
      </c>
      <c r="C301" s="11" t="s">
        <v>701</v>
      </c>
      <c r="D301" s="11" t="s">
        <v>268</v>
      </c>
      <c r="E301" s="11" t="s">
        <v>702</v>
      </c>
      <c r="F301" s="11" t="s">
        <v>703</v>
      </c>
      <c r="G301" s="11" t="s">
        <v>74</v>
      </c>
      <c r="H301" s="11">
        <v>1997.0</v>
      </c>
      <c r="I301" s="40">
        <v>1167.0</v>
      </c>
      <c r="J301" s="40">
        <v>665.0</v>
      </c>
      <c r="K301" s="11">
        <v>2220.0</v>
      </c>
      <c r="L301" s="29" t="s">
        <v>260</v>
      </c>
      <c r="M301" s="30" t="s">
        <v>271</v>
      </c>
      <c r="N301" s="11" t="s">
        <v>277</v>
      </c>
    </row>
    <row r="302">
      <c r="A302" s="11" t="s">
        <v>57</v>
      </c>
      <c r="B302" s="11" t="s">
        <v>20</v>
      </c>
      <c r="C302" s="11" t="s">
        <v>701</v>
      </c>
      <c r="D302" s="11" t="s">
        <v>268</v>
      </c>
      <c r="E302" s="11" t="s">
        <v>702</v>
      </c>
      <c r="F302" s="11" t="s">
        <v>703</v>
      </c>
      <c r="G302" s="11" t="s">
        <v>74</v>
      </c>
      <c r="H302" s="11">
        <v>1998.0</v>
      </c>
      <c r="I302" s="40">
        <v>1266.0</v>
      </c>
      <c r="J302" s="40">
        <v>739.0</v>
      </c>
      <c r="K302" s="11">
        <v>2520.0</v>
      </c>
      <c r="L302" s="29" t="s">
        <v>260</v>
      </c>
      <c r="M302" s="30" t="s">
        <v>271</v>
      </c>
      <c r="N302" s="11" t="s">
        <v>277</v>
      </c>
    </row>
    <row r="303">
      <c r="A303" s="11" t="s">
        <v>57</v>
      </c>
      <c r="B303" s="11" t="s">
        <v>20</v>
      </c>
      <c r="C303" s="11" t="s">
        <v>701</v>
      </c>
      <c r="D303" s="11" t="s">
        <v>268</v>
      </c>
      <c r="E303" s="11" t="s">
        <v>702</v>
      </c>
      <c r="F303" s="11" t="s">
        <v>703</v>
      </c>
      <c r="G303" s="11" t="s">
        <v>74</v>
      </c>
      <c r="H303" s="11">
        <v>1999.0</v>
      </c>
      <c r="I303" s="40">
        <v>1441.0</v>
      </c>
      <c r="J303" s="40">
        <v>889.0</v>
      </c>
      <c r="K303" s="11">
        <v>2795.0</v>
      </c>
      <c r="L303" s="29" t="s">
        <v>260</v>
      </c>
      <c r="M303" s="30" t="s">
        <v>271</v>
      </c>
      <c r="N303" s="11" t="s">
        <v>277</v>
      </c>
    </row>
    <row r="304">
      <c r="A304" s="11" t="s">
        <v>57</v>
      </c>
      <c r="B304" s="11" t="s">
        <v>20</v>
      </c>
      <c r="C304" s="11" t="s">
        <v>701</v>
      </c>
      <c r="D304" s="11" t="s">
        <v>268</v>
      </c>
      <c r="E304" s="11" t="s">
        <v>702</v>
      </c>
      <c r="F304" s="11" t="s">
        <v>703</v>
      </c>
      <c r="G304" s="11" t="s">
        <v>74</v>
      </c>
      <c r="H304" s="11">
        <v>2000.0</v>
      </c>
      <c r="I304" s="40">
        <v>1590.0</v>
      </c>
      <c r="J304" s="40">
        <v>938.0</v>
      </c>
      <c r="K304" s="11">
        <v>3145.0</v>
      </c>
      <c r="L304" s="29" t="s">
        <v>260</v>
      </c>
      <c r="M304" s="30" t="s">
        <v>271</v>
      </c>
      <c r="N304" s="11" t="s">
        <v>277</v>
      </c>
    </row>
    <row r="305">
      <c r="A305" s="11" t="s">
        <v>57</v>
      </c>
      <c r="B305" s="11" t="s">
        <v>20</v>
      </c>
      <c r="C305" s="11" t="s">
        <v>701</v>
      </c>
      <c r="D305" s="11" t="s">
        <v>268</v>
      </c>
      <c r="E305" s="11" t="s">
        <v>702</v>
      </c>
      <c r="F305" s="11" t="s">
        <v>703</v>
      </c>
      <c r="G305" s="11" t="s">
        <v>74</v>
      </c>
      <c r="H305" s="11">
        <v>2001.0</v>
      </c>
      <c r="I305" s="40">
        <v>1765.0</v>
      </c>
      <c r="J305" s="40">
        <v>1037.0</v>
      </c>
      <c r="K305" s="11">
        <v>3445.0</v>
      </c>
      <c r="L305" s="29" t="s">
        <v>260</v>
      </c>
      <c r="M305" s="30" t="s">
        <v>271</v>
      </c>
      <c r="N305" s="11" t="s">
        <v>277</v>
      </c>
    </row>
    <row r="306">
      <c r="A306" s="11" t="s">
        <v>57</v>
      </c>
      <c r="B306" s="11" t="s">
        <v>20</v>
      </c>
      <c r="C306" s="11" t="s">
        <v>701</v>
      </c>
      <c r="D306" s="11" t="s">
        <v>268</v>
      </c>
      <c r="E306" s="11" t="s">
        <v>702</v>
      </c>
      <c r="F306" s="11" t="s">
        <v>703</v>
      </c>
      <c r="G306" s="11" t="s">
        <v>74</v>
      </c>
      <c r="H306" s="11">
        <v>2002.0</v>
      </c>
      <c r="I306" s="40">
        <v>1964.0</v>
      </c>
      <c r="J306" s="40">
        <v>1137.0</v>
      </c>
      <c r="K306" s="11">
        <v>3720.0</v>
      </c>
      <c r="L306" s="29" t="s">
        <v>260</v>
      </c>
      <c r="M306" s="30" t="s">
        <v>271</v>
      </c>
      <c r="N306" s="11" t="s">
        <v>277</v>
      </c>
    </row>
    <row r="307">
      <c r="A307" s="11" t="s">
        <v>57</v>
      </c>
      <c r="B307" s="11" t="s">
        <v>20</v>
      </c>
      <c r="C307" s="11" t="s">
        <v>701</v>
      </c>
      <c r="D307" s="11" t="s">
        <v>268</v>
      </c>
      <c r="E307" s="11" t="s">
        <v>702</v>
      </c>
      <c r="F307" s="11" t="s">
        <v>703</v>
      </c>
      <c r="G307" s="11" t="s">
        <v>74</v>
      </c>
      <c r="H307" s="11">
        <v>2003.0</v>
      </c>
      <c r="I307" s="40">
        <v>2089.0</v>
      </c>
      <c r="J307" s="40">
        <v>1211.0</v>
      </c>
      <c r="K307" s="11">
        <v>4070.0</v>
      </c>
      <c r="L307" s="29" t="s">
        <v>260</v>
      </c>
      <c r="M307" s="30" t="s">
        <v>271</v>
      </c>
      <c r="N307" s="11" t="s">
        <v>277</v>
      </c>
    </row>
    <row r="308">
      <c r="A308" s="11" t="s">
        <v>57</v>
      </c>
      <c r="B308" s="11" t="s">
        <v>20</v>
      </c>
      <c r="C308" s="11" t="s">
        <v>701</v>
      </c>
      <c r="D308" s="11" t="s">
        <v>268</v>
      </c>
      <c r="E308" s="11" t="s">
        <v>702</v>
      </c>
      <c r="F308" s="11" t="s">
        <v>703</v>
      </c>
      <c r="G308" s="11" t="s">
        <v>74</v>
      </c>
      <c r="H308" s="11">
        <v>2004.0</v>
      </c>
      <c r="I308" s="40">
        <v>2238.0</v>
      </c>
      <c r="J308" s="40">
        <v>1310.0</v>
      </c>
      <c r="K308" s="11">
        <v>4319.0</v>
      </c>
      <c r="L308" s="29" t="s">
        <v>260</v>
      </c>
      <c r="M308" s="30" t="s">
        <v>271</v>
      </c>
      <c r="N308" s="11" t="s">
        <v>277</v>
      </c>
    </row>
    <row r="309">
      <c r="A309" s="11" t="s">
        <v>57</v>
      </c>
      <c r="B309" s="11" t="s">
        <v>20</v>
      </c>
      <c r="C309" s="11" t="s">
        <v>701</v>
      </c>
      <c r="D309" s="11" t="s">
        <v>268</v>
      </c>
      <c r="E309" s="11" t="s">
        <v>702</v>
      </c>
      <c r="F309" s="11" t="s">
        <v>703</v>
      </c>
      <c r="G309" s="11" t="s">
        <v>74</v>
      </c>
      <c r="H309" s="11">
        <v>2005.0</v>
      </c>
      <c r="I309" s="40">
        <v>2413.0</v>
      </c>
      <c r="J309" s="40">
        <v>1359.0</v>
      </c>
      <c r="K309" s="11">
        <v>4644.0</v>
      </c>
      <c r="L309" s="29" t="s">
        <v>260</v>
      </c>
      <c r="M309" s="30" t="s">
        <v>271</v>
      </c>
      <c r="N309" s="11" t="s">
        <v>277</v>
      </c>
    </row>
    <row r="310">
      <c r="A310" s="11" t="s">
        <v>57</v>
      </c>
      <c r="B310" s="11" t="s">
        <v>20</v>
      </c>
      <c r="C310" s="11" t="s">
        <v>701</v>
      </c>
      <c r="D310" s="11" t="s">
        <v>268</v>
      </c>
      <c r="E310" s="11" t="s">
        <v>702</v>
      </c>
      <c r="F310" s="11" t="s">
        <v>703</v>
      </c>
      <c r="G310" s="11" t="s">
        <v>74</v>
      </c>
      <c r="H310" s="11">
        <v>2006.0</v>
      </c>
      <c r="I310" s="40">
        <v>2587.0</v>
      </c>
      <c r="J310" s="40">
        <v>1484.0</v>
      </c>
      <c r="K310" s="11">
        <v>4894.0</v>
      </c>
      <c r="L310" s="29" t="s">
        <v>260</v>
      </c>
      <c r="M310" s="30" t="s">
        <v>271</v>
      </c>
      <c r="N310" s="11" t="s">
        <v>277</v>
      </c>
    </row>
    <row r="311">
      <c r="A311" s="11" t="s">
        <v>57</v>
      </c>
      <c r="B311" s="11" t="s">
        <v>20</v>
      </c>
      <c r="C311" s="11" t="s">
        <v>701</v>
      </c>
      <c r="D311" s="11" t="s">
        <v>268</v>
      </c>
      <c r="E311" s="11" t="s">
        <v>702</v>
      </c>
      <c r="F311" s="11" t="s">
        <v>703</v>
      </c>
      <c r="G311" s="11" t="s">
        <v>74</v>
      </c>
      <c r="H311" s="11">
        <v>2007.0</v>
      </c>
      <c r="I311" s="40">
        <v>2837.0</v>
      </c>
      <c r="J311" s="40">
        <v>1683.0</v>
      </c>
      <c r="K311" s="11">
        <v>5395.0</v>
      </c>
      <c r="L311" s="29" t="s">
        <v>260</v>
      </c>
      <c r="M311" s="30" t="s">
        <v>271</v>
      </c>
      <c r="N311" s="11" t="s">
        <v>277</v>
      </c>
    </row>
    <row r="312">
      <c r="A312" s="11" t="s">
        <v>57</v>
      </c>
      <c r="B312" s="11" t="s">
        <v>20</v>
      </c>
      <c r="C312" s="11" t="s">
        <v>701</v>
      </c>
      <c r="D312" s="11" t="s">
        <v>268</v>
      </c>
      <c r="E312" s="11" t="s">
        <v>702</v>
      </c>
      <c r="F312" s="11" t="s">
        <v>703</v>
      </c>
      <c r="G312" s="11" t="s">
        <v>74</v>
      </c>
      <c r="H312" s="11">
        <v>2008.0</v>
      </c>
      <c r="I312" s="40">
        <v>3087.0</v>
      </c>
      <c r="J312" s="40">
        <v>1757.0</v>
      </c>
      <c r="K312" s="11">
        <v>5996.0</v>
      </c>
      <c r="L312" s="29" t="s">
        <v>260</v>
      </c>
      <c r="M312" s="30" t="s">
        <v>271</v>
      </c>
      <c r="N312" s="11" t="s">
        <v>277</v>
      </c>
    </row>
    <row r="313">
      <c r="A313" s="11" t="s">
        <v>57</v>
      </c>
      <c r="B313" s="11" t="s">
        <v>20</v>
      </c>
      <c r="C313" s="11" t="s">
        <v>701</v>
      </c>
      <c r="D313" s="11" t="s">
        <v>268</v>
      </c>
      <c r="E313" s="11" t="s">
        <v>702</v>
      </c>
      <c r="F313" s="11" t="s">
        <v>703</v>
      </c>
      <c r="G313" s="11" t="s">
        <v>74</v>
      </c>
      <c r="H313" s="11">
        <v>2009.0</v>
      </c>
      <c r="I313" s="40">
        <v>3437.0</v>
      </c>
      <c r="J313" s="40">
        <v>1932.0</v>
      </c>
      <c r="K313" s="11">
        <v>6722.0</v>
      </c>
      <c r="L313" s="29" t="s">
        <v>260</v>
      </c>
      <c r="M313" s="30" t="s">
        <v>271</v>
      </c>
      <c r="N313" s="11" t="s">
        <v>277</v>
      </c>
    </row>
    <row r="314">
      <c r="A314" s="11" t="s">
        <v>57</v>
      </c>
      <c r="B314" s="11" t="s">
        <v>20</v>
      </c>
      <c r="C314" s="11" t="s">
        <v>701</v>
      </c>
      <c r="D314" s="11" t="s">
        <v>268</v>
      </c>
      <c r="E314" s="11" t="s">
        <v>702</v>
      </c>
      <c r="F314" s="11" t="s">
        <v>703</v>
      </c>
      <c r="G314" s="11" t="s">
        <v>74</v>
      </c>
      <c r="H314" s="11">
        <v>2010.0</v>
      </c>
      <c r="I314" s="40">
        <v>3737.0</v>
      </c>
      <c r="J314" s="40">
        <v>2082.0</v>
      </c>
      <c r="K314" s="11">
        <v>7373.0</v>
      </c>
      <c r="L314" s="29" t="s">
        <v>260</v>
      </c>
      <c r="M314" s="30" t="s">
        <v>271</v>
      </c>
      <c r="N314" s="11" t="s">
        <v>277</v>
      </c>
    </row>
    <row r="315">
      <c r="A315" s="11" t="s">
        <v>57</v>
      </c>
      <c r="B315" s="11" t="s">
        <v>20</v>
      </c>
      <c r="C315" s="11" t="s">
        <v>701</v>
      </c>
      <c r="D315" s="11" t="s">
        <v>268</v>
      </c>
      <c r="E315" s="11" t="s">
        <v>702</v>
      </c>
      <c r="F315" s="11" t="s">
        <v>703</v>
      </c>
      <c r="G315" s="11" t="s">
        <v>74</v>
      </c>
      <c r="H315" s="11">
        <v>2011.0</v>
      </c>
      <c r="I315" s="40">
        <v>4087.0</v>
      </c>
      <c r="J315" s="40">
        <v>2231.0</v>
      </c>
      <c r="K315" s="11">
        <v>8099.0</v>
      </c>
      <c r="L315" s="29" t="s">
        <v>260</v>
      </c>
      <c r="M315" s="30" t="s">
        <v>271</v>
      </c>
      <c r="N315" s="11" t="s">
        <v>277</v>
      </c>
    </row>
    <row r="316">
      <c r="A316" s="11" t="s">
        <v>57</v>
      </c>
      <c r="B316" s="11" t="s">
        <v>20</v>
      </c>
      <c r="C316" s="11" t="s">
        <v>278</v>
      </c>
      <c r="D316" s="11" t="s">
        <v>268</v>
      </c>
      <c r="E316" s="11" t="s">
        <v>710</v>
      </c>
      <c r="F316" s="11" t="s">
        <v>703</v>
      </c>
      <c r="G316" s="11" t="s">
        <v>158</v>
      </c>
      <c r="H316" s="11">
        <v>1986.0</v>
      </c>
      <c r="I316" s="40">
        <v>1573.0</v>
      </c>
      <c r="J316" s="40">
        <v>957.0</v>
      </c>
      <c r="K316" s="11">
        <v>2988.0</v>
      </c>
      <c r="L316" s="29" t="s">
        <v>260</v>
      </c>
      <c r="M316" s="30" t="s">
        <v>279</v>
      </c>
      <c r="N316" s="11" t="s">
        <v>280</v>
      </c>
      <c r="O316" s="11" t="s">
        <v>712</v>
      </c>
    </row>
    <row r="317">
      <c r="A317" s="11" t="s">
        <v>57</v>
      </c>
      <c r="B317" s="11" t="s">
        <v>20</v>
      </c>
      <c r="C317" s="11" t="s">
        <v>278</v>
      </c>
      <c r="D317" s="11" t="s">
        <v>268</v>
      </c>
      <c r="E317" s="11" t="s">
        <v>710</v>
      </c>
      <c r="F317" s="11" t="s">
        <v>703</v>
      </c>
      <c r="G317" s="11" t="s">
        <v>158</v>
      </c>
      <c r="H317" s="11">
        <v>1987.0</v>
      </c>
      <c r="I317" s="40">
        <v>1527.0</v>
      </c>
      <c r="J317" s="40">
        <v>911.0</v>
      </c>
      <c r="K317" s="11">
        <v>2804.0</v>
      </c>
      <c r="L317" s="29" t="s">
        <v>260</v>
      </c>
      <c r="M317" s="30" t="s">
        <v>279</v>
      </c>
      <c r="N317" s="11" t="s">
        <v>280</v>
      </c>
    </row>
    <row r="318">
      <c r="A318" s="11" t="s">
        <v>57</v>
      </c>
      <c r="B318" s="11" t="s">
        <v>20</v>
      </c>
      <c r="C318" s="11" t="s">
        <v>278</v>
      </c>
      <c r="D318" s="11" t="s">
        <v>268</v>
      </c>
      <c r="E318" s="11" t="s">
        <v>710</v>
      </c>
      <c r="F318" s="11" t="s">
        <v>703</v>
      </c>
      <c r="G318" s="11" t="s">
        <v>158</v>
      </c>
      <c r="H318" s="11">
        <v>1988.0</v>
      </c>
      <c r="I318" s="40">
        <v>1548.0</v>
      </c>
      <c r="J318" s="40">
        <v>910.0</v>
      </c>
      <c r="K318" s="11">
        <v>2826.0</v>
      </c>
      <c r="L318" s="29" t="s">
        <v>260</v>
      </c>
      <c r="M318" s="30" t="s">
        <v>279</v>
      </c>
      <c r="N318" s="11" t="s">
        <v>280</v>
      </c>
    </row>
    <row r="319">
      <c r="A319" s="11" t="s">
        <v>57</v>
      </c>
      <c r="B319" s="11" t="s">
        <v>20</v>
      </c>
      <c r="C319" s="11" t="s">
        <v>278</v>
      </c>
      <c r="D319" s="11" t="s">
        <v>268</v>
      </c>
      <c r="E319" s="11" t="s">
        <v>710</v>
      </c>
      <c r="F319" s="11" t="s">
        <v>703</v>
      </c>
      <c r="G319" s="11" t="s">
        <v>158</v>
      </c>
      <c r="H319" s="11">
        <v>1989.0</v>
      </c>
      <c r="I319" s="40">
        <v>1662.0</v>
      </c>
      <c r="J319" s="40">
        <v>1000.0</v>
      </c>
      <c r="K319" s="11">
        <v>3030.0</v>
      </c>
      <c r="L319" s="29" t="s">
        <v>260</v>
      </c>
      <c r="M319" s="30" t="s">
        <v>279</v>
      </c>
      <c r="N319" s="11" t="s">
        <v>280</v>
      </c>
    </row>
    <row r="320">
      <c r="A320" s="11" t="s">
        <v>57</v>
      </c>
      <c r="B320" s="11" t="s">
        <v>20</v>
      </c>
      <c r="C320" s="11" t="s">
        <v>278</v>
      </c>
      <c r="D320" s="11" t="s">
        <v>268</v>
      </c>
      <c r="E320" s="11" t="s">
        <v>710</v>
      </c>
      <c r="F320" s="11" t="s">
        <v>703</v>
      </c>
      <c r="G320" s="11" t="s">
        <v>158</v>
      </c>
      <c r="H320" s="11">
        <v>1990.0</v>
      </c>
      <c r="I320" s="40">
        <v>1729.0</v>
      </c>
      <c r="J320" s="40">
        <v>1045.0</v>
      </c>
      <c r="K320" s="11">
        <v>3189.0</v>
      </c>
      <c r="L320" s="29" t="s">
        <v>260</v>
      </c>
      <c r="M320" s="30" t="s">
        <v>279</v>
      </c>
      <c r="N320" s="11" t="s">
        <v>280</v>
      </c>
    </row>
    <row r="321">
      <c r="A321" s="11" t="s">
        <v>57</v>
      </c>
      <c r="B321" s="11" t="s">
        <v>20</v>
      </c>
      <c r="C321" s="11" t="s">
        <v>278</v>
      </c>
      <c r="D321" s="11" t="s">
        <v>268</v>
      </c>
      <c r="E321" s="11" t="s">
        <v>710</v>
      </c>
      <c r="F321" s="11" t="s">
        <v>703</v>
      </c>
      <c r="G321" s="11" t="s">
        <v>158</v>
      </c>
      <c r="H321" s="11">
        <v>1991.0</v>
      </c>
      <c r="I321" s="40">
        <v>1751.0</v>
      </c>
      <c r="J321" s="40">
        <v>1089.0</v>
      </c>
      <c r="K321" s="11">
        <v>3211.0</v>
      </c>
      <c r="L321" s="29" t="s">
        <v>260</v>
      </c>
      <c r="M321" s="30" t="s">
        <v>279</v>
      </c>
      <c r="N321" s="11" t="s">
        <v>280</v>
      </c>
    </row>
    <row r="322">
      <c r="A322" s="11" t="s">
        <v>57</v>
      </c>
      <c r="B322" s="11" t="s">
        <v>20</v>
      </c>
      <c r="C322" s="11" t="s">
        <v>278</v>
      </c>
      <c r="D322" s="11" t="s">
        <v>268</v>
      </c>
      <c r="E322" s="11" t="s">
        <v>710</v>
      </c>
      <c r="F322" s="11" t="s">
        <v>703</v>
      </c>
      <c r="G322" s="11" t="s">
        <v>158</v>
      </c>
      <c r="H322" s="11">
        <v>1992.0</v>
      </c>
      <c r="I322" s="40">
        <v>1727.0</v>
      </c>
      <c r="J322" s="40">
        <v>1066.0</v>
      </c>
      <c r="K322" s="11">
        <v>3210.0</v>
      </c>
      <c r="L322" s="29" t="s">
        <v>260</v>
      </c>
      <c r="M322" s="30" t="s">
        <v>279</v>
      </c>
      <c r="N322" s="11" t="s">
        <v>280</v>
      </c>
    </row>
    <row r="323">
      <c r="A323" s="11" t="s">
        <v>57</v>
      </c>
      <c r="B323" s="11" t="s">
        <v>20</v>
      </c>
      <c r="C323" s="11" t="s">
        <v>278</v>
      </c>
      <c r="D323" s="11" t="s">
        <v>268</v>
      </c>
      <c r="E323" s="11" t="s">
        <v>710</v>
      </c>
      <c r="F323" s="11" t="s">
        <v>703</v>
      </c>
      <c r="G323" s="11" t="s">
        <v>158</v>
      </c>
      <c r="H323" s="11">
        <v>1993.0</v>
      </c>
      <c r="I323" s="40">
        <v>1749.0</v>
      </c>
      <c r="J323" s="40">
        <v>1065.0</v>
      </c>
      <c r="K323" s="11">
        <v>3278.0</v>
      </c>
      <c r="L323" s="29" t="s">
        <v>260</v>
      </c>
      <c r="M323" s="30" t="s">
        <v>279</v>
      </c>
      <c r="N323" s="11" t="s">
        <v>280</v>
      </c>
    </row>
    <row r="324">
      <c r="A324" s="11" t="s">
        <v>57</v>
      </c>
      <c r="B324" s="11" t="s">
        <v>20</v>
      </c>
      <c r="C324" s="11" t="s">
        <v>278</v>
      </c>
      <c r="D324" s="11" t="s">
        <v>268</v>
      </c>
      <c r="E324" s="11" t="s">
        <v>710</v>
      </c>
      <c r="F324" s="11" t="s">
        <v>703</v>
      </c>
      <c r="G324" s="11" t="s">
        <v>158</v>
      </c>
      <c r="H324" s="11">
        <v>1994.0</v>
      </c>
      <c r="I324" s="40">
        <v>1794.0</v>
      </c>
      <c r="J324" s="40">
        <v>1086.0</v>
      </c>
      <c r="K324" s="11">
        <v>3345.0</v>
      </c>
      <c r="L324" s="29" t="s">
        <v>260</v>
      </c>
      <c r="M324" s="30" t="s">
        <v>279</v>
      </c>
      <c r="N324" s="11" t="s">
        <v>280</v>
      </c>
    </row>
    <row r="325">
      <c r="A325" s="11" t="s">
        <v>57</v>
      </c>
      <c r="B325" s="11" t="s">
        <v>20</v>
      </c>
      <c r="C325" s="11" t="s">
        <v>278</v>
      </c>
      <c r="D325" s="11" t="s">
        <v>268</v>
      </c>
      <c r="E325" s="11" t="s">
        <v>710</v>
      </c>
      <c r="F325" s="11" t="s">
        <v>703</v>
      </c>
      <c r="G325" s="11" t="s">
        <v>158</v>
      </c>
      <c r="H325" s="11">
        <v>1995.0</v>
      </c>
      <c r="I325" s="40">
        <v>1884.0</v>
      </c>
      <c r="J325" s="40">
        <v>1154.0</v>
      </c>
      <c r="K325" s="11">
        <v>3458.0</v>
      </c>
      <c r="L325" s="29" t="s">
        <v>260</v>
      </c>
      <c r="M325" s="30" t="s">
        <v>279</v>
      </c>
      <c r="N325" s="11" t="s">
        <v>280</v>
      </c>
    </row>
    <row r="326">
      <c r="A326" s="11" t="s">
        <v>57</v>
      </c>
      <c r="B326" s="11" t="s">
        <v>20</v>
      </c>
      <c r="C326" s="11" t="s">
        <v>278</v>
      </c>
      <c r="D326" s="11" t="s">
        <v>268</v>
      </c>
      <c r="E326" s="11" t="s">
        <v>710</v>
      </c>
      <c r="F326" s="11" t="s">
        <v>703</v>
      </c>
      <c r="G326" s="11" t="s">
        <v>158</v>
      </c>
      <c r="H326" s="11">
        <v>1996.0</v>
      </c>
      <c r="I326" s="40">
        <v>1906.0</v>
      </c>
      <c r="J326" s="40">
        <v>1199.0</v>
      </c>
      <c r="K326" s="11">
        <v>3526.0</v>
      </c>
      <c r="L326" s="29" t="s">
        <v>260</v>
      </c>
      <c r="M326" s="30" t="s">
        <v>279</v>
      </c>
      <c r="N326" s="11" t="s">
        <v>280</v>
      </c>
    </row>
    <row r="327">
      <c r="A327" s="11" t="s">
        <v>57</v>
      </c>
      <c r="B327" s="11" t="s">
        <v>20</v>
      </c>
      <c r="C327" s="11" t="s">
        <v>278</v>
      </c>
      <c r="D327" s="11" t="s">
        <v>268</v>
      </c>
      <c r="E327" s="11" t="s">
        <v>710</v>
      </c>
      <c r="F327" s="11" t="s">
        <v>703</v>
      </c>
      <c r="G327" s="11" t="s">
        <v>158</v>
      </c>
      <c r="H327" s="11">
        <v>1997.0</v>
      </c>
      <c r="I327" s="40">
        <v>1950.0</v>
      </c>
      <c r="J327" s="40">
        <v>1175.0</v>
      </c>
      <c r="K327" s="11">
        <v>3616.0</v>
      </c>
      <c r="L327" s="29" t="s">
        <v>260</v>
      </c>
      <c r="M327" s="30" t="s">
        <v>279</v>
      </c>
      <c r="N327" s="11" t="s">
        <v>280</v>
      </c>
    </row>
    <row r="328">
      <c r="A328" s="11" t="s">
        <v>57</v>
      </c>
      <c r="B328" s="11" t="s">
        <v>20</v>
      </c>
      <c r="C328" s="11" t="s">
        <v>278</v>
      </c>
      <c r="D328" s="11" t="s">
        <v>268</v>
      </c>
      <c r="E328" s="11" t="s">
        <v>710</v>
      </c>
      <c r="F328" s="11" t="s">
        <v>703</v>
      </c>
      <c r="G328" s="11" t="s">
        <v>158</v>
      </c>
      <c r="H328" s="11">
        <v>1998.0</v>
      </c>
      <c r="I328" s="40">
        <v>1972.0</v>
      </c>
      <c r="J328" s="40">
        <v>1197.0</v>
      </c>
      <c r="K328" s="11">
        <v>3592.0</v>
      </c>
      <c r="L328" s="29" t="s">
        <v>260</v>
      </c>
      <c r="M328" s="30" t="s">
        <v>279</v>
      </c>
      <c r="N328" s="11" t="s">
        <v>280</v>
      </c>
    </row>
    <row r="329">
      <c r="A329" s="11" t="s">
        <v>57</v>
      </c>
      <c r="B329" s="11" t="s">
        <v>20</v>
      </c>
      <c r="C329" s="11" t="s">
        <v>278</v>
      </c>
      <c r="D329" s="11" t="s">
        <v>268</v>
      </c>
      <c r="E329" s="11" t="s">
        <v>710</v>
      </c>
      <c r="F329" s="11" t="s">
        <v>703</v>
      </c>
      <c r="G329" s="11" t="s">
        <v>158</v>
      </c>
      <c r="H329" s="11">
        <v>1999.0</v>
      </c>
      <c r="I329" s="40">
        <v>1926.0</v>
      </c>
      <c r="J329" s="40">
        <v>1173.0</v>
      </c>
      <c r="K329" s="11">
        <v>3523.0</v>
      </c>
      <c r="L329" s="29" t="s">
        <v>260</v>
      </c>
      <c r="M329" s="30" t="s">
        <v>279</v>
      </c>
      <c r="N329" s="11" t="s">
        <v>280</v>
      </c>
    </row>
    <row r="330">
      <c r="A330" s="11" t="s">
        <v>57</v>
      </c>
      <c r="B330" s="11" t="s">
        <v>20</v>
      </c>
      <c r="C330" s="11" t="s">
        <v>278</v>
      </c>
      <c r="D330" s="11" t="s">
        <v>268</v>
      </c>
      <c r="E330" s="11" t="s">
        <v>710</v>
      </c>
      <c r="F330" s="11" t="s">
        <v>703</v>
      </c>
      <c r="G330" s="11" t="s">
        <v>158</v>
      </c>
      <c r="H330" s="11">
        <v>2000.0</v>
      </c>
      <c r="I330" s="40">
        <v>1948.0</v>
      </c>
      <c r="J330" s="40">
        <v>1172.0</v>
      </c>
      <c r="K330" s="11">
        <v>3545.0</v>
      </c>
      <c r="L330" s="29" t="s">
        <v>260</v>
      </c>
      <c r="M330" s="30" t="s">
        <v>279</v>
      </c>
      <c r="N330" s="11" t="s">
        <v>280</v>
      </c>
    </row>
    <row r="331">
      <c r="A331" s="11" t="s">
        <v>57</v>
      </c>
      <c r="B331" s="11" t="s">
        <v>20</v>
      </c>
      <c r="C331" s="11" t="s">
        <v>278</v>
      </c>
      <c r="D331" s="11" t="s">
        <v>268</v>
      </c>
      <c r="E331" s="11" t="s">
        <v>710</v>
      </c>
      <c r="F331" s="11" t="s">
        <v>703</v>
      </c>
      <c r="G331" s="11" t="s">
        <v>158</v>
      </c>
      <c r="H331" s="11">
        <v>2001.0</v>
      </c>
      <c r="I331" s="40">
        <v>2061.0</v>
      </c>
      <c r="J331" s="40">
        <v>1239.0</v>
      </c>
      <c r="K331" s="11">
        <v>3749.0</v>
      </c>
      <c r="L331" s="29" t="s">
        <v>260</v>
      </c>
      <c r="M331" s="30" t="s">
        <v>279</v>
      </c>
      <c r="N331" s="11" t="s">
        <v>280</v>
      </c>
    </row>
    <row r="332">
      <c r="A332" s="11" t="s">
        <v>57</v>
      </c>
      <c r="B332" s="11" t="s">
        <v>20</v>
      </c>
      <c r="C332" s="11" t="s">
        <v>278</v>
      </c>
      <c r="D332" s="11" t="s">
        <v>268</v>
      </c>
      <c r="E332" s="11" t="s">
        <v>710</v>
      </c>
      <c r="F332" s="11" t="s">
        <v>703</v>
      </c>
      <c r="G332" s="11" t="s">
        <v>158</v>
      </c>
      <c r="H332" s="11">
        <v>2002.0</v>
      </c>
      <c r="I332" s="40">
        <v>2151.0</v>
      </c>
      <c r="J332" s="40">
        <v>1307.0</v>
      </c>
      <c r="K332" s="11">
        <v>3953.0</v>
      </c>
      <c r="L332" s="29" t="s">
        <v>260</v>
      </c>
      <c r="M332" s="30" t="s">
        <v>279</v>
      </c>
      <c r="N332" s="11" t="s">
        <v>280</v>
      </c>
    </row>
    <row r="333">
      <c r="A333" s="11" t="s">
        <v>57</v>
      </c>
      <c r="B333" s="11" t="s">
        <v>20</v>
      </c>
      <c r="C333" s="11" t="s">
        <v>278</v>
      </c>
      <c r="D333" s="11" t="s">
        <v>268</v>
      </c>
      <c r="E333" s="11" t="s">
        <v>710</v>
      </c>
      <c r="F333" s="11" t="s">
        <v>703</v>
      </c>
      <c r="G333" s="11" t="s">
        <v>158</v>
      </c>
      <c r="H333" s="11">
        <v>2003.0</v>
      </c>
      <c r="I333" s="40">
        <v>2241.0</v>
      </c>
      <c r="J333" s="40">
        <v>1374.0</v>
      </c>
      <c r="K333" s="11">
        <v>4158.0</v>
      </c>
      <c r="L333" s="29" t="s">
        <v>260</v>
      </c>
      <c r="M333" s="30" t="s">
        <v>279</v>
      </c>
      <c r="N333" s="11" t="s">
        <v>280</v>
      </c>
    </row>
    <row r="334">
      <c r="A334" s="11" t="s">
        <v>57</v>
      </c>
      <c r="B334" s="11" t="s">
        <v>20</v>
      </c>
      <c r="C334" s="11" t="s">
        <v>278</v>
      </c>
      <c r="D334" s="11" t="s">
        <v>268</v>
      </c>
      <c r="E334" s="11" t="s">
        <v>710</v>
      </c>
      <c r="F334" s="11" t="s">
        <v>703</v>
      </c>
      <c r="G334" s="11" t="s">
        <v>158</v>
      </c>
      <c r="H334" s="11">
        <v>2004.0</v>
      </c>
      <c r="I334" s="40">
        <v>2355.0</v>
      </c>
      <c r="J334" s="40">
        <v>1488.0</v>
      </c>
      <c r="K334" s="11">
        <v>4362.0</v>
      </c>
      <c r="L334" s="29" t="s">
        <v>260</v>
      </c>
      <c r="M334" s="30" t="s">
        <v>279</v>
      </c>
      <c r="N334" s="11" t="s">
        <v>280</v>
      </c>
    </row>
    <row r="335">
      <c r="A335" s="11" t="s">
        <v>57</v>
      </c>
      <c r="B335" s="11" t="s">
        <v>20</v>
      </c>
      <c r="C335" s="11" t="s">
        <v>278</v>
      </c>
      <c r="D335" s="11" t="s">
        <v>268</v>
      </c>
      <c r="E335" s="11" t="s">
        <v>710</v>
      </c>
      <c r="F335" s="11" t="s">
        <v>703</v>
      </c>
      <c r="G335" s="11" t="s">
        <v>158</v>
      </c>
      <c r="H335" s="11">
        <v>2005.0</v>
      </c>
      <c r="I335" s="40">
        <v>2422.0</v>
      </c>
      <c r="J335" s="40">
        <v>1487.0</v>
      </c>
      <c r="K335" s="11">
        <v>4430.0</v>
      </c>
      <c r="L335" s="29" t="s">
        <v>260</v>
      </c>
      <c r="M335" s="30" t="s">
        <v>279</v>
      </c>
      <c r="N335" s="11" t="s">
        <v>280</v>
      </c>
    </row>
    <row r="336">
      <c r="A336" s="11" t="s">
        <v>57</v>
      </c>
      <c r="B336" s="11" t="s">
        <v>20</v>
      </c>
      <c r="C336" s="11" t="s">
        <v>278</v>
      </c>
      <c r="D336" s="11" t="s">
        <v>268</v>
      </c>
      <c r="E336" s="11" t="s">
        <v>710</v>
      </c>
      <c r="F336" s="11" t="s">
        <v>703</v>
      </c>
      <c r="G336" s="11" t="s">
        <v>158</v>
      </c>
      <c r="H336" s="11">
        <v>2006.0</v>
      </c>
      <c r="I336" s="40">
        <v>2489.0</v>
      </c>
      <c r="J336" s="40">
        <v>1508.0</v>
      </c>
      <c r="K336" s="11">
        <v>4543.0</v>
      </c>
      <c r="L336" s="29" t="s">
        <v>260</v>
      </c>
      <c r="M336" s="30" t="s">
        <v>279</v>
      </c>
      <c r="N336" s="11" t="s">
        <v>280</v>
      </c>
    </row>
    <row r="337">
      <c r="A337" s="11" t="s">
        <v>57</v>
      </c>
      <c r="B337" s="11" t="s">
        <v>20</v>
      </c>
      <c r="C337" s="11" t="s">
        <v>278</v>
      </c>
      <c r="D337" s="11" t="s">
        <v>268</v>
      </c>
      <c r="E337" s="11" t="s">
        <v>710</v>
      </c>
      <c r="F337" s="11" t="s">
        <v>703</v>
      </c>
      <c r="G337" s="11" t="s">
        <v>158</v>
      </c>
      <c r="H337" s="11">
        <v>2007.0</v>
      </c>
      <c r="I337" s="40">
        <v>2739.0</v>
      </c>
      <c r="J337" s="40">
        <v>1667.0</v>
      </c>
      <c r="K337" s="11">
        <v>4975.0</v>
      </c>
      <c r="L337" s="29" t="s">
        <v>260</v>
      </c>
      <c r="M337" s="30" t="s">
        <v>279</v>
      </c>
      <c r="N337" s="11" t="s">
        <v>280</v>
      </c>
    </row>
    <row r="338">
      <c r="A338" s="11" t="s">
        <v>57</v>
      </c>
      <c r="B338" s="11" t="s">
        <v>20</v>
      </c>
      <c r="C338" s="11" t="s">
        <v>278</v>
      </c>
      <c r="D338" s="11" t="s">
        <v>268</v>
      </c>
      <c r="E338" s="11" t="s">
        <v>710</v>
      </c>
      <c r="F338" s="11" t="s">
        <v>703</v>
      </c>
      <c r="G338" s="11" t="s">
        <v>158</v>
      </c>
      <c r="H338" s="11">
        <v>2008.0</v>
      </c>
      <c r="I338" s="40">
        <v>2716.0</v>
      </c>
      <c r="J338" s="40">
        <v>1689.0</v>
      </c>
      <c r="K338" s="11">
        <v>5043.0</v>
      </c>
      <c r="L338" s="29" t="s">
        <v>260</v>
      </c>
      <c r="M338" s="30" t="s">
        <v>279</v>
      </c>
      <c r="N338" s="11" t="s">
        <v>280</v>
      </c>
    </row>
    <row r="339">
      <c r="A339" s="11" t="s">
        <v>57</v>
      </c>
      <c r="B339" s="11" t="s">
        <v>20</v>
      </c>
      <c r="C339" s="11" t="s">
        <v>278</v>
      </c>
      <c r="D339" s="11" t="s">
        <v>268</v>
      </c>
      <c r="E339" s="11" t="s">
        <v>710</v>
      </c>
      <c r="F339" s="11" t="s">
        <v>703</v>
      </c>
      <c r="G339" s="11" t="s">
        <v>158</v>
      </c>
      <c r="H339" s="11">
        <v>2009.0</v>
      </c>
      <c r="I339" s="40">
        <v>2966.0</v>
      </c>
      <c r="J339" s="40">
        <v>1779.0</v>
      </c>
      <c r="K339" s="11">
        <v>5430.0</v>
      </c>
      <c r="L339" s="29" t="s">
        <v>260</v>
      </c>
      <c r="M339" s="30" t="s">
        <v>279</v>
      </c>
      <c r="N339" s="11" t="s">
        <v>280</v>
      </c>
    </row>
    <row r="340">
      <c r="A340" s="11" t="s">
        <v>57</v>
      </c>
      <c r="B340" s="11" t="s">
        <v>20</v>
      </c>
      <c r="C340" s="11" t="s">
        <v>278</v>
      </c>
      <c r="D340" s="11" t="s">
        <v>268</v>
      </c>
      <c r="E340" s="11" t="s">
        <v>710</v>
      </c>
      <c r="F340" s="11" t="s">
        <v>703</v>
      </c>
      <c r="G340" s="11" t="s">
        <v>158</v>
      </c>
      <c r="H340" s="11">
        <v>2010.0</v>
      </c>
      <c r="I340" s="40">
        <v>3147.0</v>
      </c>
      <c r="J340" s="40">
        <v>1938.0</v>
      </c>
      <c r="K340" s="11">
        <v>5839.0</v>
      </c>
      <c r="L340" s="29" t="s">
        <v>260</v>
      </c>
      <c r="M340" s="30" t="s">
        <v>279</v>
      </c>
      <c r="N340" s="11" t="s">
        <v>280</v>
      </c>
    </row>
    <row r="341">
      <c r="A341" s="11" t="s">
        <v>57</v>
      </c>
      <c r="B341" s="11" t="s">
        <v>20</v>
      </c>
      <c r="C341" s="11" t="s">
        <v>278</v>
      </c>
      <c r="D341" s="11" t="s">
        <v>268</v>
      </c>
      <c r="E341" s="11" t="s">
        <v>710</v>
      </c>
      <c r="F341" s="11" t="s">
        <v>703</v>
      </c>
      <c r="G341" s="11" t="s">
        <v>158</v>
      </c>
      <c r="H341" s="11">
        <v>2011.0</v>
      </c>
      <c r="I341" s="40">
        <v>3260.0</v>
      </c>
      <c r="J341" s="40">
        <v>2028.0</v>
      </c>
      <c r="K341" s="11">
        <v>6089.0</v>
      </c>
      <c r="L341" s="29" t="s">
        <v>260</v>
      </c>
      <c r="M341" s="30" t="s">
        <v>279</v>
      </c>
      <c r="N341" s="11" t="s">
        <v>280</v>
      </c>
    </row>
    <row r="342">
      <c r="A342" s="11" t="s">
        <v>57</v>
      </c>
      <c r="B342" s="11" t="s">
        <v>20</v>
      </c>
      <c r="C342" s="11" t="s">
        <v>278</v>
      </c>
      <c r="D342" s="11" t="s">
        <v>268</v>
      </c>
      <c r="E342" s="11" t="s">
        <v>710</v>
      </c>
      <c r="F342" s="11" t="s">
        <v>703</v>
      </c>
      <c r="G342" s="11" t="s">
        <v>158</v>
      </c>
      <c r="H342" s="11">
        <v>2012.0</v>
      </c>
      <c r="I342" s="40">
        <v>3419.0</v>
      </c>
      <c r="J342" s="40">
        <v>2073.0</v>
      </c>
      <c r="K342" s="11">
        <v>6499.0</v>
      </c>
      <c r="L342" s="29" t="s">
        <v>260</v>
      </c>
      <c r="M342" s="30" t="s">
        <v>279</v>
      </c>
      <c r="N342" s="11" t="s">
        <v>280</v>
      </c>
    </row>
    <row r="343">
      <c r="A343" s="11" t="s">
        <v>57</v>
      </c>
      <c r="B343" s="11" t="s">
        <v>20</v>
      </c>
      <c r="C343" s="11" t="s">
        <v>278</v>
      </c>
      <c r="D343" s="11" t="s">
        <v>268</v>
      </c>
      <c r="E343" s="11" t="s">
        <v>710</v>
      </c>
      <c r="F343" s="11" t="s">
        <v>703</v>
      </c>
      <c r="G343" s="11" t="s">
        <v>158</v>
      </c>
      <c r="H343" s="11">
        <v>2013.0</v>
      </c>
      <c r="I343" s="40">
        <v>3623.0</v>
      </c>
      <c r="J343" s="40">
        <v>2163.0</v>
      </c>
      <c r="K343" s="11">
        <v>6977.0</v>
      </c>
      <c r="L343" s="29" t="s">
        <v>260</v>
      </c>
      <c r="M343" s="30" t="s">
        <v>279</v>
      </c>
      <c r="N343" s="11" t="s">
        <v>280</v>
      </c>
    </row>
    <row r="344">
      <c r="A344" s="54" t="s">
        <v>57</v>
      </c>
      <c r="B344" s="54" t="s">
        <v>20</v>
      </c>
      <c r="C344" s="54" t="s">
        <v>292</v>
      </c>
      <c r="D344" s="54" t="s">
        <v>268</v>
      </c>
      <c r="E344" s="11" t="s">
        <v>721</v>
      </c>
      <c r="F344" s="11" t="s">
        <v>703</v>
      </c>
      <c r="G344" s="11" t="s">
        <v>158</v>
      </c>
      <c r="H344" s="59">
        <v>1989.0</v>
      </c>
      <c r="I344" s="95">
        <v>7786.0</v>
      </c>
      <c r="J344" s="96">
        <v>3664.0</v>
      </c>
      <c r="K344" s="72">
        <v>16718.0</v>
      </c>
      <c r="L344" s="29" t="s">
        <v>260</v>
      </c>
      <c r="M344" s="57" t="s">
        <v>293</v>
      </c>
      <c r="N344" s="62" t="s">
        <v>297</v>
      </c>
      <c r="O344" s="54"/>
      <c r="P344" s="54"/>
      <c r="Q344" s="54"/>
      <c r="R344" s="54"/>
      <c r="S344" s="54"/>
      <c r="T344" s="54"/>
      <c r="U344" s="54"/>
      <c r="V344" s="54"/>
      <c r="W344" s="54"/>
      <c r="X344" s="54"/>
      <c r="Y344" s="54"/>
      <c r="Z344" s="54"/>
      <c r="AA344" s="54"/>
      <c r="AB344" s="54"/>
      <c r="AC344" s="54"/>
      <c r="AD344" s="54"/>
      <c r="AE344" s="54"/>
      <c r="AF344" s="54"/>
      <c r="AG344" s="54"/>
      <c r="AH344" s="54"/>
    </row>
    <row r="345">
      <c r="A345" s="54" t="s">
        <v>57</v>
      </c>
      <c r="B345" s="54" t="s">
        <v>20</v>
      </c>
      <c r="C345" s="54" t="s">
        <v>292</v>
      </c>
      <c r="D345" s="54" t="s">
        <v>268</v>
      </c>
      <c r="E345" s="11" t="s">
        <v>721</v>
      </c>
      <c r="F345" s="11" t="s">
        <v>703</v>
      </c>
      <c r="G345" s="11" t="s">
        <v>158</v>
      </c>
      <c r="H345" s="11">
        <v>1990.0</v>
      </c>
      <c r="I345" s="40">
        <v>13969.0</v>
      </c>
      <c r="J345" s="40">
        <v>8244.0</v>
      </c>
      <c r="K345" s="11">
        <v>26107.0</v>
      </c>
      <c r="L345" s="29" t="s">
        <v>260</v>
      </c>
      <c r="M345" s="57" t="s">
        <v>293</v>
      </c>
      <c r="N345" s="62" t="s">
        <v>297</v>
      </c>
    </row>
    <row r="346">
      <c r="A346" s="54" t="s">
        <v>57</v>
      </c>
      <c r="B346" s="54" t="s">
        <v>20</v>
      </c>
      <c r="C346" s="54" t="s">
        <v>292</v>
      </c>
      <c r="D346" s="54" t="s">
        <v>268</v>
      </c>
      <c r="E346" s="11" t="s">
        <v>721</v>
      </c>
      <c r="F346" s="11" t="s">
        <v>703</v>
      </c>
      <c r="G346" s="11" t="s">
        <v>158</v>
      </c>
      <c r="H346" s="11">
        <v>1991.0</v>
      </c>
      <c r="I346" s="40">
        <v>14656.0</v>
      </c>
      <c r="J346" s="40">
        <v>8702.0</v>
      </c>
      <c r="K346" s="11">
        <v>27710.0</v>
      </c>
      <c r="L346" s="29" t="s">
        <v>260</v>
      </c>
      <c r="M346" s="57" t="s">
        <v>293</v>
      </c>
      <c r="N346" s="62" t="s">
        <v>297</v>
      </c>
    </row>
    <row r="347">
      <c r="A347" s="54" t="s">
        <v>57</v>
      </c>
      <c r="B347" s="54" t="s">
        <v>20</v>
      </c>
      <c r="C347" s="54" t="s">
        <v>292</v>
      </c>
      <c r="D347" s="54" t="s">
        <v>268</v>
      </c>
      <c r="E347" s="11" t="s">
        <v>721</v>
      </c>
      <c r="F347" s="11" t="s">
        <v>703</v>
      </c>
      <c r="G347" s="11" t="s">
        <v>158</v>
      </c>
      <c r="H347" s="11">
        <v>1992.0</v>
      </c>
      <c r="I347" s="40">
        <v>15802.0</v>
      </c>
      <c r="J347" s="40">
        <v>7328.0</v>
      </c>
      <c r="K347" s="11">
        <v>41221.0</v>
      </c>
      <c r="L347" s="29" t="s">
        <v>260</v>
      </c>
      <c r="M347" s="57" t="s">
        <v>293</v>
      </c>
      <c r="N347" s="62" t="s">
        <v>297</v>
      </c>
    </row>
    <row r="348">
      <c r="A348" s="54" t="s">
        <v>57</v>
      </c>
      <c r="B348" s="54" t="s">
        <v>20</v>
      </c>
      <c r="C348" s="54" t="s">
        <v>292</v>
      </c>
      <c r="D348" s="54" t="s">
        <v>268</v>
      </c>
      <c r="E348" s="11" t="s">
        <v>721</v>
      </c>
      <c r="F348" s="11" t="s">
        <v>703</v>
      </c>
      <c r="G348" s="11" t="s">
        <v>158</v>
      </c>
      <c r="H348" s="11">
        <v>1993.0</v>
      </c>
      <c r="I348" s="40">
        <v>16947.0</v>
      </c>
      <c r="J348" s="40">
        <v>10076.0</v>
      </c>
      <c r="K348" s="11">
        <v>32061.0</v>
      </c>
      <c r="L348" s="29" t="s">
        <v>260</v>
      </c>
      <c r="M348" s="57" t="s">
        <v>293</v>
      </c>
      <c r="N348" s="62" t="s">
        <v>297</v>
      </c>
    </row>
    <row r="349">
      <c r="A349" s="54" t="s">
        <v>57</v>
      </c>
      <c r="B349" s="54" t="s">
        <v>20</v>
      </c>
      <c r="C349" s="54" t="s">
        <v>292</v>
      </c>
      <c r="D349" s="54" t="s">
        <v>268</v>
      </c>
      <c r="E349" s="11" t="s">
        <v>721</v>
      </c>
      <c r="F349" s="11" t="s">
        <v>703</v>
      </c>
      <c r="G349" s="11" t="s">
        <v>158</v>
      </c>
      <c r="H349" s="11">
        <v>1994.0</v>
      </c>
      <c r="I349" s="40">
        <v>24275.0</v>
      </c>
      <c r="J349" s="40">
        <v>11908.0</v>
      </c>
      <c r="K349" s="11">
        <v>72595.0</v>
      </c>
      <c r="L349" s="29" t="s">
        <v>260</v>
      </c>
      <c r="M349" s="57" t="s">
        <v>293</v>
      </c>
      <c r="N349" s="62" t="s">
        <v>297</v>
      </c>
    </row>
    <row r="350">
      <c r="A350" s="54" t="s">
        <v>57</v>
      </c>
      <c r="B350" s="54" t="s">
        <v>20</v>
      </c>
      <c r="C350" s="54" t="s">
        <v>292</v>
      </c>
      <c r="D350" s="54" t="s">
        <v>268</v>
      </c>
      <c r="E350" s="11" t="s">
        <v>721</v>
      </c>
      <c r="F350" s="11" t="s">
        <v>703</v>
      </c>
      <c r="G350" s="11" t="s">
        <v>158</v>
      </c>
      <c r="H350" s="11">
        <v>1995.0</v>
      </c>
      <c r="I350" s="40">
        <v>26565.0</v>
      </c>
      <c r="J350" s="40">
        <v>14427.0</v>
      </c>
      <c r="K350" s="11">
        <v>52443.0</v>
      </c>
      <c r="L350" s="29" t="s">
        <v>260</v>
      </c>
      <c r="M350" s="57" t="s">
        <v>293</v>
      </c>
      <c r="N350" s="62" t="s">
        <v>297</v>
      </c>
    </row>
    <row r="351">
      <c r="A351" s="54" t="s">
        <v>57</v>
      </c>
      <c r="B351" s="54" t="s">
        <v>20</v>
      </c>
      <c r="C351" s="54" t="s">
        <v>292</v>
      </c>
      <c r="D351" s="54" t="s">
        <v>268</v>
      </c>
      <c r="E351" s="11" t="s">
        <v>721</v>
      </c>
      <c r="F351" s="11" t="s">
        <v>703</v>
      </c>
      <c r="G351" s="11" t="s">
        <v>158</v>
      </c>
      <c r="H351" s="11">
        <v>1996.0</v>
      </c>
      <c r="I351" s="40">
        <v>21756.0</v>
      </c>
      <c r="J351" s="40">
        <v>11450.0</v>
      </c>
      <c r="K351" s="11">
        <v>49466.0</v>
      </c>
      <c r="L351" s="29" t="s">
        <v>260</v>
      </c>
      <c r="M351" s="57" t="s">
        <v>293</v>
      </c>
      <c r="N351" s="62" t="s">
        <v>297</v>
      </c>
    </row>
    <row r="352">
      <c r="A352" s="54" t="s">
        <v>57</v>
      </c>
      <c r="B352" s="54" t="s">
        <v>20</v>
      </c>
      <c r="C352" s="54" t="s">
        <v>292</v>
      </c>
      <c r="D352" s="54" t="s">
        <v>268</v>
      </c>
      <c r="E352" s="11" t="s">
        <v>721</v>
      </c>
      <c r="F352" s="11" t="s">
        <v>703</v>
      </c>
      <c r="G352" s="11" t="s">
        <v>158</v>
      </c>
      <c r="H352" s="11">
        <v>1997.0</v>
      </c>
      <c r="I352" s="40">
        <v>15802.0</v>
      </c>
      <c r="J352" s="40">
        <v>8931.0</v>
      </c>
      <c r="K352" s="11">
        <v>30229.0</v>
      </c>
      <c r="L352" s="29" t="s">
        <v>260</v>
      </c>
      <c r="M352" s="57" t="s">
        <v>293</v>
      </c>
      <c r="N352" s="62" t="s">
        <v>297</v>
      </c>
    </row>
    <row r="353">
      <c r="A353" s="54" t="s">
        <v>57</v>
      </c>
      <c r="B353" s="54" t="s">
        <v>20</v>
      </c>
      <c r="C353" s="54" t="s">
        <v>292</v>
      </c>
      <c r="D353" s="54" t="s">
        <v>268</v>
      </c>
      <c r="E353" s="11" t="s">
        <v>721</v>
      </c>
      <c r="F353" s="11" t="s">
        <v>703</v>
      </c>
      <c r="G353" s="11" t="s">
        <v>158</v>
      </c>
      <c r="H353" s="11">
        <v>1998.0</v>
      </c>
      <c r="I353" s="40">
        <v>15802.0</v>
      </c>
      <c r="J353" s="40">
        <v>5496.0</v>
      </c>
      <c r="K353" s="11">
        <v>33664.0</v>
      </c>
      <c r="L353" s="29" t="s">
        <v>260</v>
      </c>
      <c r="M353" s="57" t="s">
        <v>293</v>
      </c>
      <c r="N353" s="62" t="s">
        <v>297</v>
      </c>
    </row>
    <row r="354">
      <c r="A354" s="54" t="s">
        <v>57</v>
      </c>
      <c r="B354" s="54" t="s">
        <v>20</v>
      </c>
      <c r="C354" s="54" t="s">
        <v>292</v>
      </c>
      <c r="D354" s="54" t="s">
        <v>268</v>
      </c>
      <c r="E354" s="11" t="s">
        <v>721</v>
      </c>
      <c r="F354" s="11" t="s">
        <v>703</v>
      </c>
      <c r="G354" s="11" t="s">
        <v>158</v>
      </c>
      <c r="H354" s="11">
        <v>1999.0</v>
      </c>
      <c r="I354" s="40">
        <v>19466.0</v>
      </c>
      <c r="J354" s="40">
        <v>11679.0</v>
      </c>
      <c r="K354" s="11">
        <v>36641.0</v>
      </c>
      <c r="L354" s="29" t="s">
        <v>260</v>
      </c>
      <c r="M354" s="57" t="s">
        <v>293</v>
      </c>
      <c r="N354" s="62" t="s">
        <v>297</v>
      </c>
    </row>
    <row r="355">
      <c r="A355" s="54" t="s">
        <v>57</v>
      </c>
      <c r="B355" s="54" t="s">
        <v>20</v>
      </c>
      <c r="C355" s="54" t="s">
        <v>292</v>
      </c>
      <c r="D355" s="54" t="s">
        <v>268</v>
      </c>
      <c r="E355" s="11" t="s">
        <v>721</v>
      </c>
      <c r="F355" s="11" t="s">
        <v>703</v>
      </c>
      <c r="G355" s="11" t="s">
        <v>158</v>
      </c>
      <c r="H355" s="11">
        <v>2000.0</v>
      </c>
      <c r="I355" s="40">
        <v>19008.0</v>
      </c>
      <c r="J355" s="40">
        <v>9160.0</v>
      </c>
      <c r="K355" s="11">
        <v>49695.0</v>
      </c>
      <c r="L355" s="29" t="s">
        <v>260</v>
      </c>
      <c r="M355" s="57" t="s">
        <v>293</v>
      </c>
      <c r="N355" s="62" t="s">
        <v>297</v>
      </c>
    </row>
    <row r="356">
      <c r="A356" s="54" t="s">
        <v>57</v>
      </c>
      <c r="B356" s="54" t="s">
        <v>20</v>
      </c>
      <c r="C356" s="54" t="s">
        <v>292</v>
      </c>
      <c r="D356" s="54" t="s">
        <v>268</v>
      </c>
      <c r="E356" s="11" t="s">
        <v>721</v>
      </c>
      <c r="F356" s="11" t="s">
        <v>703</v>
      </c>
      <c r="G356" s="11" t="s">
        <v>158</v>
      </c>
      <c r="H356" s="11">
        <v>2001.0</v>
      </c>
      <c r="I356" s="40">
        <v>20611.0</v>
      </c>
      <c r="J356" s="40">
        <v>10305.0</v>
      </c>
      <c r="K356" s="11">
        <v>66870.0</v>
      </c>
      <c r="L356" s="29" t="s">
        <v>260</v>
      </c>
      <c r="M356" s="57" t="s">
        <v>293</v>
      </c>
      <c r="N356" s="62" t="s">
        <v>297</v>
      </c>
    </row>
    <row r="357">
      <c r="A357" s="54" t="s">
        <v>57</v>
      </c>
      <c r="B357" s="54" t="s">
        <v>20</v>
      </c>
      <c r="C357" s="54" t="s">
        <v>292</v>
      </c>
      <c r="D357" s="54" t="s">
        <v>268</v>
      </c>
      <c r="E357" s="11" t="s">
        <v>721</v>
      </c>
      <c r="F357" s="11" t="s">
        <v>703</v>
      </c>
      <c r="G357" s="11" t="s">
        <v>158</v>
      </c>
      <c r="H357" s="11">
        <v>2002.0</v>
      </c>
      <c r="I357" s="40">
        <v>18779.0</v>
      </c>
      <c r="J357" s="40">
        <v>10992.0</v>
      </c>
      <c r="K357" s="11">
        <v>35496.0</v>
      </c>
      <c r="L357" s="29" t="s">
        <v>260</v>
      </c>
      <c r="M357" s="57" t="s">
        <v>293</v>
      </c>
      <c r="N357" s="62" t="s">
        <v>297</v>
      </c>
    </row>
    <row r="358">
      <c r="A358" s="54" t="s">
        <v>57</v>
      </c>
      <c r="B358" s="54" t="s">
        <v>20</v>
      </c>
      <c r="C358" s="54" t="s">
        <v>292</v>
      </c>
      <c r="D358" s="54" t="s">
        <v>268</v>
      </c>
      <c r="E358" s="11" t="s">
        <v>721</v>
      </c>
      <c r="F358" s="11" t="s">
        <v>703</v>
      </c>
      <c r="G358" s="11" t="s">
        <v>158</v>
      </c>
      <c r="H358" s="11">
        <v>2003.0</v>
      </c>
      <c r="I358" s="40">
        <v>19237.0</v>
      </c>
      <c r="J358" s="40">
        <v>8702.0</v>
      </c>
      <c r="K358" s="11">
        <v>46718.0</v>
      </c>
      <c r="L358" s="29" t="s">
        <v>260</v>
      </c>
      <c r="M358" s="57" t="s">
        <v>293</v>
      </c>
      <c r="N358" s="62" t="s">
        <v>297</v>
      </c>
    </row>
    <row r="359">
      <c r="A359" s="54" t="s">
        <v>57</v>
      </c>
      <c r="B359" s="54" t="s">
        <v>20</v>
      </c>
      <c r="C359" s="54" t="s">
        <v>292</v>
      </c>
      <c r="D359" s="54" t="s">
        <v>268</v>
      </c>
      <c r="E359" s="11" t="s">
        <v>721</v>
      </c>
      <c r="F359" s="11" t="s">
        <v>703</v>
      </c>
      <c r="G359" s="11" t="s">
        <v>158</v>
      </c>
      <c r="H359" s="11">
        <v>2004.0</v>
      </c>
      <c r="I359" s="40">
        <v>19466.0</v>
      </c>
      <c r="J359" s="40">
        <v>8244.0</v>
      </c>
      <c r="K359" s="11">
        <v>50611.0</v>
      </c>
      <c r="L359" s="29" t="s">
        <v>260</v>
      </c>
      <c r="M359" s="57" t="s">
        <v>293</v>
      </c>
      <c r="N359" s="62" t="s">
        <v>297</v>
      </c>
    </row>
    <row r="360">
      <c r="A360" s="54" t="s">
        <v>57</v>
      </c>
      <c r="B360" s="54" t="s">
        <v>20</v>
      </c>
      <c r="C360" s="54" t="s">
        <v>292</v>
      </c>
      <c r="D360" s="54" t="s">
        <v>268</v>
      </c>
      <c r="E360" s="11" t="s">
        <v>721</v>
      </c>
      <c r="F360" s="11" t="s">
        <v>703</v>
      </c>
      <c r="G360" s="11" t="s">
        <v>158</v>
      </c>
      <c r="H360" s="11">
        <v>2005.0</v>
      </c>
      <c r="I360" s="40">
        <v>19466.0</v>
      </c>
      <c r="J360" s="40">
        <v>8473.0</v>
      </c>
      <c r="K360" s="11">
        <v>46260.0</v>
      </c>
      <c r="L360" s="29" t="s">
        <v>260</v>
      </c>
      <c r="M360" s="57" t="s">
        <v>293</v>
      </c>
      <c r="N360" s="62" t="s">
        <v>297</v>
      </c>
    </row>
    <row r="361">
      <c r="A361" s="54" t="s">
        <v>57</v>
      </c>
      <c r="B361" s="54" t="s">
        <v>20</v>
      </c>
      <c r="C361" s="54" t="s">
        <v>292</v>
      </c>
      <c r="D361" s="54" t="s">
        <v>268</v>
      </c>
      <c r="E361" s="11" t="s">
        <v>721</v>
      </c>
      <c r="F361" s="11" t="s">
        <v>703</v>
      </c>
      <c r="G361" s="11" t="s">
        <v>158</v>
      </c>
      <c r="H361" s="11">
        <v>2006.0</v>
      </c>
      <c r="I361" s="40">
        <v>21527.0</v>
      </c>
      <c r="J361" s="40">
        <v>10305.0</v>
      </c>
      <c r="K361" s="11">
        <v>60229.0</v>
      </c>
      <c r="L361" s="29" t="s">
        <v>260</v>
      </c>
      <c r="M361" s="57" t="s">
        <v>293</v>
      </c>
      <c r="N361" s="62" t="s">
        <v>297</v>
      </c>
    </row>
    <row r="362">
      <c r="A362" s="54" t="s">
        <v>57</v>
      </c>
      <c r="B362" s="54" t="s">
        <v>20</v>
      </c>
      <c r="C362" s="54" t="s">
        <v>292</v>
      </c>
      <c r="D362" s="54" t="s">
        <v>268</v>
      </c>
      <c r="E362" s="11" t="s">
        <v>721</v>
      </c>
      <c r="F362" s="11" t="s">
        <v>703</v>
      </c>
      <c r="G362" s="11" t="s">
        <v>158</v>
      </c>
      <c r="H362" s="11">
        <v>2007.0</v>
      </c>
      <c r="I362" s="40">
        <v>20153.0</v>
      </c>
      <c r="J362" s="40">
        <v>11679.0</v>
      </c>
      <c r="K362" s="11">
        <v>37557.0</v>
      </c>
      <c r="L362" s="29" t="s">
        <v>260</v>
      </c>
      <c r="M362" s="57" t="s">
        <v>293</v>
      </c>
      <c r="N362" s="62" t="s">
        <v>297</v>
      </c>
    </row>
    <row r="363">
      <c r="A363" s="54" t="s">
        <v>57</v>
      </c>
      <c r="B363" s="54" t="s">
        <v>20</v>
      </c>
      <c r="C363" s="54" t="s">
        <v>292</v>
      </c>
      <c r="D363" s="54" t="s">
        <v>268</v>
      </c>
      <c r="E363" s="11" t="s">
        <v>721</v>
      </c>
      <c r="F363" s="11" t="s">
        <v>703</v>
      </c>
      <c r="G363" s="11" t="s">
        <v>158</v>
      </c>
      <c r="H363" s="11">
        <v>2008.0</v>
      </c>
      <c r="I363" s="40">
        <v>14885.0</v>
      </c>
      <c r="J363" s="40">
        <v>4122.0</v>
      </c>
      <c r="K363" s="11">
        <v>31603.0</v>
      </c>
      <c r="L363" s="29" t="s">
        <v>260</v>
      </c>
      <c r="M363" s="57" t="s">
        <v>293</v>
      </c>
      <c r="N363" s="62" t="s">
        <v>297</v>
      </c>
    </row>
    <row r="364">
      <c r="A364" s="54" t="s">
        <v>57</v>
      </c>
      <c r="B364" s="54" t="s">
        <v>20</v>
      </c>
      <c r="C364" s="54" t="s">
        <v>292</v>
      </c>
      <c r="D364" s="54" t="s">
        <v>268</v>
      </c>
      <c r="E364" s="11" t="s">
        <v>721</v>
      </c>
      <c r="F364" s="11" t="s">
        <v>703</v>
      </c>
      <c r="G364" s="11" t="s">
        <v>158</v>
      </c>
      <c r="H364" s="11">
        <v>2009.0</v>
      </c>
      <c r="I364" s="40">
        <v>18550.0</v>
      </c>
      <c r="J364" s="40">
        <v>7786.0</v>
      </c>
      <c r="K364" s="11">
        <v>48092.0</v>
      </c>
      <c r="L364" s="29" t="s">
        <v>260</v>
      </c>
      <c r="M364" s="57" t="s">
        <v>293</v>
      </c>
      <c r="N364" s="62" t="s">
        <v>297</v>
      </c>
    </row>
    <row r="365">
      <c r="A365" s="54" t="s">
        <v>57</v>
      </c>
      <c r="B365" s="54" t="s">
        <v>20</v>
      </c>
      <c r="C365" s="54" t="s">
        <v>292</v>
      </c>
      <c r="D365" s="54" t="s">
        <v>268</v>
      </c>
      <c r="E365" s="11" t="s">
        <v>721</v>
      </c>
      <c r="F365" s="11" t="s">
        <v>703</v>
      </c>
      <c r="G365" s="11" t="s">
        <v>158</v>
      </c>
      <c r="H365" s="11">
        <v>2010.0</v>
      </c>
      <c r="I365" s="40">
        <v>19237.0</v>
      </c>
      <c r="J365" s="40">
        <v>8931.0</v>
      </c>
      <c r="K365" s="11">
        <v>43969.0</v>
      </c>
      <c r="L365" s="29" t="s">
        <v>260</v>
      </c>
      <c r="M365" s="57" t="s">
        <v>293</v>
      </c>
      <c r="N365" s="62" t="s">
        <v>297</v>
      </c>
    </row>
    <row r="366">
      <c r="A366" s="54" t="s">
        <v>57</v>
      </c>
      <c r="B366" s="54" t="s">
        <v>20</v>
      </c>
      <c r="C366" s="54" t="s">
        <v>292</v>
      </c>
      <c r="D366" s="54" t="s">
        <v>268</v>
      </c>
      <c r="E366" s="11" t="s">
        <v>721</v>
      </c>
      <c r="F366" s="11" t="s">
        <v>703</v>
      </c>
      <c r="G366" s="11" t="s">
        <v>158</v>
      </c>
      <c r="H366" s="11">
        <v>2011.0</v>
      </c>
      <c r="I366" s="40">
        <v>22672.0</v>
      </c>
      <c r="J366" s="40">
        <v>13053.0</v>
      </c>
      <c r="K366" s="11">
        <v>43053.0</v>
      </c>
      <c r="L366" s="29" t="s">
        <v>260</v>
      </c>
      <c r="M366" s="57" t="s">
        <v>293</v>
      </c>
      <c r="N366" s="62" t="s">
        <v>297</v>
      </c>
    </row>
    <row r="367">
      <c r="A367" s="54" t="s">
        <v>57</v>
      </c>
      <c r="B367" s="54" t="s">
        <v>20</v>
      </c>
      <c r="C367" s="54" t="s">
        <v>292</v>
      </c>
      <c r="D367" s="54" t="s">
        <v>268</v>
      </c>
      <c r="E367" s="11" t="s">
        <v>721</v>
      </c>
      <c r="F367" s="11" t="s">
        <v>703</v>
      </c>
      <c r="G367" s="11" t="s">
        <v>158</v>
      </c>
      <c r="H367" s="11">
        <v>2012.0</v>
      </c>
      <c r="I367" s="40">
        <v>18779.0</v>
      </c>
      <c r="J367" s="40">
        <v>8473.0</v>
      </c>
      <c r="K367" s="11">
        <v>43282.0</v>
      </c>
      <c r="L367" s="29" t="s">
        <v>260</v>
      </c>
      <c r="M367" s="57" t="s">
        <v>293</v>
      </c>
      <c r="N367" s="62" t="s">
        <v>297</v>
      </c>
    </row>
    <row r="368">
      <c r="A368" s="54" t="s">
        <v>57</v>
      </c>
      <c r="B368" s="54" t="s">
        <v>20</v>
      </c>
      <c r="C368" s="54" t="s">
        <v>292</v>
      </c>
      <c r="D368" s="54" t="s">
        <v>268</v>
      </c>
      <c r="E368" s="11" t="s">
        <v>721</v>
      </c>
      <c r="F368" s="11" t="s">
        <v>703</v>
      </c>
      <c r="G368" s="11" t="s">
        <v>158</v>
      </c>
      <c r="H368" s="11">
        <v>2013.0</v>
      </c>
      <c r="I368" s="40">
        <v>15802.0</v>
      </c>
      <c r="J368" s="40">
        <v>6412.0</v>
      </c>
      <c r="K368" s="11">
        <v>37557.0</v>
      </c>
      <c r="L368" s="29" t="s">
        <v>260</v>
      </c>
      <c r="M368" s="57" t="s">
        <v>293</v>
      </c>
      <c r="N368" s="62" t="s">
        <v>297</v>
      </c>
    </row>
    <row r="369">
      <c r="A369" s="54" t="s">
        <v>57</v>
      </c>
      <c r="B369" s="54" t="s">
        <v>20</v>
      </c>
      <c r="C369" s="54" t="s">
        <v>292</v>
      </c>
      <c r="D369" s="54" t="s">
        <v>268</v>
      </c>
      <c r="E369" s="11" t="s">
        <v>721</v>
      </c>
      <c r="F369" s="11" t="s">
        <v>703</v>
      </c>
      <c r="G369" s="11" t="s">
        <v>158</v>
      </c>
      <c r="H369" s="11">
        <v>2014.0</v>
      </c>
      <c r="I369" s="40">
        <v>13511.0</v>
      </c>
      <c r="J369" s="40">
        <v>6183.0</v>
      </c>
      <c r="K369" s="11">
        <v>28168.0</v>
      </c>
      <c r="L369" s="29" t="s">
        <v>260</v>
      </c>
      <c r="M369" s="57" t="s">
        <v>293</v>
      </c>
      <c r="N369" s="62" t="s">
        <v>297</v>
      </c>
    </row>
    <row r="370">
      <c r="A370" s="54" t="s">
        <v>57</v>
      </c>
      <c r="B370" s="54" t="s">
        <v>20</v>
      </c>
      <c r="C370" s="54" t="s">
        <v>292</v>
      </c>
      <c r="D370" s="54" t="s">
        <v>268</v>
      </c>
      <c r="E370" s="11" t="s">
        <v>721</v>
      </c>
      <c r="F370" s="11" t="s">
        <v>703</v>
      </c>
      <c r="G370" s="11" t="s">
        <v>158</v>
      </c>
      <c r="H370" s="11">
        <v>2015.0</v>
      </c>
      <c r="I370" s="40">
        <v>12824.0</v>
      </c>
      <c r="J370" s="40">
        <v>5038.0</v>
      </c>
      <c r="K370" s="11">
        <v>29542.0</v>
      </c>
      <c r="L370" s="29" t="s">
        <v>260</v>
      </c>
      <c r="M370" s="57" t="s">
        <v>293</v>
      </c>
      <c r="N370" s="62" t="s">
        <v>297</v>
      </c>
    </row>
    <row r="371">
      <c r="A371" s="54" t="s">
        <v>57</v>
      </c>
      <c r="B371" s="54" t="s">
        <v>20</v>
      </c>
      <c r="C371" s="54" t="s">
        <v>292</v>
      </c>
      <c r="D371" s="54" t="s">
        <v>268</v>
      </c>
      <c r="E371" s="11" t="s">
        <v>721</v>
      </c>
      <c r="F371" s="11" t="s">
        <v>703</v>
      </c>
      <c r="G371" s="11" t="s">
        <v>158</v>
      </c>
      <c r="H371" s="11">
        <v>2016.0</v>
      </c>
      <c r="I371" s="40">
        <v>12137.0</v>
      </c>
      <c r="J371" s="40">
        <v>5954.0</v>
      </c>
      <c r="K371" s="11">
        <v>25420.0</v>
      </c>
      <c r="L371" s="29" t="s">
        <v>260</v>
      </c>
      <c r="M371" s="57" t="s">
        <v>293</v>
      </c>
      <c r="N371" s="62" t="s">
        <v>297</v>
      </c>
    </row>
    <row r="372">
      <c r="A372" s="11" t="s">
        <v>121</v>
      </c>
      <c r="B372" s="11" t="s">
        <v>20</v>
      </c>
      <c r="C372" s="11" t="s">
        <v>316</v>
      </c>
      <c r="D372" s="11" t="s">
        <v>317</v>
      </c>
      <c r="E372" s="11" t="s">
        <v>727</v>
      </c>
      <c r="F372" s="74" t="s">
        <v>313</v>
      </c>
      <c r="G372" s="11" t="s">
        <v>74</v>
      </c>
      <c r="H372" s="11">
        <v>1996.0</v>
      </c>
      <c r="I372" s="40">
        <v>6048.0</v>
      </c>
      <c r="J372" s="40">
        <v>4931.0</v>
      </c>
      <c r="K372" s="11">
        <v>7194.0</v>
      </c>
      <c r="L372" s="29" t="s">
        <v>260</v>
      </c>
      <c r="M372" s="30" t="s">
        <v>319</v>
      </c>
      <c r="N372" s="11" t="s">
        <v>320</v>
      </c>
    </row>
    <row r="373">
      <c r="A373" s="11" t="s">
        <v>121</v>
      </c>
      <c r="B373" s="11" t="s">
        <v>20</v>
      </c>
      <c r="C373" s="11" t="s">
        <v>316</v>
      </c>
      <c r="D373" s="11" t="s">
        <v>317</v>
      </c>
      <c r="E373" s="11" t="s">
        <v>727</v>
      </c>
      <c r="F373" s="74" t="s">
        <v>313</v>
      </c>
      <c r="G373" s="11" t="s">
        <v>74</v>
      </c>
      <c r="H373" s="11">
        <v>1997.0</v>
      </c>
      <c r="I373" s="40">
        <v>5892.0</v>
      </c>
      <c r="J373" s="40">
        <v>4902.0</v>
      </c>
      <c r="K373" s="11">
        <v>6843.0</v>
      </c>
      <c r="L373" s="29" t="s">
        <v>260</v>
      </c>
      <c r="M373" s="30" t="s">
        <v>319</v>
      </c>
      <c r="N373" s="11" t="s">
        <v>320</v>
      </c>
    </row>
    <row r="374">
      <c r="A374" s="11" t="s">
        <v>121</v>
      </c>
      <c r="B374" s="11" t="s">
        <v>20</v>
      </c>
      <c r="C374" s="11" t="s">
        <v>316</v>
      </c>
      <c r="D374" s="11" t="s">
        <v>317</v>
      </c>
      <c r="E374" s="11" t="s">
        <v>727</v>
      </c>
      <c r="F374" s="74" t="s">
        <v>313</v>
      </c>
      <c r="G374" s="11" t="s">
        <v>74</v>
      </c>
      <c r="H374" s="11">
        <v>1998.0</v>
      </c>
      <c r="I374" s="40">
        <v>5581.0</v>
      </c>
      <c r="J374" s="40">
        <v>4901.0</v>
      </c>
      <c r="K374" s="11">
        <v>6309.0</v>
      </c>
      <c r="L374" s="29" t="s">
        <v>260</v>
      </c>
      <c r="M374" s="30" t="s">
        <v>319</v>
      </c>
      <c r="N374" s="11" t="s">
        <v>320</v>
      </c>
    </row>
    <row r="375">
      <c r="A375" s="11" t="s">
        <v>121</v>
      </c>
      <c r="B375" s="11" t="s">
        <v>20</v>
      </c>
      <c r="C375" s="11" t="s">
        <v>316</v>
      </c>
      <c r="D375" s="11" t="s">
        <v>317</v>
      </c>
      <c r="E375" s="11" t="s">
        <v>727</v>
      </c>
      <c r="F375" s="74" t="s">
        <v>313</v>
      </c>
      <c r="G375" s="11" t="s">
        <v>74</v>
      </c>
      <c r="H375" s="11">
        <v>1999.0</v>
      </c>
      <c r="I375" s="40">
        <v>5318.0</v>
      </c>
      <c r="J375" s="40">
        <v>4959.0</v>
      </c>
      <c r="K375" s="11">
        <v>5755.0</v>
      </c>
      <c r="L375" s="29" t="s">
        <v>260</v>
      </c>
      <c r="M375" s="30" t="s">
        <v>319</v>
      </c>
      <c r="N375" s="11" t="s">
        <v>320</v>
      </c>
    </row>
    <row r="376">
      <c r="A376" s="11" t="s">
        <v>121</v>
      </c>
      <c r="B376" s="11" t="s">
        <v>20</v>
      </c>
      <c r="C376" s="11" t="s">
        <v>316</v>
      </c>
      <c r="D376" s="11" t="s">
        <v>317</v>
      </c>
      <c r="E376" s="11" t="s">
        <v>727</v>
      </c>
      <c r="F376" s="74" t="s">
        <v>313</v>
      </c>
      <c r="G376" s="11" t="s">
        <v>74</v>
      </c>
      <c r="H376" s="11">
        <v>2000.0</v>
      </c>
      <c r="I376" s="40">
        <v>5502.0</v>
      </c>
      <c r="J376" s="40">
        <v>4803.0</v>
      </c>
      <c r="K376" s="11">
        <v>6327.0</v>
      </c>
      <c r="L376" s="29" t="s">
        <v>260</v>
      </c>
      <c r="M376" s="30" t="s">
        <v>319</v>
      </c>
      <c r="N376" s="11" t="s">
        <v>320</v>
      </c>
    </row>
    <row r="377">
      <c r="A377" s="11" t="s">
        <v>121</v>
      </c>
      <c r="B377" s="11" t="s">
        <v>20</v>
      </c>
      <c r="C377" s="11" t="s">
        <v>316</v>
      </c>
      <c r="D377" s="11" t="s">
        <v>317</v>
      </c>
      <c r="E377" s="11" t="s">
        <v>727</v>
      </c>
      <c r="F377" s="74" t="s">
        <v>313</v>
      </c>
      <c r="G377" s="11" t="s">
        <v>74</v>
      </c>
      <c r="H377" s="11">
        <v>2001.0</v>
      </c>
      <c r="I377" s="40">
        <v>5618.0</v>
      </c>
      <c r="J377" s="40">
        <v>4802.0</v>
      </c>
      <c r="K377" s="11">
        <v>6753.0</v>
      </c>
      <c r="L377" s="29" t="s">
        <v>260</v>
      </c>
      <c r="M377" s="30" t="s">
        <v>319</v>
      </c>
      <c r="N377" s="11" t="s">
        <v>320</v>
      </c>
    </row>
    <row r="378">
      <c r="A378" s="11" t="s">
        <v>121</v>
      </c>
      <c r="B378" s="11" t="s">
        <v>20</v>
      </c>
      <c r="C378" s="11" t="s">
        <v>316</v>
      </c>
      <c r="D378" s="11" t="s">
        <v>317</v>
      </c>
      <c r="E378" s="11" t="s">
        <v>727</v>
      </c>
      <c r="F378" s="74" t="s">
        <v>313</v>
      </c>
      <c r="G378" s="11" t="s">
        <v>74</v>
      </c>
      <c r="H378" s="11">
        <v>2002.0</v>
      </c>
      <c r="I378" s="40">
        <v>5627.0</v>
      </c>
      <c r="J378" s="40">
        <v>4772.0</v>
      </c>
      <c r="K378" s="11">
        <v>6763.0</v>
      </c>
      <c r="L378" s="29" t="s">
        <v>260</v>
      </c>
      <c r="M378" s="30" t="s">
        <v>319</v>
      </c>
      <c r="N378" s="11" t="s">
        <v>320</v>
      </c>
    </row>
    <row r="379">
      <c r="A379" s="11" t="s">
        <v>121</v>
      </c>
      <c r="B379" s="11" t="s">
        <v>20</v>
      </c>
      <c r="C379" s="11" t="s">
        <v>316</v>
      </c>
      <c r="D379" s="11" t="s">
        <v>317</v>
      </c>
      <c r="E379" s="11" t="s">
        <v>727</v>
      </c>
      <c r="F379" s="74" t="s">
        <v>313</v>
      </c>
      <c r="G379" s="11" t="s">
        <v>74</v>
      </c>
      <c r="H379" s="11">
        <v>2003.0</v>
      </c>
      <c r="I379" s="40">
        <v>5500.0</v>
      </c>
      <c r="J379" s="40">
        <v>4742.0</v>
      </c>
      <c r="K379" s="11">
        <v>6412.0</v>
      </c>
      <c r="L379" s="29" t="s">
        <v>260</v>
      </c>
      <c r="M379" s="30" t="s">
        <v>319</v>
      </c>
      <c r="N379" s="11" t="s">
        <v>320</v>
      </c>
    </row>
    <row r="380">
      <c r="A380" s="11" t="s">
        <v>121</v>
      </c>
      <c r="B380" s="11" t="s">
        <v>20</v>
      </c>
      <c r="C380" s="11" t="s">
        <v>316</v>
      </c>
      <c r="D380" s="11" t="s">
        <v>317</v>
      </c>
      <c r="E380" s="11" t="s">
        <v>727</v>
      </c>
      <c r="F380" s="74" t="s">
        <v>313</v>
      </c>
      <c r="G380" s="11" t="s">
        <v>74</v>
      </c>
      <c r="H380" s="11">
        <v>2004.0</v>
      </c>
      <c r="I380" s="40">
        <v>5033.0</v>
      </c>
      <c r="J380" s="40">
        <v>4625.0</v>
      </c>
      <c r="K380" s="11">
        <v>5499.0</v>
      </c>
      <c r="L380" s="29" t="s">
        <v>260</v>
      </c>
      <c r="M380" s="30" t="s">
        <v>319</v>
      </c>
      <c r="N380" s="11" t="s">
        <v>320</v>
      </c>
    </row>
    <row r="381">
      <c r="A381" s="11" t="s">
        <v>121</v>
      </c>
      <c r="B381" s="11" t="s">
        <v>20</v>
      </c>
      <c r="C381" s="11" t="s">
        <v>316</v>
      </c>
      <c r="D381" s="11" t="s">
        <v>317</v>
      </c>
      <c r="E381" s="11" t="s">
        <v>727</v>
      </c>
      <c r="F381" s="74" t="s">
        <v>313</v>
      </c>
      <c r="G381" s="11" t="s">
        <v>74</v>
      </c>
      <c r="H381" s="11">
        <v>2005.0</v>
      </c>
      <c r="I381" s="40">
        <v>5557.0</v>
      </c>
      <c r="J381" s="40">
        <v>4838.0</v>
      </c>
      <c r="K381" s="11">
        <v>6363.0</v>
      </c>
      <c r="L381" s="29" t="s">
        <v>260</v>
      </c>
      <c r="M381" s="30" t="s">
        <v>319</v>
      </c>
      <c r="N381" s="11" t="s">
        <v>320</v>
      </c>
    </row>
    <row r="382">
      <c r="A382" s="11" t="s">
        <v>121</v>
      </c>
      <c r="B382" s="11" t="s">
        <v>20</v>
      </c>
      <c r="C382" s="11" t="s">
        <v>316</v>
      </c>
      <c r="D382" s="11" t="s">
        <v>317</v>
      </c>
      <c r="E382" s="11" t="s">
        <v>727</v>
      </c>
      <c r="F382" s="74" t="s">
        <v>313</v>
      </c>
      <c r="G382" s="11" t="s">
        <v>74</v>
      </c>
      <c r="H382" s="11">
        <v>2006.0</v>
      </c>
      <c r="I382" s="40">
        <v>5876.0</v>
      </c>
      <c r="J382" s="40">
        <v>5032.0</v>
      </c>
      <c r="K382" s="11">
        <v>6886.0</v>
      </c>
      <c r="L382" s="29" t="s">
        <v>260</v>
      </c>
      <c r="M382" s="30" t="s">
        <v>319</v>
      </c>
      <c r="N382" s="11" t="s">
        <v>320</v>
      </c>
    </row>
    <row r="383">
      <c r="A383" s="11" t="s">
        <v>121</v>
      </c>
      <c r="B383" s="11" t="s">
        <v>20</v>
      </c>
      <c r="C383" s="11" t="s">
        <v>316</v>
      </c>
      <c r="D383" s="11" t="s">
        <v>317</v>
      </c>
      <c r="E383" s="11" t="s">
        <v>727</v>
      </c>
      <c r="F383" s="74" t="s">
        <v>313</v>
      </c>
      <c r="G383" s="11" t="s">
        <v>74</v>
      </c>
      <c r="H383" s="11">
        <v>2007.0</v>
      </c>
      <c r="I383" s="40">
        <v>6094.0</v>
      </c>
      <c r="J383" s="40">
        <v>5196.0</v>
      </c>
      <c r="K383" s="11">
        <v>7332.0</v>
      </c>
      <c r="L383" s="29" t="s">
        <v>260</v>
      </c>
      <c r="M383" s="30" t="s">
        <v>319</v>
      </c>
      <c r="N383" s="11" t="s">
        <v>320</v>
      </c>
    </row>
    <row r="384">
      <c r="A384" s="11" t="s">
        <v>121</v>
      </c>
      <c r="B384" s="11" t="s">
        <v>20</v>
      </c>
      <c r="C384" s="11" t="s">
        <v>316</v>
      </c>
      <c r="D384" s="11" t="s">
        <v>317</v>
      </c>
      <c r="E384" s="11" t="s">
        <v>727</v>
      </c>
      <c r="F384" s="74" t="s">
        <v>313</v>
      </c>
      <c r="G384" s="11" t="s">
        <v>74</v>
      </c>
      <c r="H384" s="11">
        <v>2008.0</v>
      </c>
      <c r="I384" s="40">
        <v>6196.0</v>
      </c>
      <c r="J384" s="40">
        <v>5351.0</v>
      </c>
      <c r="K384" s="11">
        <v>7108.0</v>
      </c>
      <c r="L384" s="29" t="s">
        <v>260</v>
      </c>
      <c r="M384" s="30" t="s">
        <v>319</v>
      </c>
      <c r="N384" s="11" t="s">
        <v>320</v>
      </c>
    </row>
    <row r="385">
      <c r="A385" s="11" t="s">
        <v>121</v>
      </c>
      <c r="B385" s="11" t="s">
        <v>20</v>
      </c>
      <c r="C385" s="11" t="s">
        <v>316</v>
      </c>
      <c r="D385" s="11" t="s">
        <v>317</v>
      </c>
      <c r="E385" s="11" t="s">
        <v>727</v>
      </c>
      <c r="F385" s="74" t="s">
        <v>313</v>
      </c>
      <c r="G385" s="11" t="s">
        <v>74</v>
      </c>
      <c r="H385" s="11">
        <v>2009.0</v>
      </c>
      <c r="I385" s="40">
        <v>6273.0</v>
      </c>
      <c r="J385" s="40">
        <v>5525.0</v>
      </c>
      <c r="K385" s="11">
        <v>7195.0</v>
      </c>
      <c r="L385" s="29" t="s">
        <v>260</v>
      </c>
      <c r="M385" s="30" t="s">
        <v>319</v>
      </c>
      <c r="N385" s="11" t="s">
        <v>320</v>
      </c>
    </row>
    <row r="386">
      <c r="A386" s="11" t="s">
        <v>121</v>
      </c>
      <c r="B386" s="11" t="s">
        <v>20</v>
      </c>
      <c r="C386" s="11" t="s">
        <v>316</v>
      </c>
      <c r="D386" s="11" t="s">
        <v>317</v>
      </c>
      <c r="E386" s="11" t="s">
        <v>727</v>
      </c>
      <c r="F386" s="74" t="s">
        <v>313</v>
      </c>
      <c r="G386" s="11" t="s">
        <v>74</v>
      </c>
      <c r="H386" s="11">
        <v>2010.0</v>
      </c>
      <c r="I386" s="40">
        <v>6233.0</v>
      </c>
      <c r="J386" s="40">
        <v>5408.0</v>
      </c>
      <c r="K386" s="11">
        <v>7340.0</v>
      </c>
      <c r="L386" s="29" t="s">
        <v>260</v>
      </c>
      <c r="M386" s="30" t="s">
        <v>319</v>
      </c>
      <c r="N386" s="11" t="s">
        <v>320</v>
      </c>
    </row>
    <row r="387">
      <c r="A387" s="11" t="s">
        <v>121</v>
      </c>
      <c r="B387" s="11" t="s">
        <v>20</v>
      </c>
      <c r="C387" s="11" t="s">
        <v>316</v>
      </c>
      <c r="D387" s="11" t="s">
        <v>317</v>
      </c>
      <c r="E387" s="11" t="s">
        <v>727</v>
      </c>
      <c r="F387" s="74" t="s">
        <v>313</v>
      </c>
      <c r="G387" s="11" t="s">
        <v>74</v>
      </c>
      <c r="H387" s="11">
        <v>2011.0</v>
      </c>
      <c r="I387" s="40">
        <v>6281.0</v>
      </c>
      <c r="J387" s="40">
        <v>5465.0</v>
      </c>
      <c r="K387" s="11">
        <v>7388.0</v>
      </c>
      <c r="L387" s="29" t="s">
        <v>260</v>
      </c>
      <c r="M387" s="30" t="s">
        <v>319</v>
      </c>
      <c r="N387" s="11" t="s">
        <v>320</v>
      </c>
    </row>
    <row r="388">
      <c r="A388" s="11" t="s">
        <v>121</v>
      </c>
      <c r="B388" s="11" t="s">
        <v>20</v>
      </c>
      <c r="C388" s="11" t="s">
        <v>316</v>
      </c>
      <c r="D388" s="11" t="s">
        <v>317</v>
      </c>
      <c r="E388" s="11" t="s">
        <v>727</v>
      </c>
      <c r="F388" s="74" t="s">
        <v>313</v>
      </c>
      <c r="G388" s="11" t="s">
        <v>74</v>
      </c>
      <c r="H388" s="11">
        <v>2012.0</v>
      </c>
      <c r="I388" s="40">
        <v>6290.0</v>
      </c>
      <c r="J388" s="40">
        <v>5368.0</v>
      </c>
      <c r="K388" s="11">
        <v>7494.0</v>
      </c>
      <c r="L388" s="29" t="s">
        <v>260</v>
      </c>
      <c r="M388" s="30" t="s">
        <v>319</v>
      </c>
      <c r="N388" s="11" t="s">
        <v>320</v>
      </c>
    </row>
    <row r="389">
      <c r="A389" s="11" t="s">
        <v>121</v>
      </c>
      <c r="B389" s="11" t="s">
        <v>20</v>
      </c>
      <c r="C389" s="11" t="s">
        <v>316</v>
      </c>
      <c r="D389" s="11" t="s">
        <v>317</v>
      </c>
      <c r="E389" s="11" t="s">
        <v>727</v>
      </c>
      <c r="F389" s="74" t="s">
        <v>313</v>
      </c>
      <c r="G389" s="11" t="s">
        <v>74</v>
      </c>
      <c r="H389" s="11">
        <v>2013.0</v>
      </c>
      <c r="I389" s="40">
        <v>6270.0</v>
      </c>
      <c r="J389" s="40">
        <v>5367.0</v>
      </c>
      <c r="K389" s="11">
        <v>7348.0</v>
      </c>
      <c r="L389" s="29" t="s">
        <v>260</v>
      </c>
      <c r="M389" s="30" t="s">
        <v>319</v>
      </c>
      <c r="N389" s="11" t="s">
        <v>320</v>
      </c>
    </row>
    <row r="390">
      <c r="A390" s="11" t="s">
        <v>121</v>
      </c>
      <c r="B390" s="11" t="s">
        <v>20</v>
      </c>
      <c r="C390" s="11" t="s">
        <v>316</v>
      </c>
      <c r="D390" s="11" t="s">
        <v>317</v>
      </c>
      <c r="E390" s="11" t="s">
        <v>727</v>
      </c>
      <c r="F390" s="74" t="s">
        <v>313</v>
      </c>
      <c r="G390" s="11" t="s">
        <v>74</v>
      </c>
      <c r="H390" s="11">
        <v>2014.0</v>
      </c>
      <c r="I390" s="40">
        <v>6182.0</v>
      </c>
      <c r="J390" s="40">
        <v>5328.0</v>
      </c>
      <c r="K390" s="11">
        <v>7250.0</v>
      </c>
      <c r="L390" s="29" t="s">
        <v>260</v>
      </c>
      <c r="M390" s="30" t="s">
        <v>319</v>
      </c>
      <c r="N390" s="11" t="s">
        <v>320</v>
      </c>
    </row>
    <row r="391">
      <c r="A391" s="11" t="s">
        <v>121</v>
      </c>
      <c r="B391" s="11" t="s">
        <v>20</v>
      </c>
      <c r="C391" s="11" t="s">
        <v>316</v>
      </c>
      <c r="D391" s="11" t="s">
        <v>317</v>
      </c>
      <c r="E391" s="11" t="s">
        <v>727</v>
      </c>
      <c r="F391" s="74" t="s">
        <v>313</v>
      </c>
      <c r="G391" s="11" t="s">
        <v>74</v>
      </c>
      <c r="H391" s="11">
        <v>2015.0</v>
      </c>
      <c r="I391" s="40">
        <v>5939.0</v>
      </c>
      <c r="J391" s="40">
        <v>5230.0</v>
      </c>
      <c r="K391" s="11">
        <v>6715.0</v>
      </c>
      <c r="L391" s="29" t="s">
        <v>260</v>
      </c>
      <c r="M391" s="30" t="s">
        <v>319</v>
      </c>
      <c r="N391" s="11" t="s">
        <v>320</v>
      </c>
    </row>
    <row r="392">
      <c r="A392" s="11" t="s">
        <v>121</v>
      </c>
      <c r="B392" s="11" t="s">
        <v>20</v>
      </c>
      <c r="C392" s="11" t="s">
        <v>316</v>
      </c>
      <c r="D392" s="11" t="s">
        <v>317</v>
      </c>
      <c r="E392" s="11" t="s">
        <v>727</v>
      </c>
      <c r="F392" s="74" t="s">
        <v>313</v>
      </c>
      <c r="G392" s="11" t="s">
        <v>74</v>
      </c>
      <c r="H392" s="11">
        <v>2016.0</v>
      </c>
      <c r="I392" s="40">
        <v>5744.0</v>
      </c>
      <c r="J392" s="40">
        <v>5064.0</v>
      </c>
      <c r="K392" s="11">
        <v>6482.0</v>
      </c>
      <c r="L392" s="29" t="s">
        <v>260</v>
      </c>
      <c r="M392" s="30" t="s">
        <v>319</v>
      </c>
      <c r="N392" s="11" t="s">
        <v>320</v>
      </c>
    </row>
    <row r="393">
      <c r="A393" s="11" t="s">
        <v>121</v>
      </c>
      <c r="B393" s="11" t="s">
        <v>20</v>
      </c>
      <c r="C393" s="11" t="s">
        <v>316</v>
      </c>
      <c r="D393" s="11" t="s">
        <v>317</v>
      </c>
      <c r="E393" s="11" t="s">
        <v>727</v>
      </c>
      <c r="F393" s="74" t="s">
        <v>313</v>
      </c>
      <c r="G393" s="11" t="s">
        <v>74</v>
      </c>
      <c r="H393" s="11">
        <v>2017.0</v>
      </c>
      <c r="I393" s="40">
        <v>5442.0</v>
      </c>
      <c r="J393" s="40">
        <v>4869.0</v>
      </c>
      <c r="K393" s="11">
        <v>6161.0</v>
      </c>
      <c r="L393" s="29" t="s">
        <v>260</v>
      </c>
      <c r="M393" s="30" t="s">
        <v>319</v>
      </c>
      <c r="N393" s="11" t="s">
        <v>320</v>
      </c>
    </row>
    <row r="394">
      <c r="A394" s="11" t="s">
        <v>121</v>
      </c>
      <c r="B394" s="11" t="s">
        <v>20</v>
      </c>
      <c r="C394" s="11" t="s">
        <v>316</v>
      </c>
      <c r="D394" s="11" t="s">
        <v>317</v>
      </c>
      <c r="E394" s="11" t="s">
        <v>727</v>
      </c>
      <c r="F394" s="74" t="s">
        <v>313</v>
      </c>
      <c r="G394" s="11" t="s">
        <v>74</v>
      </c>
      <c r="H394" s="11">
        <v>2018.0</v>
      </c>
      <c r="I394" s="40">
        <v>5570.0</v>
      </c>
      <c r="J394" s="40">
        <v>5063.0</v>
      </c>
      <c r="K394" s="11">
        <v>6160.0</v>
      </c>
      <c r="L394" s="29" t="s">
        <v>260</v>
      </c>
      <c r="M394" s="30" t="s">
        <v>319</v>
      </c>
      <c r="N394" s="11" t="s">
        <v>320</v>
      </c>
    </row>
    <row r="395">
      <c r="A395" s="11" t="s">
        <v>121</v>
      </c>
      <c r="B395" s="11" t="s">
        <v>20</v>
      </c>
      <c r="C395" s="11" t="s">
        <v>323</v>
      </c>
      <c r="D395" s="11" t="s">
        <v>317</v>
      </c>
      <c r="E395" s="11" t="s">
        <v>753</v>
      </c>
      <c r="F395" s="74" t="s">
        <v>313</v>
      </c>
      <c r="G395" s="11" t="s">
        <v>74</v>
      </c>
      <c r="H395" s="11">
        <v>1996.0</v>
      </c>
      <c r="I395" s="40">
        <v>36369.0</v>
      </c>
      <c r="J395" s="40">
        <v>28785.0</v>
      </c>
      <c r="K395" s="11">
        <v>50532.0</v>
      </c>
      <c r="L395" s="29" t="s">
        <v>260</v>
      </c>
      <c r="M395" s="57" t="s">
        <v>319</v>
      </c>
      <c r="N395" s="62" t="s">
        <v>320</v>
      </c>
    </row>
    <row r="396">
      <c r="A396" s="11" t="s">
        <v>121</v>
      </c>
      <c r="B396" s="11" t="s">
        <v>20</v>
      </c>
      <c r="C396" s="11" t="s">
        <v>323</v>
      </c>
      <c r="D396" s="11" t="s">
        <v>317</v>
      </c>
      <c r="E396" s="11" t="s">
        <v>753</v>
      </c>
      <c r="F396" s="74" t="s">
        <v>313</v>
      </c>
      <c r="G396" s="11" t="s">
        <v>74</v>
      </c>
      <c r="H396" s="11">
        <v>1997.0</v>
      </c>
      <c r="I396" s="40">
        <v>33462.0</v>
      </c>
      <c r="J396" s="40">
        <v>25990.0</v>
      </c>
      <c r="K396" s="11">
        <v>43388.0</v>
      </c>
      <c r="L396" s="29" t="s">
        <v>260</v>
      </c>
      <c r="M396" s="57" t="s">
        <v>319</v>
      </c>
      <c r="N396" s="62" t="s">
        <v>320</v>
      </c>
    </row>
    <row r="397">
      <c r="A397" s="11" t="s">
        <v>121</v>
      </c>
      <c r="B397" s="11" t="s">
        <v>20</v>
      </c>
      <c r="C397" s="11" t="s">
        <v>323</v>
      </c>
      <c r="D397" s="11" t="s">
        <v>317</v>
      </c>
      <c r="E397" s="11" t="s">
        <v>753</v>
      </c>
      <c r="F397" s="74" t="s">
        <v>313</v>
      </c>
      <c r="G397" s="11" t="s">
        <v>74</v>
      </c>
      <c r="H397" s="11">
        <v>1998.0</v>
      </c>
      <c r="I397" s="40">
        <v>30889.0</v>
      </c>
      <c r="J397" s="40">
        <v>25425.0</v>
      </c>
      <c r="K397" s="11">
        <v>36577.0</v>
      </c>
      <c r="L397" s="29" t="s">
        <v>260</v>
      </c>
      <c r="M397" s="57" t="s">
        <v>319</v>
      </c>
      <c r="N397" s="62" t="s">
        <v>320</v>
      </c>
    </row>
    <row r="398">
      <c r="A398" s="11" t="s">
        <v>121</v>
      </c>
      <c r="B398" s="11" t="s">
        <v>20</v>
      </c>
      <c r="C398" s="11" t="s">
        <v>323</v>
      </c>
      <c r="D398" s="11" t="s">
        <v>317</v>
      </c>
      <c r="E398" s="11" t="s">
        <v>753</v>
      </c>
      <c r="F398" s="74" t="s">
        <v>313</v>
      </c>
      <c r="G398" s="11" t="s">
        <v>74</v>
      </c>
      <c r="H398" s="11">
        <v>1999.0</v>
      </c>
      <c r="I398" s="40">
        <v>29990.0</v>
      </c>
      <c r="J398" s="40">
        <v>25863.0</v>
      </c>
      <c r="K398" s="11">
        <v>35231.0</v>
      </c>
      <c r="L398" s="29" t="s">
        <v>260</v>
      </c>
      <c r="M398" s="57" t="s">
        <v>319</v>
      </c>
      <c r="N398" s="62" t="s">
        <v>320</v>
      </c>
    </row>
    <row r="399">
      <c r="A399" s="11" t="s">
        <v>121</v>
      </c>
      <c r="B399" s="11" t="s">
        <v>20</v>
      </c>
      <c r="C399" s="11" t="s">
        <v>323</v>
      </c>
      <c r="D399" s="11" t="s">
        <v>317</v>
      </c>
      <c r="E399" s="11" t="s">
        <v>753</v>
      </c>
      <c r="F399" s="74" t="s">
        <v>313</v>
      </c>
      <c r="G399" s="11" t="s">
        <v>74</v>
      </c>
      <c r="H399" s="11">
        <v>2000.0</v>
      </c>
      <c r="I399" s="40">
        <v>29090.0</v>
      </c>
      <c r="J399" s="40">
        <v>25633.0</v>
      </c>
      <c r="K399" s="11">
        <v>34666.0</v>
      </c>
      <c r="L399" s="29" t="s">
        <v>260</v>
      </c>
      <c r="M399" s="57" t="s">
        <v>319</v>
      </c>
      <c r="N399" s="62" t="s">
        <v>320</v>
      </c>
    </row>
    <row r="400">
      <c r="A400" s="11" t="s">
        <v>121</v>
      </c>
      <c r="B400" s="11" t="s">
        <v>20</v>
      </c>
      <c r="C400" s="11" t="s">
        <v>323</v>
      </c>
      <c r="D400" s="11" t="s">
        <v>317</v>
      </c>
      <c r="E400" s="11" t="s">
        <v>753</v>
      </c>
      <c r="F400" s="74" t="s">
        <v>313</v>
      </c>
      <c r="G400" s="11" t="s">
        <v>74</v>
      </c>
      <c r="H400" s="11">
        <v>2001.0</v>
      </c>
      <c r="I400" s="40">
        <v>31425.0</v>
      </c>
      <c r="J400" s="40">
        <v>26518.0</v>
      </c>
      <c r="K400" s="11">
        <v>37893.0</v>
      </c>
      <c r="L400" s="29" t="s">
        <v>260</v>
      </c>
      <c r="M400" s="57" t="s">
        <v>319</v>
      </c>
      <c r="N400" s="62" t="s">
        <v>320</v>
      </c>
    </row>
    <row r="401">
      <c r="A401" s="11" t="s">
        <v>121</v>
      </c>
      <c r="B401" s="11" t="s">
        <v>20</v>
      </c>
      <c r="C401" s="11" t="s">
        <v>323</v>
      </c>
      <c r="D401" s="11" t="s">
        <v>317</v>
      </c>
      <c r="E401" s="11" t="s">
        <v>753</v>
      </c>
      <c r="F401" s="74" t="s">
        <v>313</v>
      </c>
      <c r="G401" s="11" t="s">
        <v>74</v>
      </c>
      <c r="H401" s="11">
        <v>2002.0</v>
      </c>
      <c r="I401" s="40">
        <v>32644.0</v>
      </c>
      <c r="J401" s="40">
        <v>27403.0</v>
      </c>
      <c r="K401" s="11">
        <v>37886.0</v>
      </c>
      <c r="L401" s="29" t="s">
        <v>260</v>
      </c>
      <c r="M401" s="57" t="s">
        <v>319</v>
      </c>
      <c r="N401" s="62" t="s">
        <v>320</v>
      </c>
    </row>
    <row r="402">
      <c r="A402" s="11" t="s">
        <v>121</v>
      </c>
      <c r="B402" s="11" t="s">
        <v>20</v>
      </c>
      <c r="C402" s="11" t="s">
        <v>323</v>
      </c>
      <c r="D402" s="11" t="s">
        <v>317</v>
      </c>
      <c r="E402" s="11" t="s">
        <v>753</v>
      </c>
      <c r="F402" s="74" t="s">
        <v>313</v>
      </c>
      <c r="G402" s="11" t="s">
        <v>74</v>
      </c>
      <c r="H402" s="11">
        <v>2003.0</v>
      </c>
      <c r="I402" s="40">
        <v>32414.0</v>
      </c>
      <c r="J402" s="40">
        <v>27507.0</v>
      </c>
      <c r="K402" s="11">
        <v>38213.0</v>
      </c>
      <c r="L402" s="29" t="s">
        <v>260</v>
      </c>
      <c r="M402" s="57" t="s">
        <v>319</v>
      </c>
      <c r="N402" s="62" t="s">
        <v>320</v>
      </c>
    </row>
    <row r="403">
      <c r="A403" s="11" t="s">
        <v>121</v>
      </c>
      <c r="B403" s="11" t="s">
        <v>20</v>
      </c>
      <c r="C403" s="11" t="s">
        <v>323</v>
      </c>
      <c r="D403" s="11" t="s">
        <v>317</v>
      </c>
      <c r="E403" s="11" t="s">
        <v>753</v>
      </c>
      <c r="F403" s="74" t="s">
        <v>313</v>
      </c>
      <c r="G403" s="11" t="s">
        <v>74</v>
      </c>
      <c r="H403" s="11">
        <v>2004.0</v>
      </c>
      <c r="I403" s="40">
        <v>37425.0</v>
      </c>
      <c r="J403" s="40">
        <v>32183.0</v>
      </c>
      <c r="K403" s="11">
        <v>43782.0</v>
      </c>
      <c r="L403" s="29" t="s">
        <v>260</v>
      </c>
      <c r="M403" s="57" t="s">
        <v>319</v>
      </c>
      <c r="N403" s="62" t="s">
        <v>320</v>
      </c>
    </row>
    <row r="404">
      <c r="A404" s="11" t="s">
        <v>121</v>
      </c>
      <c r="B404" s="11" t="s">
        <v>20</v>
      </c>
      <c r="C404" s="11" t="s">
        <v>323</v>
      </c>
      <c r="D404" s="11" t="s">
        <v>317</v>
      </c>
      <c r="E404" s="11" t="s">
        <v>753</v>
      </c>
      <c r="F404" s="74" t="s">
        <v>313</v>
      </c>
      <c r="G404" s="11" t="s">
        <v>74</v>
      </c>
      <c r="H404" s="11">
        <v>2005.0</v>
      </c>
      <c r="I404" s="40">
        <v>37418.0</v>
      </c>
      <c r="J404" s="40">
        <v>32064.0</v>
      </c>
      <c r="K404" s="11">
        <v>52250.0</v>
      </c>
      <c r="L404" s="29" t="s">
        <v>260</v>
      </c>
      <c r="M404" s="57" t="s">
        <v>319</v>
      </c>
      <c r="N404" s="62" t="s">
        <v>320</v>
      </c>
    </row>
    <row r="405">
      <c r="A405" s="11" t="s">
        <v>121</v>
      </c>
      <c r="B405" s="11" t="s">
        <v>20</v>
      </c>
      <c r="C405" s="11" t="s">
        <v>323</v>
      </c>
      <c r="D405" s="11" t="s">
        <v>317</v>
      </c>
      <c r="E405" s="11" t="s">
        <v>753</v>
      </c>
      <c r="F405" s="74" t="s">
        <v>313</v>
      </c>
      <c r="G405" s="11" t="s">
        <v>74</v>
      </c>
      <c r="H405" s="11">
        <v>2006.0</v>
      </c>
      <c r="I405" s="40">
        <v>34510.0</v>
      </c>
      <c r="J405" s="40">
        <v>28376.0</v>
      </c>
      <c r="K405" s="11">
        <v>44213.0</v>
      </c>
      <c r="L405" s="29" t="s">
        <v>260</v>
      </c>
      <c r="M405" s="57" t="s">
        <v>319</v>
      </c>
      <c r="N405" s="62" t="s">
        <v>320</v>
      </c>
    </row>
    <row r="406">
      <c r="A406" s="11" t="s">
        <v>121</v>
      </c>
      <c r="B406" s="11" t="s">
        <v>20</v>
      </c>
      <c r="C406" s="11" t="s">
        <v>323</v>
      </c>
      <c r="D406" s="11" t="s">
        <v>317</v>
      </c>
      <c r="E406" s="11" t="s">
        <v>753</v>
      </c>
      <c r="F406" s="74" t="s">
        <v>313</v>
      </c>
      <c r="G406" s="11" t="s">
        <v>74</v>
      </c>
      <c r="H406" s="11">
        <v>2007.0</v>
      </c>
      <c r="I406" s="40">
        <v>32829.0</v>
      </c>
      <c r="J406" s="40">
        <v>26473.0</v>
      </c>
      <c r="K406" s="11">
        <v>40525.0</v>
      </c>
      <c r="L406" s="29" t="s">
        <v>260</v>
      </c>
      <c r="M406" s="57" t="s">
        <v>319</v>
      </c>
      <c r="N406" s="62" t="s">
        <v>320</v>
      </c>
    </row>
    <row r="407">
      <c r="A407" s="11" t="s">
        <v>121</v>
      </c>
      <c r="B407" s="11" t="s">
        <v>20</v>
      </c>
      <c r="C407" s="11" t="s">
        <v>323</v>
      </c>
      <c r="D407" s="11" t="s">
        <v>317</v>
      </c>
      <c r="E407" s="11" t="s">
        <v>753</v>
      </c>
      <c r="F407" s="74" t="s">
        <v>313</v>
      </c>
      <c r="G407" s="11" t="s">
        <v>74</v>
      </c>
      <c r="H407" s="11">
        <v>2008.0</v>
      </c>
      <c r="I407" s="40">
        <v>29031.0</v>
      </c>
      <c r="J407" s="40">
        <v>25238.0</v>
      </c>
      <c r="K407" s="11">
        <v>34049.0</v>
      </c>
      <c r="L407" s="29" t="s">
        <v>260</v>
      </c>
      <c r="M407" s="57" t="s">
        <v>319</v>
      </c>
      <c r="N407" s="62" t="s">
        <v>320</v>
      </c>
    </row>
    <row r="408">
      <c r="A408" s="11" t="s">
        <v>121</v>
      </c>
      <c r="B408" s="11" t="s">
        <v>20</v>
      </c>
      <c r="C408" s="11" t="s">
        <v>323</v>
      </c>
      <c r="D408" s="11" t="s">
        <v>317</v>
      </c>
      <c r="E408" s="11" t="s">
        <v>753</v>
      </c>
      <c r="F408" s="74" t="s">
        <v>313</v>
      </c>
      <c r="G408" s="11" t="s">
        <v>74</v>
      </c>
      <c r="H408" s="11">
        <v>2009.0</v>
      </c>
      <c r="I408" s="40">
        <v>33372.0</v>
      </c>
      <c r="J408" s="40">
        <v>27908.0</v>
      </c>
      <c r="K408" s="11">
        <v>40956.0</v>
      </c>
      <c r="L408" s="29" t="s">
        <v>260</v>
      </c>
      <c r="M408" s="57" t="s">
        <v>319</v>
      </c>
      <c r="N408" s="62" t="s">
        <v>320</v>
      </c>
    </row>
    <row r="409">
      <c r="A409" s="11" t="s">
        <v>121</v>
      </c>
      <c r="B409" s="11" t="s">
        <v>20</v>
      </c>
      <c r="C409" s="11" t="s">
        <v>323</v>
      </c>
      <c r="D409" s="11" t="s">
        <v>317</v>
      </c>
      <c r="E409" s="11" t="s">
        <v>753</v>
      </c>
      <c r="F409" s="74" t="s">
        <v>313</v>
      </c>
      <c r="G409" s="11" t="s">
        <v>74</v>
      </c>
      <c r="H409" s="11">
        <v>2010.0</v>
      </c>
      <c r="I409" s="40">
        <v>33812.0</v>
      </c>
      <c r="J409" s="40">
        <v>27678.0</v>
      </c>
      <c r="K409" s="11">
        <v>46859.0</v>
      </c>
      <c r="L409" s="29" t="s">
        <v>260</v>
      </c>
      <c r="M409" s="57" t="s">
        <v>319</v>
      </c>
      <c r="N409" s="62" t="s">
        <v>320</v>
      </c>
    </row>
    <row r="410">
      <c r="A410" s="11" t="s">
        <v>121</v>
      </c>
      <c r="B410" s="11" t="s">
        <v>20</v>
      </c>
      <c r="C410" s="11" t="s">
        <v>323</v>
      </c>
      <c r="D410" s="11" t="s">
        <v>317</v>
      </c>
      <c r="E410" s="11" t="s">
        <v>753</v>
      </c>
      <c r="F410" s="74" t="s">
        <v>313</v>
      </c>
      <c r="G410" s="11" t="s">
        <v>74</v>
      </c>
      <c r="H410" s="11">
        <v>2011.0</v>
      </c>
      <c r="I410" s="40">
        <v>36146.0</v>
      </c>
      <c r="J410" s="40">
        <v>27336.0</v>
      </c>
      <c r="K410" s="11">
        <v>45960.0</v>
      </c>
      <c r="L410" s="29" t="s">
        <v>260</v>
      </c>
      <c r="M410" s="57" t="s">
        <v>319</v>
      </c>
      <c r="N410" s="62" t="s">
        <v>320</v>
      </c>
    </row>
    <row r="411">
      <c r="A411" s="11" t="s">
        <v>121</v>
      </c>
      <c r="B411" s="11" t="s">
        <v>20</v>
      </c>
      <c r="C411" s="11" t="s">
        <v>323</v>
      </c>
      <c r="D411" s="11" t="s">
        <v>317</v>
      </c>
      <c r="E411" s="11" t="s">
        <v>753</v>
      </c>
      <c r="F411" s="74" t="s">
        <v>313</v>
      </c>
      <c r="G411" s="11" t="s">
        <v>74</v>
      </c>
      <c r="H411" s="11">
        <v>2012.0</v>
      </c>
      <c r="I411" s="40">
        <v>37253.0</v>
      </c>
      <c r="J411" s="40">
        <v>28666.0</v>
      </c>
      <c r="K411" s="11">
        <v>48071.0</v>
      </c>
      <c r="L411" s="29" t="s">
        <v>260</v>
      </c>
      <c r="M411" s="57" t="s">
        <v>319</v>
      </c>
      <c r="N411" s="62" t="s">
        <v>320</v>
      </c>
    </row>
    <row r="412">
      <c r="A412" s="11" t="s">
        <v>121</v>
      </c>
      <c r="B412" s="11" t="s">
        <v>20</v>
      </c>
      <c r="C412" s="11" t="s">
        <v>323</v>
      </c>
      <c r="D412" s="11" t="s">
        <v>317</v>
      </c>
      <c r="E412" s="11" t="s">
        <v>753</v>
      </c>
      <c r="F412" s="74" t="s">
        <v>313</v>
      </c>
      <c r="G412" s="11" t="s">
        <v>74</v>
      </c>
      <c r="H412" s="11">
        <v>2013.0</v>
      </c>
      <c r="I412" s="40">
        <v>38584.0</v>
      </c>
      <c r="J412" s="40">
        <v>28101.0</v>
      </c>
      <c r="K412" s="11">
        <v>50740.0</v>
      </c>
      <c r="L412" s="29" t="s">
        <v>260</v>
      </c>
      <c r="M412" s="57" t="s">
        <v>319</v>
      </c>
      <c r="N412" s="62" t="s">
        <v>320</v>
      </c>
    </row>
    <row r="413">
      <c r="A413" s="11" t="s">
        <v>121</v>
      </c>
      <c r="B413" s="11" t="s">
        <v>20</v>
      </c>
      <c r="C413" s="11" t="s">
        <v>323</v>
      </c>
      <c r="D413" s="11" t="s">
        <v>317</v>
      </c>
      <c r="E413" s="11" t="s">
        <v>753</v>
      </c>
      <c r="F413" s="74" t="s">
        <v>313</v>
      </c>
      <c r="G413" s="11" t="s">
        <v>74</v>
      </c>
      <c r="H413" s="11">
        <v>2014.0</v>
      </c>
      <c r="I413" s="40">
        <v>40027.0</v>
      </c>
      <c r="J413" s="40">
        <v>30993.0</v>
      </c>
      <c r="K413" s="11">
        <v>52071.0</v>
      </c>
      <c r="L413" s="29" t="s">
        <v>260</v>
      </c>
      <c r="M413" s="57" t="s">
        <v>319</v>
      </c>
      <c r="N413" s="62" t="s">
        <v>320</v>
      </c>
    </row>
    <row r="414">
      <c r="A414" s="11" t="s">
        <v>121</v>
      </c>
      <c r="B414" s="11" t="s">
        <v>20</v>
      </c>
      <c r="C414" s="11" t="s">
        <v>323</v>
      </c>
      <c r="D414" s="11" t="s">
        <v>317</v>
      </c>
      <c r="E414" s="11" t="s">
        <v>753</v>
      </c>
      <c r="F414" s="74" t="s">
        <v>313</v>
      </c>
      <c r="G414" s="11" t="s">
        <v>74</v>
      </c>
      <c r="H414" s="11">
        <v>2015.0</v>
      </c>
      <c r="I414" s="40">
        <v>43700.0</v>
      </c>
      <c r="J414" s="40">
        <v>36450.0</v>
      </c>
      <c r="K414" s="11">
        <v>54517.0</v>
      </c>
      <c r="L414" s="29" t="s">
        <v>260</v>
      </c>
      <c r="M414" s="57" t="s">
        <v>319</v>
      </c>
      <c r="N414" s="62" t="s">
        <v>320</v>
      </c>
    </row>
    <row r="415">
      <c r="A415" s="11" t="s">
        <v>121</v>
      </c>
      <c r="B415" s="11" t="s">
        <v>20</v>
      </c>
      <c r="C415" s="11" t="s">
        <v>323</v>
      </c>
      <c r="D415" s="11" t="s">
        <v>317</v>
      </c>
      <c r="E415" s="11" t="s">
        <v>753</v>
      </c>
      <c r="F415" s="74" t="s">
        <v>313</v>
      </c>
      <c r="G415" s="11" t="s">
        <v>74</v>
      </c>
      <c r="H415" s="11">
        <v>2016.0</v>
      </c>
      <c r="I415" s="40">
        <v>40235.0</v>
      </c>
      <c r="J415" s="40">
        <v>32540.0</v>
      </c>
      <c r="K415" s="11">
        <v>50941.0</v>
      </c>
      <c r="L415" s="29" t="s">
        <v>260</v>
      </c>
      <c r="M415" s="57" t="s">
        <v>319</v>
      </c>
      <c r="N415" s="62" t="s">
        <v>320</v>
      </c>
    </row>
    <row r="416">
      <c r="A416" s="11" t="s">
        <v>121</v>
      </c>
      <c r="B416" s="11" t="s">
        <v>20</v>
      </c>
      <c r="C416" s="11" t="s">
        <v>323</v>
      </c>
      <c r="D416" s="11" t="s">
        <v>317</v>
      </c>
      <c r="E416" s="11" t="s">
        <v>753</v>
      </c>
      <c r="F416" s="74" t="s">
        <v>313</v>
      </c>
      <c r="G416" s="11" t="s">
        <v>74</v>
      </c>
      <c r="H416" s="11">
        <v>2017.0</v>
      </c>
      <c r="I416" s="40">
        <v>42569.0</v>
      </c>
      <c r="J416" s="40">
        <v>35432.0</v>
      </c>
      <c r="K416" s="11">
        <v>53722.0</v>
      </c>
      <c r="L416" s="29" t="s">
        <v>260</v>
      </c>
      <c r="M416" s="57" t="s">
        <v>319</v>
      </c>
      <c r="N416" s="62" t="s">
        <v>320</v>
      </c>
    </row>
    <row r="417">
      <c r="A417" s="11" t="s">
        <v>121</v>
      </c>
      <c r="B417" s="11" t="s">
        <v>20</v>
      </c>
      <c r="C417" s="11" t="s">
        <v>323</v>
      </c>
      <c r="D417" s="11" t="s">
        <v>317</v>
      </c>
      <c r="E417" s="11" t="s">
        <v>753</v>
      </c>
      <c r="F417" s="74" t="s">
        <v>313</v>
      </c>
      <c r="G417" s="11" t="s">
        <v>74</v>
      </c>
      <c r="H417" s="11">
        <v>2018.0</v>
      </c>
      <c r="I417" s="40">
        <v>44458.0</v>
      </c>
      <c r="J417" s="40">
        <v>33082.0</v>
      </c>
      <c r="K417" s="11">
        <v>60182.0</v>
      </c>
      <c r="L417" s="29" t="s">
        <v>260</v>
      </c>
      <c r="M417" s="57" t="s">
        <v>319</v>
      </c>
      <c r="N417" s="62" t="s">
        <v>320</v>
      </c>
    </row>
    <row r="418">
      <c r="A418" s="11" t="s">
        <v>121</v>
      </c>
      <c r="B418" s="11" t="s">
        <v>20</v>
      </c>
      <c r="C418" s="11" t="s">
        <v>324</v>
      </c>
      <c r="D418" s="11" t="s">
        <v>317</v>
      </c>
      <c r="E418" s="11" t="s">
        <v>784</v>
      </c>
      <c r="F418" s="74" t="s">
        <v>313</v>
      </c>
      <c r="G418" s="11" t="s">
        <v>74</v>
      </c>
      <c r="H418" s="11">
        <v>1996.0</v>
      </c>
      <c r="I418" s="40">
        <v>6375.0</v>
      </c>
      <c r="J418" s="40">
        <v>4963.0</v>
      </c>
      <c r="K418" s="11">
        <v>8493.0</v>
      </c>
      <c r="L418" s="29" t="s">
        <v>260</v>
      </c>
      <c r="M418" s="57" t="s">
        <v>319</v>
      </c>
      <c r="N418" s="62" t="s">
        <v>320</v>
      </c>
    </row>
    <row r="419">
      <c r="A419" s="11" t="s">
        <v>121</v>
      </c>
      <c r="B419" s="11" t="s">
        <v>20</v>
      </c>
      <c r="C419" s="11" t="s">
        <v>324</v>
      </c>
      <c r="D419" s="11" t="s">
        <v>317</v>
      </c>
      <c r="E419" s="11" t="s">
        <v>784</v>
      </c>
      <c r="F419" s="74" t="s">
        <v>313</v>
      </c>
      <c r="G419" s="11" t="s">
        <v>74</v>
      </c>
      <c r="H419" s="11">
        <v>1997.0</v>
      </c>
      <c r="I419" s="40">
        <v>6844.0</v>
      </c>
      <c r="J419" s="40">
        <v>5268.0</v>
      </c>
      <c r="K419" s="11">
        <v>9079.0</v>
      </c>
      <c r="L419" s="29" t="s">
        <v>260</v>
      </c>
      <c r="M419" s="57" t="s">
        <v>319</v>
      </c>
      <c r="N419" s="62" t="s">
        <v>320</v>
      </c>
    </row>
    <row r="420">
      <c r="A420" s="11" t="s">
        <v>121</v>
      </c>
      <c r="B420" s="11" t="s">
        <v>20</v>
      </c>
      <c r="C420" s="11" t="s">
        <v>324</v>
      </c>
      <c r="D420" s="11" t="s">
        <v>317</v>
      </c>
      <c r="E420" s="11" t="s">
        <v>784</v>
      </c>
      <c r="F420" s="74" t="s">
        <v>313</v>
      </c>
      <c r="G420" s="11" t="s">
        <v>74</v>
      </c>
      <c r="H420" s="11">
        <v>1998.0</v>
      </c>
      <c r="I420" s="40">
        <v>6890.0</v>
      </c>
      <c r="J420" s="40">
        <v>5243.0</v>
      </c>
      <c r="K420" s="11">
        <v>8819.0</v>
      </c>
      <c r="L420" s="29" t="s">
        <v>260</v>
      </c>
      <c r="M420" s="57" t="s">
        <v>319</v>
      </c>
      <c r="N420" s="62" t="s">
        <v>320</v>
      </c>
    </row>
    <row r="421">
      <c r="A421" s="11" t="s">
        <v>121</v>
      </c>
      <c r="B421" s="11" t="s">
        <v>20</v>
      </c>
      <c r="C421" s="11" t="s">
        <v>324</v>
      </c>
      <c r="D421" s="11" t="s">
        <v>317</v>
      </c>
      <c r="E421" s="11" t="s">
        <v>784</v>
      </c>
      <c r="F421" s="74" t="s">
        <v>313</v>
      </c>
      <c r="G421" s="11" t="s">
        <v>74</v>
      </c>
      <c r="H421" s="11">
        <v>1999.0</v>
      </c>
      <c r="I421" s="40">
        <v>6606.0</v>
      </c>
      <c r="J421" s="40">
        <v>4912.0</v>
      </c>
      <c r="K421" s="11">
        <v>8700.0</v>
      </c>
      <c r="L421" s="29" t="s">
        <v>260</v>
      </c>
      <c r="M421" s="57" t="s">
        <v>319</v>
      </c>
      <c r="N421" s="62" t="s">
        <v>320</v>
      </c>
    </row>
    <row r="422">
      <c r="A422" s="11" t="s">
        <v>121</v>
      </c>
      <c r="B422" s="11" t="s">
        <v>20</v>
      </c>
      <c r="C422" s="11" t="s">
        <v>324</v>
      </c>
      <c r="D422" s="11" t="s">
        <v>317</v>
      </c>
      <c r="E422" s="11" t="s">
        <v>784</v>
      </c>
      <c r="F422" s="74" t="s">
        <v>313</v>
      </c>
      <c r="G422" s="11" t="s">
        <v>74</v>
      </c>
      <c r="H422" s="11">
        <v>2000.0</v>
      </c>
      <c r="I422" s="40">
        <v>6322.0</v>
      </c>
      <c r="J422" s="40">
        <v>4722.0</v>
      </c>
      <c r="K422" s="11">
        <v>8228.0</v>
      </c>
      <c r="L422" s="29" t="s">
        <v>260</v>
      </c>
      <c r="M422" s="57" t="s">
        <v>319</v>
      </c>
      <c r="N422" s="62" t="s">
        <v>320</v>
      </c>
    </row>
    <row r="423">
      <c r="A423" s="11" t="s">
        <v>121</v>
      </c>
      <c r="B423" s="11" t="s">
        <v>20</v>
      </c>
      <c r="C423" s="11" t="s">
        <v>324</v>
      </c>
      <c r="D423" s="11" t="s">
        <v>317</v>
      </c>
      <c r="E423" s="11" t="s">
        <v>784</v>
      </c>
      <c r="F423" s="74" t="s">
        <v>313</v>
      </c>
      <c r="G423" s="11" t="s">
        <v>74</v>
      </c>
      <c r="H423" s="11">
        <v>2001.0</v>
      </c>
      <c r="I423" s="40">
        <v>5779.0</v>
      </c>
      <c r="J423" s="40">
        <v>4485.0</v>
      </c>
      <c r="K423" s="11">
        <v>7850.0</v>
      </c>
      <c r="L423" s="29" t="s">
        <v>260</v>
      </c>
      <c r="M423" s="57" t="s">
        <v>319</v>
      </c>
      <c r="N423" s="62" t="s">
        <v>320</v>
      </c>
    </row>
    <row r="424">
      <c r="A424" s="11" t="s">
        <v>121</v>
      </c>
      <c r="B424" s="11" t="s">
        <v>20</v>
      </c>
      <c r="C424" s="11" t="s">
        <v>324</v>
      </c>
      <c r="D424" s="11" t="s">
        <v>317</v>
      </c>
      <c r="E424" s="11" t="s">
        <v>784</v>
      </c>
      <c r="F424" s="74" t="s">
        <v>313</v>
      </c>
      <c r="G424" s="11" t="s">
        <v>74</v>
      </c>
      <c r="H424" s="11">
        <v>2002.0</v>
      </c>
      <c r="I424" s="40">
        <v>6483.0</v>
      </c>
      <c r="J424" s="40">
        <v>4789.0</v>
      </c>
      <c r="K424" s="11">
        <v>8954.0</v>
      </c>
      <c r="L424" s="29" t="s">
        <v>260</v>
      </c>
      <c r="M424" s="57" t="s">
        <v>319</v>
      </c>
      <c r="N424" s="62" t="s">
        <v>320</v>
      </c>
    </row>
    <row r="425">
      <c r="A425" s="11" t="s">
        <v>121</v>
      </c>
      <c r="B425" s="11" t="s">
        <v>20</v>
      </c>
      <c r="C425" s="11" t="s">
        <v>324</v>
      </c>
      <c r="D425" s="11" t="s">
        <v>317</v>
      </c>
      <c r="E425" s="11" t="s">
        <v>784</v>
      </c>
      <c r="F425" s="74" t="s">
        <v>313</v>
      </c>
      <c r="G425" s="11" t="s">
        <v>74</v>
      </c>
      <c r="H425" s="11">
        <v>2003.0</v>
      </c>
      <c r="I425" s="40">
        <v>6764.0</v>
      </c>
      <c r="J425" s="40">
        <v>4999.0</v>
      </c>
      <c r="K425" s="11">
        <v>9023.0</v>
      </c>
      <c r="L425" s="29" t="s">
        <v>260</v>
      </c>
      <c r="M425" s="57" t="s">
        <v>319</v>
      </c>
      <c r="N425" s="62" t="s">
        <v>320</v>
      </c>
    </row>
    <row r="426">
      <c r="A426" s="11" t="s">
        <v>121</v>
      </c>
      <c r="B426" s="11" t="s">
        <v>20</v>
      </c>
      <c r="C426" s="11" t="s">
        <v>324</v>
      </c>
      <c r="D426" s="11" t="s">
        <v>317</v>
      </c>
      <c r="E426" s="11" t="s">
        <v>784</v>
      </c>
      <c r="F426" s="74" t="s">
        <v>313</v>
      </c>
      <c r="G426" s="11" t="s">
        <v>74</v>
      </c>
      <c r="H426" s="11">
        <v>2004.0</v>
      </c>
      <c r="I426" s="40">
        <v>7139.0</v>
      </c>
      <c r="J426" s="40">
        <v>5351.0</v>
      </c>
      <c r="K426" s="11">
        <v>9892.0</v>
      </c>
      <c r="L426" s="29" t="s">
        <v>260</v>
      </c>
      <c r="M426" s="57" t="s">
        <v>319</v>
      </c>
      <c r="N426" s="62" t="s">
        <v>320</v>
      </c>
    </row>
    <row r="427">
      <c r="A427" s="11" t="s">
        <v>121</v>
      </c>
      <c r="B427" s="11" t="s">
        <v>20</v>
      </c>
      <c r="C427" s="11" t="s">
        <v>324</v>
      </c>
      <c r="D427" s="11" t="s">
        <v>317</v>
      </c>
      <c r="E427" s="11" t="s">
        <v>784</v>
      </c>
      <c r="F427" s="74" t="s">
        <v>313</v>
      </c>
      <c r="G427" s="11" t="s">
        <v>74</v>
      </c>
      <c r="H427" s="11">
        <v>2005.0</v>
      </c>
      <c r="I427" s="40">
        <v>7349.0</v>
      </c>
      <c r="J427" s="40">
        <v>5655.0</v>
      </c>
      <c r="K427" s="11">
        <v>9349.0</v>
      </c>
      <c r="L427" s="29" t="s">
        <v>260</v>
      </c>
      <c r="M427" s="57" t="s">
        <v>319</v>
      </c>
      <c r="N427" s="62" t="s">
        <v>320</v>
      </c>
    </row>
    <row r="428">
      <c r="A428" s="11" t="s">
        <v>121</v>
      </c>
      <c r="B428" s="11" t="s">
        <v>20</v>
      </c>
      <c r="C428" s="11" t="s">
        <v>324</v>
      </c>
      <c r="D428" s="11" t="s">
        <v>317</v>
      </c>
      <c r="E428" s="11" t="s">
        <v>784</v>
      </c>
      <c r="F428" s="74" t="s">
        <v>313</v>
      </c>
      <c r="G428" s="11" t="s">
        <v>74</v>
      </c>
      <c r="H428" s="11">
        <v>2006.0</v>
      </c>
      <c r="I428" s="40">
        <v>7442.0</v>
      </c>
      <c r="J428" s="40">
        <v>6101.0</v>
      </c>
      <c r="K428" s="11">
        <v>9018.0</v>
      </c>
      <c r="L428" s="29" t="s">
        <v>260</v>
      </c>
      <c r="M428" s="57" t="s">
        <v>319</v>
      </c>
      <c r="N428" s="62" t="s">
        <v>320</v>
      </c>
    </row>
    <row r="429">
      <c r="A429" s="11" t="s">
        <v>121</v>
      </c>
      <c r="B429" s="11" t="s">
        <v>20</v>
      </c>
      <c r="C429" s="11" t="s">
        <v>324</v>
      </c>
      <c r="D429" s="11" t="s">
        <v>317</v>
      </c>
      <c r="E429" s="11" t="s">
        <v>784</v>
      </c>
      <c r="F429" s="74" t="s">
        <v>313</v>
      </c>
      <c r="G429" s="11" t="s">
        <v>74</v>
      </c>
      <c r="H429" s="11">
        <v>2007.0</v>
      </c>
      <c r="I429" s="40">
        <v>7652.0</v>
      </c>
      <c r="J429" s="40">
        <v>5840.0</v>
      </c>
      <c r="K429" s="11">
        <v>9770.0</v>
      </c>
      <c r="L429" s="29" t="s">
        <v>260</v>
      </c>
      <c r="M429" s="57" t="s">
        <v>319</v>
      </c>
      <c r="N429" s="62" t="s">
        <v>320</v>
      </c>
    </row>
    <row r="430">
      <c r="A430" s="11" t="s">
        <v>121</v>
      </c>
      <c r="B430" s="11" t="s">
        <v>20</v>
      </c>
      <c r="C430" s="11" t="s">
        <v>324</v>
      </c>
      <c r="D430" s="11" t="s">
        <v>317</v>
      </c>
      <c r="E430" s="11" t="s">
        <v>784</v>
      </c>
      <c r="F430" s="74" t="s">
        <v>313</v>
      </c>
      <c r="G430" s="11" t="s">
        <v>74</v>
      </c>
      <c r="H430" s="11">
        <v>2008.0</v>
      </c>
      <c r="I430" s="40">
        <v>7627.0</v>
      </c>
      <c r="J430" s="40">
        <v>6145.0</v>
      </c>
      <c r="K430" s="11">
        <v>9651.0</v>
      </c>
      <c r="L430" s="29" t="s">
        <v>260</v>
      </c>
      <c r="M430" s="57" t="s">
        <v>319</v>
      </c>
      <c r="N430" s="62" t="s">
        <v>320</v>
      </c>
    </row>
    <row r="431">
      <c r="A431" s="11" t="s">
        <v>121</v>
      </c>
      <c r="B431" s="11" t="s">
        <v>20</v>
      </c>
      <c r="C431" s="11" t="s">
        <v>324</v>
      </c>
      <c r="D431" s="11" t="s">
        <v>317</v>
      </c>
      <c r="E431" s="11" t="s">
        <v>784</v>
      </c>
      <c r="F431" s="74" t="s">
        <v>313</v>
      </c>
      <c r="G431" s="11" t="s">
        <v>74</v>
      </c>
      <c r="H431" s="11">
        <v>2009.0</v>
      </c>
      <c r="I431" s="40">
        <v>8331.0</v>
      </c>
      <c r="J431" s="40">
        <v>6825.0</v>
      </c>
      <c r="K431" s="11">
        <v>10684.0</v>
      </c>
      <c r="L431" s="29" t="s">
        <v>260</v>
      </c>
      <c r="M431" s="57" t="s">
        <v>319</v>
      </c>
      <c r="N431" s="62" t="s">
        <v>320</v>
      </c>
    </row>
    <row r="432">
      <c r="A432" s="11" t="s">
        <v>121</v>
      </c>
      <c r="B432" s="11" t="s">
        <v>20</v>
      </c>
      <c r="C432" s="11" t="s">
        <v>324</v>
      </c>
      <c r="D432" s="11" t="s">
        <v>317</v>
      </c>
      <c r="E432" s="11" t="s">
        <v>784</v>
      </c>
      <c r="F432" s="74" t="s">
        <v>313</v>
      </c>
      <c r="G432" s="11" t="s">
        <v>74</v>
      </c>
      <c r="H432" s="11">
        <v>2010.0</v>
      </c>
      <c r="I432" s="40">
        <v>8212.0</v>
      </c>
      <c r="J432" s="40">
        <v>6612.0</v>
      </c>
      <c r="K432" s="11">
        <v>10306.0</v>
      </c>
      <c r="L432" s="29" t="s">
        <v>260</v>
      </c>
      <c r="M432" s="57" t="s">
        <v>319</v>
      </c>
      <c r="N432" s="62" t="s">
        <v>320</v>
      </c>
    </row>
    <row r="433">
      <c r="A433" s="11" t="s">
        <v>121</v>
      </c>
      <c r="B433" s="11" t="s">
        <v>20</v>
      </c>
      <c r="C433" s="11" t="s">
        <v>324</v>
      </c>
      <c r="D433" s="11" t="s">
        <v>317</v>
      </c>
      <c r="E433" s="11" t="s">
        <v>784</v>
      </c>
      <c r="F433" s="74" t="s">
        <v>313</v>
      </c>
      <c r="G433" s="11" t="s">
        <v>74</v>
      </c>
      <c r="H433" s="11">
        <v>2011.0</v>
      </c>
      <c r="I433" s="40">
        <v>8305.0</v>
      </c>
      <c r="J433" s="40">
        <v>6893.0</v>
      </c>
      <c r="K433" s="11">
        <v>10352.0</v>
      </c>
      <c r="L433" s="29" t="s">
        <v>260</v>
      </c>
      <c r="M433" s="57" t="s">
        <v>319</v>
      </c>
      <c r="N433" s="62" t="s">
        <v>320</v>
      </c>
    </row>
    <row r="434">
      <c r="A434" s="11" t="s">
        <v>121</v>
      </c>
      <c r="B434" s="11" t="s">
        <v>20</v>
      </c>
      <c r="C434" s="11" t="s">
        <v>324</v>
      </c>
      <c r="D434" s="11" t="s">
        <v>317</v>
      </c>
      <c r="E434" s="11" t="s">
        <v>784</v>
      </c>
      <c r="F434" s="74" t="s">
        <v>313</v>
      </c>
      <c r="G434" s="11" t="s">
        <v>74</v>
      </c>
      <c r="H434" s="11">
        <v>2012.0</v>
      </c>
      <c r="I434" s="40">
        <v>8138.0</v>
      </c>
      <c r="J434" s="40">
        <v>6138.0</v>
      </c>
      <c r="K434" s="11">
        <v>10703.0</v>
      </c>
      <c r="L434" s="29" t="s">
        <v>260</v>
      </c>
      <c r="M434" s="57" t="s">
        <v>319</v>
      </c>
      <c r="N434" s="62" t="s">
        <v>320</v>
      </c>
    </row>
    <row r="435">
      <c r="A435" s="11" t="s">
        <v>121</v>
      </c>
      <c r="B435" s="11" t="s">
        <v>20</v>
      </c>
      <c r="C435" s="11" t="s">
        <v>324</v>
      </c>
      <c r="D435" s="11" t="s">
        <v>317</v>
      </c>
      <c r="E435" s="11" t="s">
        <v>784</v>
      </c>
      <c r="F435" s="74" t="s">
        <v>313</v>
      </c>
      <c r="G435" s="11" t="s">
        <v>74</v>
      </c>
      <c r="H435" s="11">
        <v>2013.0</v>
      </c>
      <c r="I435" s="40">
        <v>8160.0</v>
      </c>
      <c r="J435" s="40">
        <v>5949.0</v>
      </c>
      <c r="K435" s="11">
        <v>11431.0</v>
      </c>
      <c r="L435" s="29" t="s">
        <v>260</v>
      </c>
      <c r="M435" s="57" t="s">
        <v>319</v>
      </c>
      <c r="N435" s="62" t="s">
        <v>320</v>
      </c>
    </row>
    <row r="436">
      <c r="A436" s="11" t="s">
        <v>121</v>
      </c>
      <c r="B436" s="11" t="s">
        <v>20</v>
      </c>
      <c r="C436" s="11" t="s">
        <v>324</v>
      </c>
      <c r="D436" s="11" t="s">
        <v>317</v>
      </c>
      <c r="E436" s="11" t="s">
        <v>784</v>
      </c>
      <c r="F436" s="74" t="s">
        <v>313</v>
      </c>
      <c r="G436" s="11" t="s">
        <v>74</v>
      </c>
      <c r="H436" s="11">
        <v>2014.0</v>
      </c>
      <c r="I436" s="40">
        <v>7971.0</v>
      </c>
      <c r="J436" s="40">
        <v>5947.0</v>
      </c>
      <c r="K436" s="11">
        <v>11241.0</v>
      </c>
      <c r="L436" s="29" t="s">
        <v>260</v>
      </c>
      <c r="M436" s="57" t="s">
        <v>319</v>
      </c>
      <c r="N436" s="62" t="s">
        <v>320</v>
      </c>
    </row>
    <row r="437">
      <c r="A437" s="11" t="s">
        <v>121</v>
      </c>
      <c r="B437" s="11" t="s">
        <v>20</v>
      </c>
      <c r="C437" s="11" t="s">
        <v>324</v>
      </c>
      <c r="D437" s="11" t="s">
        <v>317</v>
      </c>
      <c r="E437" s="11" t="s">
        <v>784</v>
      </c>
      <c r="F437" s="74" t="s">
        <v>313</v>
      </c>
      <c r="G437" s="11" t="s">
        <v>74</v>
      </c>
      <c r="H437" s="11">
        <v>2015.0</v>
      </c>
      <c r="I437" s="40">
        <v>7969.0</v>
      </c>
      <c r="J437" s="40">
        <v>6392.0</v>
      </c>
      <c r="K437" s="11">
        <v>10087.0</v>
      </c>
      <c r="L437" s="29" t="s">
        <v>260</v>
      </c>
      <c r="M437" s="57" t="s">
        <v>319</v>
      </c>
      <c r="N437" s="62" t="s">
        <v>320</v>
      </c>
    </row>
    <row r="438">
      <c r="A438" s="11" t="s">
        <v>121</v>
      </c>
      <c r="B438" s="11" t="s">
        <v>20</v>
      </c>
      <c r="C438" s="11" t="s">
        <v>324</v>
      </c>
      <c r="D438" s="11" t="s">
        <v>317</v>
      </c>
      <c r="E438" s="11" t="s">
        <v>784</v>
      </c>
      <c r="F438" s="74" t="s">
        <v>313</v>
      </c>
      <c r="G438" s="11" t="s">
        <v>74</v>
      </c>
      <c r="H438" s="11">
        <v>2016.0</v>
      </c>
      <c r="I438" s="40">
        <v>8391.0</v>
      </c>
      <c r="J438" s="40">
        <v>6438.0</v>
      </c>
      <c r="K438" s="11">
        <v>10720.0</v>
      </c>
      <c r="L438" s="29" t="s">
        <v>260</v>
      </c>
      <c r="M438" s="57" t="s">
        <v>319</v>
      </c>
      <c r="N438" s="62" t="s">
        <v>320</v>
      </c>
    </row>
    <row r="439">
      <c r="A439" s="11" t="s">
        <v>121</v>
      </c>
      <c r="B439" s="11" t="s">
        <v>20</v>
      </c>
      <c r="C439" s="11" t="s">
        <v>324</v>
      </c>
      <c r="D439" s="11" t="s">
        <v>317</v>
      </c>
      <c r="E439" s="11" t="s">
        <v>784</v>
      </c>
      <c r="F439" s="74" t="s">
        <v>313</v>
      </c>
      <c r="G439" s="11" t="s">
        <v>74</v>
      </c>
      <c r="H439" s="11">
        <v>2017.0</v>
      </c>
      <c r="I439" s="40">
        <v>8436.0</v>
      </c>
      <c r="J439" s="40">
        <v>6813.0</v>
      </c>
      <c r="K439" s="11">
        <v>10954.0</v>
      </c>
      <c r="L439" s="29" t="s">
        <v>260</v>
      </c>
      <c r="M439" s="57" t="s">
        <v>319</v>
      </c>
      <c r="N439" s="62" t="s">
        <v>320</v>
      </c>
    </row>
    <row r="440">
      <c r="A440" s="11" t="s">
        <v>121</v>
      </c>
      <c r="B440" s="11" t="s">
        <v>20</v>
      </c>
      <c r="C440" s="11" t="s">
        <v>324</v>
      </c>
      <c r="D440" s="11" t="s">
        <v>317</v>
      </c>
      <c r="E440" s="11" t="s">
        <v>784</v>
      </c>
      <c r="F440" s="74" t="s">
        <v>313</v>
      </c>
      <c r="G440" s="11" t="s">
        <v>74</v>
      </c>
      <c r="H440" s="11">
        <v>2018.0</v>
      </c>
      <c r="I440" s="40">
        <v>8623.0</v>
      </c>
      <c r="J440" s="40">
        <v>6458.0</v>
      </c>
      <c r="K440" s="11">
        <v>11799.0</v>
      </c>
      <c r="L440" s="29" t="s">
        <v>260</v>
      </c>
      <c r="M440" s="57" t="s">
        <v>319</v>
      </c>
      <c r="N440" s="62" t="s">
        <v>320</v>
      </c>
    </row>
    <row r="441">
      <c r="A441" s="11" t="s">
        <v>121</v>
      </c>
      <c r="B441" s="11" t="s">
        <v>20</v>
      </c>
      <c r="C441" s="11" t="s">
        <v>325</v>
      </c>
      <c r="D441" s="11" t="s">
        <v>317</v>
      </c>
      <c r="E441" s="11" t="s">
        <v>817</v>
      </c>
      <c r="F441" s="74" t="s">
        <v>313</v>
      </c>
      <c r="G441" s="11" t="s">
        <v>74</v>
      </c>
      <c r="H441" s="11">
        <v>1996.0</v>
      </c>
      <c r="I441" s="40">
        <v>12981.0</v>
      </c>
      <c r="J441" s="40">
        <v>10933.0</v>
      </c>
      <c r="K441" s="11">
        <v>16768.0</v>
      </c>
      <c r="L441" s="29" t="s">
        <v>260</v>
      </c>
      <c r="M441" s="57" t="s">
        <v>319</v>
      </c>
      <c r="N441" s="62" t="s">
        <v>320</v>
      </c>
    </row>
    <row r="442">
      <c r="A442" s="11" t="s">
        <v>121</v>
      </c>
      <c r="B442" s="11" t="s">
        <v>20</v>
      </c>
      <c r="C442" s="11" t="s">
        <v>325</v>
      </c>
      <c r="D442" s="11" t="s">
        <v>317</v>
      </c>
      <c r="E442" s="11" t="s">
        <v>817</v>
      </c>
      <c r="F442" s="74" t="s">
        <v>313</v>
      </c>
      <c r="G442" s="11" t="s">
        <v>74</v>
      </c>
      <c r="H442" s="11">
        <v>1997.0</v>
      </c>
      <c r="I442" s="40">
        <v>13097.0</v>
      </c>
      <c r="J442" s="40">
        <v>10946.0</v>
      </c>
      <c r="K442" s="11">
        <v>16680.0</v>
      </c>
      <c r="L442" s="29" t="s">
        <v>260</v>
      </c>
      <c r="M442" s="57" t="s">
        <v>319</v>
      </c>
      <c r="N442" s="62" t="s">
        <v>320</v>
      </c>
    </row>
    <row r="443">
      <c r="A443" s="11" t="s">
        <v>121</v>
      </c>
      <c r="B443" s="11" t="s">
        <v>20</v>
      </c>
      <c r="C443" s="11" t="s">
        <v>325</v>
      </c>
      <c r="D443" s="11" t="s">
        <v>317</v>
      </c>
      <c r="E443" s="11" t="s">
        <v>817</v>
      </c>
      <c r="F443" s="74" t="s">
        <v>313</v>
      </c>
      <c r="G443" s="11" t="s">
        <v>74</v>
      </c>
      <c r="H443" s="11">
        <v>1998.0</v>
      </c>
      <c r="I443" s="40">
        <v>14032.0</v>
      </c>
      <c r="J443" s="40">
        <v>11779.0</v>
      </c>
      <c r="K443" s="11">
        <v>16695.0</v>
      </c>
      <c r="L443" s="29" t="s">
        <v>260</v>
      </c>
      <c r="M443" s="57" t="s">
        <v>319</v>
      </c>
      <c r="N443" s="62" t="s">
        <v>320</v>
      </c>
    </row>
    <row r="444">
      <c r="A444" s="11" t="s">
        <v>121</v>
      </c>
      <c r="B444" s="11" t="s">
        <v>20</v>
      </c>
      <c r="C444" s="11" t="s">
        <v>325</v>
      </c>
      <c r="D444" s="11" t="s">
        <v>317</v>
      </c>
      <c r="E444" s="11" t="s">
        <v>817</v>
      </c>
      <c r="F444" s="74" t="s">
        <v>313</v>
      </c>
      <c r="G444" s="11" t="s">
        <v>74</v>
      </c>
      <c r="H444" s="11">
        <v>1999.0</v>
      </c>
      <c r="I444" s="40">
        <v>14046.0</v>
      </c>
      <c r="J444" s="40">
        <v>11691.0</v>
      </c>
      <c r="K444" s="11">
        <v>17117.0</v>
      </c>
      <c r="L444" s="29" t="s">
        <v>260</v>
      </c>
      <c r="M444" s="57" t="s">
        <v>319</v>
      </c>
      <c r="N444" s="62" t="s">
        <v>320</v>
      </c>
    </row>
    <row r="445">
      <c r="A445" s="11" t="s">
        <v>121</v>
      </c>
      <c r="B445" s="11" t="s">
        <v>20</v>
      </c>
      <c r="C445" s="11" t="s">
        <v>325</v>
      </c>
      <c r="D445" s="11" t="s">
        <v>317</v>
      </c>
      <c r="E445" s="11" t="s">
        <v>817</v>
      </c>
      <c r="F445" s="74" t="s">
        <v>313</v>
      </c>
      <c r="G445" s="11" t="s">
        <v>74</v>
      </c>
      <c r="H445" s="11">
        <v>2000.0</v>
      </c>
      <c r="I445" s="40">
        <v>14366.0</v>
      </c>
      <c r="J445" s="40">
        <v>11909.0</v>
      </c>
      <c r="K445" s="11">
        <v>17438.0</v>
      </c>
      <c r="L445" s="29" t="s">
        <v>260</v>
      </c>
      <c r="M445" s="57" t="s">
        <v>319</v>
      </c>
      <c r="N445" s="62" t="s">
        <v>320</v>
      </c>
    </row>
    <row r="446">
      <c r="A446" s="11" t="s">
        <v>121</v>
      </c>
      <c r="B446" s="11" t="s">
        <v>20</v>
      </c>
      <c r="C446" s="11" t="s">
        <v>325</v>
      </c>
      <c r="D446" s="11" t="s">
        <v>317</v>
      </c>
      <c r="E446" s="11" t="s">
        <v>817</v>
      </c>
      <c r="F446" s="74" t="s">
        <v>313</v>
      </c>
      <c r="G446" s="11" t="s">
        <v>74</v>
      </c>
      <c r="H446" s="11">
        <v>2001.0</v>
      </c>
      <c r="I446" s="40">
        <v>14687.0</v>
      </c>
      <c r="J446" s="40">
        <v>12639.0</v>
      </c>
      <c r="K446" s="11">
        <v>17657.0</v>
      </c>
      <c r="L446" s="29" t="s">
        <v>260</v>
      </c>
      <c r="M446" s="57" t="s">
        <v>319</v>
      </c>
      <c r="N446" s="62" t="s">
        <v>320</v>
      </c>
    </row>
    <row r="447">
      <c r="A447" s="11" t="s">
        <v>121</v>
      </c>
      <c r="B447" s="11" t="s">
        <v>20</v>
      </c>
      <c r="C447" s="11" t="s">
        <v>325</v>
      </c>
      <c r="D447" s="11" t="s">
        <v>317</v>
      </c>
      <c r="E447" s="11" t="s">
        <v>817</v>
      </c>
      <c r="F447" s="74" t="s">
        <v>313</v>
      </c>
      <c r="G447" s="11" t="s">
        <v>74</v>
      </c>
      <c r="H447" s="11">
        <v>2002.0</v>
      </c>
      <c r="I447" s="40">
        <v>15520.0</v>
      </c>
      <c r="J447" s="40">
        <v>13267.0</v>
      </c>
      <c r="K447" s="11">
        <v>18592.0</v>
      </c>
      <c r="L447" s="29" t="s">
        <v>260</v>
      </c>
      <c r="M447" s="57" t="s">
        <v>319</v>
      </c>
      <c r="N447" s="62" t="s">
        <v>320</v>
      </c>
    </row>
    <row r="448">
      <c r="A448" s="11" t="s">
        <v>121</v>
      </c>
      <c r="B448" s="11" t="s">
        <v>20</v>
      </c>
      <c r="C448" s="11" t="s">
        <v>325</v>
      </c>
      <c r="D448" s="11" t="s">
        <v>317</v>
      </c>
      <c r="E448" s="11" t="s">
        <v>817</v>
      </c>
      <c r="F448" s="74" t="s">
        <v>313</v>
      </c>
      <c r="G448" s="11" t="s">
        <v>74</v>
      </c>
      <c r="H448" s="11">
        <v>2003.0</v>
      </c>
      <c r="I448" s="40">
        <v>16660.0</v>
      </c>
      <c r="J448" s="40">
        <v>13281.0</v>
      </c>
      <c r="K448" s="11">
        <v>20858.0</v>
      </c>
      <c r="L448" s="29" t="s">
        <v>260</v>
      </c>
      <c r="M448" s="57" t="s">
        <v>319</v>
      </c>
      <c r="N448" s="62" t="s">
        <v>320</v>
      </c>
    </row>
    <row r="449">
      <c r="A449" s="11" t="s">
        <v>121</v>
      </c>
      <c r="B449" s="11" t="s">
        <v>20</v>
      </c>
      <c r="C449" s="11" t="s">
        <v>325</v>
      </c>
      <c r="D449" s="11" t="s">
        <v>317</v>
      </c>
      <c r="E449" s="11" t="s">
        <v>817</v>
      </c>
      <c r="F449" s="74" t="s">
        <v>313</v>
      </c>
      <c r="G449" s="11" t="s">
        <v>74</v>
      </c>
      <c r="H449" s="11">
        <v>2004.0</v>
      </c>
      <c r="I449" s="40">
        <v>15855.0</v>
      </c>
      <c r="J449" s="40">
        <v>13704.0</v>
      </c>
      <c r="K449" s="11">
        <v>18722.0</v>
      </c>
      <c r="L449" s="29" t="s">
        <v>260</v>
      </c>
      <c r="M449" s="57" t="s">
        <v>319</v>
      </c>
      <c r="N449" s="62" t="s">
        <v>320</v>
      </c>
    </row>
    <row r="450">
      <c r="A450" s="11" t="s">
        <v>121</v>
      </c>
      <c r="B450" s="11" t="s">
        <v>20</v>
      </c>
      <c r="C450" s="11" t="s">
        <v>325</v>
      </c>
      <c r="D450" s="11" t="s">
        <v>317</v>
      </c>
      <c r="E450" s="11" t="s">
        <v>817</v>
      </c>
      <c r="F450" s="74" t="s">
        <v>313</v>
      </c>
      <c r="G450" s="11" t="s">
        <v>74</v>
      </c>
      <c r="H450" s="11">
        <v>2005.0</v>
      </c>
      <c r="I450" s="40">
        <v>16893.0</v>
      </c>
      <c r="J450" s="40">
        <v>13309.0</v>
      </c>
      <c r="K450" s="11">
        <v>21807.0</v>
      </c>
      <c r="L450" s="29" t="s">
        <v>260</v>
      </c>
      <c r="M450" s="57" t="s">
        <v>319</v>
      </c>
      <c r="N450" s="62" t="s">
        <v>320</v>
      </c>
    </row>
    <row r="451">
      <c r="A451" s="11" t="s">
        <v>121</v>
      </c>
      <c r="B451" s="11" t="s">
        <v>20</v>
      </c>
      <c r="C451" s="11" t="s">
        <v>325</v>
      </c>
      <c r="D451" s="11" t="s">
        <v>317</v>
      </c>
      <c r="E451" s="11" t="s">
        <v>817</v>
      </c>
      <c r="F451" s="74" t="s">
        <v>313</v>
      </c>
      <c r="G451" s="11" t="s">
        <v>74</v>
      </c>
      <c r="H451" s="11">
        <v>2006.0</v>
      </c>
      <c r="I451" s="40">
        <v>16905.0</v>
      </c>
      <c r="J451" s="40">
        <v>14653.0</v>
      </c>
      <c r="K451" s="11">
        <v>19568.0</v>
      </c>
      <c r="L451" s="29" t="s">
        <v>260</v>
      </c>
      <c r="M451" s="57" t="s">
        <v>319</v>
      </c>
      <c r="N451" s="62" t="s">
        <v>320</v>
      </c>
    </row>
    <row r="452">
      <c r="A452" s="11" t="s">
        <v>121</v>
      </c>
      <c r="B452" s="11" t="s">
        <v>20</v>
      </c>
      <c r="C452" s="11" t="s">
        <v>325</v>
      </c>
      <c r="D452" s="11" t="s">
        <v>317</v>
      </c>
      <c r="E452" s="11" t="s">
        <v>817</v>
      </c>
      <c r="F452" s="74" t="s">
        <v>313</v>
      </c>
      <c r="G452" s="11" t="s">
        <v>74</v>
      </c>
      <c r="H452" s="11">
        <v>2007.0</v>
      </c>
      <c r="I452" s="40">
        <v>17738.0</v>
      </c>
      <c r="J452" s="40">
        <v>14565.0</v>
      </c>
      <c r="K452" s="11">
        <v>22141.0</v>
      </c>
      <c r="L452" s="29" t="s">
        <v>260</v>
      </c>
      <c r="M452" s="57" t="s">
        <v>319</v>
      </c>
      <c r="N452" s="62" t="s">
        <v>320</v>
      </c>
    </row>
    <row r="453">
      <c r="A453" s="11" t="s">
        <v>121</v>
      </c>
      <c r="B453" s="11" t="s">
        <v>20</v>
      </c>
      <c r="C453" s="11" t="s">
        <v>325</v>
      </c>
      <c r="D453" s="11" t="s">
        <v>317</v>
      </c>
      <c r="E453" s="11" t="s">
        <v>817</v>
      </c>
      <c r="F453" s="74" t="s">
        <v>313</v>
      </c>
      <c r="G453" s="11" t="s">
        <v>74</v>
      </c>
      <c r="H453" s="11">
        <v>2008.0</v>
      </c>
      <c r="I453" s="40">
        <v>17855.0</v>
      </c>
      <c r="J453" s="40">
        <v>14886.0</v>
      </c>
      <c r="K453" s="11">
        <v>21951.0</v>
      </c>
      <c r="L453" s="29" t="s">
        <v>260</v>
      </c>
      <c r="M453" s="57" t="s">
        <v>319</v>
      </c>
      <c r="N453" s="62" t="s">
        <v>320</v>
      </c>
    </row>
    <row r="454">
      <c r="A454" s="11" t="s">
        <v>121</v>
      </c>
      <c r="B454" s="11" t="s">
        <v>20</v>
      </c>
      <c r="C454" s="11" t="s">
        <v>325</v>
      </c>
      <c r="D454" s="11" t="s">
        <v>317</v>
      </c>
      <c r="E454" s="11" t="s">
        <v>817</v>
      </c>
      <c r="F454" s="74" t="s">
        <v>313</v>
      </c>
      <c r="G454" s="11" t="s">
        <v>74</v>
      </c>
      <c r="H454" s="11">
        <v>2009.0</v>
      </c>
      <c r="I454" s="40">
        <v>19403.0</v>
      </c>
      <c r="J454" s="40">
        <v>16537.0</v>
      </c>
      <c r="K454" s="11">
        <v>23500.0</v>
      </c>
      <c r="L454" s="29" t="s">
        <v>260</v>
      </c>
      <c r="M454" s="57" t="s">
        <v>319</v>
      </c>
      <c r="N454" s="62" t="s">
        <v>320</v>
      </c>
    </row>
    <row r="455">
      <c r="A455" s="11" t="s">
        <v>121</v>
      </c>
      <c r="B455" s="11" t="s">
        <v>20</v>
      </c>
      <c r="C455" s="11" t="s">
        <v>325</v>
      </c>
      <c r="D455" s="11" t="s">
        <v>317</v>
      </c>
      <c r="E455" s="11" t="s">
        <v>817</v>
      </c>
      <c r="F455" s="74" t="s">
        <v>313</v>
      </c>
      <c r="G455" s="11" t="s">
        <v>74</v>
      </c>
      <c r="H455" s="11">
        <v>2010.0</v>
      </c>
      <c r="I455" s="40">
        <v>19725.0</v>
      </c>
      <c r="J455" s="40">
        <v>15834.0</v>
      </c>
      <c r="K455" s="11">
        <v>24640.0</v>
      </c>
      <c r="L455" s="29" t="s">
        <v>260</v>
      </c>
      <c r="M455" s="57" t="s">
        <v>319</v>
      </c>
      <c r="N455" s="62" t="s">
        <v>320</v>
      </c>
    </row>
    <row r="456">
      <c r="A456" s="11" t="s">
        <v>121</v>
      </c>
      <c r="B456" s="11" t="s">
        <v>20</v>
      </c>
      <c r="C456" s="11" t="s">
        <v>325</v>
      </c>
      <c r="D456" s="11" t="s">
        <v>317</v>
      </c>
      <c r="E456" s="11" t="s">
        <v>817</v>
      </c>
      <c r="F456" s="74" t="s">
        <v>313</v>
      </c>
      <c r="G456" s="11" t="s">
        <v>74</v>
      </c>
      <c r="H456" s="11">
        <v>2011.0</v>
      </c>
      <c r="I456" s="40">
        <v>19227.0</v>
      </c>
      <c r="J456" s="40">
        <v>14005.0</v>
      </c>
      <c r="K456" s="11">
        <v>26599.0</v>
      </c>
      <c r="L456" s="29" t="s">
        <v>260</v>
      </c>
      <c r="M456" s="57" t="s">
        <v>319</v>
      </c>
      <c r="N456" s="62" t="s">
        <v>320</v>
      </c>
    </row>
    <row r="457">
      <c r="A457" s="11" t="s">
        <v>121</v>
      </c>
      <c r="B457" s="11" t="s">
        <v>20</v>
      </c>
      <c r="C457" s="11" t="s">
        <v>325</v>
      </c>
      <c r="D457" s="11" t="s">
        <v>317</v>
      </c>
      <c r="E457" s="11" t="s">
        <v>817</v>
      </c>
      <c r="F457" s="74" t="s">
        <v>313</v>
      </c>
      <c r="G457" s="11" t="s">
        <v>74</v>
      </c>
      <c r="H457" s="11">
        <v>2012.0</v>
      </c>
      <c r="I457" s="40">
        <v>19445.0</v>
      </c>
      <c r="J457" s="40">
        <v>14428.0</v>
      </c>
      <c r="K457" s="11">
        <v>25589.0</v>
      </c>
      <c r="L457" s="29" t="s">
        <v>260</v>
      </c>
      <c r="M457" s="57" t="s">
        <v>319</v>
      </c>
      <c r="N457" s="62" t="s">
        <v>320</v>
      </c>
    </row>
    <row r="458">
      <c r="A458" s="11" t="s">
        <v>121</v>
      </c>
      <c r="B458" s="11" t="s">
        <v>20</v>
      </c>
      <c r="C458" s="11" t="s">
        <v>325</v>
      </c>
      <c r="D458" s="11" t="s">
        <v>317</v>
      </c>
      <c r="E458" s="11" t="s">
        <v>817</v>
      </c>
      <c r="F458" s="74" t="s">
        <v>313</v>
      </c>
      <c r="G458" s="11" t="s">
        <v>74</v>
      </c>
      <c r="H458" s="11">
        <v>2013.0</v>
      </c>
      <c r="I458" s="40">
        <v>19460.0</v>
      </c>
      <c r="J458" s="40">
        <v>15261.0</v>
      </c>
      <c r="K458" s="11">
        <v>25296.0</v>
      </c>
      <c r="L458" s="29" t="s">
        <v>260</v>
      </c>
      <c r="M458" s="57" t="s">
        <v>319</v>
      </c>
      <c r="N458" s="62" t="s">
        <v>320</v>
      </c>
    </row>
    <row r="459">
      <c r="A459" s="11" t="s">
        <v>121</v>
      </c>
      <c r="B459" s="11" t="s">
        <v>20</v>
      </c>
      <c r="C459" s="11" t="s">
        <v>325</v>
      </c>
      <c r="D459" s="11" t="s">
        <v>317</v>
      </c>
      <c r="E459" s="11" t="s">
        <v>817</v>
      </c>
      <c r="F459" s="74" t="s">
        <v>313</v>
      </c>
      <c r="G459" s="11" t="s">
        <v>74</v>
      </c>
      <c r="H459" s="11">
        <v>2014.0</v>
      </c>
      <c r="I459" s="40">
        <v>19371.0</v>
      </c>
      <c r="J459" s="40">
        <v>14763.0</v>
      </c>
      <c r="K459" s="11">
        <v>25105.0</v>
      </c>
      <c r="L459" s="29" t="s">
        <v>260</v>
      </c>
      <c r="M459" s="57" t="s">
        <v>319</v>
      </c>
      <c r="N459" s="62" t="s">
        <v>320</v>
      </c>
    </row>
    <row r="460">
      <c r="A460" s="11" t="s">
        <v>121</v>
      </c>
      <c r="B460" s="11" t="s">
        <v>20</v>
      </c>
      <c r="C460" s="11" t="s">
        <v>325</v>
      </c>
      <c r="D460" s="11" t="s">
        <v>317</v>
      </c>
      <c r="E460" s="11" t="s">
        <v>817</v>
      </c>
      <c r="F460" s="74" t="s">
        <v>313</v>
      </c>
      <c r="G460" s="11" t="s">
        <v>74</v>
      </c>
      <c r="H460" s="11">
        <v>2015.0</v>
      </c>
      <c r="I460" s="40">
        <v>20921.0</v>
      </c>
      <c r="J460" s="40">
        <v>16620.0</v>
      </c>
      <c r="K460" s="11">
        <v>28395.0</v>
      </c>
      <c r="L460" s="29" t="s">
        <v>260</v>
      </c>
      <c r="M460" s="57" t="s">
        <v>319</v>
      </c>
      <c r="N460" s="62" t="s">
        <v>320</v>
      </c>
    </row>
    <row r="461">
      <c r="A461" s="11" t="s">
        <v>121</v>
      </c>
      <c r="B461" s="11" t="s">
        <v>20</v>
      </c>
      <c r="C461" s="11" t="s">
        <v>325</v>
      </c>
      <c r="D461" s="11" t="s">
        <v>317</v>
      </c>
      <c r="E461" s="11" t="s">
        <v>817</v>
      </c>
      <c r="F461" s="74" t="s">
        <v>313</v>
      </c>
      <c r="G461" s="11" t="s">
        <v>74</v>
      </c>
      <c r="H461" s="11">
        <v>2016.0</v>
      </c>
      <c r="I461" s="40">
        <v>23186.0</v>
      </c>
      <c r="J461" s="40">
        <v>17862.0</v>
      </c>
      <c r="K461" s="11">
        <v>35473.0</v>
      </c>
      <c r="L461" s="29" t="s">
        <v>260</v>
      </c>
      <c r="M461" s="57" t="s">
        <v>319</v>
      </c>
      <c r="N461" s="62" t="s">
        <v>320</v>
      </c>
    </row>
    <row r="462">
      <c r="A462" s="11" t="s">
        <v>121</v>
      </c>
      <c r="B462" s="11" t="s">
        <v>20</v>
      </c>
      <c r="C462" s="11" t="s">
        <v>325</v>
      </c>
      <c r="D462" s="11" t="s">
        <v>317</v>
      </c>
      <c r="E462" s="11" t="s">
        <v>817</v>
      </c>
      <c r="F462" s="74" t="s">
        <v>313</v>
      </c>
      <c r="G462" s="11" t="s">
        <v>74</v>
      </c>
      <c r="H462" s="11">
        <v>2017.0</v>
      </c>
      <c r="I462" s="40">
        <v>26988.0</v>
      </c>
      <c r="J462" s="40">
        <v>20743.0</v>
      </c>
      <c r="K462" s="11">
        <v>41630.0</v>
      </c>
      <c r="L462" s="29" t="s">
        <v>260</v>
      </c>
      <c r="M462" s="57" t="s">
        <v>319</v>
      </c>
      <c r="N462" s="62" t="s">
        <v>320</v>
      </c>
    </row>
    <row r="463">
      <c r="A463" s="11" t="s">
        <v>121</v>
      </c>
      <c r="B463" s="11" t="s">
        <v>20</v>
      </c>
      <c r="C463" s="11" t="s">
        <v>325</v>
      </c>
      <c r="D463" s="11" t="s">
        <v>317</v>
      </c>
      <c r="E463" s="11" t="s">
        <v>817</v>
      </c>
      <c r="F463" s="74" t="s">
        <v>313</v>
      </c>
      <c r="G463" s="11" t="s">
        <v>74</v>
      </c>
      <c r="H463" s="11">
        <v>2018.0</v>
      </c>
      <c r="I463" s="40">
        <v>26797.0</v>
      </c>
      <c r="J463" s="40">
        <v>20552.0</v>
      </c>
      <c r="K463" s="11">
        <v>41542.0</v>
      </c>
      <c r="L463" s="29" t="s">
        <v>260</v>
      </c>
      <c r="M463" s="57" t="s">
        <v>319</v>
      </c>
      <c r="N463" s="62" t="s">
        <v>320</v>
      </c>
    </row>
    <row r="464">
      <c r="A464" s="11" t="s">
        <v>121</v>
      </c>
      <c r="B464" s="11" t="s">
        <v>20</v>
      </c>
      <c r="C464" s="11" t="s">
        <v>326</v>
      </c>
      <c r="D464" s="11" t="s">
        <v>317</v>
      </c>
      <c r="E464" s="11" t="s">
        <v>847</v>
      </c>
      <c r="F464" s="74" t="s">
        <v>313</v>
      </c>
      <c r="G464" s="11" t="s">
        <v>74</v>
      </c>
      <c r="H464" s="11">
        <v>1996.0</v>
      </c>
      <c r="I464" s="40">
        <v>37751.0</v>
      </c>
      <c r="J464" s="40">
        <v>34031.0</v>
      </c>
      <c r="K464" s="11">
        <v>43077.0</v>
      </c>
      <c r="L464" s="29" t="s">
        <v>260</v>
      </c>
      <c r="M464" s="57" t="s">
        <v>319</v>
      </c>
      <c r="N464" s="62" t="s">
        <v>320</v>
      </c>
    </row>
    <row r="465">
      <c r="A465" s="11" t="s">
        <v>121</v>
      </c>
      <c r="B465" s="11" t="s">
        <v>20</v>
      </c>
      <c r="C465" s="11" t="s">
        <v>326</v>
      </c>
      <c r="D465" s="11" t="s">
        <v>317</v>
      </c>
      <c r="E465" s="11" t="s">
        <v>847</v>
      </c>
      <c r="F465" s="74" t="s">
        <v>313</v>
      </c>
      <c r="G465" s="11" t="s">
        <v>74</v>
      </c>
      <c r="H465" s="11">
        <v>1997.0</v>
      </c>
      <c r="I465" s="40">
        <v>38065.0</v>
      </c>
      <c r="J465" s="40">
        <v>34146.0</v>
      </c>
      <c r="K465" s="11">
        <v>43694.0</v>
      </c>
      <c r="L465" s="29" t="s">
        <v>260</v>
      </c>
      <c r="M465" s="57" t="s">
        <v>319</v>
      </c>
      <c r="N465" s="62" t="s">
        <v>320</v>
      </c>
    </row>
    <row r="466">
      <c r="A466" s="11" t="s">
        <v>121</v>
      </c>
      <c r="B466" s="11" t="s">
        <v>20</v>
      </c>
      <c r="C466" s="11" t="s">
        <v>326</v>
      </c>
      <c r="D466" s="11" t="s">
        <v>317</v>
      </c>
      <c r="E466" s="11" t="s">
        <v>847</v>
      </c>
      <c r="F466" s="74" t="s">
        <v>313</v>
      </c>
      <c r="G466" s="11" t="s">
        <v>74</v>
      </c>
      <c r="H466" s="11">
        <v>1998.0</v>
      </c>
      <c r="I466" s="40">
        <v>38280.0</v>
      </c>
      <c r="J466" s="40">
        <v>32853.0</v>
      </c>
      <c r="K466" s="11">
        <v>44310.0</v>
      </c>
      <c r="L466" s="29" t="s">
        <v>260</v>
      </c>
      <c r="M466" s="57" t="s">
        <v>319</v>
      </c>
      <c r="N466" s="62" t="s">
        <v>320</v>
      </c>
    </row>
    <row r="467">
      <c r="A467" s="11" t="s">
        <v>121</v>
      </c>
      <c r="B467" s="11" t="s">
        <v>20</v>
      </c>
      <c r="C467" s="11" t="s">
        <v>326</v>
      </c>
      <c r="D467" s="11" t="s">
        <v>317</v>
      </c>
      <c r="E467" s="11" t="s">
        <v>847</v>
      </c>
      <c r="F467" s="74" t="s">
        <v>313</v>
      </c>
      <c r="G467" s="11" t="s">
        <v>74</v>
      </c>
      <c r="H467" s="11">
        <v>1999.0</v>
      </c>
      <c r="I467" s="40">
        <v>37389.0</v>
      </c>
      <c r="J467" s="40">
        <v>31259.0</v>
      </c>
      <c r="K467" s="11">
        <v>46132.0</v>
      </c>
      <c r="L467" s="29" t="s">
        <v>260</v>
      </c>
      <c r="M467" s="57" t="s">
        <v>319</v>
      </c>
      <c r="N467" s="62" t="s">
        <v>320</v>
      </c>
    </row>
    <row r="468">
      <c r="A468" s="11" t="s">
        <v>121</v>
      </c>
      <c r="B468" s="11" t="s">
        <v>20</v>
      </c>
      <c r="C468" s="11" t="s">
        <v>326</v>
      </c>
      <c r="D468" s="11" t="s">
        <v>317</v>
      </c>
      <c r="E468" s="11" t="s">
        <v>847</v>
      </c>
      <c r="F468" s="74" t="s">
        <v>313</v>
      </c>
      <c r="G468" s="11" t="s">
        <v>74</v>
      </c>
      <c r="H468" s="11">
        <v>2000.0</v>
      </c>
      <c r="I468" s="40">
        <v>36195.0</v>
      </c>
      <c r="J468" s="40">
        <v>31573.0</v>
      </c>
      <c r="K468" s="11">
        <v>42628.0</v>
      </c>
      <c r="L468" s="29" t="s">
        <v>260</v>
      </c>
      <c r="M468" s="57" t="s">
        <v>319</v>
      </c>
      <c r="N468" s="62" t="s">
        <v>320</v>
      </c>
    </row>
    <row r="469">
      <c r="A469" s="11" t="s">
        <v>121</v>
      </c>
      <c r="B469" s="11" t="s">
        <v>20</v>
      </c>
      <c r="C469" s="11" t="s">
        <v>326</v>
      </c>
      <c r="D469" s="11" t="s">
        <v>317</v>
      </c>
      <c r="E469" s="11" t="s">
        <v>847</v>
      </c>
      <c r="F469" s="74" t="s">
        <v>313</v>
      </c>
      <c r="G469" s="11" t="s">
        <v>74</v>
      </c>
      <c r="H469" s="11">
        <v>2001.0</v>
      </c>
      <c r="I469" s="40">
        <v>31085.0</v>
      </c>
      <c r="J469" s="40">
        <v>28270.0</v>
      </c>
      <c r="K469" s="11">
        <v>34602.0</v>
      </c>
      <c r="L469" s="29" t="s">
        <v>260</v>
      </c>
      <c r="M469" s="57" t="s">
        <v>319</v>
      </c>
      <c r="N469" s="62" t="s">
        <v>320</v>
      </c>
    </row>
    <row r="470">
      <c r="A470" s="11" t="s">
        <v>121</v>
      </c>
      <c r="B470" s="11" t="s">
        <v>20</v>
      </c>
      <c r="C470" s="11" t="s">
        <v>326</v>
      </c>
      <c r="D470" s="11" t="s">
        <v>317</v>
      </c>
      <c r="E470" s="11" t="s">
        <v>847</v>
      </c>
      <c r="F470" s="74" t="s">
        <v>313</v>
      </c>
      <c r="G470" s="11" t="s">
        <v>74</v>
      </c>
      <c r="H470" s="11">
        <v>2002.0</v>
      </c>
      <c r="I470" s="40">
        <v>35419.0</v>
      </c>
      <c r="J470" s="40">
        <v>31601.0</v>
      </c>
      <c r="K470" s="11">
        <v>39439.0</v>
      </c>
      <c r="L470" s="29" t="s">
        <v>260</v>
      </c>
      <c r="M470" s="57" t="s">
        <v>319</v>
      </c>
      <c r="N470" s="62" t="s">
        <v>320</v>
      </c>
    </row>
    <row r="471">
      <c r="A471" s="11" t="s">
        <v>121</v>
      </c>
      <c r="B471" s="11" t="s">
        <v>20</v>
      </c>
      <c r="C471" s="11" t="s">
        <v>326</v>
      </c>
      <c r="D471" s="11" t="s">
        <v>317</v>
      </c>
      <c r="E471" s="11" t="s">
        <v>847</v>
      </c>
      <c r="F471" s="74" t="s">
        <v>313</v>
      </c>
      <c r="G471" s="11" t="s">
        <v>74</v>
      </c>
      <c r="H471" s="11">
        <v>2003.0</v>
      </c>
      <c r="I471" s="40">
        <v>34527.0</v>
      </c>
      <c r="J471" s="40">
        <v>29604.0</v>
      </c>
      <c r="K471" s="11">
        <v>40659.0</v>
      </c>
      <c r="L471" s="29" t="s">
        <v>260</v>
      </c>
      <c r="M471" s="57" t="s">
        <v>319</v>
      </c>
      <c r="N471" s="62" t="s">
        <v>320</v>
      </c>
    </row>
    <row r="472">
      <c r="A472" s="11" t="s">
        <v>121</v>
      </c>
      <c r="B472" s="11" t="s">
        <v>20</v>
      </c>
      <c r="C472" s="11" t="s">
        <v>326</v>
      </c>
      <c r="D472" s="11" t="s">
        <v>317</v>
      </c>
      <c r="E472" s="11" t="s">
        <v>847</v>
      </c>
      <c r="F472" s="74" t="s">
        <v>313</v>
      </c>
      <c r="G472" s="11" t="s">
        <v>74</v>
      </c>
      <c r="H472" s="11">
        <v>2004.0</v>
      </c>
      <c r="I472" s="40">
        <v>32331.0</v>
      </c>
      <c r="J472" s="40">
        <v>27306.0</v>
      </c>
      <c r="K472" s="11">
        <v>38561.0</v>
      </c>
      <c r="L472" s="29" t="s">
        <v>260</v>
      </c>
      <c r="M472" s="57" t="s">
        <v>319</v>
      </c>
      <c r="N472" s="62" t="s">
        <v>320</v>
      </c>
    </row>
    <row r="473">
      <c r="A473" s="11" t="s">
        <v>121</v>
      </c>
      <c r="B473" s="11" t="s">
        <v>20</v>
      </c>
      <c r="C473" s="11" t="s">
        <v>326</v>
      </c>
      <c r="D473" s="11" t="s">
        <v>317</v>
      </c>
      <c r="E473" s="11" t="s">
        <v>847</v>
      </c>
      <c r="F473" s="74" t="s">
        <v>313</v>
      </c>
      <c r="G473" s="11" t="s">
        <v>74</v>
      </c>
      <c r="H473" s="11">
        <v>2005.0</v>
      </c>
      <c r="I473" s="40">
        <v>35258.0</v>
      </c>
      <c r="J473" s="40">
        <v>31842.0</v>
      </c>
      <c r="K473" s="11">
        <v>39881.0</v>
      </c>
      <c r="L473" s="29" t="s">
        <v>260</v>
      </c>
      <c r="M473" s="57" t="s">
        <v>319</v>
      </c>
      <c r="N473" s="62" t="s">
        <v>320</v>
      </c>
    </row>
    <row r="474">
      <c r="A474" s="11" t="s">
        <v>121</v>
      </c>
      <c r="B474" s="11" t="s">
        <v>20</v>
      </c>
      <c r="C474" s="11" t="s">
        <v>326</v>
      </c>
      <c r="D474" s="11" t="s">
        <v>317</v>
      </c>
      <c r="E474" s="11" t="s">
        <v>847</v>
      </c>
      <c r="F474" s="74" t="s">
        <v>313</v>
      </c>
      <c r="G474" s="11" t="s">
        <v>74</v>
      </c>
      <c r="H474" s="11">
        <v>2006.0</v>
      </c>
      <c r="I474" s="40">
        <v>36779.0</v>
      </c>
      <c r="J474" s="40">
        <v>33463.0</v>
      </c>
      <c r="K474" s="11">
        <v>40398.0</v>
      </c>
      <c r="L474" s="29" t="s">
        <v>260</v>
      </c>
      <c r="M474" s="57" t="s">
        <v>319</v>
      </c>
      <c r="N474" s="62" t="s">
        <v>320</v>
      </c>
    </row>
    <row r="475">
      <c r="A475" s="11" t="s">
        <v>121</v>
      </c>
      <c r="B475" s="11" t="s">
        <v>20</v>
      </c>
      <c r="C475" s="11" t="s">
        <v>326</v>
      </c>
      <c r="D475" s="11" t="s">
        <v>317</v>
      </c>
      <c r="E475" s="11" t="s">
        <v>847</v>
      </c>
      <c r="F475" s="74" t="s">
        <v>313</v>
      </c>
      <c r="G475" s="11" t="s">
        <v>74</v>
      </c>
      <c r="H475" s="11">
        <v>2007.0</v>
      </c>
      <c r="I475" s="40">
        <v>37697.0</v>
      </c>
      <c r="J475" s="40">
        <v>34280.0</v>
      </c>
      <c r="K475" s="11">
        <v>41818.0</v>
      </c>
      <c r="L475" s="29" t="s">
        <v>260</v>
      </c>
      <c r="M475" s="57" t="s">
        <v>319</v>
      </c>
      <c r="N475" s="62" t="s">
        <v>320</v>
      </c>
    </row>
    <row r="476">
      <c r="A476" s="11" t="s">
        <v>121</v>
      </c>
      <c r="B476" s="11" t="s">
        <v>20</v>
      </c>
      <c r="C476" s="11" t="s">
        <v>326</v>
      </c>
      <c r="D476" s="11" t="s">
        <v>317</v>
      </c>
      <c r="E476" s="11" t="s">
        <v>847</v>
      </c>
      <c r="F476" s="74" t="s">
        <v>313</v>
      </c>
      <c r="G476" s="11" t="s">
        <v>74</v>
      </c>
      <c r="H476" s="11">
        <v>2008.0</v>
      </c>
      <c r="I476" s="40">
        <v>42434.0</v>
      </c>
      <c r="J476" s="40">
        <v>39419.0</v>
      </c>
      <c r="K476" s="11">
        <v>47661.0</v>
      </c>
      <c r="L476" s="29" t="s">
        <v>260</v>
      </c>
      <c r="M476" s="57" t="s">
        <v>319</v>
      </c>
      <c r="N476" s="62" t="s">
        <v>320</v>
      </c>
    </row>
    <row r="477">
      <c r="A477" s="11" t="s">
        <v>121</v>
      </c>
      <c r="B477" s="11" t="s">
        <v>20</v>
      </c>
      <c r="C477" s="11" t="s">
        <v>326</v>
      </c>
      <c r="D477" s="11" t="s">
        <v>317</v>
      </c>
      <c r="E477" s="11" t="s">
        <v>847</v>
      </c>
      <c r="F477" s="74" t="s">
        <v>313</v>
      </c>
      <c r="G477" s="11" t="s">
        <v>74</v>
      </c>
      <c r="H477" s="11">
        <v>2009.0</v>
      </c>
      <c r="I477" s="40">
        <v>41744.0</v>
      </c>
      <c r="J477" s="40">
        <v>38729.0</v>
      </c>
      <c r="K477" s="11">
        <v>45262.0</v>
      </c>
      <c r="L477" s="29" t="s">
        <v>260</v>
      </c>
      <c r="M477" s="57" t="s">
        <v>319</v>
      </c>
      <c r="N477" s="62" t="s">
        <v>320</v>
      </c>
    </row>
    <row r="478">
      <c r="A478" s="11" t="s">
        <v>121</v>
      </c>
      <c r="B478" s="11" t="s">
        <v>20</v>
      </c>
      <c r="C478" s="11" t="s">
        <v>326</v>
      </c>
      <c r="D478" s="11" t="s">
        <v>317</v>
      </c>
      <c r="E478" s="11" t="s">
        <v>847</v>
      </c>
      <c r="F478" s="74" t="s">
        <v>313</v>
      </c>
      <c r="G478" s="11" t="s">
        <v>74</v>
      </c>
      <c r="H478" s="11">
        <v>2010.0</v>
      </c>
      <c r="I478" s="40">
        <v>39924.0</v>
      </c>
      <c r="J478" s="40">
        <v>37134.0</v>
      </c>
      <c r="K478" s="11">
        <v>42964.0</v>
      </c>
      <c r="L478" s="29" t="s">
        <v>260</v>
      </c>
      <c r="M478" s="57" t="s">
        <v>319</v>
      </c>
      <c r="N478" s="62" t="s">
        <v>320</v>
      </c>
    </row>
    <row r="479">
      <c r="A479" s="11" t="s">
        <v>121</v>
      </c>
      <c r="B479" s="11" t="s">
        <v>20</v>
      </c>
      <c r="C479" s="11" t="s">
        <v>326</v>
      </c>
      <c r="D479" s="11" t="s">
        <v>317</v>
      </c>
      <c r="E479" s="11" t="s">
        <v>847</v>
      </c>
      <c r="F479" s="74" t="s">
        <v>313</v>
      </c>
      <c r="G479" s="11" t="s">
        <v>74</v>
      </c>
      <c r="H479" s="11">
        <v>2011.0</v>
      </c>
      <c r="I479" s="40">
        <v>46595.0</v>
      </c>
      <c r="J479" s="40">
        <v>43179.0</v>
      </c>
      <c r="K479" s="11">
        <v>50716.0</v>
      </c>
      <c r="L479" s="29" t="s">
        <v>260</v>
      </c>
      <c r="M479" s="57" t="s">
        <v>319</v>
      </c>
      <c r="N479" s="62" t="s">
        <v>320</v>
      </c>
    </row>
    <row r="480">
      <c r="A480" s="11" t="s">
        <v>121</v>
      </c>
      <c r="B480" s="11" t="s">
        <v>20</v>
      </c>
      <c r="C480" s="11" t="s">
        <v>326</v>
      </c>
      <c r="D480" s="11" t="s">
        <v>317</v>
      </c>
      <c r="E480" s="11" t="s">
        <v>847</v>
      </c>
      <c r="F480" s="74" t="s">
        <v>313</v>
      </c>
      <c r="G480" s="11" t="s">
        <v>74</v>
      </c>
      <c r="H480" s="11">
        <v>2012.0</v>
      </c>
      <c r="I480" s="40">
        <v>45603.0</v>
      </c>
      <c r="J480" s="40">
        <v>40177.0</v>
      </c>
      <c r="K480" s="11">
        <v>50126.0</v>
      </c>
      <c r="L480" s="29" t="s">
        <v>260</v>
      </c>
      <c r="M480" s="57" t="s">
        <v>319</v>
      </c>
      <c r="N480" s="62" t="s">
        <v>320</v>
      </c>
    </row>
    <row r="481">
      <c r="A481" s="11" t="s">
        <v>121</v>
      </c>
      <c r="B481" s="11" t="s">
        <v>20</v>
      </c>
      <c r="C481" s="11" t="s">
        <v>326</v>
      </c>
      <c r="D481" s="11" t="s">
        <v>317</v>
      </c>
      <c r="E481" s="11" t="s">
        <v>847</v>
      </c>
      <c r="F481" s="74" t="s">
        <v>313</v>
      </c>
      <c r="G481" s="11" t="s">
        <v>74</v>
      </c>
      <c r="H481" s="11">
        <v>2013.0</v>
      </c>
      <c r="I481" s="40">
        <v>49436.0</v>
      </c>
      <c r="J481" s="40">
        <v>45115.0</v>
      </c>
      <c r="K481" s="11">
        <v>54461.0</v>
      </c>
      <c r="L481" s="29" t="s">
        <v>260</v>
      </c>
      <c r="M481" s="57" t="s">
        <v>319</v>
      </c>
      <c r="N481" s="62" t="s">
        <v>320</v>
      </c>
    </row>
    <row r="482">
      <c r="A482" s="11" t="s">
        <v>121</v>
      </c>
      <c r="B482" s="11" t="s">
        <v>20</v>
      </c>
      <c r="C482" s="11" t="s">
        <v>326</v>
      </c>
      <c r="D482" s="11" t="s">
        <v>317</v>
      </c>
      <c r="E482" s="11" t="s">
        <v>847</v>
      </c>
      <c r="F482" s="74" t="s">
        <v>313</v>
      </c>
      <c r="G482" s="11" t="s">
        <v>74</v>
      </c>
      <c r="H482" s="11">
        <v>2014.0</v>
      </c>
      <c r="I482" s="40">
        <v>46435.0</v>
      </c>
      <c r="J482" s="40">
        <v>41409.0</v>
      </c>
      <c r="K482" s="11">
        <v>53469.0</v>
      </c>
      <c r="L482" s="29" t="s">
        <v>260</v>
      </c>
      <c r="M482" s="57" t="s">
        <v>319</v>
      </c>
      <c r="N482" s="62" t="s">
        <v>320</v>
      </c>
    </row>
    <row r="483">
      <c r="A483" s="11" t="s">
        <v>121</v>
      </c>
      <c r="B483" s="11" t="s">
        <v>20</v>
      </c>
      <c r="C483" s="11" t="s">
        <v>326</v>
      </c>
      <c r="D483" s="11" t="s">
        <v>317</v>
      </c>
      <c r="E483" s="11" t="s">
        <v>847</v>
      </c>
      <c r="F483" s="74" t="s">
        <v>313</v>
      </c>
      <c r="G483" s="11" t="s">
        <v>74</v>
      </c>
      <c r="H483" s="11">
        <v>2015.0</v>
      </c>
      <c r="I483" s="40">
        <v>52578.0</v>
      </c>
      <c r="J483" s="40">
        <v>48358.0</v>
      </c>
      <c r="K483" s="11">
        <v>57302.0</v>
      </c>
      <c r="L483" s="29" t="s">
        <v>260</v>
      </c>
      <c r="M483" s="57" t="s">
        <v>319</v>
      </c>
      <c r="N483" s="62" t="s">
        <v>320</v>
      </c>
    </row>
    <row r="484">
      <c r="A484" s="11" t="s">
        <v>121</v>
      </c>
      <c r="B484" s="11" t="s">
        <v>20</v>
      </c>
      <c r="C484" s="11" t="s">
        <v>326</v>
      </c>
      <c r="D484" s="11" t="s">
        <v>317</v>
      </c>
      <c r="E484" s="11" t="s">
        <v>847</v>
      </c>
      <c r="F484" s="74" t="s">
        <v>313</v>
      </c>
      <c r="G484" s="11" t="s">
        <v>74</v>
      </c>
      <c r="H484" s="11">
        <v>2016.0</v>
      </c>
      <c r="I484" s="40">
        <v>47468.0</v>
      </c>
      <c r="J484" s="40">
        <v>41638.0</v>
      </c>
      <c r="K484" s="11">
        <v>55607.0</v>
      </c>
      <c r="L484" s="29" t="s">
        <v>260</v>
      </c>
      <c r="M484" s="57" t="s">
        <v>319</v>
      </c>
      <c r="N484" s="62" t="s">
        <v>320</v>
      </c>
    </row>
    <row r="485">
      <c r="A485" s="11" t="s">
        <v>121</v>
      </c>
      <c r="B485" s="11" t="s">
        <v>20</v>
      </c>
      <c r="C485" s="11" t="s">
        <v>326</v>
      </c>
      <c r="D485" s="11" t="s">
        <v>317</v>
      </c>
      <c r="E485" s="11" t="s">
        <v>847</v>
      </c>
      <c r="F485" s="74" t="s">
        <v>313</v>
      </c>
      <c r="G485" s="11" t="s">
        <v>74</v>
      </c>
      <c r="H485" s="11">
        <v>2017.0</v>
      </c>
      <c r="I485" s="40">
        <v>44665.0</v>
      </c>
      <c r="J485" s="40">
        <v>39741.0</v>
      </c>
      <c r="K485" s="11">
        <v>49992.0</v>
      </c>
      <c r="L485" s="29" t="s">
        <v>260</v>
      </c>
      <c r="M485" s="57" t="s">
        <v>319</v>
      </c>
      <c r="N485" s="62" t="s">
        <v>320</v>
      </c>
    </row>
    <row r="486">
      <c r="A486" s="11" t="s">
        <v>121</v>
      </c>
      <c r="B486" s="11" t="s">
        <v>20</v>
      </c>
      <c r="C486" s="11" t="s">
        <v>326</v>
      </c>
      <c r="D486" s="11" t="s">
        <v>317</v>
      </c>
      <c r="E486" s="11" t="s">
        <v>847</v>
      </c>
      <c r="F486" s="74" t="s">
        <v>313</v>
      </c>
      <c r="G486" s="11" t="s">
        <v>74</v>
      </c>
      <c r="H486" s="11">
        <v>2018.0</v>
      </c>
      <c r="I486" s="40">
        <v>45081.0</v>
      </c>
      <c r="J486" s="40">
        <v>39353.0</v>
      </c>
      <c r="K486" s="11">
        <v>52317.0</v>
      </c>
      <c r="L486" s="29" t="s">
        <v>260</v>
      </c>
      <c r="M486" s="57" t="s">
        <v>319</v>
      </c>
      <c r="N486" s="62" t="s">
        <v>320</v>
      </c>
    </row>
    <row r="487">
      <c r="A487" s="11" t="s">
        <v>121</v>
      </c>
      <c r="B487" s="11" t="s">
        <v>20</v>
      </c>
      <c r="C487" s="11" t="s">
        <v>331</v>
      </c>
      <c r="D487" s="11" t="s">
        <v>317</v>
      </c>
      <c r="E487" s="11" t="s">
        <v>866</v>
      </c>
      <c r="F487" s="74" t="s">
        <v>313</v>
      </c>
      <c r="G487" s="11" t="s">
        <v>74</v>
      </c>
      <c r="H487" s="11">
        <v>1996.0</v>
      </c>
      <c r="I487" s="40">
        <v>25190.0</v>
      </c>
      <c r="J487" s="40">
        <v>21391.0</v>
      </c>
      <c r="K487" s="11">
        <v>31247.0</v>
      </c>
      <c r="L487" s="29" t="s">
        <v>260</v>
      </c>
      <c r="M487" s="57" t="s">
        <v>319</v>
      </c>
      <c r="N487" s="62" t="s">
        <v>320</v>
      </c>
    </row>
    <row r="488">
      <c r="A488" s="11" t="s">
        <v>121</v>
      </c>
      <c r="B488" s="11" t="s">
        <v>20</v>
      </c>
      <c r="C488" s="11" t="s">
        <v>331</v>
      </c>
      <c r="D488" s="11" t="s">
        <v>317</v>
      </c>
      <c r="E488" s="11" t="s">
        <v>866</v>
      </c>
      <c r="F488" s="74" t="s">
        <v>313</v>
      </c>
      <c r="G488" s="11" t="s">
        <v>74</v>
      </c>
      <c r="H488" s="11">
        <v>1997.0</v>
      </c>
      <c r="I488" s="40">
        <v>26388.0</v>
      </c>
      <c r="J488" s="40">
        <v>22783.0</v>
      </c>
      <c r="K488" s="11">
        <v>31629.0</v>
      </c>
      <c r="L488" s="29" t="s">
        <v>260</v>
      </c>
      <c r="M488" s="57" t="s">
        <v>319</v>
      </c>
      <c r="N488" s="62" t="s">
        <v>320</v>
      </c>
    </row>
    <row r="489">
      <c r="A489" s="11" t="s">
        <v>121</v>
      </c>
      <c r="B489" s="11" t="s">
        <v>20</v>
      </c>
      <c r="C489" s="11" t="s">
        <v>331</v>
      </c>
      <c r="D489" s="11" t="s">
        <v>317</v>
      </c>
      <c r="E489" s="11" t="s">
        <v>866</v>
      </c>
      <c r="F489" s="74" t="s">
        <v>313</v>
      </c>
      <c r="G489" s="11" t="s">
        <v>74</v>
      </c>
      <c r="H489" s="11">
        <v>1998.0</v>
      </c>
      <c r="I489" s="40">
        <v>26481.0</v>
      </c>
      <c r="J489" s="40">
        <v>23164.0</v>
      </c>
      <c r="K489" s="11">
        <v>30183.0</v>
      </c>
      <c r="L489" s="29" t="s">
        <v>260</v>
      </c>
      <c r="M489" s="57" t="s">
        <v>319</v>
      </c>
      <c r="N489" s="62" t="s">
        <v>320</v>
      </c>
    </row>
    <row r="490">
      <c r="A490" s="11" t="s">
        <v>121</v>
      </c>
      <c r="B490" s="11" t="s">
        <v>20</v>
      </c>
      <c r="C490" s="11" t="s">
        <v>331</v>
      </c>
      <c r="D490" s="11" t="s">
        <v>317</v>
      </c>
      <c r="E490" s="11" t="s">
        <v>866</v>
      </c>
      <c r="F490" s="74" t="s">
        <v>313</v>
      </c>
      <c r="G490" s="11" t="s">
        <v>74</v>
      </c>
      <c r="H490" s="11">
        <v>1999.0</v>
      </c>
      <c r="I490" s="40">
        <v>25901.0</v>
      </c>
      <c r="J490" s="40">
        <v>22632.0</v>
      </c>
      <c r="K490" s="11">
        <v>29603.0</v>
      </c>
      <c r="L490" s="29" t="s">
        <v>260</v>
      </c>
      <c r="M490" s="57" t="s">
        <v>319</v>
      </c>
      <c r="N490" s="62" t="s">
        <v>320</v>
      </c>
    </row>
    <row r="491">
      <c r="A491" s="11" t="s">
        <v>121</v>
      </c>
      <c r="B491" s="11" t="s">
        <v>20</v>
      </c>
      <c r="C491" s="11" t="s">
        <v>331</v>
      </c>
      <c r="D491" s="11" t="s">
        <v>317</v>
      </c>
      <c r="E491" s="11" t="s">
        <v>866</v>
      </c>
      <c r="F491" s="74" t="s">
        <v>313</v>
      </c>
      <c r="G491" s="11" t="s">
        <v>74</v>
      </c>
      <c r="H491" s="11">
        <v>2000.0</v>
      </c>
      <c r="I491" s="40">
        <v>24840.0</v>
      </c>
      <c r="J491" s="40">
        <v>21715.0</v>
      </c>
      <c r="K491" s="11">
        <v>28494.0</v>
      </c>
      <c r="L491" s="29" t="s">
        <v>260</v>
      </c>
      <c r="M491" s="57" t="s">
        <v>319</v>
      </c>
      <c r="N491" s="62" t="s">
        <v>320</v>
      </c>
    </row>
    <row r="492">
      <c r="A492" s="11" t="s">
        <v>121</v>
      </c>
      <c r="B492" s="11" t="s">
        <v>20</v>
      </c>
      <c r="C492" s="11" t="s">
        <v>331</v>
      </c>
      <c r="D492" s="11" t="s">
        <v>317</v>
      </c>
      <c r="E492" s="11" t="s">
        <v>866</v>
      </c>
      <c r="F492" s="74" t="s">
        <v>313</v>
      </c>
      <c r="G492" s="11" t="s">
        <v>74</v>
      </c>
      <c r="H492" s="11">
        <v>2001.0</v>
      </c>
      <c r="I492" s="40">
        <v>23635.0</v>
      </c>
      <c r="J492" s="40">
        <v>21279.0</v>
      </c>
      <c r="K492" s="11">
        <v>25991.0</v>
      </c>
      <c r="L492" s="29" t="s">
        <v>260</v>
      </c>
      <c r="M492" s="57" t="s">
        <v>319</v>
      </c>
      <c r="N492" s="62" t="s">
        <v>320</v>
      </c>
    </row>
    <row r="493">
      <c r="A493" s="11" t="s">
        <v>121</v>
      </c>
      <c r="B493" s="11" t="s">
        <v>20</v>
      </c>
      <c r="C493" s="11" t="s">
        <v>331</v>
      </c>
      <c r="D493" s="11" t="s">
        <v>317</v>
      </c>
      <c r="E493" s="11" t="s">
        <v>866</v>
      </c>
      <c r="F493" s="74" t="s">
        <v>313</v>
      </c>
      <c r="G493" s="11" t="s">
        <v>74</v>
      </c>
      <c r="H493" s="11">
        <v>2002.0</v>
      </c>
      <c r="I493" s="40">
        <v>26468.0</v>
      </c>
      <c r="J493" s="40">
        <v>22862.0</v>
      </c>
      <c r="K493" s="11">
        <v>29738.0</v>
      </c>
      <c r="L493" s="29" t="s">
        <v>260</v>
      </c>
      <c r="M493" s="57" t="s">
        <v>319</v>
      </c>
      <c r="N493" s="62" t="s">
        <v>320</v>
      </c>
    </row>
    <row r="494">
      <c r="A494" s="11" t="s">
        <v>121</v>
      </c>
      <c r="B494" s="11" t="s">
        <v>20</v>
      </c>
      <c r="C494" s="11" t="s">
        <v>331</v>
      </c>
      <c r="D494" s="11" t="s">
        <v>317</v>
      </c>
      <c r="E494" s="11" t="s">
        <v>866</v>
      </c>
      <c r="F494" s="74" t="s">
        <v>313</v>
      </c>
      <c r="G494" s="11" t="s">
        <v>74</v>
      </c>
      <c r="H494" s="11">
        <v>2003.0</v>
      </c>
      <c r="I494" s="40">
        <v>28244.0</v>
      </c>
      <c r="J494" s="40">
        <v>25263.0</v>
      </c>
      <c r="K494" s="11">
        <v>31369.0</v>
      </c>
      <c r="L494" s="29" t="s">
        <v>260</v>
      </c>
      <c r="M494" s="57" t="s">
        <v>319</v>
      </c>
      <c r="N494" s="62" t="s">
        <v>320</v>
      </c>
    </row>
    <row r="495">
      <c r="A495" s="11" t="s">
        <v>121</v>
      </c>
      <c r="B495" s="11" t="s">
        <v>20</v>
      </c>
      <c r="C495" s="11" t="s">
        <v>331</v>
      </c>
      <c r="D495" s="11" t="s">
        <v>317</v>
      </c>
      <c r="E495" s="11" t="s">
        <v>866</v>
      </c>
      <c r="F495" s="74" t="s">
        <v>313</v>
      </c>
      <c r="G495" s="11" t="s">
        <v>74</v>
      </c>
      <c r="H495" s="11">
        <v>2004.0</v>
      </c>
      <c r="I495" s="40">
        <v>29491.0</v>
      </c>
      <c r="J495" s="40">
        <v>26991.0</v>
      </c>
      <c r="K495" s="11">
        <v>32808.0</v>
      </c>
      <c r="L495" s="29" t="s">
        <v>260</v>
      </c>
      <c r="M495" s="57" t="s">
        <v>319</v>
      </c>
      <c r="N495" s="62" t="s">
        <v>320</v>
      </c>
    </row>
    <row r="496">
      <c r="A496" s="11" t="s">
        <v>121</v>
      </c>
      <c r="B496" s="11" t="s">
        <v>20</v>
      </c>
      <c r="C496" s="11" t="s">
        <v>331</v>
      </c>
      <c r="D496" s="11" t="s">
        <v>317</v>
      </c>
      <c r="E496" s="11" t="s">
        <v>866</v>
      </c>
      <c r="F496" s="74" t="s">
        <v>313</v>
      </c>
      <c r="G496" s="11" t="s">
        <v>74</v>
      </c>
      <c r="H496" s="11">
        <v>2005.0</v>
      </c>
      <c r="I496" s="40">
        <v>30401.0</v>
      </c>
      <c r="J496" s="40">
        <v>27516.0</v>
      </c>
      <c r="K496" s="11">
        <v>33766.0</v>
      </c>
      <c r="L496" s="29" t="s">
        <v>260</v>
      </c>
      <c r="M496" s="57" t="s">
        <v>319</v>
      </c>
      <c r="N496" s="62" t="s">
        <v>320</v>
      </c>
    </row>
    <row r="497">
      <c r="A497" s="11" t="s">
        <v>121</v>
      </c>
      <c r="B497" s="11" t="s">
        <v>20</v>
      </c>
      <c r="C497" s="11" t="s">
        <v>331</v>
      </c>
      <c r="D497" s="11" t="s">
        <v>317</v>
      </c>
      <c r="E497" s="11" t="s">
        <v>866</v>
      </c>
      <c r="F497" s="74" t="s">
        <v>313</v>
      </c>
      <c r="G497" s="11" t="s">
        <v>74</v>
      </c>
      <c r="H497" s="11">
        <v>2006.0</v>
      </c>
      <c r="I497" s="40">
        <v>31311.0</v>
      </c>
      <c r="J497" s="40">
        <v>28955.0</v>
      </c>
      <c r="K497" s="11">
        <v>34292.0</v>
      </c>
      <c r="L497" s="29" t="s">
        <v>260</v>
      </c>
      <c r="M497" s="57" t="s">
        <v>319</v>
      </c>
      <c r="N497" s="62" t="s">
        <v>320</v>
      </c>
    </row>
    <row r="498">
      <c r="A498" s="11" t="s">
        <v>121</v>
      </c>
      <c r="B498" s="11" t="s">
        <v>20</v>
      </c>
      <c r="C498" s="11" t="s">
        <v>331</v>
      </c>
      <c r="D498" s="11" t="s">
        <v>317</v>
      </c>
      <c r="E498" s="11" t="s">
        <v>866</v>
      </c>
      <c r="F498" s="74" t="s">
        <v>313</v>
      </c>
      <c r="G498" s="11" t="s">
        <v>74</v>
      </c>
      <c r="H498" s="11">
        <v>2007.0</v>
      </c>
      <c r="I498" s="40">
        <v>30779.0</v>
      </c>
      <c r="J498" s="40">
        <v>27702.0</v>
      </c>
      <c r="K498" s="11">
        <v>34385.0</v>
      </c>
      <c r="L498" s="29" t="s">
        <v>260</v>
      </c>
      <c r="M498" s="57" t="s">
        <v>319</v>
      </c>
      <c r="N498" s="62" t="s">
        <v>320</v>
      </c>
    </row>
    <row r="499">
      <c r="A499" s="11" t="s">
        <v>121</v>
      </c>
      <c r="B499" s="11" t="s">
        <v>20</v>
      </c>
      <c r="C499" s="11" t="s">
        <v>331</v>
      </c>
      <c r="D499" s="11" t="s">
        <v>317</v>
      </c>
      <c r="E499" s="11" t="s">
        <v>866</v>
      </c>
      <c r="F499" s="74" t="s">
        <v>313</v>
      </c>
      <c r="G499" s="11" t="s">
        <v>74</v>
      </c>
      <c r="H499" s="11">
        <v>2008.0</v>
      </c>
      <c r="I499" s="40">
        <v>30776.0</v>
      </c>
      <c r="J499" s="40">
        <v>28180.0</v>
      </c>
      <c r="K499" s="11">
        <v>33565.0</v>
      </c>
      <c r="L499" s="29" t="s">
        <v>260</v>
      </c>
      <c r="M499" s="57" t="s">
        <v>319</v>
      </c>
      <c r="N499" s="62" t="s">
        <v>320</v>
      </c>
    </row>
    <row r="500">
      <c r="A500" s="11" t="s">
        <v>121</v>
      </c>
      <c r="B500" s="11" t="s">
        <v>20</v>
      </c>
      <c r="C500" s="11" t="s">
        <v>331</v>
      </c>
      <c r="D500" s="11" t="s">
        <v>317</v>
      </c>
      <c r="E500" s="11" t="s">
        <v>866</v>
      </c>
      <c r="F500" s="74" t="s">
        <v>313</v>
      </c>
      <c r="G500" s="11" t="s">
        <v>74</v>
      </c>
      <c r="H500" s="11">
        <v>2009.0</v>
      </c>
      <c r="I500" s="40">
        <v>30388.0</v>
      </c>
      <c r="J500" s="40">
        <v>27071.0</v>
      </c>
      <c r="K500" s="11">
        <v>33465.0</v>
      </c>
      <c r="L500" s="29" t="s">
        <v>260</v>
      </c>
      <c r="M500" s="57" t="s">
        <v>319</v>
      </c>
      <c r="N500" s="62" t="s">
        <v>320</v>
      </c>
    </row>
    <row r="501">
      <c r="A501" s="11" t="s">
        <v>121</v>
      </c>
      <c r="B501" s="11" t="s">
        <v>20</v>
      </c>
      <c r="C501" s="11" t="s">
        <v>331</v>
      </c>
      <c r="D501" s="11" t="s">
        <v>317</v>
      </c>
      <c r="E501" s="11" t="s">
        <v>866</v>
      </c>
      <c r="F501" s="74" t="s">
        <v>313</v>
      </c>
      <c r="G501" s="11" t="s">
        <v>74</v>
      </c>
      <c r="H501" s="11">
        <v>2010.0</v>
      </c>
      <c r="I501" s="40">
        <v>30385.0</v>
      </c>
      <c r="J501" s="40">
        <v>27596.0</v>
      </c>
      <c r="K501" s="11">
        <v>33125.0</v>
      </c>
      <c r="L501" s="29" t="s">
        <v>260</v>
      </c>
      <c r="M501" s="57" t="s">
        <v>319</v>
      </c>
      <c r="N501" s="62" t="s">
        <v>320</v>
      </c>
    </row>
    <row r="502">
      <c r="A502" s="11" t="s">
        <v>121</v>
      </c>
      <c r="B502" s="11" t="s">
        <v>20</v>
      </c>
      <c r="C502" s="11" t="s">
        <v>331</v>
      </c>
      <c r="D502" s="11" t="s">
        <v>317</v>
      </c>
      <c r="E502" s="11" t="s">
        <v>866</v>
      </c>
      <c r="F502" s="74" t="s">
        <v>313</v>
      </c>
      <c r="G502" s="11" t="s">
        <v>74</v>
      </c>
      <c r="H502" s="11">
        <v>2011.0</v>
      </c>
      <c r="I502" s="40">
        <v>29709.0</v>
      </c>
      <c r="J502" s="40">
        <v>26872.0</v>
      </c>
      <c r="K502" s="11">
        <v>32978.0</v>
      </c>
      <c r="L502" s="29" t="s">
        <v>260</v>
      </c>
      <c r="M502" s="57" t="s">
        <v>319</v>
      </c>
      <c r="N502" s="62" t="s">
        <v>320</v>
      </c>
    </row>
    <row r="503">
      <c r="A503" s="11" t="s">
        <v>121</v>
      </c>
      <c r="B503" s="11" t="s">
        <v>20</v>
      </c>
      <c r="C503" s="11" t="s">
        <v>331</v>
      </c>
      <c r="D503" s="11" t="s">
        <v>317</v>
      </c>
      <c r="E503" s="11" t="s">
        <v>866</v>
      </c>
      <c r="F503" s="74" t="s">
        <v>313</v>
      </c>
      <c r="G503" s="11" t="s">
        <v>74</v>
      </c>
      <c r="H503" s="11">
        <v>2012.0</v>
      </c>
      <c r="I503" s="40">
        <v>29417.0</v>
      </c>
      <c r="J503" s="40">
        <v>25379.0</v>
      </c>
      <c r="K503" s="11">
        <v>34994.0</v>
      </c>
      <c r="L503" s="29" t="s">
        <v>260</v>
      </c>
      <c r="M503" s="57" t="s">
        <v>319</v>
      </c>
      <c r="N503" s="62" t="s">
        <v>320</v>
      </c>
    </row>
    <row r="504">
      <c r="A504" s="11" t="s">
        <v>121</v>
      </c>
      <c r="B504" s="11" t="s">
        <v>20</v>
      </c>
      <c r="C504" s="11" t="s">
        <v>331</v>
      </c>
      <c r="D504" s="11" t="s">
        <v>317</v>
      </c>
      <c r="E504" s="11" t="s">
        <v>866</v>
      </c>
      <c r="F504" s="74" t="s">
        <v>313</v>
      </c>
      <c r="G504" s="11" t="s">
        <v>74</v>
      </c>
      <c r="H504" s="11">
        <v>2013.0</v>
      </c>
      <c r="I504" s="40">
        <v>30135.0</v>
      </c>
      <c r="J504" s="40">
        <v>25423.0</v>
      </c>
      <c r="K504" s="11">
        <v>35039.0</v>
      </c>
      <c r="L504" s="29" t="s">
        <v>260</v>
      </c>
      <c r="M504" s="57" t="s">
        <v>319</v>
      </c>
      <c r="N504" s="62" t="s">
        <v>320</v>
      </c>
    </row>
    <row r="505">
      <c r="A505" s="11" t="s">
        <v>121</v>
      </c>
      <c r="B505" s="11" t="s">
        <v>20</v>
      </c>
      <c r="C505" s="11" t="s">
        <v>331</v>
      </c>
      <c r="D505" s="11" t="s">
        <v>317</v>
      </c>
      <c r="E505" s="11" t="s">
        <v>866</v>
      </c>
      <c r="F505" s="74" t="s">
        <v>313</v>
      </c>
      <c r="G505" s="11" t="s">
        <v>74</v>
      </c>
      <c r="H505" s="11">
        <v>2014.0</v>
      </c>
      <c r="I505" s="40">
        <v>30805.0</v>
      </c>
      <c r="J505" s="40">
        <v>26382.0</v>
      </c>
      <c r="K505" s="11">
        <v>36478.0</v>
      </c>
      <c r="L505" s="29" t="s">
        <v>260</v>
      </c>
      <c r="M505" s="57" t="s">
        <v>319</v>
      </c>
      <c r="N505" s="62" t="s">
        <v>320</v>
      </c>
    </row>
    <row r="506">
      <c r="A506" s="11" t="s">
        <v>121</v>
      </c>
      <c r="B506" s="11" t="s">
        <v>20</v>
      </c>
      <c r="C506" s="11" t="s">
        <v>331</v>
      </c>
      <c r="D506" s="11" t="s">
        <v>317</v>
      </c>
      <c r="E506" s="11" t="s">
        <v>866</v>
      </c>
      <c r="F506" s="74" t="s">
        <v>313</v>
      </c>
      <c r="G506" s="11" t="s">
        <v>74</v>
      </c>
      <c r="H506" s="11">
        <v>2015.0</v>
      </c>
      <c r="I506" s="40">
        <v>31090.0</v>
      </c>
      <c r="J506" s="40">
        <v>28302.0</v>
      </c>
      <c r="K506" s="11">
        <v>34696.0</v>
      </c>
      <c r="L506" s="29" t="s">
        <v>260</v>
      </c>
      <c r="M506" s="57" t="s">
        <v>319</v>
      </c>
      <c r="N506" s="62" t="s">
        <v>320</v>
      </c>
    </row>
    <row r="507">
      <c r="A507" s="11" t="s">
        <v>121</v>
      </c>
      <c r="B507" s="11" t="s">
        <v>20</v>
      </c>
      <c r="C507" s="11" t="s">
        <v>331</v>
      </c>
      <c r="D507" s="11" t="s">
        <v>317</v>
      </c>
      <c r="E507" s="11" t="s">
        <v>866</v>
      </c>
      <c r="F507" s="74" t="s">
        <v>313</v>
      </c>
      <c r="G507" s="11" t="s">
        <v>74</v>
      </c>
      <c r="H507" s="11">
        <v>2016.0</v>
      </c>
      <c r="I507" s="40">
        <v>29957.0</v>
      </c>
      <c r="J507" s="40">
        <v>26856.0</v>
      </c>
      <c r="K507" s="11">
        <v>33298.0</v>
      </c>
      <c r="L507" s="29" t="s">
        <v>260</v>
      </c>
      <c r="M507" s="57" t="s">
        <v>319</v>
      </c>
      <c r="N507" s="62" t="s">
        <v>320</v>
      </c>
    </row>
    <row r="508">
      <c r="A508" s="11" t="s">
        <v>121</v>
      </c>
      <c r="B508" s="11" t="s">
        <v>20</v>
      </c>
      <c r="C508" s="11" t="s">
        <v>331</v>
      </c>
      <c r="D508" s="11" t="s">
        <v>317</v>
      </c>
      <c r="E508" s="11" t="s">
        <v>866</v>
      </c>
      <c r="F508" s="74" t="s">
        <v>313</v>
      </c>
      <c r="G508" s="11" t="s">
        <v>74</v>
      </c>
      <c r="H508" s="11">
        <v>2017.0</v>
      </c>
      <c r="I508" s="40">
        <v>29545.0</v>
      </c>
      <c r="J508" s="40">
        <v>26805.0</v>
      </c>
      <c r="K508" s="11">
        <v>33536.0</v>
      </c>
      <c r="L508" s="29" t="s">
        <v>260</v>
      </c>
      <c r="M508" s="57" t="s">
        <v>319</v>
      </c>
      <c r="N508" s="62" t="s">
        <v>320</v>
      </c>
    </row>
    <row r="509">
      <c r="A509" s="11" t="s">
        <v>121</v>
      </c>
      <c r="B509" s="11" t="s">
        <v>20</v>
      </c>
      <c r="C509" s="11" t="s">
        <v>331</v>
      </c>
      <c r="D509" s="11" t="s">
        <v>317</v>
      </c>
      <c r="E509" s="11" t="s">
        <v>866</v>
      </c>
      <c r="F509" s="74" t="s">
        <v>313</v>
      </c>
      <c r="G509" s="11" t="s">
        <v>74</v>
      </c>
      <c r="H509" s="11">
        <v>2018.0</v>
      </c>
      <c r="I509" s="40">
        <v>28340.0</v>
      </c>
      <c r="J509" s="40">
        <v>24975.0</v>
      </c>
      <c r="K509" s="11">
        <v>32234.0</v>
      </c>
      <c r="L509" s="29" t="s">
        <v>260</v>
      </c>
      <c r="M509" s="57" t="s">
        <v>319</v>
      </c>
      <c r="N509" s="62" t="s">
        <v>320</v>
      </c>
    </row>
    <row r="510">
      <c r="A510" s="11" t="s">
        <v>121</v>
      </c>
      <c r="B510" s="11" t="s">
        <v>20</v>
      </c>
      <c r="C510" s="11" t="s">
        <v>334</v>
      </c>
      <c r="D510" s="11" t="s">
        <v>317</v>
      </c>
      <c r="E510" s="74" t="s">
        <v>893</v>
      </c>
      <c r="F510" s="74" t="s">
        <v>313</v>
      </c>
      <c r="G510" s="11" t="s">
        <v>74</v>
      </c>
      <c r="H510" s="11">
        <v>1996.0</v>
      </c>
      <c r="I510" s="40">
        <v>10777.0</v>
      </c>
      <c r="J510" s="40">
        <v>9483.0</v>
      </c>
      <c r="K510" s="11">
        <v>12378.0</v>
      </c>
      <c r="L510" s="29" t="s">
        <v>260</v>
      </c>
      <c r="M510" s="57" t="s">
        <v>319</v>
      </c>
      <c r="N510" s="54" t="s">
        <v>320</v>
      </c>
    </row>
    <row r="511">
      <c r="A511" s="11" t="s">
        <v>121</v>
      </c>
      <c r="B511" s="11" t="s">
        <v>20</v>
      </c>
      <c r="C511" s="11" t="s">
        <v>334</v>
      </c>
      <c r="D511" s="11" t="s">
        <v>317</v>
      </c>
      <c r="E511" s="74" t="s">
        <v>893</v>
      </c>
      <c r="F511" s="74" t="s">
        <v>313</v>
      </c>
      <c r="G511" s="11" t="s">
        <v>74</v>
      </c>
      <c r="H511" s="11">
        <v>1997.0</v>
      </c>
      <c r="I511" s="40">
        <v>9851.0</v>
      </c>
      <c r="J511" s="40">
        <v>8623.0</v>
      </c>
      <c r="K511" s="11">
        <v>11584.0</v>
      </c>
      <c r="L511" s="29" t="s">
        <v>260</v>
      </c>
      <c r="M511" s="57" t="s">
        <v>319</v>
      </c>
      <c r="N511" s="54" t="s">
        <v>320</v>
      </c>
    </row>
    <row r="512">
      <c r="A512" s="11" t="s">
        <v>121</v>
      </c>
      <c r="B512" s="11" t="s">
        <v>20</v>
      </c>
      <c r="C512" s="11" t="s">
        <v>334</v>
      </c>
      <c r="D512" s="11" t="s">
        <v>317</v>
      </c>
      <c r="E512" s="74" t="s">
        <v>893</v>
      </c>
      <c r="F512" s="74" t="s">
        <v>313</v>
      </c>
      <c r="G512" s="11" t="s">
        <v>74</v>
      </c>
      <c r="H512" s="11">
        <v>1998.0</v>
      </c>
      <c r="I512" s="40">
        <v>9167.0</v>
      </c>
      <c r="J512" s="40">
        <v>8114.0</v>
      </c>
      <c r="K512" s="11">
        <v>10527.0</v>
      </c>
      <c r="L512" s="29" t="s">
        <v>260</v>
      </c>
      <c r="M512" s="57" t="s">
        <v>319</v>
      </c>
      <c r="N512" s="54" t="s">
        <v>320</v>
      </c>
    </row>
    <row r="513">
      <c r="A513" s="11" t="s">
        <v>121</v>
      </c>
      <c r="B513" s="11" t="s">
        <v>20</v>
      </c>
      <c r="C513" s="11" t="s">
        <v>334</v>
      </c>
      <c r="D513" s="11" t="s">
        <v>317</v>
      </c>
      <c r="E513" s="74" t="s">
        <v>893</v>
      </c>
      <c r="F513" s="74" t="s">
        <v>313</v>
      </c>
      <c r="G513" s="11" t="s">
        <v>74</v>
      </c>
      <c r="H513" s="11">
        <v>1999.0</v>
      </c>
      <c r="I513" s="40">
        <v>9492.0</v>
      </c>
      <c r="J513" s="40">
        <v>8307.0</v>
      </c>
      <c r="K513" s="11">
        <v>11114.0</v>
      </c>
      <c r="L513" s="29" t="s">
        <v>260</v>
      </c>
      <c r="M513" s="57" t="s">
        <v>319</v>
      </c>
      <c r="N513" s="54" t="s">
        <v>320</v>
      </c>
    </row>
    <row r="514">
      <c r="A514" s="11" t="s">
        <v>121</v>
      </c>
      <c r="B514" s="11" t="s">
        <v>20</v>
      </c>
      <c r="C514" s="11" t="s">
        <v>334</v>
      </c>
      <c r="D514" s="11" t="s">
        <v>317</v>
      </c>
      <c r="E514" s="74" t="s">
        <v>893</v>
      </c>
      <c r="F514" s="74" t="s">
        <v>313</v>
      </c>
      <c r="G514" s="11" t="s">
        <v>74</v>
      </c>
      <c r="H514" s="11">
        <v>2000.0</v>
      </c>
      <c r="I514" s="40">
        <v>8961.0</v>
      </c>
      <c r="J514" s="40">
        <v>7426.0</v>
      </c>
      <c r="K514" s="11">
        <v>10847.0</v>
      </c>
      <c r="L514" s="29" t="s">
        <v>260</v>
      </c>
      <c r="M514" s="57" t="s">
        <v>319</v>
      </c>
      <c r="N514" s="54" t="s">
        <v>320</v>
      </c>
    </row>
    <row r="515">
      <c r="A515" s="11" t="s">
        <v>121</v>
      </c>
      <c r="B515" s="11" t="s">
        <v>20</v>
      </c>
      <c r="C515" s="11" t="s">
        <v>334</v>
      </c>
      <c r="D515" s="11" t="s">
        <v>317</v>
      </c>
      <c r="E515" s="74" t="s">
        <v>893</v>
      </c>
      <c r="F515" s="74" t="s">
        <v>313</v>
      </c>
      <c r="G515" s="11" t="s">
        <v>74</v>
      </c>
      <c r="H515" s="11">
        <v>2001.0</v>
      </c>
      <c r="I515" s="40">
        <v>8606.0</v>
      </c>
      <c r="J515" s="40">
        <v>7619.0</v>
      </c>
      <c r="K515" s="11">
        <v>9812.0</v>
      </c>
      <c r="L515" s="29" t="s">
        <v>260</v>
      </c>
      <c r="M515" s="57" t="s">
        <v>319</v>
      </c>
      <c r="N515" s="54" t="s">
        <v>320</v>
      </c>
    </row>
    <row r="516">
      <c r="A516" s="11" t="s">
        <v>121</v>
      </c>
      <c r="B516" s="11" t="s">
        <v>20</v>
      </c>
      <c r="C516" s="11" t="s">
        <v>334</v>
      </c>
      <c r="D516" s="11" t="s">
        <v>317</v>
      </c>
      <c r="E516" s="74" t="s">
        <v>893</v>
      </c>
      <c r="F516" s="74" t="s">
        <v>313</v>
      </c>
      <c r="G516" s="11" t="s">
        <v>74</v>
      </c>
      <c r="H516" s="11">
        <v>2002.0</v>
      </c>
      <c r="I516" s="40">
        <v>7746.0</v>
      </c>
      <c r="J516" s="40">
        <v>6474.0</v>
      </c>
      <c r="K516" s="11">
        <v>9325.0</v>
      </c>
      <c r="L516" s="29" t="s">
        <v>260</v>
      </c>
      <c r="M516" s="57" t="s">
        <v>319</v>
      </c>
      <c r="N516" s="54" t="s">
        <v>320</v>
      </c>
    </row>
    <row r="517">
      <c r="A517" s="11" t="s">
        <v>121</v>
      </c>
      <c r="B517" s="11" t="s">
        <v>20</v>
      </c>
      <c r="C517" s="11" t="s">
        <v>334</v>
      </c>
      <c r="D517" s="11" t="s">
        <v>317</v>
      </c>
      <c r="E517" s="74" t="s">
        <v>893</v>
      </c>
      <c r="F517" s="74" t="s">
        <v>313</v>
      </c>
      <c r="G517" s="11" t="s">
        <v>74</v>
      </c>
      <c r="H517" s="11">
        <v>2003.0</v>
      </c>
      <c r="I517" s="40">
        <v>7698.0</v>
      </c>
      <c r="J517" s="40">
        <v>5878.0</v>
      </c>
      <c r="K517" s="11">
        <v>9299.0</v>
      </c>
      <c r="L517" s="29" t="s">
        <v>260</v>
      </c>
      <c r="M517" s="57" t="s">
        <v>319</v>
      </c>
      <c r="N517" s="54" t="s">
        <v>320</v>
      </c>
    </row>
    <row r="518">
      <c r="A518" s="11" t="s">
        <v>121</v>
      </c>
      <c r="B518" s="11" t="s">
        <v>20</v>
      </c>
      <c r="C518" s="11" t="s">
        <v>334</v>
      </c>
      <c r="D518" s="11" t="s">
        <v>317</v>
      </c>
      <c r="E518" s="74" t="s">
        <v>893</v>
      </c>
      <c r="F518" s="74" t="s">
        <v>313</v>
      </c>
      <c r="G518" s="11" t="s">
        <v>74</v>
      </c>
      <c r="H518" s="11">
        <v>2004.0</v>
      </c>
      <c r="I518" s="40">
        <v>7211.0</v>
      </c>
      <c r="J518" s="40">
        <v>5873.0</v>
      </c>
      <c r="K518" s="11">
        <v>8592.0</v>
      </c>
      <c r="L518" s="29" t="s">
        <v>260</v>
      </c>
      <c r="M518" s="57" t="s">
        <v>319</v>
      </c>
      <c r="N518" s="54" t="s">
        <v>320</v>
      </c>
    </row>
    <row r="519">
      <c r="A519" s="11" t="s">
        <v>121</v>
      </c>
      <c r="B519" s="11" t="s">
        <v>20</v>
      </c>
      <c r="C519" s="11" t="s">
        <v>334</v>
      </c>
      <c r="D519" s="11" t="s">
        <v>317</v>
      </c>
      <c r="E519" s="74" t="s">
        <v>893</v>
      </c>
      <c r="F519" s="74" t="s">
        <v>313</v>
      </c>
      <c r="G519" s="11" t="s">
        <v>74</v>
      </c>
      <c r="H519" s="11">
        <v>2005.0</v>
      </c>
      <c r="I519" s="40">
        <v>7140.0</v>
      </c>
      <c r="J519" s="40">
        <v>6154.0</v>
      </c>
      <c r="K519" s="11">
        <v>8456.0</v>
      </c>
      <c r="L519" s="29" t="s">
        <v>260</v>
      </c>
      <c r="M519" s="57" t="s">
        <v>319</v>
      </c>
      <c r="N519" s="54" t="s">
        <v>320</v>
      </c>
    </row>
    <row r="520">
      <c r="A520" s="11" t="s">
        <v>121</v>
      </c>
      <c r="B520" s="11" t="s">
        <v>20</v>
      </c>
      <c r="C520" s="11" t="s">
        <v>334</v>
      </c>
      <c r="D520" s="11" t="s">
        <v>317</v>
      </c>
      <c r="E520" s="74" t="s">
        <v>893</v>
      </c>
      <c r="F520" s="74" t="s">
        <v>313</v>
      </c>
      <c r="G520" s="11" t="s">
        <v>74</v>
      </c>
      <c r="H520" s="11">
        <v>2006.0</v>
      </c>
      <c r="I520" s="40">
        <v>6808.0</v>
      </c>
      <c r="J520" s="40">
        <v>5667.0</v>
      </c>
      <c r="K520" s="11">
        <v>8365.0</v>
      </c>
      <c r="L520" s="29" t="s">
        <v>260</v>
      </c>
      <c r="M520" s="57" t="s">
        <v>319</v>
      </c>
      <c r="N520" s="54" t="s">
        <v>320</v>
      </c>
    </row>
    <row r="521">
      <c r="A521" s="11" t="s">
        <v>121</v>
      </c>
      <c r="B521" s="11" t="s">
        <v>20</v>
      </c>
      <c r="C521" s="11" t="s">
        <v>334</v>
      </c>
      <c r="D521" s="11" t="s">
        <v>317</v>
      </c>
      <c r="E521" s="74" t="s">
        <v>893</v>
      </c>
      <c r="F521" s="74" t="s">
        <v>313</v>
      </c>
      <c r="G521" s="11" t="s">
        <v>74</v>
      </c>
      <c r="H521" s="11">
        <v>2007.0</v>
      </c>
      <c r="I521" s="40">
        <v>6540.0</v>
      </c>
      <c r="J521" s="40">
        <v>5838.0</v>
      </c>
      <c r="K521" s="11">
        <v>7373.0</v>
      </c>
      <c r="L521" s="29" t="s">
        <v>260</v>
      </c>
      <c r="M521" s="57" t="s">
        <v>319</v>
      </c>
      <c r="N521" s="54" t="s">
        <v>320</v>
      </c>
    </row>
    <row r="522">
      <c r="A522" s="11" t="s">
        <v>121</v>
      </c>
      <c r="B522" s="11" t="s">
        <v>20</v>
      </c>
      <c r="C522" s="11" t="s">
        <v>334</v>
      </c>
      <c r="D522" s="11" t="s">
        <v>317</v>
      </c>
      <c r="E522" s="74" t="s">
        <v>893</v>
      </c>
      <c r="F522" s="74" t="s">
        <v>313</v>
      </c>
      <c r="G522" s="11" t="s">
        <v>74</v>
      </c>
      <c r="H522" s="11">
        <v>2008.0</v>
      </c>
      <c r="I522" s="40">
        <v>7456.0</v>
      </c>
      <c r="J522" s="40">
        <v>6667.0</v>
      </c>
      <c r="K522" s="11">
        <v>8421.0</v>
      </c>
      <c r="L522" s="29" t="s">
        <v>260</v>
      </c>
      <c r="M522" s="57" t="s">
        <v>319</v>
      </c>
      <c r="N522" s="54" t="s">
        <v>320</v>
      </c>
    </row>
    <row r="523">
      <c r="A523" s="11" t="s">
        <v>121</v>
      </c>
      <c r="B523" s="11" t="s">
        <v>20</v>
      </c>
      <c r="C523" s="11" t="s">
        <v>334</v>
      </c>
      <c r="D523" s="11" t="s">
        <v>317</v>
      </c>
      <c r="E523" s="74" t="s">
        <v>893</v>
      </c>
      <c r="F523" s="74" t="s">
        <v>313</v>
      </c>
      <c r="G523" s="11" t="s">
        <v>74</v>
      </c>
      <c r="H523" s="11">
        <v>2009.0</v>
      </c>
      <c r="I523" s="40">
        <v>6794.0</v>
      </c>
      <c r="J523" s="40">
        <v>5961.0</v>
      </c>
      <c r="K523" s="11">
        <v>7913.0</v>
      </c>
      <c r="L523" s="29" t="s">
        <v>260</v>
      </c>
      <c r="M523" s="57" t="s">
        <v>319</v>
      </c>
      <c r="N523" s="54" t="s">
        <v>320</v>
      </c>
    </row>
    <row r="524">
      <c r="A524" s="11" t="s">
        <v>121</v>
      </c>
      <c r="B524" s="11" t="s">
        <v>20</v>
      </c>
      <c r="C524" s="11" t="s">
        <v>334</v>
      </c>
      <c r="D524" s="11" t="s">
        <v>317</v>
      </c>
      <c r="E524" s="74" t="s">
        <v>893</v>
      </c>
      <c r="F524" s="74" t="s">
        <v>313</v>
      </c>
      <c r="G524" s="11" t="s">
        <v>74</v>
      </c>
      <c r="H524" s="11">
        <v>2010.0</v>
      </c>
      <c r="I524" s="40">
        <v>7338.0</v>
      </c>
      <c r="J524" s="40">
        <v>6417.0</v>
      </c>
      <c r="K524" s="11">
        <v>8478.0</v>
      </c>
      <c r="L524" s="29" t="s">
        <v>260</v>
      </c>
      <c r="M524" s="57" t="s">
        <v>319</v>
      </c>
      <c r="N524" s="54" t="s">
        <v>320</v>
      </c>
    </row>
    <row r="525">
      <c r="A525" s="11" t="s">
        <v>121</v>
      </c>
      <c r="B525" s="11" t="s">
        <v>20</v>
      </c>
      <c r="C525" s="11" t="s">
        <v>334</v>
      </c>
      <c r="D525" s="11" t="s">
        <v>317</v>
      </c>
      <c r="E525" s="74" t="s">
        <v>893</v>
      </c>
      <c r="F525" s="74" t="s">
        <v>313</v>
      </c>
      <c r="G525" s="11" t="s">
        <v>74</v>
      </c>
      <c r="H525" s="11">
        <v>2011.0</v>
      </c>
      <c r="I525" s="40">
        <v>7597.0</v>
      </c>
      <c r="J525" s="40">
        <v>6654.0</v>
      </c>
      <c r="K525" s="11">
        <v>8869.0</v>
      </c>
      <c r="L525" s="29" t="s">
        <v>260</v>
      </c>
      <c r="M525" s="57" t="s">
        <v>319</v>
      </c>
      <c r="N525" s="54" t="s">
        <v>320</v>
      </c>
    </row>
    <row r="526">
      <c r="A526" s="11" t="s">
        <v>121</v>
      </c>
      <c r="B526" s="11" t="s">
        <v>20</v>
      </c>
      <c r="C526" s="11" t="s">
        <v>334</v>
      </c>
      <c r="D526" s="11" t="s">
        <v>317</v>
      </c>
      <c r="E526" s="74" t="s">
        <v>893</v>
      </c>
      <c r="F526" s="74" t="s">
        <v>313</v>
      </c>
      <c r="G526" s="11" t="s">
        <v>74</v>
      </c>
      <c r="H526" s="11">
        <v>2012.0</v>
      </c>
      <c r="I526" s="40">
        <v>8925.0</v>
      </c>
      <c r="J526" s="40">
        <v>7702.0</v>
      </c>
      <c r="K526" s="11">
        <v>10355.0</v>
      </c>
      <c r="L526" s="29" t="s">
        <v>260</v>
      </c>
      <c r="M526" s="57" t="s">
        <v>319</v>
      </c>
      <c r="N526" s="54" t="s">
        <v>320</v>
      </c>
    </row>
    <row r="527">
      <c r="A527" s="11" t="s">
        <v>121</v>
      </c>
      <c r="B527" s="11" t="s">
        <v>20</v>
      </c>
      <c r="C527" s="11" t="s">
        <v>334</v>
      </c>
      <c r="D527" s="11" t="s">
        <v>317</v>
      </c>
      <c r="E527" s="74" t="s">
        <v>893</v>
      </c>
      <c r="F527" s="74" t="s">
        <v>313</v>
      </c>
      <c r="G527" s="11" t="s">
        <v>74</v>
      </c>
      <c r="H527" s="11">
        <v>2013.0</v>
      </c>
      <c r="I527" s="40">
        <v>8553.0</v>
      </c>
      <c r="J527" s="40">
        <v>7215.0</v>
      </c>
      <c r="K527" s="11">
        <v>10286.0</v>
      </c>
      <c r="L527" s="29" t="s">
        <v>260</v>
      </c>
      <c r="M527" s="57" t="s">
        <v>319</v>
      </c>
      <c r="N527" s="54" t="s">
        <v>320</v>
      </c>
    </row>
    <row r="528">
      <c r="A528" s="11" t="s">
        <v>121</v>
      </c>
      <c r="B528" s="11" t="s">
        <v>20</v>
      </c>
      <c r="C528" s="11" t="s">
        <v>334</v>
      </c>
      <c r="D528" s="11" t="s">
        <v>317</v>
      </c>
      <c r="E528" s="74" t="s">
        <v>893</v>
      </c>
      <c r="F528" s="74" t="s">
        <v>313</v>
      </c>
      <c r="G528" s="11" t="s">
        <v>74</v>
      </c>
      <c r="H528" s="11">
        <v>2014.0</v>
      </c>
      <c r="I528" s="40">
        <v>8659.0</v>
      </c>
      <c r="J528" s="40">
        <v>7452.0</v>
      </c>
      <c r="K528" s="11">
        <v>10763.0</v>
      </c>
      <c r="L528" s="29" t="s">
        <v>260</v>
      </c>
      <c r="M528" s="57" t="s">
        <v>319</v>
      </c>
      <c r="N528" s="54" t="s">
        <v>320</v>
      </c>
    </row>
    <row r="529">
      <c r="A529" s="11" t="s">
        <v>121</v>
      </c>
      <c r="B529" s="11" t="s">
        <v>20</v>
      </c>
      <c r="C529" s="11" t="s">
        <v>334</v>
      </c>
      <c r="D529" s="11" t="s">
        <v>317</v>
      </c>
      <c r="E529" s="74" t="s">
        <v>893</v>
      </c>
      <c r="F529" s="74" t="s">
        <v>313</v>
      </c>
      <c r="G529" s="11" t="s">
        <v>74</v>
      </c>
      <c r="H529" s="11">
        <v>2015.0</v>
      </c>
      <c r="I529" s="40">
        <v>7645.0</v>
      </c>
      <c r="J529" s="40">
        <v>6461.0</v>
      </c>
      <c r="K529" s="11">
        <v>10803.0</v>
      </c>
      <c r="L529" s="29" t="s">
        <v>260</v>
      </c>
      <c r="M529" s="57" t="s">
        <v>319</v>
      </c>
      <c r="N529" s="54" t="s">
        <v>320</v>
      </c>
    </row>
    <row r="530">
      <c r="A530" s="11" t="s">
        <v>121</v>
      </c>
      <c r="B530" s="11" t="s">
        <v>20</v>
      </c>
      <c r="C530" s="11" t="s">
        <v>334</v>
      </c>
      <c r="D530" s="11" t="s">
        <v>317</v>
      </c>
      <c r="E530" s="74" t="s">
        <v>893</v>
      </c>
      <c r="F530" s="74" t="s">
        <v>313</v>
      </c>
      <c r="G530" s="11" t="s">
        <v>74</v>
      </c>
      <c r="H530" s="11">
        <v>2016.0</v>
      </c>
      <c r="I530" s="40">
        <v>7180.0</v>
      </c>
      <c r="J530" s="40">
        <v>6084.0</v>
      </c>
      <c r="K530" s="11">
        <v>8627.0</v>
      </c>
      <c r="L530" s="29" t="s">
        <v>260</v>
      </c>
      <c r="M530" s="57" t="s">
        <v>319</v>
      </c>
      <c r="N530" s="54" t="s">
        <v>320</v>
      </c>
    </row>
    <row r="531">
      <c r="A531" s="11" t="s">
        <v>121</v>
      </c>
      <c r="B531" s="11" t="s">
        <v>20</v>
      </c>
      <c r="C531" s="11" t="s">
        <v>334</v>
      </c>
      <c r="D531" s="11" t="s">
        <v>317</v>
      </c>
      <c r="E531" s="74" t="s">
        <v>893</v>
      </c>
      <c r="F531" s="74" t="s">
        <v>313</v>
      </c>
      <c r="G531" s="11" t="s">
        <v>74</v>
      </c>
      <c r="H531" s="11">
        <v>2017.0</v>
      </c>
      <c r="I531" s="40">
        <v>6605.0</v>
      </c>
      <c r="J531" s="40">
        <v>5443.0</v>
      </c>
      <c r="K531" s="11">
        <v>8272.0</v>
      </c>
      <c r="L531" s="29" t="s">
        <v>260</v>
      </c>
      <c r="M531" s="57" t="s">
        <v>319</v>
      </c>
      <c r="N531" s="54" t="s">
        <v>320</v>
      </c>
    </row>
    <row r="532">
      <c r="A532" s="11" t="s">
        <v>121</v>
      </c>
      <c r="B532" s="11" t="s">
        <v>20</v>
      </c>
      <c r="C532" s="11" t="s">
        <v>334</v>
      </c>
      <c r="D532" s="11" t="s">
        <v>317</v>
      </c>
      <c r="E532" s="74" t="s">
        <v>893</v>
      </c>
      <c r="F532" s="74" t="s">
        <v>313</v>
      </c>
      <c r="G532" s="11" t="s">
        <v>74</v>
      </c>
      <c r="H532" s="11">
        <v>2018.0</v>
      </c>
      <c r="I532" s="40">
        <v>7369.0</v>
      </c>
      <c r="J532" s="40">
        <v>5833.0</v>
      </c>
      <c r="K532" s="11">
        <v>9167.0</v>
      </c>
      <c r="L532" s="29" t="s">
        <v>260</v>
      </c>
      <c r="M532" s="57" t="s">
        <v>319</v>
      </c>
      <c r="N532" s="54" t="s">
        <v>320</v>
      </c>
    </row>
    <row r="533">
      <c r="A533" s="11" t="s">
        <v>121</v>
      </c>
      <c r="B533" s="11" t="s">
        <v>20</v>
      </c>
      <c r="C533" s="11" t="s">
        <v>335</v>
      </c>
      <c r="D533" s="11" t="s">
        <v>317</v>
      </c>
      <c r="E533" s="74" t="s">
        <v>905</v>
      </c>
      <c r="F533" s="74" t="s">
        <v>313</v>
      </c>
      <c r="G533" s="11" t="s">
        <v>74</v>
      </c>
      <c r="H533" s="11">
        <v>1996.0</v>
      </c>
      <c r="I533" s="40">
        <v>14220.0</v>
      </c>
      <c r="J533" s="40">
        <v>11776.0</v>
      </c>
      <c r="K533" s="11">
        <v>17595.0</v>
      </c>
      <c r="L533" s="29" t="s">
        <v>260</v>
      </c>
      <c r="M533" s="57" t="s">
        <v>319</v>
      </c>
      <c r="N533" s="54" t="s">
        <v>320</v>
      </c>
    </row>
    <row r="534">
      <c r="A534" s="11" t="s">
        <v>121</v>
      </c>
      <c r="B534" s="11" t="s">
        <v>20</v>
      </c>
      <c r="C534" s="11" t="s">
        <v>335</v>
      </c>
      <c r="D534" s="11" t="s">
        <v>317</v>
      </c>
      <c r="E534" s="74" t="s">
        <v>905</v>
      </c>
      <c r="F534" s="74" t="s">
        <v>313</v>
      </c>
      <c r="G534" s="11" t="s">
        <v>74</v>
      </c>
      <c r="H534" s="11">
        <v>1997.0</v>
      </c>
      <c r="I534" s="40">
        <v>13698.0</v>
      </c>
      <c r="J534" s="40">
        <v>12302.0</v>
      </c>
      <c r="K534" s="11">
        <v>15240.0</v>
      </c>
      <c r="L534" s="29" t="s">
        <v>260</v>
      </c>
      <c r="M534" s="57" t="s">
        <v>319</v>
      </c>
      <c r="N534" s="54" t="s">
        <v>320</v>
      </c>
    </row>
    <row r="535">
      <c r="A535" s="11" t="s">
        <v>121</v>
      </c>
      <c r="B535" s="11" t="s">
        <v>20</v>
      </c>
      <c r="C535" s="11" t="s">
        <v>335</v>
      </c>
      <c r="D535" s="11" t="s">
        <v>317</v>
      </c>
      <c r="E535" s="74" t="s">
        <v>905</v>
      </c>
      <c r="F535" s="74" t="s">
        <v>313</v>
      </c>
      <c r="G535" s="11" t="s">
        <v>74</v>
      </c>
      <c r="H535" s="11">
        <v>1998.0</v>
      </c>
      <c r="I535" s="40">
        <v>13904.0</v>
      </c>
      <c r="J535" s="40">
        <v>11547.0</v>
      </c>
      <c r="K535" s="11">
        <v>19169.0</v>
      </c>
      <c r="L535" s="29" t="s">
        <v>260</v>
      </c>
      <c r="M535" s="57" t="s">
        <v>319</v>
      </c>
      <c r="N535" s="54" t="s">
        <v>320</v>
      </c>
    </row>
    <row r="536">
      <c r="A536" s="11" t="s">
        <v>121</v>
      </c>
      <c r="B536" s="11" t="s">
        <v>20</v>
      </c>
      <c r="C536" s="11" t="s">
        <v>335</v>
      </c>
      <c r="D536" s="11" t="s">
        <v>317</v>
      </c>
      <c r="E536" s="74" t="s">
        <v>905</v>
      </c>
      <c r="F536" s="74" t="s">
        <v>313</v>
      </c>
      <c r="G536" s="11" t="s">
        <v>74</v>
      </c>
      <c r="H536" s="11">
        <v>1999.0</v>
      </c>
      <c r="I536" s="40">
        <v>13702.0</v>
      </c>
      <c r="J536" s="40">
        <v>11055.0</v>
      </c>
      <c r="K536" s="11">
        <v>16757.0</v>
      </c>
      <c r="L536" s="29" t="s">
        <v>260</v>
      </c>
      <c r="M536" s="57" t="s">
        <v>319</v>
      </c>
      <c r="N536" s="54" t="s">
        <v>320</v>
      </c>
    </row>
    <row r="537">
      <c r="A537" s="11" t="s">
        <v>121</v>
      </c>
      <c r="B537" s="11" t="s">
        <v>20</v>
      </c>
      <c r="C537" s="11" t="s">
        <v>335</v>
      </c>
      <c r="D537" s="11" t="s">
        <v>317</v>
      </c>
      <c r="E537" s="74" t="s">
        <v>905</v>
      </c>
      <c r="F537" s="74" t="s">
        <v>313</v>
      </c>
      <c r="G537" s="11" t="s">
        <v>74</v>
      </c>
      <c r="H537" s="11">
        <v>2000.0</v>
      </c>
      <c r="I537" s="40">
        <v>13529.0</v>
      </c>
      <c r="J537" s="40">
        <v>11028.0</v>
      </c>
      <c r="K537" s="11">
        <v>16264.0</v>
      </c>
      <c r="L537" s="29" t="s">
        <v>260</v>
      </c>
      <c r="M537" s="57" t="s">
        <v>319</v>
      </c>
      <c r="N537" s="54" t="s">
        <v>320</v>
      </c>
    </row>
    <row r="538">
      <c r="A538" s="11" t="s">
        <v>121</v>
      </c>
      <c r="B538" s="11" t="s">
        <v>20</v>
      </c>
      <c r="C538" s="11" t="s">
        <v>335</v>
      </c>
      <c r="D538" s="11" t="s">
        <v>317</v>
      </c>
      <c r="E538" s="74" t="s">
        <v>905</v>
      </c>
      <c r="F538" s="74" t="s">
        <v>313</v>
      </c>
      <c r="G538" s="11" t="s">
        <v>74</v>
      </c>
      <c r="H538" s="11">
        <v>2001.0</v>
      </c>
      <c r="I538" s="40">
        <v>13531.0</v>
      </c>
      <c r="J538" s="40">
        <v>11117.0</v>
      </c>
      <c r="K538" s="11">
        <v>16790.0</v>
      </c>
      <c r="L538" s="29" t="s">
        <v>260</v>
      </c>
      <c r="M538" s="57" t="s">
        <v>319</v>
      </c>
      <c r="N538" s="54" t="s">
        <v>320</v>
      </c>
    </row>
    <row r="539">
      <c r="A539" s="11" t="s">
        <v>121</v>
      </c>
      <c r="B539" s="11" t="s">
        <v>20</v>
      </c>
      <c r="C539" s="11" t="s">
        <v>335</v>
      </c>
      <c r="D539" s="11" t="s">
        <v>317</v>
      </c>
      <c r="E539" s="74" t="s">
        <v>905</v>
      </c>
      <c r="F539" s="74" t="s">
        <v>313</v>
      </c>
      <c r="G539" s="11" t="s">
        <v>74</v>
      </c>
      <c r="H539" s="11">
        <v>2002.0</v>
      </c>
      <c r="I539" s="40">
        <v>13068.0</v>
      </c>
      <c r="J539" s="40">
        <v>11439.0</v>
      </c>
      <c r="K539" s="11">
        <v>15017.0</v>
      </c>
      <c r="L539" s="29" t="s">
        <v>260</v>
      </c>
      <c r="M539" s="57" t="s">
        <v>319</v>
      </c>
      <c r="N539" s="54" t="s">
        <v>320</v>
      </c>
    </row>
    <row r="540">
      <c r="A540" s="11" t="s">
        <v>121</v>
      </c>
      <c r="B540" s="11" t="s">
        <v>20</v>
      </c>
      <c r="C540" s="11" t="s">
        <v>335</v>
      </c>
      <c r="D540" s="11" t="s">
        <v>317</v>
      </c>
      <c r="E540" s="74" t="s">
        <v>905</v>
      </c>
      <c r="F540" s="74" t="s">
        <v>313</v>
      </c>
      <c r="G540" s="11" t="s">
        <v>74</v>
      </c>
      <c r="H540" s="11">
        <v>2003.0</v>
      </c>
      <c r="I540" s="40">
        <v>13244.0</v>
      </c>
      <c r="J540" s="40">
        <v>11063.0</v>
      </c>
      <c r="K540" s="11">
        <v>15834.0</v>
      </c>
      <c r="L540" s="29" t="s">
        <v>260</v>
      </c>
      <c r="M540" s="57" t="s">
        <v>319</v>
      </c>
      <c r="N540" s="54" t="s">
        <v>320</v>
      </c>
    </row>
    <row r="541">
      <c r="A541" s="11" t="s">
        <v>121</v>
      </c>
      <c r="B541" s="11" t="s">
        <v>20</v>
      </c>
      <c r="C541" s="11" t="s">
        <v>335</v>
      </c>
      <c r="D541" s="11" t="s">
        <v>317</v>
      </c>
      <c r="E541" s="74" t="s">
        <v>905</v>
      </c>
      <c r="F541" s="74" t="s">
        <v>313</v>
      </c>
      <c r="G541" s="11" t="s">
        <v>74</v>
      </c>
      <c r="H541" s="11">
        <v>2004.0</v>
      </c>
      <c r="I541" s="40">
        <v>13566.0</v>
      </c>
      <c r="J541" s="40">
        <v>10745.0</v>
      </c>
      <c r="K541" s="11">
        <v>16941.0</v>
      </c>
      <c r="L541" s="29" t="s">
        <v>260</v>
      </c>
      <c r="M541" s="57" t="s">
        <v>319</v>
      </c>
      <c r="N541" s="54" t="s">
        <v>320</v>
      </c>
    </row>
    <row r="542">
      <c r="A542" s="11" t="s">
        <v>121</v>
      </c>
      <c r="B542" s="11" t="s">
        <v>20</v>
      </c>
      <c r="C542" s="11" t="s">
        <v>335</v>
      </c>
      <c r="D542" s="11" t="s">
        <v>317</v>
      </c>
      <c r="E542" s="74" t="s">
        <v>905</v>
      </c>
      <c r="F542" s="74" t="s">
        <v>313</v>
      </c>
      <c r="G542" s="11" t="s">
        <v>74</v>
      </c>
      <c r="H542" s="11">
        <v>2005.0</v>
      </c>
      <c r="I542" s="40">
        <v>13365.0</v>
      </c>
      <c r="J542" s="40">
        <v>10863.0</v>
      </c>
      <c r="K542" s="11">
        <v>16303.0</v>
      </c>
      <c r="L542" s="29" t="s">
        <v>260</v>
      </c>
      <c r="M542" s="57" t="s">
        <v>319</v>
      </c>
      <c r="N542" s="54" t="s">
        <v>320</v>
      </c>
    </row>
    <row r="543">
      <c r="A543" s="11" t="s">
        <v>121</v>
      </c>
      <c r="B543" s="11" t="s">
        <v>20</v>
      </c>
      <c r="C543" s="11" t="s">
        <v>335</v>
      </c>
      <c r="D543" s="11" t="s">
        <v>317</v>
      </c>
      <c r="E543" s="74" t="s">
        <v>905</v>
      </c>
      <c r="F543" s="74" t="s">
        <v>313</v>
      </c>
      <c r="G543" s="11" t="s">
        <v>74</v>
      </c>
      <c r="H543" s="11">
        <v>2006.0</v>
      </c>
      <c r="I543" s="40">
        <v>12930.0</v>
      </c>
      <c r="J543" s="40">
        <v>10719.0</v>
      </c>
      <c r="K543" s="11">
        <v>15578.0</v>
      </c>
      <c r="L543" s="29" t="s">
        <v>260</v>
      </c>
      <c r="M543" s="57" t="s">
        <v>319</v>
      </c>
      <c r="N543" s="54" t="s">
        <v>320</v>
      </c>
    </row>
    <row r="544">
      <c r="A544" s="11" t="s">
        <v>121</v>
      </c>
      <c r="B544" s="11" t="s">
        <v>20</v>
      </c>
      <c r="C544" s="11" t="s">
        <v>335</v>
      </c>
      <c r="D544" s="11" t="s">
        <v>317</v>
      </c>
      <c r="E544" s="74" t="s">
        <v>905</v>
      </c>
      <c r="F544" s="74" t="s">
        <v>313</v>
      </c>
      <c r="G544" s="11" t="s">
        <v>74</v>
      </c>
      <c r="H544" s="11">
        <v>2007.0</v>
      </c>
      <c r="I544" s="40">
        <v>12321.0</v>
      </c>
      <c r="J544" s="40">
        <v>11245.0</v>
      </c>
      <c r="K544" s="11">
        <v>13776.0</v>
      </c>
      <c r="L544" s="29" t="s">
        <v>260</v>
      </c>
      <c r="M544" s="57" t="s">
        <v>319</v>
      </c>
      <c r="N544" s="54" t="s">
        <v>320</v>
      </c>
    </row>
    <row r="545">
      <c r="A545" s="11" t="s">
        <v>121</v>
      </c>
      <c r="B545" s="11" t="s">
        <v>20</v>
      </c>
      <c r="C545" s="11" t="s">
        <v>335</v>
      </c>
      <c r="D545" s="11" t="s">
        <v>317</v>
      </c>
      <c r="E545" s="74" t="s">
        <v>905</v>
      </c>
      <c r="F545" s="74" t="s">
        <v>313</v>
      </c>
      <c r="G545" s="11" t="s">
        <v>74</v>
      </c>
      <c r="H545" s="11">
        <v>2008.0</v>
      </c>
      <c r="I545" s="40">
        <v>11538.0</v>
      </c>
      <c r="J545" s="40">
        <v>10229.0</v>
      </c>
      <c r="K545" s="11">
        <v>13080.0</v>
      </c>
      <c r="L545" s="29" t="s">
        <v>260</v>
      </c>
      <c r="M545" s="57" t="s">
        <v>319</v>
      </c>
      <c r="N545" s="54" t="s">
        <v>320</v>
      </c>
    </row>
    <row r="546">
      <c r="A546" s="11" t="s">
        <v>121</v>
      </c>
      <c r="B546" s="11" t="s">
        <v>20</v>
      </c>
      <c r="C546" s="11" t="s">
        <v>335</v>
      </c>
      <c r="D546" s="11" t="s">
        <v>317</v>
      </c>
      <c r="E546" s="74" t="s">
        <v>905</v>
      </c>
      <c r="F546" s="74" t="s">
        <v>313</v>
      </c>
      <c r="G546" s="11" t="s">
        <v>74</v>
      </c>
      <c r="H546" s="11">
        <v>2009.0</v>
      </c>
      <c r="I546" s="40">
        <v>11685.0</v>
      </c>
      <c r="J546" s="40">
        <v>10260.0</v>
      </c>
      <c r="K546" s="11">
        <v>13431.0</v>
      </c>
      <c r="L546" s="29" t="s">
        <v>260</v>
      </c>
      <c r="M546" s="57" t="s">
        <v>319</v>
      </c>
      <c r="N546" s="54" t="s">
        <v>320</v>
      </c>
    </row>
    <row r="547">
      <c r="A547" s="11" t="s">
        <v>121</v>
      </c>
      <c r="B547" s="11" t="s">
        <v>20</v>
      </c>
      <c r="C547" s="11" t="s">
        <v>335</v>
      </c>
      <c r="D547" s="11" t="s">
        <v>317</v>
      </c>
      <c r="E547" s="74" t="s">
        <v>905</v>
      </c>
      <c r="F547" s="74" t="s">
        <v>313</v>
      </c>
      <c r="G547" s="11" t="s">
        <v>74</v>
      </c>
      <c r="H547" s="11">
        <v>2010.0</v>
      </c>
      <c r="I547" s="40">
        <v>13607.0</v>
      </c>
      <c r="J547" s="40">
        <v>12036.0</v>
      </c>
      <c r="K547" s="11">
        <v>15818.0</v>
      </c>
      <c r="L547" s="29" t="s">
        <v>260</v>
      </c>
      <c r="M547" s="57" t="s">
        <v>319</v>
      </c>
      <c r="N547" s="54" t="s">
        <v>320</v>
      </c>
    </row>
    <row r="548">
      <c r="A548" s="11" t="s">
        <v>121</v>
      </c>
      <c r="B548" s="11" t="s">
        <v>20</v>
      </c>
      <c r="C548" s="11" t="s">
        <v>335</v>
      </c>
      <c r="D548" s="11" t="s">
        <v>317</v>
      </c>
      <c r="E548" s="74" t="s">
        <v>905</v>
      </c>
      <c r="F548" s="74" t="s">
        <v>313</v>
      </c>
      <c r="G548" s="11" t="s">
        <v>74</v>
      </c>
      <c r="H548" s="11">
        <v>2011.0</v>
      </c>
      <c r="I548" s="40">
        <v>13929.0</v>
      </c>
      <c r="J548" s="40">
        <v>12096.0</v>
      </c>
      <c r="K548" s="11">
        <v>15704.0</v>
      </c>
      <c r="L548" s="29" t="s">
        <v>260</v>
      </c>
      <c r="M548" s="57" t="s">
        <v>319</v>
      </c>
      <c r="N548" s="54" t="s">
        <v>320</v>
      </c>
    </row>
    <row r="549">
      <c r="A549" s="11" t="s">
        <v>121</v>
      </c>
      <c r="B549" s="11" t="s">
        <v>20</v>
      </c>
      <c r="C549" s="11" t="s">
        <v>335</v>
      </c>
      <c r="D549" s="11" t="s">
        <v>317</v>
      </c>
      <c r="E549" s="74" t="s">
        <v>905</v>
      </c>
      <c r="F549" s="74" t="s">
        <v>313</v>
      </c>
      <c r="G549" s="11" t="s">
        <v>74</v>
      </c>
      <c r="H549" s="11">
        <v>2012.0</v>
      </c>
      <c r="I549" s="40">
        <v>13815.0</v>
      </c>
      <c r="J549" s="40">
        <v>11633.0</v>
      </c>
      <c r="K549" s="11">
        <v>16433.0</v>
      </c>
      <c r="L549" s="29" t="s">
        <v>260</v>
      </c>
      <c r="M549" s="57" t="s">
        <v>319</v>
      </c>
      <c r="N549" s="54" t="s">
        <v>320</v>
      </c>
    </row>
    <row r="550">
      <c r="A550" s="11" t="s">
        <v>121</v>
      </c>
      <c r="B550" s="11" t="s">
        <v>20</v>
      </c>
      <c r="C550" s="11" t="s">
        <v>335</v>
      </c>
      <c r="D550" s="11" t="s">
        <v>317</v>
      </c>
      <c r="E550" s="74" t="s">
        <v>905</v>
      </c>
      <c r="F550" s="74" t="s">
        <v>313</v>
      </c>
      <c r="G550" s="11" t="s">
        <v>74</v>
      </c>
      <c r="H550" s="11">
        <v>2013.0</v>
      </c>
      <c r="I550" s="40">
        <v>13497.0</v>
      </c>
      <c r="J550" s="40">
        <v>11198.0</v>
      </c>
      <c r="K550" s="11">
        <v>15708.0</v>
      </c>
      <c r="L550" s="29" t="s">
        <v>260</v>
      </c>
      <c r="M550" s="57" t="s">
        <v>319</v>
      </c>
      <c r="N550" s="54" t="s">
        <v>320</v>
      </c>
    </row>
    <row r="551">
      <c r="A551" s="11" t="s">
        <v>121</v>
      </c>
      <c r="B551" s="11" t="s">
        <v>20</v>
      </c>
      <c r="C551" s="11" t="s">
        <v>335</v>
      </c>
      <c r="D551" s="11" t="s">
        <v>317</v>
      </c>
      <c r="E551" s="74" t="s">
        <v>905</v>
      </c>
      <c r="F551" s="74" t="s">
        <v>313</v>
      </c>
      <c r="G551" s="11" t="s">
        <v>74</v>
      </c>
      <c r="H551" s="11">
        <v>2014.0</v>
      </c>
      <c r="I551" s="40">
        <v>13266.0</v>
      </c>
      <c r="J551" s="40">
        <v>10997.0</v>
      </c>
      <c r="K551" s="11">
        <v>15593.0</v>
      </c>
      <c r="L551" s="29" t="s">
        <v>260</v>
      </c>
      <c r="M551" s="57" t="s">
        <v>319</v>
      </c>
      <c r="N551" s="54" t="s">
        <v>320</v>
      </c>
    </row>
    <row r="552">
      <c r="A552" s="11" t="s">
        <v>121</v>
      </c>
      <c r="B552" s="11" t="s">
        <v>20</v>
      </c>
      <c r="C552" s="11" t="s">
        <v>335</v>
      </c>
      <c r="D552" s="11" t="s">
        <v>317</v>
      </c>
      <c r="E552" s="74" t="s">
        <v>905</v>
      </c>
      <c r="F552" s="74" t="s">
        <v>313</v>
      </c>
      <c r="G552" s="11" t="s">
        <v>74</v>
      </c>
      <c r="H552" s="11">
        <v>2015.0</v>
      </c>
      <c r="I552" s="40">
        <v>13180.0</v>
      </c>
      <c r="J552" s="40">
        <v>11202.0</v>
      </c>
      <c r="K552" s="11">
        <v>15566.0</v>
      </c>
      <c r="L552" s="29" t="s">
        <v>260</v>
      </c>
      <c r="M552" s="57" t="s">
        <v>319</v>
      </c>
      <c r="N552" s="54" t="s">
        <v>320</v>
      </c>
    </row>
    <row r="553">
      <c r="A553" s="11" t="s">
        <v>121</v>
      </c>
      <c r="B553" s="11" t="s">
        <v>20</v>
      </c>
      <c r="C553" s="11" t="s">
        <v>335</v>
      </c>
      <c r="D553" s="11" t="s">
        <v>317</v>
      </c>
      <c r="E553" s="74" t="s">
        <v>905</v>
      </c>
      <c r="F553" s="74" t="s">
        <v>313</v>
      </c>
      <c r="G553" s="11" t="s">
        <v>74</v>
      </c>
      <c r="H553" s="11">
        <v>2016.0</v>
      </c>
      <c r="I553" s="40">
        <v>12891.0</v>
      </c>
      <c r="J553" s="40">
        <v>10622.0</v>
      </c>
      <c r="K553" s="11">
        <v>15539.0</v>
      </c>
      <c r="L553" s="29" t="s">
        <v>260</v>
      </c>
      <c r="M553" s="57" t="s">
        <v>319</v>
      </c>
      <c r="N553" s="54" t="s">
        <v>320</v>
      </c>
    </row>
    <row r="554">
      <c r="A554" s="11" t="s">
        <v>121</v>
      </c>
      <c r="B554" s="11" t="s">
        <v>20</v>
      </c>
      <c r="C554" s="11" t="s">
        <v>335</v>
      </c>
      <c r="D554" s="11" t="s">
        <v>317</v>
      </c>
      <c r="E554" s="74" t="s">
        <v>905</v>
      </c>
      <c r="F554" s="74" t="s">
        <v>313</v>
      </c>
      <c r="G554" s="11" t="s">
        <v>74</v>
      </c>
      <c r="H554" s="11">
        <v>2017.0</v>
      </c>
      <c r="I554" s="40">
        <v>12981.0</v>
      </c>
      <c r="J554" s="40">
        <v>10421.0</v>
      </c>
      <c r="K554" s="11">
        <v>17112.0</v>
      </c>
      <c r="L554" s="29" t="s">
        <v>260</v>
      </c>
      <c r="M554" s="57" t="s">
        <v>319</v>
      </c>
      <c r="N554" s="54" t="s">
        <v>320</v>
      </c>
    </row>
    <row r="555">
      <c r="A555" s="11" t="s">
        <v>121</v>
      </c>
      <c r="B555" s="11" t="s">
        <v>20</v>
      </c>
      <c r="C555" s="11" t="s">
        <v>335</v>
      </c>
      <c r="D555" s="11" t="s">
        <v>317</v>
      </c>
      <c r="E555" s="74" t="s">
        <v>905</v>
      </c>
      <c r="F555" s="74" t="s">
        <v>313</v>
      </c>
      <c r="G555" s="11" t="s">
        <v>74</v>
      </c>
      <c r="H555" s="11">
        <v>2018.0</v>
      </c>
      <c r="I555" s="40">
        <v>13448.0</v>
      </c>
      <c r="J555" s="40">
        <v>10714.0</v>
      </c>
      <c r="K555" s="11">
        <v>18568.0</v>
      </c>
      <c r="L555" s="29" t="s">
        <v>260</v>
      </c>
      <c r="M555" s="57" t="s">
        <v>319</v>
      </c>
      <c r="N555" s="54" t="s">
        <v>320</v>
      </c>
    </row>
    <row r="556">
      <c r="A556" s="11" t="s">
        <v>121</v>
      </c>
      <c r="B556" s="11" t="s">
        <v>20</v>
      </c>
      <c r="C556" s="11" t="s">
        <v>336</v>
      </c>
      <c r="D556" s="11" t="s">
        <v>317</v>
      </c>
      <c r="E556" s="74" t="s">
        <v>910</v>
      </c>
      <c r="F556" s="74" t="s">
        <v>313</v>
      </c>
      <c r="G556" s="11" t="s">
        <v>74</v>
      </c>
      <c r="H556" s="11">
        <v>1996.0</v>
      </c>
      <c r="I556" s="40">
        <v>11962.0</v>
      </c>
      <c r="J556" s="40">
        <v>10050.0</v>
      </c>
      <c r="K556" s="11">
        <v>14277.0</v>
      </c>
      <c r="L556" s="29" t="s">
        <v>260</v>
      </c>
      <c r="M556" s="57" t="s">
        <v>319</v>
      </c>
      <c r="N556" s="54" t="s">
        <v>320</v>
      </c>
    </row>
    <row r="557">
      <c r="A557" s="11" t="s">
        <v>121</v>
      </c>
      <c r="B557" s="11" t="s">
        <v>20</v>
      </c>
      <c r="C557" s="11" t="s">
        <v>336</v>
      </c>
      <c r="D557" s="11" t="s">
        <v>317</v>
      </c>
      <c r="E557" s="74" t="s">
        <v>910</v>
      </c>
      <c r="F557" s="74" t="s">
        <v>313</v>
      </c>
      <c r="G557" s="11" t="s">
        <v>74</v>
      </c>
      <c r="H557" s="11">
        <v>1997.0</v>
      </c>
      <c r="I557" s="40">
        <v>11962.0</v>
      </c>
      <c r="J557" s="40">
        <v>10252.0</v>
      </c>
      <c r="K557" s="11">
        <v>14101.0</v>
      </c>
      <c r="L557" s="29" t="s">
        <v>260</v>
      </c>
      <c r="M557" s="57" t="s">
        <v>319</v>
      </c>
      <c r="N557" s="54" t="s">
        <v>320</v>
      </c>
    </row>
    <row r="558">
      <c r="A558" s="11" t="s">
        <v>121</v>
      </c>
      <c r="B558" s="11" t="s">
        <v>20</v>
      </c>
      <c r="C558" s="11" t="s">
        <v>336</v>
      </c>
      <c r="D558" s="11" t="s">
        <v>317</v>
      </c>
      <c r="E558" s="74" t="s">
        <v>910</v>
      </c>
      <c r="F558" s="74" t="s">
        <v>313</v>
      </c>
      <c r="G558" s="11" t="s">
        <v>74</v>
      </c>
      <c r="H558" s="11">
        <v>1998.0</v>
      </c>
      <c r="I558" s="40">
        <v>11509.0</v>
      </c>
      <c r="J558" s="40">
        <v>10000.0</v>
      </c>
      <c r="K558" s="11">
        <v>13547.0</v>
      </c>
      <c r="L558" s="29" t="s">
        <v>260</v>
      </c>
      <c r="M558" s="57" t="s">
        <v>319</v>
      </c>
      <c r="N558" s="54" t="s">
        <v>320</v>
      </c>
    </row>
    <row r="559">
      <c r="A559" s="11" t="s">
        <v>121</v>
      </c>
      <c r="B559" s="11" t="s">
        <v>20</v>
      </c>
      <c r="C559" s="11" t="s">
        <v>336</v>
      </c>
      <c r="D559" s="11" t="s">
        <v>317</v>
      </c>
      <c r="E559" s="74" t="s">
        <v>910</v>
      </c>
      <c r="F559" s="74" t="s">
        <v>313</v>
      </c>
      <c r="G559" s="11" t="s">
        <v>74</v>
      </c>
      <c r="H559" s="11">
        <v>1999.0</v>
      </c>
      <c r="I559" s="40">
        <v>12365.0</v>
      </c>
      <c r="J559" s="40">
        <v>10478.0</v>
      </c>
      <c r="K559" s="11">
        <v>14730.0</v>
      </c>
      <c r="L559" s="29" t="s">
        <v>260</v>
      </c>
      <c r="M559" s="57" t="s">
        <v>319</v>
      </c>
      <c r="N559" s="54" t="s">
        <v>320</v>
      </c>
    </row>
    <row r="560">
      <c r="A560" s="11" t="s">
        <v>121</v>
      </c>
      <c r="B560" s="11" t="s">
        <v>20</v>
      </c>
      <c r="C560" s="11" t="s">
        <v>336</v>
      </c>
      <c r="D560" s="11" t="s">
        <v>317</v>
      </c>
      <c r="E560" s="74" t="s">
        <v>910</v>
      </c>
      <c r="F560" s="74" t="s">
        <v>313</v>
      </c>
      <c r="G560" s="11" t="s">
        <v>74</v>
      </c>
      <c r="H560" s="11">
        <v>2000.0</v>
      </c>
      <c r="I560" s="40">
        <v>12113.0</v>
      </c>
      <c r="J560" s="40">
        <v>10377.0</v>
      </c>
      <c r="K560" s="11">
        <v>14201.0</v>
      </c>
      <c r="L560" s="29" t="s">
        <v>260</v>
      </c>
      <c r="M560" s="57" t="s">
        <v>319</v>
      </c>
      <c r="N560" s="54" t="s">
        <v>320</v>
      </c>
    </row>
    <row r="561">
      <c r="A561" s="11" t="s">
        <v>121</v>
      </c>
      <c r="B561" s="11" t="s">
        <v>20</v>
      </c>
      <c r="C561" s="11" t="s">
        <v>336</v>
      </c>
      <c r="D561" s="11" t="s">
        <v>317</v>
      </c>
      <c r="E561" s="74" t="s">
        <v>910</v>
      </c>
      <c r="F561" s="74" t="s">
        <v>313</v>
      </c>
      <c r="G561" s="11" t="s">
        <v>74</v>
      </c>
      <c r="H561" s="11">
        <v>2001.0</v>
      </c>
      <c r="I561" s="40">
        <v>12440.0</v>
      </c>
      <c r="J561" s="40">
        <v>10855.0</v>
      </c>
      <c r="K561" s="11">
        <v>14252.0</v>
      </c>
      <c r="L561" s="29" t="s">
        <v>260</v>
      </c>
      <c r="M561" s="57" t="s">
        <v>319</v>
      </c>
      <c r="N561" s="54" t="s">
        <v>320</v>
      </c>
    </row>
    <row r="562">
      <c r="A562" s="11" t="s">
        <v>121</v>
      </c>
      <c r="B562" s="11" t="s">
        <v>20</v>
      </c>
      <c r="C562" s="11" t="s">
        <v>336</v>
      </c>
      <c r="D562" s="11" t="s">
        <v>317</v>
      </c>
      <c r="E562" s="74" t="s">
        <v>910</v>
      </c>
      <c r="F562" s="74" t="s">
        <v>313</v>
      </c>
      <c r="G562" s="11" t="s">
        <v>74</v>
      </c>
      <c r="H562" s="11">
        <v>2002.0</v>
      </c>
      <c r="I562" s="40">
        <v>12365.0</v>
      </c>
      <c r="J562" s="40">
        <v>10981.0</v>
      </c>
      <c r="K562" s="11">
        <v>14050.0</v>
      </c>
      <c r="L562" s="29" t="s">
        <v>260</v>
      </c>
      <c r="M562" s="57" t="s">
        <v>319</v>
      </c>
      <c r="N562" s="54" t="s">
        <v>320</v>
      </c>
    </row>
    <row r="563">
      <c r="A563" s="11" t="s">
        <v>121</v>
      </c>
      <c r="B563" s="11" t="s">
        <v>20</v>
      </c>
      <c r="C563" s="11" t="s">
        <v>336</v>
      </c>
      <c r="D563" s="11" t="s">
        <v>317</v>
      </c>
      <c r="E563" s="74" t="s">
        <v>910</v>
      </c>
      <c r="F563" s="74" t="s">
        <v>313</v>
      </c>
      <c r="G563" s="11" t="s">
        <v>74</v>
      </c>
      <c r="H563" s="11">
        <v>2003.0</v>
      </c>
      <c r="I563" s="40">
        <v>12440.0</v>
      </c>
      <c r="J563" s="40">
        <v>10981.0</v>
      </c>
      <c r="K563" s="11">
        <v>14075.0</v>
      </c>
      <c r="L563" s="29" t="s">
        <v>260</v>
      </c>
      <c r="M563" s="57" t="s">
        <v>319</v>
      </c>
      <c r="N563" s="54" t="s">
        <v>320</v>
      </c>
    </row>
    <row r="564">
      <c r="A564" s="11" t="s">
        <v>121</v>
      </c>
      <c r="B564" s="11" t="s">
        <v>20</v>
      </c>
      <c r="C564" s="11" t="s">
        <v>336</v>
      </c>
      <c r="D564" s="11" t="s">
        <v>317</v>
      </c>
      <c r="E564" s="74" t="s">
        <v>910</v>
      </c>
      <c r="F564" s="74" t="s">
        <v>313</v>
      </c>
      <c r="G564" s="11" t="s">
        <v>74</v>
      </c>
      <c r="H564" s="11">
        <v>2004.0</v>
      </c>
      <c r="I564" s="40">
        <v>12642.0</v>
      </c>
      <c r="J564" s="40">
        <v>10252.0</v>
      </c>
      <c r="K564" s="11">
        <v>15082.0</v>
      </c>
      <c r="L564" s="29" t="s">
        <v>260</v>
      </c>
      <c r="M564" s="57" t="s">
        <v>319</v>
      </c>
      <c r="N564" s="54" t="s">
        <v>320</v>
      </c>
    </row>
    <row r="565">
      <c r="A565" s="11" t="s">
        <v>121</v>
      </c>
      <c r="B565" s="11" t="s">
        <v>20</v>
      </c>
      <c r="C565" s="11" t="s">
        <v>336</v>
      </c>
      <c r="D565" s="11" t="s">
        <v>317</v>
      </c>
      <c r="E565" s="74" t="s">
        <v>910</v>
      </c>
      <c r="F565" s="74" t="s">
        <v>313</v>
      </c>
      <c r="G565" s="11" t="s">
        <v>74</v>
      </c>
      <c r="H565" s="11">
        <v>2005.0</v>
      </c>
      <c r="I565" s="40">
        <v>12465.0</v>
      </c>
      <c r="J565" s="40">
        <v>10151.0</v>
      </c>
      <c r="K565" s="11">
        <v>15887.0</v>
      </c>
      <c r="L565" s="29" t="s">
        <v>260</v>
      </c>
      <c r="M565" s="57" t="s">
        <v>319</v>
      </c>
      <c r="N565" s="54" t="s">
        <v>320</v>
      </c>
    </row>
    <row r="566">
      <c r="A566" s="11" t="s">
        <v>121</v>
      </c>
      <c r="B566" s="11" t="s">
        <v>20</v>
      </c>
      <c r="C566" s="11" t="s">
        <v>336</v>
      </c>
      <c r="D566" s="11" t="s">
        <v>317</v>
      </c>
      <c r="E566" s="74" t="s">
        <v>910</v>
      </c>
      <c r="F566" s="74" t="s">
        <v>313</v>
      </c>
      <c r="G566" s="11" t="s">
        <v>74</v>
      </c>
      <c r="H566" s="11">
        <v>2006.0</v>
      </c>
      <c r="I566" s="40">
        <v>11836.0</v>
      </c>
      <c r="J566" s="40">
        <v>9774.0</v>
      </c>
      <c r="K566" s="11">
        <v>14126.0</v>
      </c>
      <c r="L566" s="29" t="s">
        <v>260</v>
      </c>
      <c r="M566" s="57" t="s">
        <v>319</v>
      </c>
      <c r="N566" s="54" t="s">
        <v>320</v>
      </c>
    </row>
    <row r="567">
      <c r="A567" s="11" t="s">
        <v>121</v>
      </c>
      <c r="B567" s="11" t="s">
        <v>20</v>
      </c>
      <c r="C567" s="11" t="s">
        <v>336</v>
      </c>
      <c r="D567" s="11" t="s">
        <v>317</v>
      </c>
      <c r="E567" s="74" t="s">
        <v>910</v>
      </c>
      <c r="F567" s="74" t="s">
        <v>313</v>
      </c>
      <c r="G567" s="11" t="s">
        <v>74</v>
      </c>
      <c r="H567" s="11">
        <v>2007.0</v>
      </c>
      <c r="I567" s="40">
        <v>11107.0</v>
      </c>
      <c r="J567" s="40">
        <v>9723.0</v>
      </c>
      <c r="K567" s="11">
        <v>12943.0</v>
      </c>
      <c r="L567" s="29" t="s">
        <v>260</v>
      </c>
      <c r="M567" s="57" t="s">
        <v>319</v>
      </c>
      <c r="N567" s="54" t="s">
        <v>320</v>
      </c>
    </row>
    <row r="568">
      <c r="A568" s="11" t="s">
        <v>121</v>
      </c>
      <c r="B568" s="11" t="s">
        <v>20</v>
      </c>
      <c r="C568" s="11" t="s">
        <v>336</v>
      </c>
      <c r="D568" s="11" t="s">
        <v>317</v>
      </c>
      <c r="E568" s="74" t="s">
        <v>910</v>
      </c>
      <c r="F568" s="74" t="s">
        <v>313</v>
      </c>
      <c r="G568" s="11" t="s">
        <v>74</v>
      </c>
      <c r="H568" s="11">
        <v>2008.0</v>
      </c>
      <c r="I568" s="40">
        <v>10830.0</v>
      </c>
      <c r="J568" s="40">
        <v>9723.0</v>
      </c>
      <c r="K568" s="11">
        <v>12340.0</v>
      </c>
      <c r="L568" s="29" t="s">
        <v>260</v>
      </c>
      <c r="M568" s="57" t="s">
        <v>319</v>
      </c>
      <c r="N568" s="54" t="s">
        <v>320</v>
      </c>
    </row>
    <row r="569">
      <c r="A569" s="11" t="s">
        <v>121</v>
      </c>
      <c r="B569" s="11" t="s">
        <v>20</v>
      </c>
      <c r="C569" s="11" t="s">
        <v>336</v>
      </c>
      <c r="D569" s="11" t="s">
        <v>317</v>
      </c>
      <c r="E569" s="74" t="s">
        <v>910</v>
      </c>
      <c r="F569" s="74" t="s">
        <v>313</v>
      </c>
      <c r="G569" s="11" t="s">
        <v>74</v>
      </c>
      <c r="H569" s="11">
        <v>2009.0</v>
      </c>
      <c r="I569" s="40">
        <v>11208.0</v>
      </c>
      <c r="J569" s="40">
        <v>9975.0</v>
      </c>
      <c r="K569" s="11">
        <v>12717.0</v>
      </c>
      <c r="L569" s="29" t="s">
        <v>260</v>
      </c>
      <c r="M569" s="57" t="s">
        <v>319</v>
      </c>
      <c r="N569" s="54" t="s">
        <v>320</v>
      </c>
    </row>
    <row r="570">
      <c r="A570" s="11" t="s">
        <v>121</v>
      </c>
      <c r="B570" s="11" t="s">
        <v>20</v>
      </c>
      <c r="C570" s="11" t="s">
        <v>336</v>
      </c>
      <c r="D570" s="11" t="s">
        <v>317</v>
      </c>
      <c r="E570" s="74" t="s">
        <v>910</v>
      </c>
      <c r="F570" s="74" t="s">
        <v>313</v>
      </c>
      <c r="G570" s="11" t="s">
        <v>74</v>
      </c>
      <c r="H570" s="11">
        <v>2010.0</v>
      </c>
      <c r="I570" s="40">
        <v>12340.0</v>
      </c>
      <c r="J570" s="40">
        <v>10830.0</v>
      </c>
      <c r="K570" s="11">
        <v>14201.0</v>
      </c>
      <c r="L570" s="29" t="s">
        <v>260</v>
      </c>
      <c r="M570" s="57" t="s">
        <v>319</v>
      </c>
      <c r="N570" s="54" t="s">
        <v>320</v>
      </c>
    </row>
    <row r="571">
      <c r="A571" s="11" t="s">
        <v>121</v>
      </c>
      <c r="B571" s="11" t="s">
        <v>20</v>
      </c>
      <c r="C571" s="11" t="s">
        <v>336</v>
      </c>
      <c r="D571" s="11" t="s">
        <v>317</v>
      </c>
      <c r="E571" s="74" t="s">
        <v>910</v>
      </c>
      <c r="F571" s="74" t="s">
        <v>313</v>
      </c>
      <c r="G571" s="11" t="s">
        <v>74</v>
      </c>
      <c r="H571" s="11">
        <v>2011.0</v>
      </c>
      <c r="I571" s="40">
        <v>12818.0</v>
      </c>
      <c r="J571" s="40">
        <v>11258.0</v>
      </c>
      <c r="K571" s="11">
        <v>14730.0</v>
      </c>
      <c r="L571" s="29" t="s">
        <v>260</v>
      </c>
      <c r="M571" s="57" t="s">
        <v>319</v>
      </c>
      <c r="N571" s="54" t="s">
        <v>320</v>
      </c>
    </row>
    <row r="572">
      <c r="A572" s="11" t="s">
        <v>121</v>
      </c>
      <c r="B572" s="11" t="s">
        <v>20</v>
      </c>
      <c r="C572" s="11" t="s">
        <v>336</v>
      </c>
      <c r="D572" s="11" t="s">
        <v>317</v>
      </c>
      <c r="E572" s="74" t="s">
        <v>910</v>
      </c>
      <c r="F572" s="74" t="s">
        <v>313</v>
      </c>
      <c r="G572" s="11" t="s">
        <v>74</v>
      </c>
      <c r="H572" s="11">
        <v>2012.0</v>
      </c>
      <c r="I572" s="40">
        <v>12610.0</v>
      </c>
      <c r="J572" s="40">
        <v>10704.0</v>
      </c>
      <c r="K572" s="11">
        <v>14931.0</v>
      </c>
      <c r="L572" s="29" t="s">
        <v>260</v>
      </c>
      <c r="M572" s="57" t="s">
        <v>319</v>
      </c>
      <c r="N572" s="54" t="s">
        <v>320</v>
      </c>
    </row>
    <row r="573">
      <c r="A573" s="11" t="s">
        <v>121</v>
      </c>
      <c r="B573" s="11" t="s">
        <v>20</v>
      </c>
      <c r="C573" s="11" t="s">
        <v>336</v>
      </c>
      <c r="D573" s="11" t="s">
        <v>317</v>
      </c>
      <c r="E573" s="74" t="s">
        <v>910</v>
      </c>
      <c r="F573" s="74" t="s">
        <v>313</v>
      </c>
      <c r="G573" s="11" t="s">
        <v>74</v>
      </c>
      <c r="H573" s="11">
        <v>2013.0</v>
      </c>
      <c r="I573" s="40">
        <v>12541.0</v>
      </c>
      <c r="J573" s="40">
        <v>10327.0</v>
      </c>
      <c r="K573" s="11">
        <v>15107.0</v>
      </c>
      <c r="L573" s="29" t="s">
        <v>260</v>
      </c>
      <c r="M573" s="57" t="s">
        <v>319</v>
      </c>
      <c r="N573" s="54" t="s">
        <v>320</v>
      </c>
    </row>
    <row r="574">
      <c r="A574" s="11" t="s">
        <v>121</v>
      </c>
      <c r="B574" s="11" t="s">
        <v>20</v>
      </c>
      <c r="C574" s="11" t="s">
        <v>336</v>
      </c>
      <c r="D574" s="11" t="s">
        <v>317</v>
      </c>
      <c r="E574" s="74" t="s">
        <v>910</v>
      </c>
      <c r="F574" s="74" t="s">
        <v>313</v>
      </c>
      <c r="G574" s="11" t="s">
        <v>74</v>
      </c>
      <c r="H574" s="11">
        <v>2014.0</v>
      </c>
      <c r="I574" s="40">
        <v>12340.0</v>
      </c>
      <c r="J574" s="40">
        <v>10302.0</v>
      </c>
      <c r="K574" s="11">
        <v>14101.0</v>
      </c>
      <c r="L574" s="29" t="s">
        <v>260</v>
      </c>
      <c r="M574" s="57" t="s">
        <v>319</v>
      </c>
      <c r="N574" s="54" t="s">
        <v>320</v>
      </c>
    </row>
    <row r="575">
      <c r="A575" s="11" t="s">
        <v>121</v>
      </c>
      <c r="B575" s="11" t="s">
        <v>20</v>
      </c>
      <c r="C575" s="11" t="s">
        <v>336</v>
      </c>
      <c r="D575" s="11" t="s">
        <v>317</v>
      </c>
      <c r="E575" s="74" t="s">
        <v>910</v>
      </c>
      <c r="F575" s="74" t="s">
        <v>313</v>
      </c>
      <c r="G575" s="11" t="s">
        <v>74</v>
      </c>
      <c r="H575" s="11">
        <v>2015.0</v>
      </c>
      <c r="I575" s="40">
        <v>12390.0</v>
      </c>
      <c r="J575" s="40">
        <v>10654.0</v>
      </c>
      <c r="K575" s="11">
        <v>14302.0</v>
      </c>
      <c r="L575" s="29" t="s">
        <v>260</v>
      </c>
      <c r="M575" s="57" t="s">
        <v>319</v>
      </c>
      <c r="N575" s="54" t="s">
        <v>320</v>
      </c>
    </row>
    <row r="576">
      <c r="A576" s="11" t="s">
        <v>121</v>
      </c>
      <c r="B576" s="11" t="s">
        <v>20</v>
      </c>
      <c r="C576" s="11" t="s">
        <v>336</v>
      </c>
      <c r="D576" s="11" t="s">
        <v>317</v>
      </c>
      <c r="E576" s="74" t="s">
        <v>910</v>
      </c>
      <c r="F576" s="74" t="s">
        <v>313</v>
      </c>
      <c r="G576" s="11" t="s">
        <v>74</v>
      </c>
      <c r="H576" s="11">
        <v>2016.0</v>
      </c>
      <c r="I576" s="40">
        <v>12767.0</v>
      </c>
      <c r="J576" s="40">
        <v>10428.0</v>
      </c>
      <c r="K576" s="11">
        <v>15585.0</v>
      </c>
      <c r="L576" s="29" t="s">
        <v>260</v>
      </c>
      <c r="M576" s="57" t="s">
        <v>319</v>
      </c>
      <c r="N576" s="54" t="s">
        <v>320</v>
      </c>
    </row>
    <row r="577">
      <c r="A577" s="11" t="s">
        <v>121</v>
      </c>
      <c r="B577" s="11" t="s">
        <v>20</v>
      </c>
      <c r="C577" s="11" t="s">
        <v>336</v>
      </c>
      <c r="D577" s="11" t="s">
        <v>317</v>
      </c>
      <c r="E577" s="74" t="s">
        <v>910</v>
      </c>
      <c r="F577" s="74" t="s">
        <v>313</v>
      </c>
      <c r="G577" s="11" t="s">
        <v>74</v>
      </c>
      <c r="H577" s="11">
        <v>2017.0</v>
      </c>
      <c r="I577" s="40">
        <v>12969.0</v>
      </c>
      <c r="J577" s="40">
        <v>10377.0</v>
      </c>
      <c r="K577" s="11">
        <v>16465.0</v>
      </c>
      <c r="L577" s="29" t="s">
        <v>260</v>
      </c>
      <c r="M577" s="57" t="s">
        <v>319</v>
      </c>
      <c r="N577" s="54" t="s">
        <v>320</v>
      </c>
    </row>
    <row r="578">
      <c r="A578" s="11" t="s">
        <v>121</v>
      </c>
      <c r="B578" s="11" t="s">
        <v>20</v>
      </c>
      <c r="C578" s="11" t="s">
        <v>336</v>
      </c>
      <c r="D578" s="11" t="s">
        <v>317</v>
      </c>
      <c r="E578" s="74" t="s">
        <v>910</v>
      </c>
      <c r="F578" s="74" t="s">
        <v>313</v>
      </c>
      <c r="G578" s="11" t="s">
        <v>74</v>
      </c>
      <c r="H578" s="11">
        <v>2018.0</v>
      </c>
      <c r="I578" s="40">
        <v>13270.0</v>
      </c>
      <c r="J578" s="40">
        <v>10403.0</v>
      </c>
      <c r="K578" s="11">
        <v>17648.0</v>
      </c>
      <c r="L578" s="29" t="s">
        <v>260</v>
      </c>
      <c r="M578" s="57" t="s">
        <v>319</v>
      </c>
      <c r="N578" s="54" t="s">
        <v>320</v>
      </c>
    </row>
    <row r="579">
      <c r="A579" s="11" t="s">
        <v>121</v>
      </c>
      <c r="B579" s="11" t="s">
        <v>20</v>
      </c>
      <c r="C579" s="11" t="s">
        <v>337</v>
      </c>
      <c r="D579" s="11" t="s">
        <v>317</v>
      </c>
      <c r="E579" s="74" t="s">
        <v>917</v>
      </c>
      <c r="F579" s="74" t="s">
        <v>313</v>
      </c>
      <c r="G579" s="11" t="s">
        <v>74</v>
      </c>
      <c r="H579" s="11">
        <v>1996.0</v>
      </c>
      <c r="I579" s="40">
        <v>19375.0</v>
      </c>
      <c r="J579" s="40">
        <v>16205.0</v>
      </c>
      <c r="K579" s="11">
        <v>23746.0</v>
      </c>
      <c r="L579" s="29" t="s">
        <v>260</v>
      </c>
      <c r="M579" s="57" t="s">
        <v>319</v>
      </c>
      <c r="N579" s="62" t="s">
        <v>320</v>
      </c>
    </row>
    <row r="580">
      <c r="A580" s="11" t="s">
        <v>121</v>
      </c>
      <c r="B580" s="11" t="s">
        <v>20</v>
      </c>
      <c r="C580" s="11" t="s">
        <v>337</v>
      </c>
      <c r="D580" s="11" t="s">
        <v>317</v>
      </c>
      <c r="E580" s="74" t="s">
        <v>917</v>
      </c>
      <c r="F580" s="74" t="s">
        <v>313</v>
      </c>
      <c r="G580" s="11" t="s">
        <v>74</v>
      </c>
      <c r="H580" s="11">
        <v>1997.0</v>
      </c>
      <c r="I580" s="40">
        <v>18450.0</v>
      </c>
      <c r="J580" s="40">
        <v>15608.0</v>
      </c>
      <c r="K580" s="11">
        <v>21837.0</v>
      </c>
      <c r="L580" s="29" t="s">
        <v>260</v>
      </c>
      <c r="M580" s="57" t="s">
        <v>319</v>
      </c>
      <c r="N580" s="62" t="s">
        <v>320</v>
      </c>
    </row>
    <row r="581">
      <c r="A581" s="11" t="s">
        <v>121</v>
      </c>
      <c r="B581" s="11" t="s">
        <v>20</v>
      </c>
      <c r="C581" s="11" t="s">
        <v>337</v>
      </c>
      <c r="D581" s="11" t="s">
        <v>317</v>
      </c>
      <c r="E581" s="74" t="s">
        <v>917</v>
      </c>
      <c r="F581" s="74" t="s">
        <v>313</v>
      </c>
      <c r="G581" s="11" t="s">
        <v>74</v>
      </c>
      <c r="H581" s="11">
        <v>1998.0</v>
      </c>
      <c r="I581" s="40">
        <v>16541.0</v>
      </c>
      <c r="J581" s="40">
        <v>14519.0</v>
      </c>
      <c r="K581" s="11">
        <v>19601.0</v>
      </c>
      <c r="L581" s="29" t="s">
        <v>260</v>
      </c>
      <c r="M581" s="57" t="s">
        <v>319</v>
      </c>
      <c r="N581" s="62" t="s">
        <v>320</v>
      </c>
    </row>
    <row r="582">
      <c r="A582" s="11" t="s">
        <v>121</v>
      </c>
      <c r="B582" s="11" t="s">
        <v>20</v>
      </c>
      <c r="C582" s="11" t="s">
        <v>337</v>
      </c>
      <c r="D582" s="11" t="s">
        <v>317</v>
      </c>
      <c r="E582" s="74" t="s">
        <v>917</v>
      </c>
      <c r="F582" s="74" t="s">
        <v>313</v>
      </c>
      <c r="G582" s="11" t="s">
        <v>74</v>
      </c>
      <c r="H582" s="11">
        <v>1999.0</v>
      </c>
      <c r="I582" s="40">
        <v>18183.0</v>
      </c>
      <c r="J582" s="40">
        <v>15397.0</v>
      </c>
      <c r="K582" s="11">
        <v>21462.0</v>
      </c>
      <c r="L582" s="29" t="s">
        <v>260</v>
      </c>
      <c r="M582" s="57" t="s">
        <v>319</v>
      </c>
      <c r="N582" s="62" t="s">
        <v>320</v>
      </c>
    </row>
    <row r="583">
      <c r="A583" s="11" t="s">
        <v>121</v>
      </c>
      <c r="B583" s="11" t="s">
        <v>20</v>
      </c>
      <c r="C583" s="11" t="s">
        <v>337</v>
      </c>
      <c r="D583" s="11" t="s">
        <v>317</v>
      </c>
      <c r="E583" s="74" t="s">
        <v>917</v>
      </c>
      <c r="F583" s="74" t="s">
        <v>313</v>
      </c>
      <c r="G583" s="11" t="s">
        <v>74</v>
      </c>
      <c r="H583" s="11">
        <v>2000.0</v>
      </c>
      <c r="I583" s="40">
        <v>18679.0</v>
      </c>
      <c r="J583" s="40">
        <v>15400.0</v>
      </c>
      <c r="K583" s="11">
        <v>22504.0</v>
      </c>
      <c r="L583" s="29" t="s">
        <v>260</v>
      </c>
      <c r="M583" s="57" t="s">
        <v>319</v>
      </c>
      <c r="N583" s="62" t="s">
        <v>320</v>
      </c>
    </row>
    <row r="584">
      <c r="A584" s="11" t="s">
        <v>121</v>
      </c>
      <c r="B584" s="11" t="s">
        <v>20</v>
      </c>
      <c r="C584" s="11" t="s">
        <v>337</v>
      </c>
      <c r="D584" s="11" t="s">
        <v>317</v>
      </c>
      <c r="E584" s="74" t="s">
        <v>917</v>
      </c>
      <c r="F584" s="74" t="s">
        <v>313</v>
      </c>
      <c r="G584" s="11" t="s">
        <v>74</v>
      </c>
      <c r="H584" s="11">
        <v>2001.0</v>
      </c>
      <c r="I584" s="40">
        <v>18683.0</v>
      </c>
      <c r="J584" s="40">
        <v>15950.0</v>
      </c>
      <c r="K584" s="11">
        <v>22016.0</v>
      </c>
      <c r="L584" s="29" t="s">
        <v>260</v>
      </c>
      <c r="M584" s="57" t="s">
        <v>319</v>
      </c>
      <c r="N584" s="62" t="s">
        <v>320</v>
      </c>
    </row>
    <row r="585">
      <c r="A585" s="11" t="s">
        <v>121</v>
      </c>
      <c r="B585" s="11" t="s">
        <v>20</v>
      </c>
      <c r="C585" s="11" t="s">
        <v>337</v>
      </c>
      <c r="D585" s="11" t="s">
        <v>317</v>
      </c>
      <c r="E585" s="74" t="s">
        <v>917</v>
      </c>
      <c r="F585" s="74" t="s">
        <v>313</v>
      </c>
      <c r="G585" s="11" t="s">
        <v>74</v>
      </c>
      <c r="H585" s="11">
        <v>2002.0</v>
      </c>
      <c r="I585" s="40">
        <v>18577.0</v>
      </c>
      <c r="J585" s="40">
        <v>15900.0</v>
      </c>
      <c r="K585" s="11">
        <v>22293.0</v>
      </c>
      <c r="L585" s="29" t="s">
        <v>260</v>
      </c>
      <c r="M585" s="57" t="s">
        <v>319</v>
      </c>
      <c r="N585" s="62" t="s">
        <v>320</v>
      </c>
    </row>
    <row r="586">
      <c r="A586" s="11" t="s">
        <v>121</v>
      </c>
      <c r="B586" s="11" t="s">
        <v>20</v>
      </c>
      <c r="C586" s="11" t="s">
        <v>337</v>
      </c>
      <c r="D586" s="11" t="s">
        <v>317</v>
      </c>
      <c r="E586" s="74" t="s">
        <v>917</v>
      </c>
      <c r="F586" s="74" t="s">
        <v>313</v>
      </c>
      <c r="G586" s="11" t="s">
        <v>74</v>
      </c>
      <c r="H586" s="11">
        <v>2003.0</v>
      </c>
      <c r="I586" s="40">
        <v>17433.0</v>
      </c>
      <c r="J586" s="40">
        <v>15630.0</v>
      </c>
      <c r="K586" s="11">
        <v>19783.0</v>
      </c>
      <c r="L586" s="29" t="s">
        <v>260</v>
      </c>
      <c r="M586" s="57" t="s">
        <v>319</v>
      </c>
      <c r="N586" s="62" t="s">
        <v>320</v>
      </c>
    </row>
    <row r="587">
      <c r="A587" s="11" t="s">
        <v>121</v>
      </c>
      <c r="B587" s="11" t="s">
        <v>20</v>
      </c>
      <c r="C587" s="11" t="s">
        <v>337</v>
      </c>
      <c r="D587" s="11" t="s">
        <v>317</v>
      </c>
      <c r="E587" s="74" t="s">
        <v>917</v>
      </c>
      <c r="F587" s="74" t="s">
        <v>313</v>
      </c>
      <c r="G587" s="11" t="s">
        <v>74</v>
      </c>
      <c r="H587" s="11">
        <v>2004.0</v>
      </c>
      <c r="I587" s="40">
        <v>19021.0</v>
      </c>
      <c r="J587" s="40">
        <v>16180.0</v>
      </c>
      <c r="K587" s="11">
        <v>22737.0</v>
      </c>
      <c r="L587" s="29" t="s">
        <v>260</v>
      </c>
      <c r="M587" s="57" t="s">
        <v>319</v>
      </c>
      <c r="N587" s="62" t="s">
        <v>320</v>
      </c>
    </row>
    <row r="588">
      <c r="A588" s="11" t="s">
        <v>121</v>
      </c>
      <c r="B588" s="11" t="s">
        <v>20</v>
      </c>
      <c r="C588" s="11" t="s">
        <v>337</v>
      </c>
      <c r="D588" s="11" t="s">
        <v>317</v>
      </c>
      <c r="E588" s="74" t="s">
        <v>917</v>
      </c>
      <c r="F588" s="74" t="s">
        <v>313</v>
      </c>
      <c r="G588" s="11" t="s">
        <v>74</v>
      </c>
      <c r="H588" s="11">
        <v>2005.0</v>
      </c>
      <c r="I588" s="40">
        <v>19954.0</v>
      </c>
      <c r="J588" s="40">
        <v>16785.0</v>
      </c>
      <c r="K588" s="11">
        <v>23779.0</v>
      </c>
      <c r="L588" s="29" t="s">
        <v>260</v>
      </c>
      <c r="M588" s="57" t="s">
        <v>319</v>
      </c>
      <c r="N588" s="62" t="s">
        <v>320</v>
      </c>
    </row>
    <row r="589">
      <c r="A589" s="11" t="s">
        <v>121</v>
      </c>
      <c r="B589" s="11" t="s">
        <v>20</v>
      </c>
      <c r="C589" s="11" t="s">
        <v>337</v>
      </c>
      <c r="D589" s="11" t="s">
        <v>317</v>
      </c>
      <c r="E589" s="74" t="s">
        <v>917</v>
      </c>
      <c r="F589" s="74" t="s">
        <v>313</v>
      </c>
      <c r="G589" s="11" t="s">
        <v>74</v>
      </c>
      <c r="H589" s="11">
        <v>2006.0</v>
      </c>
      <c r="I589" s="40">
        <v>20012.0</v>
      </c>
      <c r="J589" s="40">
        <v>16898.0</v>
      </c>
      <c r="K589" s="11">
        <v>24548.0</v>
      </c>
      <c r="L589" s="29" t="s">
        <v>260</v>
      </c>
      <c r="M589" s="57" t="s">
        <v>319</v>
      </c>
      <c r="N589" s="62" t="s">
        <v>320</v>
      </c>
    </row>
    <row r="590">
      <c r="A590" s="11" t="s">
        <v>121</v>
      </c>
      <c r="B590" s="11" t="s">
        <v>20</v>
      </c>
      <c r="C590" s="11" t="s">
        <v>337</v>
      </c>
      <c r="D590" s="11" t="s">
        <v>317</v>
      </c>
      <c r="E590" s="74" t="s">
        <v>917</v>
      </c>
      <c r="F590" s="74" t="s">
        <v>313</v>
      </c>
      <c r="G590" s="11" t="s">
        <v>74</v>
      </c>
      <c r="H590" s="11">
        <v>2007.0</v>
      </c>
      <c r="I590" s="40">
        <v>20289.0</v>
      </c>
      <c r="J590" s="40">
        <v>17448.0</v>
      </c>
      <c r="K590" s="11">
        <v>24989.0</v>
      </c>
      <c r="L590" s="29" t="s">
        <v>260</v>
      </c>
      <c r="M590" s="57" t="s">
        <v>319</v>
      </c>
      <c r="N590" s="62" t="s">
        <v>320</v>
      </c>
    </row>
    <row r="591">
      <c r="A591" s="11" t="s">
        <v>121</v>
      </c>
      <c r="B591" s="11" t="s">
        <v>20</v>
      </c>
      <c r="C591" s="11" t="s">
        <v>337</v>
      </c>
      <c r="D591" s="11" t="s">
        <v>317</v>
      </c>
      <c r="E591" s="74" t="s">
        <v>917</v>
      </c>
      <c r="F591" s="74" t="s">
        <v>313</v>
      </c>
      <c r="G591" s="11" t="s">
        <v>74</v>
      </c>
      <c r="H591" s="11">
        <v>2008.0</v>
      </c>
      <c r="I591" s="40">
        <v>20129.0</v>
      </c>
      <c r="J591" s="40">
        <v>17834.0</v>
      </c>
      <c r="K591" s="11">
        <v>23298.0</v>
      </c>
      <c r="L591" s="29" t="s">
        <v>260</v>
      </c>
      <c r="M591" s="57" t="s">
        <v>319</v>
      </c>
      <c r="N591" s="62" t="s">
        <v>320</v>
      </c>
    </row>
    <row r="592">
      <c r="A592" s="11" t="s">
        <v>121</v>
      </c>
      <c r="B592" s="11" t="s">
        <v>20</v>
      </c>
      <c r="C592" s="11" t="s">
        <v>337</v>
      </c>
      <c r="D592" s="11" t="s">
        <v>317</v>
      </c>
      <c r="E592" s="74" t="s">
        <v>917</v>
      </c>
      <c r="F592" s="74" t="s">
        <v>313</v>
      </c>
      <c r="G592" s="11" t="s">
        <v>74</v>
      </c>
      <c r="H592" s="11">
        <v>2009.0</v>
      </c>
      <c r="I592" s="40">
        <v>21717.0</v>
      </c>
      <c r="J592" s="40">
        <v>19477.0</v>
      </c>
      <c r="K592" s="11">
        <v>24613.0</v>
      </c>
      <c r="L592" s="29" t="s">
        <v>260</v>
      </c>
      <c r="M592" s="57" t="s">
        <v>319</v>
      </c>
      <c r="N592" s="62" t="s">
        <v>320</v>
      </c>
    </row>
    <row r="593">
      <c r="A593" s="11" t="s">
        <v>121</v>
      </c>
      <c r="B593" s="11" t="s">
        <v>20</v>
      </c>
      <c r="C593" s="11" t="s">
        <v>337</v>
      </c>
      <c r="D593" s="11" t="s">
        <v>317</v>
      </c>
      <c r="E593" s="74" t="s">
        <v>917</v>
      </c>
      <c r="F593" s="74" t="s">
        <v>313</v>
      </c>
      <c r="G593" s="11" t="s">
        <v>74</v>
      </c>
      <c r="H593" s="11">
        <v>2010.0</v>
      </c>
      <c r="I593" s="40">
        <v>20682.0</v>
      </c>
      <c r="J593" s="40">
        <v>18497.0</v>
      </c>
      <c r="K593" s="11">
        <v>23961.0</v>
      </c>
      <c r="L593" s="29" t="s">
        <v>260</v>
      </c>
      <c r="M593" s="57" t="s">
        <v>319</v>
      </c>
      <c r="N593" s="62" t="s">
        <v>320</v>
      </c>
    </row>
    <row r="594">
      <c r="A594" s="11" t="s">
        <v>121</v>
      </c>
      <c r="B594" s="11" t="s">
        <v>20</v>
      </c>
      <c r="C594" s="11" t="s">
        <v>337</v>
      </c>
      <c r="D594" s="11" t="s">
        <v>317</v>
      </c>
      <c r="E594" s="74" t="s">
        <v>917</v>
      </c>
      <c r="F594" s="74" t="s">
        <v>313</v>
      </c>
      <c r="G594" s="11" t="s">
        <v>74</v>
      </c>
      <c r="H594" s="11">
        <v>2011.0</v>
      </c>
      <c r="I594" s="40">
        <v>22380.0</v>
      </c>
      <c r="J594" s="40">
        <v>19757.0</v>
      </c>
      <c r="K594" s="11">
        <v>25495.0</v>
      </c>
      <c r="L594" s="29" t="s">
        <v>260</v>
      </c>
      <c r="M594" s="57" t="s">
        <v>319</v>
      </c>
      <c r="N594" s="62" t="s">
        <v>320</v>
      </c>
    </row>
    <row r="595">
      <c r="A595" s="11" t="s">
        <v>121</v>
      </c>
      <c r="B595" s="11" t="s">
        <v>20</v>
      </c>
      <c r="C595" s="11" t="s">
        <v>337</v>
      </c>
      <c r="D595" s="11" t="s">
        <v>317</v>
      </c>
      <c r="E595" s="74" t="s">
        <v>917</v>
      </c>
      <c r="F595" s="74" t="s">
        <v>313</v>
      </c>
      <c r="G595" s="11" t="s">
        <v>74</v>
      </c>
      <c r="H595" s="11">
        <v>2012.0</v>
      </c>
      <c r="I595" s="40">
        <v>22384.0</v>
      </c>
      <c r="J595" s="40">
        <v>19488.0</v>
      </c>
      <c r="K595" s="11">
        <v>25772.0</v>
      </c>
      <c r="L595" s="29" t="s">
        <v>260</v>
      </c>
      <c r="M595" s="57" t="s">
        <v>319</v>
      </c>
      <c r="N595" s="62" t="s">
        <v>320</v>
      </c>
    </row>
    <row r="596">
      <c r="A596" s="11" t="s">
        <v>121</v>
      </c>
      <c r="B596" s="11" t="s">
        <v>20</v>
      </c>
      <c r="C596" s="11" t="s">
        <v>337</v>
      </c>
      <c r="D596" s="11" t="s">
        <v>317</v>
      </c>
      <c r="E596" s="74" t="s">
        <v>917</v>
      </c>
      <c r="F596" s="74" t="s">
        <v>313</v>
      </c>
      <c r="G596" s="11" t="s">
        <v>74</v>
      </c>
      <c r="H596" s="11">
        <v>2013.0</v>
      </c>
      <c r="I596" s="40">
        <v>22060.0</v>
      </c>
      <c r="J596" s="40">
        <v>18726.0</v>
      </c>
      <c r="K596" s="11">
        <v>25939.0</v>
      </c>
      <c r="L596" s="29" t="s">
        <v>260</v>
      </c>
      <c r="M596" s="57" t="s">
        <v>319</v>
      </c>
      <c r="N596" s="62" t="s">
        <v>320</v>
      </c>
    </row>
    <row r="597">
      <c r="A597" s="11" t="s">
        <v>121</v>
      </c>
      <c r="B597" s="11" t="s">
        <v>20</v>
      </c>
      <c r="C597" s="11" t="s">
        <v>337</v>
      </c>
      <c r="D597" s="11" t="s">
        <v>317</v>
      </c>
      <c r="E597" s="74" t="s">
        <v>917</v>
      </c>
      <c r="F597" s="74" t="s">
        <v>313</v>
      </c>
      <c r="G597" s="11" t="s">
        <v>74</v>
      </c>
      <c r="H597" s="11">
        <v>2014.0</v>
      </c>
      <c r="I597" s="40">
        <v>22118.0</v>
      </c>
      <c r="J597" s="40">
        <v>18402.0</v>
      </c>
      <c r="K597" s="11">
        <v>26544.0</v>
      </c>
      <c r="L597" s="29" t="s">
        <v>260</v>
      </c>
      <c r="M597" s="57" t="s">
        <v>319</v>
      </c>
      <c r="N597" s="62" t="s">
        <v>320</v>
      </c>
    </row>
    <row r="598">
      <c r="A598" s="11" t="s">
        <v>121</v>
      </c>
      <c r="B598" s="11" t="s">
        <v>20</v>
      </c>
      <c r="C598" s="11" t="s">
        <v>337</v>
      </c>
      <c r="D598" s="11" t="s">
        <v>317</v>
      </c>
      <c r="E598" s="74" t="s">
        <v>917</v>
      </c>
      <c r="F598" s="74" t="s">
        <v>313</v>
      </c>
      <c r="G598" s="11" t="s">
        <v>74</v>
      </c>
      <c r="H598" s="11">
        <v>2015.0</v>
      </c>
      <c r="I598" s="40">
        <v>21083.0</v>
      </c>
      <c r="J598" s="40">
        <v>18242.0</v>
      </c>
      <c r="K598" s="11">
        <v>24908.0</v>
      </c>
      <c r="L598" s="29" t="s">
        <v>260</v>
      </c>
      <c r="M598" s="57" t="s">
        <v>319</v>
      </c>
      <c r="N598" s="62" t="s">
        <v>320</v>
      </c>
    </row>
    <row r="599">
      <c r="A599" s="11" t="s">
        <v>121</v>
      </c>
      <c r="B599" s="11" t="s">
        <v>20</v>
      </c>
      <c r="C599" s="11" t="s">
        <v>337</v>
      </c>
      <c r="D599" s="11" t="s">
        <v>317</v>
      </c>
      <c r="E599" s="74" t="s">
        <v>917</v>
      </c>
      <c r="F599" s="74" t="s">
        <v>313</v>
      </c>
      <c r="G599" s="11" t="s">
        <v>74</v>
      </c>
      <c r="H599" s="11">
        <v>2016.0</v>
      </c>
      <c r="I599" s="40">
        <v>22125.0</v>
      </c>
      <c r="J599" s="40">
        <v>18956.0</v>
      </c>
      <c r="K599" s="11">
        <v>27863.0</v>
      </c>
      <c r="L599" s="29" t="s">
        <v>260</v>
      </c>
      <c r="M599" s="57" t="s">
        <v>319</v>
      </c>
      <c r="N599" s="62" t="s">
        <v>320</v>
      </c>
    </row>
    <row r="600">
      <c r="A600" s="11" t="s">
        <v>121</v>
      </c>
      <c r="B600" s="11" t="s">
        <v>20</v>
      </c>
      <c r="C600" s="11" t="s">
        <v>337</v>
      </c>
      <c r="D600" s="11" t="s">
        <v>317</v>
      </c>
      <c r="E600" s="74" t="s">
        <v>917</v>
      </c>
      <c r="F600" s="74" t="s">
        <v>313</v>
      </c>
      <c r="G600" s="11" t="s">
        <v>74</v>
      </c>
      <c r="H600" s="11">
        <v>2017.0</v>
      </c>
      <c r="I600" s="40">
        <v>23331.0</v>
      </c>
      <c r="J600" s="40">
        <v>19069.0</v>
      </c>
      <c r="K600" s="11">
        <v>30490.0</v>
      </c>
      <c r="L600" s="29" t="s">
        <v>260</v>
      </c>
      <c r="M600" s="57" t="s">
        <v>319</v>
      </c>
      <c r="N600" s="62" t="s">
        <v>320</v>
      </c>
    </row>
    <row r="601">
      <c r="A601" s="11" t="s">
        <v>121</v>
      </c>
      <c r="B601" s="11" t="s">
        <v>20</v>
      </c>
      <c r="C601" s="11" t="s">
        <v>337</v>
      </c>
      <c r="D601" s="11" t="s">
        <v>317</v>
      </c>
      <c r="E601" s="74" t="s">
        <v>917</v>
      </c>
      <c r="F601" s="74" t="s">
        <v>313</v>
      </c>
      <c r="G601" s="11" t="s">
        <v>74</v>
      </c>
      <c r="H601" s="11">
        <v>2018.0</v>
      </c>
      <c r="I601" s="40">
        <v>23553.0</v>
      </c>
      <c r="J601" s="40">
        <v>18744.0</v>
      </c>
      <c r="K601" s="11">
        <v>28635.0</v>
      </c>
      <c r="L601" s="29" t="s">
        <v>260</v>
      </c>
      <c r="M601" s="57" t="s">
        <v>319</v>
      </c>
      <c r="N601" s="62" t="s">
        <v>320</v>
      </c>
    </row>
    <row r="602">
      <c r="A602" s="11" t="s">
        <v>121</v>
      </c>
      <c r="B602" s="11" t="s">
        <v>20</v>
      </c>
      <c r="C602" s="11" t="s">
        <v>339</v>
      </c>
      <c r="D602" s="11" t="s">
        <v>317</v>
      </c>
      <c r="E602" s="74" t="s">
        <v>921</v>
      </c>
      <c r="F602" s="74" t="s">
        <v>313</v>
      </c>
      <c r="G602" s="11" t="s">
        <v>74</v>
      </c>
      <c r="H602" s="11">
        <v>1996.0</v>
      </c>
      <c r="I602" s="40">
        <v>27157.0</v>
      </c>
      <c r="J602" s="40">
        <v>24326.0</v>
      </c>
      <c r="K602" s="11">
        <v>30157.0</v>
      </c>
      <c r="L602" s="29" t="s">
        <v>260</v>
      </c>
      <c r="M602" s="57" t="s">
        <v>319</v>
      </c>
      <c r="N602" s="62" t="s">
        <v>320</v>
      </c>
    </row>
    <row r="603">
      <c r="A603" s="11" t="s">
        <v>121</v>
      </c>
      <c r="B603" s="11" t="s">
        <v>20</v>
      </c>
      <c r="C603" s="11" t="s">
        <v>339</v>
      </c>
      <c r="D603" s="11" t="s">
        <v>317</v>
      </c>
      <c r="E603" s="74" t="s">
        <v>921</v>
      </c>
      <c r="F603" s="74" t="s">
        <v>313</v>
      </c>
      <c r="G603" s="11" t="s">
        <v>74</v>
      </c>
      <c r="H603" s="11">
        <v>1997.0</v>
      </c>
      <c r="I603" s="40">
        <v>27752.0</v>
      </c>
      <c r="J603" s="40">
        <v>24879.0</v>
      </c>
      <c r="K603" s="11">
        <v>30667.0</v>
      </c>
      <c r="L603" s="29" t="s">
        <v>260</v>
      </c>
      <c r="M603" s="57" t="s">
        <v>319</v>
      </c>
      <c r="N603" s="62" t="s">
        <v>320</v>
      </c>
    </row>
    <row r="604">
      <c r="A604" s="11" t="s">
        <v>121</v>
      </c>
      <c r="B604" s="11" t="s">
        <v>20</v>
      </c>
      <c r="C604" s="11" t="s">
        <v>339</v>
      </c>
      <c r="D604" s="11" t="s">
        <v>317</v>
      </c>
      <c r="E604" s="74" t="s">
        <v>921</v>
      </c>
      <c r="F604" s="74" t="s">
        <v>313</v>
      </c>
      <c r="G604" s="11" t="s">
        <v>74</v>
      </c>
      <c r="H604" s="11">
        <v>1998.0</v>
      </c>
      <c r="I604" s="40">
        <v>27374.0</v>
      </c>
      <c r="J604" s="40">
        <v>24797.0</v>
      </c>
      <c r="K604" s="11">
        <v>30332.0</v>
      </c>
      <c r="L604" s="29" t="s">
        <v>260</v>
      </c>
      <c r="M604" s="57" t="s">
        <v>319</v>
      </c>
      <c r="N604" s="62" t="s">
        <v>320</v>
      </c>
    </row>
    <row r="605">
      <c r="A605" s="11" t="s">
        <v>121</v>
      </c>
      <c r="B605" s="11" t="s">
        <v>20</v>
      </c>
      <c r="C605" s="11" t="s">
        <v>339</v>
      </c>
      <c r="D605" s="11" t="s">
        <v>317</v>
      </c>
      <c r="E605" s="74" t="s">
        <v>921</v>
      </c>
      <c r="F605" s="74" t="s">
        <v>313</v>
      </c>
      <c r="G605" s="11" t="s">
        <v>74</v>
      </c>
      <c r="H605" s="11">
        <v>1999.0</v>
      </c>
      <c r="I605" s="40">
        <v>27969.0</v>
      </c>
      <c r="J605" s="40">
        <v>24926.0</v>
      </c>
      <c r="K605" s="11">
        <v>31433.0</v>
      </c>
      <c r="L605" s="29" t="s">
        <v>260</v>
      </c>
      <c r="M605" s="57" t="s">
        <v>319</v>
      </c>
      <c r="N605" s="62" t="s">
        <v>320</v>
      </c>
    </row>
    <row r="606">
      <c r="A606" s="11" t="s">
        <v>121</v>
      </c>
      <c r="B606" s="11" t="s">
        <v>20</v>
      </c>
      <c r="C606" s="11" t="s">
        <v>339</v>
      </c>
      <c r="D606" s="11" t="s">
        <v>317</v>
      </c>
      <c r="E606" s="74" t="s">
        <v>921</v>
      </c>
      <c r="F606" s="74" t="s">
        <v>313</v>
      </c>
      <c r="G606" s="11" t="s">
        <v>74</v>
      </c>
      <c r="H606" s="11">
        <v>2000.0</v>
      </c>
      <c r="I606" s="40">
        <v>27971.0</v>
      </c>
      <c r="J606" s="40">
        <v>25225.0</v>
      </c>
      <c r="K606" s="11">
        <v>31098.0</v>
      </c>
      <c r="L606" s="29" t="s">
        <v>260</v>
      </c>
      <c r="M606" s="57" t="s">
        <v>319</v>
      </c>
      <c r="N606" s="62" t="s">
        <v>320</v>
      </c>
    </row>
    <row r="607">
      <c r="A607" s="11" t="s">
        <v>121</v>
      </c>
      <c r="B607" s="11" t="s">
        <v>20</v>
      </c>
      <c r="C607" s="11" t="s">
        <v>339</v>
      </c>
      <c r="D607" s="11" t="s">
        <v>317</v>
      </c>
      <c r="E607" s="74" t="s">
        <v>921</v>
      </c>
      <c r="F607" s="74" t="s">
        <v>313</v>
      </c>
      <c r="G607" s="11" t="s">
        <v>74</v>
      </c>
      <c r="H607" s="11">
        <v>2001.0</v>
      </c>
      <c r="I607" s="40">
        <v>29368.0</v>
      </c>
      <c r="J607" s="40">
        <v>26031.0</v>
      </c>
      <c r="K607" s="11">
        <v>33298.0</v>
      </c>
      <c r="L607" s="29" t="s">
        <v>260</v>
      </c>
      <c r="M607" s="57" t="s">
        <v>319</v>
      </c>
      <c r="N607" s="62" t="s">
        <v>320</v>
      </c>
    </row>
    <row r="608">
      <c r="A608" s="11" t="s">
        <v>121</v>
      </c>
      <c r="B608" s="11" t="s">
        <v>20</v>
      </c>
      <c r="C608" s="11" t="s">
        <v>339</v>
      </c>
      <c r="D608" s="11" t="s">
        <v>317</v>
      </c>
      <c r="E608" s="74" t="s">
        <v>921</v>
      </c>
      <c r="F608" s="74" t="s">
        <v>313</v>
      </c>
      <c r="G608" s="11" t="s">
        <v>74</v>
      </c>
      <c r="H608" s="11">
        <v>2002.0</v>
      </c>
      <c r="I608" s="40">
        <v>30639.0</v>
      </c>
      <c r="J608" s="40">
        <v>27301.0</v>
      </c>
      <c r="K608" s="11">
        <v>34019.0</v>
      </c>
      <c r="L608" s="29" t="s">
        <v>260</v>
      </c>
      <c r="M608" s="57" t="s">
        <v>319</v>
      </c>
      <c r="N608" s="62" t="s">
        <v>320</v>
      </c>
    </row>
    <row r="609">
      <c r="A609" s="11" t="s">
        <v>121</v>
      </c>
      <c r="B609" s="11" t="s">
        <v>20</v>
      </c>
      <c r="C609" s="11" t="s">
        <v>339</v>
      </c>
      <c r="D609" s="11" t="s">
        <v>317</v>
      </c>
      <c r="E609" s="74" t="s">
        <v>921</v>
      </c>
      <c r="F609" s="74" t="s">
        <v>313</v>
      </c>
      <c r="G609" s="11" t="s">
        <v>74</v>
      </c>
      <c r="H609" s="11">
        <v>2003.0</v>
      </c>
      <c r="I609" s="40">
        <v>30093.0</v>
      </c>
      <c r="J609" s="40">
        <v>27473.0</v>
      </c>
      <c r="K609" s="11">
        <v>33684.0</v>
      </c>
      <c r="L609" s="29" t="s">
        <v>260</v>
      </c>
      <c r="M609" s="57" t="s">
        <v>319</v>
      </c>
      <c r="N609" s="62" t="s">
        <v>320</v>
      </c>
    </row>
    <row r="610">
      <c r="A610" s="11" t="s">
        <v>121</v>
      </c>
      <c r="B610" s="11" t="s">
        <v>20</v>
      </c>
      <c r="C610" s="11" t="s">
        <v>339</v>
      </c>
      <c r="D610" s="11" t="s">
        <v>317</v>
      </c>
      <c r="E610" s="74" t="s">
        <v>921</v>
      </c>
      <c r="F610" s="74" t="s">
        <v>313</v>
      </c>
      <c r="G610" s="11" t="s">
        <v>74</v>
      </c>
      <c r="H610" s="11">
        <v>2004.0</v>
      </c>
      <c r="I610" s="40">
        <v>29630.0</v>
      </c>
      <c r="J610" s="40">
        <v>26504.0</v>
      </c>
      <c r="K610" s="11">
        <v>33138.0</v>
      </c>
      <c r="L610" s="29" t="s">
        <v>260</v>
      </c>
      <c r="M610" s="57" t="s">
        <v>319</v>
      </c>
      <c r="N610" s="62" t="s">
        <v>320</v>
      </c>
    </row>
    <row r="611">
      <c r="A611" s="11" t="s">
        <v>121</v>
      </c>
      <c r="B611" s="11" t="s">
        <v>20</v>
      </c>
      <c r="C611" s="11" t="s">
        <v>339</v>
      </c>
      <c r="D611" s="11" t="s">
        <v>317</v>
      </c>
      <c r="E611" s="74" t="s">
        <v>921</v>
      </c>
      <c r="F611" s="74" t="s">
        <v>313</v>
      </c>
      <c r="G611" s="11" t="s">
        <v>74</v>
      </c>
      <c r="H611" s="11">
        <v>2005.0</v>
      </c>
      <c r="I611" s="40">
        <v>29169.0</v>
      </c>
      <c r="J611" s="40">
        <v>26169.0</v>
      </c>
      <c r="K611" s="11">
        <v>33225.0</v>
      </c>
      <c r="L611" s="29" t="s">
        <v>260</v>
      </c>
      <c r="M611" s="57" t="s">
        <v>319</v>
      </c>
      <c r="N611" s="62" t="s">
        <v>320</v>
      </c>
    </row>
    <row r="612">
      <c r="A612" s="11" t="s">
        <v>121</v>
      </c>
      <c r="B612" s="11" t="s">
        <v>20</v>
      </c>
      <c r="C612" s="11" t="s">
        <v>339</v>
      </c>
      <c r="D612" s="11" t="s">
        <v>317</v>
      </c>
      <c r="E612" s="74" t="s">
        <v>921</v>
      </c>
      <c r="F612" s="74" t="s">
        <v>313</v>
      </c>
      <c r="G612" s="11" t="s">
        <v>74</v>
      </c>
      <c r="H612" s="11">
        <v>2006.0</v>
      </c>
      <c r="I612" s="40">
        <v>29277.0</v>
      </c>
      <c r="J612" s="40">
        <v>26087.0</v>
      </c>
      <c r="K612" s="11">
        <v>33228.0</v>
      </c>
      <c r="L612" s="29" t="s">
        <v>260</v>
      </c>
      <c r="M612" s="57" t="s">
        <v>319</v>
      </c>
      <c r="N612" s="62" t="s">
        <v>320</v>
      </c>
    </row>
    <row r="613">
      <c r="A613" s="11" t="s">
        <v>121</v>
      </c>
      <c r="B613" s="11" t="s">
        <v>20</v>
      </c>
      <c r="C613" s="11" t="s">
        <v>339</v>
      </c>
      <c r="D613" s="11" t="s">
        <v>317</v>
      </c>
      <c r="E613" s="74" t="s">
        <v>921</v>
      </c>
      <c r="F613" s="74" t="s">
        <v>313</v>
      </c>
      <c r="G613" s="11" t="s">
        <v>74</v>
      </c>
      <c r="H613" s="11">
        <v>2007.0</v>
      </c>
      <c r="I613" s="40">
        <v>28371.0</v>
      </c>
      <c r="J613" s="40">
        <v>25583.0</v>
      </c>
      <c r="K613" s="11">
        <v>31245.0</v>
      </c>
      <c r="L613" s="29" t="s">
        <v>260</v>
      </c>
      <c r="M613" s="57" t="s">
        <v>319</v>
      </c>
      <c r="N613" s="62" t="s">
        <v>320</v>
      </c>
    </row>
    <row r="614">
      <c r="A614" s="11" t="s">
        <v>121</v>
      </c>
      <c r="B614" s="11" t="s">
        <v>20</v>
      </c>
      <c r="C614" s="11" t="s">
        <v>339</v>
      </c>
      <c r="D614" s="11" t="s">
        <v>317</v>
      </c>
      <c r="E614" s="74" t="s">
        <v>921</v>
      </c>
      <c r="F614" s="74" t="s">
        <v>313</v>
      </c>
      <c r="G614" s="11" t="s">
        <v>74</v>
      </c>
      <c r="H614" s="11">
        <v>2008.0</v>
      </c>
      <c r="I614" s="40">
        <v>27529.0</v>
      </c>
      <c r="J614" s="40">
        <v>24952.0</v>
      </c>
      <c r="K614" s="11">
        <v>30571.0</v>
      </c>
      <c r="L614" s="29" t="s">
        <v>260</v>
      </c>
      <c r="M614" s="57" t="s">
        <v>319</v>
      </c>
      <c r="N614" s="62" t="s">
        <v>320</v>
      </c>
    </row>
    <row r="615">
      <c r="A615" s="11" t="s">
        <v>121</v>
      </c>
      <c r="B615" s="11" t="s">
        <v>20</v>
      </c>
      <c r="C615" s="11" t="s">
        <v>339</v>
      </c>
      <c r="D615" s="11" t="s">
        <v>317</v>
      </c>
      <c r="E615" s="74" t="s">
        <v>921</v>
      </c>
      <c r="F615" s="74" t="s">
        <v>313</v>
      </c>
      <c r="G615" s="11" t="s">
        <v>74</v>
      </c>
      <c r="H615" s="11">
        <v>2009.0</v>
      </c>
      <c r="I615" s="40">
        <v>26138.0</v>
      </c>
      <c r="J615" s="40">
        <v>23771.0</v>
      </c>
      <c r="K615" s="11">
        <v>29391.0</v>
      </c>
      <c r="L615" s="29" t="s">
        <v>260</v>
      </c>
      <c r="M615" s="57" t="s">
        <v>319</v>
      </c>
      <c r="N615" s="62" t="s">
        <v>320</v>
      </c>
    </row>
    <row r="616">
      <c r="A616" s="11" t="s">
        <v>121</v>
      </c>
      <c r="B616" s="11" t="s">
        <v>20</v>
      </c>
      <c r="C616" s="11" t="s">
        <v>339</v>
      </c>
      <c r="D616" s="11" t="s">
        <v>317</v>
      </c>
      <c r="E616" s="74" t="s">
        <v>921</v>
      </c>
      <c r="F616" s="74" t="s">
        <v>313</v>
      </c>
      <c r="G616" s="11" t="s">
        <v>74</v>
      </c>
      <c r="H616" s="11">
        <v>2010.0</v>
      </c>
      <c r="I616" s="40">
        <v>26816.0</v>
      </c>
      <c r="J616" s="40">
        <v>24408.0</v>
      </c>
      <c r="K616" s="11">
        <v>29817.0</v>
      </c>
      <c r="L616" s="29" t="s">
        <v>260</v>
      </c>
      <c r="M616" s="57" t="s">
        <v>319</v>
      </c>
      <c r="N616" s="62" t="s">
        <v>320</v>
      </c>
    </row>
    <row r="617">
      <c r="A617" s="11" t="s">
        <v>121</v>
      </c>
      <c r="B617" s="11" t="s">
        <v>20</v>
      </c>
      <c r="C617" s="11" t="s">
        <v>339</v>
      </c>
      <c r="D617" s="11" t="s">
        <v>317</v>
      </c>
      <c r="E617" s="74" t="s">
        <v>921</v>
      </c>
      <c r="F617" s="74" t="s">
        <v>313</v>
      </c>
      <c r="G617" s="11" t="s">
        <v>74</v>
      </c>
      <c r="H617" s="11">
        <v>2011.0</v>
      </c>
      <c r="I617" s="40">
        <v>25932.0</v>
      </c>
      <c r="J617" s="40">
        <v>23270.0</v>
      </c>
      <c r="K617" s="11">
        <v>29566.0</v>
      </c>
      <c r="L617" s="29" t="s">
        <v>260</v>
      </c>
      <c r="M617" s="57" t="s">
        <v>319</v>
      </c>
      <c r="N617" s="62" t="s">
        <v>320</v>
      </c>
    </row>
    <row r="618">
      <c r="A618" s="11" t="s">
        <v>121</v>
      </c>
      <c r="B618" s="11" t="s">
        <v>20</v>
      </c>
      <c r="C618" s="11" t="s">
        <v>339</v>
      </c>
      <c r="D618" s="11" t="s">
        <v>317</v>
      </c>
      <c r="E618" s="74" t="s">
        <v>921</v>
      </c>
      <c r="F618" s="74" t="s">
        <v>313</v>
      </c>
      <c r="G618" s="11" t="s">
        <v>74</v>
      </c>
      <c r="H618" s="11">
        <v>2012.0</v>
      </c>
      <c r="I618" s="40">
        <v>26653.0</v>
      </c>
      <c r="J618" s="40">
        <v>23526.0</v>
      </c>
      <c r="K618" s="11">
        <v>29949.0</v>
      </c>
      <c r="L618" s="29" t="s">
        <v>260</v>
      </c>
      <c r="M618" s="57" t="s">
        <v>319</v>
      </c>
      <c r="N618" s="62" t="s">
        <v>320</v>
      </c>
    </row>
    <row r="619">
      <c r="A619" s="11" t="s">
        <v>121</v>
      </c>
      <c r="B619" s="11" t="s">
        <v>20</v>
      </c>
      <c r="C619" s="11" t="s">
        <v>339</v>
      </c>
      <c r="D619" s="11" t="s">
        <v>317</v>
      </c>
      <c r="E619" s="74" t="s">
        <v>921</v>
      </c>
      <c r="F619" s="74" t="s">
        <v>313</v>
      </c>
      <c r="G619" s="11" t="s">
        <v>74</v>
      </c>
      <c r="H619" s="11">
        <v>2013.0</v>
      </c>
      <c r="I619" s="40">
        <v>26360.0</v>
      </c>
      <c r="J619" s="40">
        <v>23318.0</v>
      </c>
      <c r="K619" s="11">
        <v>30417.0</v>
      </c>
      <c r="L619" s="29" t="s">
        <v>260</v>
      </c>
      <c r="M619" s="57" t="s">
        <v>319</v>
      </c>
      <c r="N619" s="62" t="s">
        <v>320</v>
      </c>
    </row>
    <row r="620">
      <c r="A620" s="11" t="s">
        <v>121</v>
      </c>
      <c r="B620" s="11" t="s">
        <v>20</v>
      </c>
      <c r="C620" s="11" t="s">
        <v>339</v>
      </c>
      <c r="D620" s="11" t="s">
        <v>317</v>
      </c>
      <c r="E620" s="74" t="s">
        <v>921</v>
      </c>
      <c r="F620" s="74" t="s">
        <v>313</v>
      </c>
      <c r="G620" s="11" t="s">
        <v>74</v>
      </c>
      <c r="H620" s="11">
        <v>2014.0</v>
      </c>
      <c r="I620" s="40">
        <v>25560.0</v>
      </c>
      <c r="J620" s="40">
        <v>22687.0</v>
      </c>
      <c r="K620" s="11">
        <v>28771.0</v>
      </c>
      <c r="L620" s="29" t="s">
        <v>260</v>
      </c>
      <c r="M620" s="57" t="s">
        <v>319</v>
      </c>
      <c r="N620" s="62" t="s">
        <v>320</v>
      </c>
    </row>
    <row r="621">
      <c r="A621" s="11" t="s">
        <v>121</v>
      </c>
      <c r="B621" s="11" t="s">
        <v>20</v>
      </c>
      <c r="C621" s="11" t="s">
        <v>339</v>
      </c>
      <c r="D621" s="11" t="s">
        <v>317</v>
      </c>
      <c r="E621" s="74" t="s">
        <v>921</v>
      </c>
      <c r="F621" s="74" t="s">
        <v>313</v>
      </c>
      <c r="G621" s="11" t="s">
        <v>74</v>
      </c>
      <c r="H621" s="11">
        <v>2015.0</v>
      </c>
      <c r="I621" s="40">
        <v>24971.0</v>
      </c>
      <c r="J621" s="40">
        <v>22056.0</v>
      </c>
      <c r="K621" s="11">
        <v>28478.0</v>
      </c>
      <c r="L621" s="29" t="s">
        <v>260</v>
      </c>
      <c r="M621" s="57" t="s">
        <v>319</v>
      </c>
      <c r="N621" s="62" t="s">
        <v>320</v>
      </c>
    </row>
    <row r="622">
      <c r="A622" s="11" t="s">
        <v>121</v>
      </c>
      <c r="B622" s="11" t="s">
        <v>20</v>
      </c>
      <c r="C622" s="11" t="s">
        <v>339</v>
      </c>
      <c r="D622" s="11" t="s">
        <v>317</v>
      </c>
      <c r="E622" s="74" t="s">
        <v>921</v>
      </c>
      <c r="F622" s="74" t="s">
        <v>313</v>
      </c>
      <c r="G622" s="11" t="s">
        <v>74</v>
      </c>
      <c r="H622" s="11">
        <v>2016.0</v>
      </c>
      <c r="I622" s="40">
        <v>25946.0</v>
      </c>
      <c r="J622" s="40">
        <v>22523.0</v>
      </c>
      <c r="K622" s="11">
        <v>29706.0</v>
      </c>
      <c r="L622" s="29" t="s">
        <v>260</v>
      </c>
      <c r="M622" s="57" t="s">
        <v>319</v>
      </c>
      <c r="N622" s="62" t="s">
        <v>320</v>
      </c>
    </row>
    <row r="623">
      <c r="A623" s="11" t="s">
        <v>121</v>
      </c>
      <c r="B623" s="11" t="s">
        <v>20</v>
      </c>
      <c r="C623" s="11" t="s">
        <v>339</v>
      </c>
      <c r="D623" s="11" t="s">
        <v>317</v>
      </c>
      <c r="E623" s="74" t="s">
        <v>921</v>
      </c>
      <c r="F623" s="74" t="s">
        <v>313</v>
      </c>
      <c r="G623" s="11" t="s">
        <v>74</v>
      </c>
      <c r="H623" s="11">
        <v>2017.0</v>
      </c>
      <c r="I623" s="40">
        <v>27005.0</v>
      </c>
      <c r="J623" s="40">
        <v>22526.0</v>
      </c>
      <c r="K623" s="11">
        <v>31949.0</v>
      </c>
      <c r="L623" s="29" t="s">
        <v>260</v>
      </c>
      <c r="M623" s="57" t="s">
        <v>319</v>
      </c>
      <c r="N623" s="62" t="s">
        <v>320</v>
      </c>
    </row>
    <row r="624">
      <c r="A624" s="11" t="s">
        <v>121</v>
      </c>
      <c r="B624" s="11" t="s">
        <v>20</v>
      </c>
      <c r="C624" s="11" t="s">
        <v>339</v>
      </c>
      <c r="D624" s="11" t="s">
        <v>317</v>
      </c>
      <c r="E624" s="74" t="s">
        <v>921</v>
      </c>
      <c r="F624" s="74" t="s">
        <v>313</v>
      </c>
      <c r="G624" s="11" t="s">
        <v>74</v>
      </c>
      <c r="H624" s="11">
        <v>2018.0</v>
      </c>
      <c r="I624" s="40">
        <v>27684.0</v>
      </c>
      <c r="J624" s="40">
        <v>22783.0</v>
      </c>
      <c r="K624" s="11">
        <v>34233.0</v>
      </c>
      <c r="L624" s="29" t="s">
        <v>260</v>
      </c>
      <c r="M624" s="57" t="s">
        <v>319</v>
      </c>
      <c r="N624" s="62" t="s">
        <v>320</v>
      </c>
    </row>
    <row r="625">
      <c r="A625" s="59" t="s">
        <v>352</v>
      </c>
      <c r="B625" s="80" t="s">
        <v>20</v>
      </c>
      <c r="C625" s="59" t="s">
        <v>936</v>
      </c>
      <c r="D625" s="59" t="s">
        <v>317</v>
      </c>
      <c r="E625" s="59" t="s">
        <v>937</v>
      </c>
      <c r="F625" s="59" t="s">
        <v>938</v>
      </c>
      <c r="G625" s="59" t="s">
        <v>74</v>
      </c>
      <c r="H625" s="105">
        <v>1984.0</v>
      </c>
      <c r="I625" s="89">
        <v>3072.0</v>
      </c>
      <c r="J625" s="76" t="s">
        <v>188</v>
      </c>
      <c r="K625" s="81" t="s">
        <v>188</v>
      </c>
      <c r="L625" s="106" t="s">
        <v>939</v>
      </c>
      <c r="M625" s="107" t="s">
        <v>354</v>
      </c>
      <c r="N625" s="54"/>
      <c r="O625" s="54"/>
      <c r="P625" s="54"/>
      <c r="Q625" s="54"/>
      <c r="R625" s="54"/>
      <c r="S625" s="54"/>
      <c r="T625" s="54"/>
      <c r="U625" s="54"/>
      <c r="V625" s="54"/>
      <c r="W625" s="54"/>
      <c r="X625" s="54"/>
      <c r="Y625" s="54"/>
      <c r="Z625" s="54"/>
      <c r="AA625" s="54"/>
      <c r="AB625" s="54"/>
      <c r="AC625" s="54"/>
      <c r="AD625" s="54"/>
      <c r="AE625" s="54"/>
      <c r="AF625" s="54"/>
      <c r="AG625" s="54"/>
      <c r="AH625" s="54"/>
    </row>
    <row r="626">
      <c r="A626" s="59" t="s">
        <v>352</v>
      </c>
      <c r="B626" s="80" t="s">
        <v>20</v>
      </c>
      <c r="C626" s="59" t="s">
        <v>936</v>
      </c>
      <c r="D626" s="59" t="s">
        <v>317</v>
      </c>
      <c r="E626" s="59" t="s">
        <v>937</v>
      </c>
      <c r="F626" s="59" t="s">
        <v>938</v>
      </c>
      <c r="G626" s="59" t="s">
        <v>74</v>
      </c>
      <c r="H626" s="105">
        <v>1985.0</v>
      </c>
      <c r="I626" s="89">
        <v>2264.0</v>
      </c>
      <c r="J626" s="76" t="s">
        <v>188</v>
      </c>
      <c r="K626" s="81" t="s">
        <v>188</v>
      </c>
      <c r="L626" s="106" t="s">
        <v>939</v>
      </c>
      <c r="M626" s="107" t="s">
        <v>354</v>
      </c>
      <c r="N626" s="54"/>
      <c r="O626" s="54"/>
      <c r="P626" s="54"/>
      <c r="Q626" s="54"/>
      <c r="R626" s="54"/>
      <c r="S626" s="54"/>
      <c r="T626" s="54"/>
      <c r="U626" s="54"/>
      <c r="V626" s="54"/>
      <c r="W626" s="54"/>
      <c r="X626" s="54"/>
      <c r="Y626" s="54"/>
      <c r="Z626" s="54"/>
      <c r="AA626" s="54"/>
      <c r="AB626" s="54"/>
      <c r="AC626" s="54"/>
      <c r="AD626" s="54"/>
      <c r="AE626" s="54"/>
      <c r="AF626" s="54"/>
      <c r="AG626" s="54"/>
      <c r="AH626" s="54"/>
    </row>
    <row r="627">
      <c r="A627" s="59" t="s">
        <v>352</v>
      </c>
      <c r="B627" s="80" t="s">
        <v>20</v>
      </c>
      <c r="C627" s="59" t="s">
        <v>936</v>
      </c>
      <c r="D627" s="59" t="s">
        <v>317</v>
      </c>
      <c r="E627" s="59" t="s">
        <v>937</v>
      </c>
      <c r="F627" s="59" t="s">
        <v>938</v>
      </c>
      <c r="G627" s="59" t="s">
        <v>74</v>
      </c>
      <c r="H627" s="105">
        <v>1986.0</v>
      </c>
      <c r="I627" s="89">
        <v>1748.0</v>
      </c>
      <c r="J627" s="76" t="s">
        <v>188</v>
      </c>
      <c r="K627" s="81" t="s">
        <v>188</v>
      </c>
      <c r="L627" s="106" t="s">
        <v>939</v>
      </c>
      <c r="M627" s="107" t="s">
        <v>354</v>
      </c>
      <c r="N627" s="54"/>
      <c r="O627" s="54"/>
      <c r="P627" s="54"/>
      <c r="Q627" s="54"/>
      <c r="R627" s="54"/>
      <c r="S627" s="54"/>
      <c r="T627" s="54"/>
      <c r="U627" s="54"/>
      <c r="V627" s="54"/>
      <c r="W627" s="54"/>
      <c r="X627" s="54"/>
      <c r="Y627" s="54"/>
      <c r="Z627" s="54"/>
      <c r="AA627" s="54"/>
      <c r="AB627" s="54"/>
      <c r="AC627" s="54"/>
      <c r="AD627" s="54"/>
      <c r="AE627" s="54"/>
      <c r="AF627" s="54"/>
      <c r="AG627" s="54"/>
      <c r="AH627" s="54"/>
    </row>
    <row r="628">
      <c r="A628" s="59" t="s">
        <v>352</v>
      </c>
      <c r="B628" s="80" t="s">
        <v>20</v>
      </c>
      <c r="C628" s="59" t="s">
        <v>936</v>
      </c>
      <c r="D628" s="59" t="s">
        <v>317</v>
      </c>
      <c r="E628" s="59" t="s">
        <v>937</v>
      </c>
      <c r="F628" s="59" t="s">
        <v>938</v>
      </c>
      <c r="G628" s="59" t="s">
        <v>74</v>
      </c>
      <c r="H628" s="105">
        <v>1987.0</v>
      </c>
      <c r="I628" s="89">
        <v>4313.0</v>
      </c>
      <c r="J628" s="76" t="s">
        <v>188</v>
      </c>
      <c r="K628" s="81" t="s">
        <v>188</v>
      </c>
      <c r="L628" s="106" t="s">
        <v>939</v>
      </c>
      <c r="M628" s="107" t="s">
        <v>354</v>
      </c>
      <c r="N628" s="54"/>
      <c r="O628" s="54"/>
      <c r="P628" s="54"/>
      <c r="Q628" s="54"/>
      <c r="R628" s="54"/>
      <c r="S628" s="54"/>
      <c r="T628" s="54"/>
      <c r="U628" s="54"/>
      <c r="V628" s="54"/>
      <c r="W628" s="54"/>
      <c r="X628" s="54"/>
      <c r="Y628" s="54"/>
      <c r="Z628" s="54"/>
      <c r="AA628" s="54"/>
      <c r="AB628" s="54"/>
      <c r="AC628" s="54"/>
      <c r="AD628" s="54"/>
      <c r="AE628" s="54"/>
      <c r="AF628" s="54"/>
      <c r="AG628" s="54"/>
      <c r="AH628" s="54"/>
    </row>
    <row r="629">
      <c r="A629" s="59" t="s">
        <v>352</v>
      </c>
      <c r="B629" s="80" t="s">
        <v>20</v>
      </c>
      <c r="C629" s="59" t="s">
        <v>936</v>
      </c>
      <c r="D629" s="59" t="s">
        <v>317</v>
      </c>
      <c r="E629" s="59" t="s">
        <v>937</v>
      </c>
      <c r="F629" s="59" t="s">
        <v>938</v>
      </c>
      <c r="G629" s="59" t="s">
        <v>74</v>
      </c>
      <c r="H629" s="105">
        <v>1988.0</v>
      </c>
      <c r="I629" s="89">
        <v>3944.0</v>
      </c>
      <c r="J629" s="76" t="s">
        <v>188</v>
      </c>
      <c r="K629" s="81" t="s">
        <v>188</v>
      </c>
      <c r="L629" s="106" t="s">
        <v>939</v>
      </c>
      <c r="M629" s="107" t="s">
        <v>354</v>
      </c>
      <c r="N629" s="54"/>
      <c r="O629" s="54"/>
      <c r="P629" s="54"/>
      <c r="Q629" s="54"/>
      <c r="R629" s="54"/>
      <c r="S629" s="54"/>
      <c r="T629" s="54"/>
      <c r="U629" s="54"/>
      <c r="V629" s="54"/>
      <c r="W629" s="54"/>
      <c r="X629" s="54"/>
      <c r="Y629" s="54"/>
      <c r="Z629" s="54"/>
      <c r="AA629" s="54"/>
      <c r="AB629" s="54"/>
      <c r="AC629" s="54"/>
      <c r="AD629" s="54"/>
      <c r="AE629" s="54"/>
      <c r="AF629" s="54"/>
      <c r="AG629" s="54"/>
      <c r="AH629" s="54"/>
    </row>
    <row r="630">
      <c r="A630" s="59" t="s">
        <v>352</v>
      </c>
      <c r="B630" s="80" t="s">
        <v>20</v>
      </c>
      <c r="C630" s="59" t="s">
        <v>936</v>
      </c>
      <c r="D630" s="59" t="s">
        <v>317</v>
      </c>
      <c r="E630" s="59" t="s">
        <v>937</v>
      </c>
      <c r="F630" s="59" t="s">
        <v>938</v>
      </c>
      <c r="G630" s="59" t="s">
        <v>74</v>
      </c>
      <c r="H630" s="105">
        <v>1989.0</v>
      </c>
      <c r="I630" s="89">
        <v>4309.0</v>
      </c>
      <c r="J630" s="76" t="s">
        <v>188</v>
      </c>
      <c r="K630" s="81" t="s">
        <v>188</v>
      </c>
      <c r="L630" s="106" t="s">
        <v>939</v>
      </c>
      <c r="M630" s="107" t="s">
        <v>354</v>
      </c>
      <c r="N630" s="54"/>
      <c r="O630" s="54"/>
      <c r="P630" s="54"/>
      <c r="Q630" s="54"/>
      <c r="R630" s="54"/>
      <c r="S630" s="54"/>
      <c r="T630" s="54"/>
      <c r="U630" s="54"/>
      <c r="V630" s="54"/>
      <c r="W630" s="54"/>
      <c r="X630" s="54"/>
      <c r="Y630" s="54"/>
      <c r="Z630" s="54"/>
      <c r="AA630" s="54"/>
      <c r="AB630" s="54"/>
      <c r="AC630" s="54"/>
      <c r="AD630" s="54"/>
      <c r="AE630" s="54"/>
      <c r="AF630" s="54"/>
      <c r="AG630" s="54"/>
      <c r="AH630" s="54"/>
    </row>
    <row r="631">
      <c r="A631" s="59" t="s">
        <v>352</v>
      </c>
      <c r="B631" s="80" t="s">
        <v>20</v>
      </c>
      <c r="C631" s="59" t="s">
        <v>936</v>
      </c>
      <c r="D631" s="59" t="s">
        <v>317</v>
      </c>
      <c r="E631" s="59" t="s">
        <v>937</v>
      </c>
      <c r="F631" s="59" t="s">
        <v>938</v>
      </c>
      <c r="G631" s="59" t="s">
        <v>74</v>
      </c>
      <c r="H631" s="105">
        <v>1990.0</v>
      </c>
      <c r="I631" s="89">
        <v>2840.0</v>
      </c>
      <c r="J631" s="76" t="s">
        <v>188</v>
      </c>
      <c r="K631" s="81" t="s">
        <v>188</v>
      </c>
      <c r="L631" s="106" t="s">
        <v>939</v>
      </c>
      <c r="M631" s="107" t="s">
        <v>354</v>
      </c>
      <c r="N631" s="54"/>
      <c r="O631" s="54"/>
      <c r="P631" s="54"/>
      <c r="Q631" s="54"/>
      <c r="R631" s="54"/>
      <c r="S631" s="54"/>
      <c r="T631" s="54"/>
      <c r="U631" s="54"/>
      <c r="V631" s="54"/>
      <c r="W631" s="54"/>
      <c r="X631" s="54"/>
      <c r="Y631" s="54"/>
      <c r="Z631" s="54"/>
      <c r="AA631" s="54"/>
      <c r="AB631" s="54"/>
      <c r="AC631" s="54"/>
      <c r="AD631" s="54"/>
      <c r="AE631" s="54"/>
      <c r="AF631" s="54"/>
      <c r="AG631" s="54"/>
      <c r="AH631" s="54"/>
    </row>
    <row r="632">
      <c r="A632" s="59" t="s">
        <v>352</v>
      </c>
      <c r="B632" s="80" t="s">
        <v>20</v>
      </c>
      <c r="C632" s="59" t="s">
        <v>936</v>
      </c>
      <c r="D632" s="59" t="s">
        <v>317</v>
      </c>
      <c r="E632" s="59" t="s">
        <v>937</v>
      </c>
      <c r="F632" s="59" t="s">
        <v>938</v>
      </c>
      <c r="G632" s="59" t="s">
        <v>74</v>
      </c>
      <c r="H632" s="105">
        <v>1991.0</v>
      </c>
      <c r="I632" s="89">
        <v>4598.0</v>
      </c>
      <c r="J632" s="76" t="s">
        <v>188</v>
      </c>
      <c r="K632" s="81" t="s">
        <v>188</v>
      </c>
      <c r="L632" s="106" t="s">
        <v>939</v>
      </c>
      <c r="M632" s="107" t="s">
        <v>354</v>
      </c>
      <c r="N632" s="54"/>
      <c r="O632" s="54"/>
      <c r="P632" s="54"/>
      <c r="Q632" s="54"/>
      <c r="R632" s="54"/>
      <c r="S632" s="54"/>
      <c r="T632" s="54"/>
      <c r="U632" s="54"/>
      <c r="V632" s="54"/>
      <c r="W632" s="54"/>
      <c r="X632" s="54"/>
      <c r="Y632" s="54"/>
      <c r="Z632" s="54"/>
      <c r="AA632" s="54"/>
      <c r="AB632" s="54"/>
      <c r="AC632" s="54"/>
      <c r="AD632" s="54"/>
      <c r="AE632" s="54"/>
      <c r="AF632" s="54"/>
      <c r="AG632" s="54"/>
      <c r="AH632" s="54"/>
    </row>
    <row r="633">
      <c r="A633" s="59" t="s">
        <v>352</v>
      </c>
      <c r="B633" s="80" t="s">
        <v>20</v>
      </c>
      <c r="C633" s="59" t="s">
        <v>936</v>
      </c>
      <c r="D633" s="59" t="s">
        <v>317</v>
      </c>
      <c r="E633" s="59" t="s">
        <v>937</v>
      </c>
      <c r="F633" s="59" t="s">
        <v>938</v>
      </c>
      <c r="G633" s="59" t="s">
        <v>74</v>
      </c>
      <c r="H633" s="105">
        <v>1992.0</v>
      </c>
      <c r="I633" s="89">
        <v>4376.0</v>
      </c>
      <c r="J633" s="76" t="s">
        <v>188</v>
      </c>
      <c r="K633" s="81" t="s">
        <v>188</v>
      </c>
      <c r="L633" s="106" t="s">
        <v>939</v>
      </c>
      <c r="M633" s="107" t="s">
        <v>354</v>
      </c>
      <c r="N633" s="54"/>
      <c r="O633" s="54"/>
      <c r="P633" s="54"/>
      <c r="Q633" s="54"/>
      <c r="R633" s="54"/>
      <c r="S633" s="54"/>
      <c r="T633" s="54"/>
      <c r="U633" s="54"/>
      <c r="V633" s="54"/>
      <c r="W633" s="54"/>
      <c r="X633" s="54"/>
      <c r="Y633" s="54"/>
      <c r="Z633" s="54"/>
      <c r="AA633" s="54"/>
      <c r="AB633" s="54"/>
      <c r="AC633" s="54"/>
      <c r="AD633" s="54"/>
      <c r="AE633" s="54"/>
      <c r="AF633" s="54"/>
      <c r="AG633" s="54"/>
      <c r="AH633" s="54"/>
    </row>
    <row r="634">
      <c r="A634" s="59" t="s">
        <v>352</v>
      </c>
      <c r="B634" s="80" t="s">
        <v>20</v>
      </c>
      <c r="C634" s="59" t="s">
        <v>936</v>
      </c>
      <c r="D634" s="59" t="s">
        <v>317</v>
      </c>
      <c r="E634" s="59" t="s">
        <v>937</v>
      </c>
      <c r="F634" s="59" t="s">
        <v>938</v>
      </c>
      <c r="G634" s="59" t="s">
        <v>74</v>
      </c>
      <c r="H634" s="105">
        <v>1993.0</v>
      </c>
      <c r="I634" s="89">
        <v>3200.0</v>
      </c>
      <c r="J634" s="76" t="s">
        <v>188</v>
      </c>
      <c r="K634" s="81" t="s">
        <v>188</v>
      </c>
      <c r="L634" s="106" t="s">
        <v>939</v>
      </c>
      <c r="M634" s="107" t="s">
        <v>354</v>
      </c>
      <c r="N634" s="54"/>
      <c r="O634" s="54"/>
      <c r="P634" s="54"/>
      <c r="Q634" s="54"/>
      <c r="R634" s="54"/>
      <c r="S634" s="54"/>
      <c r="T634" s="54"/>
      <c r="U634" s="54"/>
      <c r="V634" s="54"/>
      <c r="W634" s="54"/>
      <c r="X634" s="54"/>
      <c r="Y634" s="54"/>
      <c r="Z634" s="54"/>
      <c r="AA634" s="54"/>
      <c r="AB634" s="54"/>
      <c r="AC634" s="54"/>
      <c r="AD634" s="54"/>
      <c r="AE634" s="54"/>
      <c r="AF634" s="54"/>
      <c r="AG634" s="54"/>
      <c r="AH634" s="54"/>
    </row>
    <row r="635">
      <c r="A635" s="59" t="s">
        <v>352</v>
      </c>
      <c r="B635" s="80" t="s">
        <v>20</v>
      </c>
      <c r="C635" s="59" t="s">
        <v>936</v>
      </c>
      <c r="D635" s="59" t="s">
        <v>317</v>
      </c>
      <c r="E635" s="59" t="s">
        <v>937</v>
      </c>
      <c r="F635" s="59" t="s">
        <v>938</v>
      </c>
      <c r="G635" s="59" t="s">
        <v>74</v>
      </c>
      <c r="H635" s="105">
        <v>1994.0</v>
      </c>
      <c r="I635" s="89">
        <v>4225.0</v>
      </c>
      <c r="J635" s="76" t="s">
        <v>188</v>
      </c>
      <c r="K635" s="81" t="s">
        <v>188</v>
      </c>
      <c r="L635" s="106" t="s">
        <v>939</v>
      </c>
      <c r="M635" s="107" t="s">
        <v>354</v>
      </c>
      <c r="N635" s="54"/>
      <c r="O635" s="54"/>
      <c r="P635" s="54"/>
      <c r="Q635" s="54"/>
      <c r="R635" s="54"/>
      <c r="S635" s="54"/>
      <c r="T635" s="54"/>
      <c r="U635" s="54"/>
      <c r="V635" s="54"/>
      <c r="W635" s="54"/>
      <c r="X635" s="54"/>
      <c r="Y635" s="54"/>
      <c r="Z635" s="54"/>
      <c r="AA635" s="54"/>
      <c r="AB635" s="54"/>
      <c r="AC635" s="54"/>
      <c r="AD635" s="54"/>
      <c r="AE635" s="54"/>
      <c r="AF635" s="54"/>
      <c r="AG635" s="54"/>
      <c r="AH635" s="54"/>
    </row>
    <row r="636">
      <c r="A636" s="59" t="s">
        <v>352</v>
      </c>
      <c r="B636" s="80" t="s">
        <v>20</v>
      </c>
      <c r="C636" s="59" t="s">
        <v>936</v>
      </c>
      <c r="D636" s="59" t="s">
        <v>317</v>
      </c>
      <c r="E636" s="59" t="s">
        <v>937</v>
      </c>
      <c r="F636" s="59" t="s">
        <v>938</v>
      </c>
      <c r="G636" s="59" t="s">
        <v>74</v>
      </c>
      <c r="H636" s="105">
        <v>1995.0</v>
      </c>
      <c r="I636" s="89">
        <v>2976.0</v>
      </c>
      <c r="J636" s="76" t="s">
        <v>188</v>
      </c>
      <c r="K636" s="81" t="s">
        <v>188</v>
      </c>
      <c r="L636" s="106" t="s">
        <v>939</v>
      </c>
      <c r="M636" s="107" t="s">
        <v>354</v>
      </c>
      <c r="N636" s="54"/>
      <c r="O636" s="54"/>
      <c r="P636" s="54"/>
      <c r="Q636" s="54"/>
      <c r="R636" s="54"/>
      <c r="S636" s="54"/>
      <c r="T636" s="54"/>
      <c r="U636" s="54"/>
      <c r="V636" s="54"/>
      <c r="W636" s="54"/>
      <c r="X636" s="54"/>
      <c r="Y636" s="54"/>
      <c r="Z636" s="54"/>
      <c r="AA636" s="54"/>
      <c r="AB636" s="54"/>
      <c r="AC636" s="54"/>
      <c r="AD636" s="54"/>
      <c r="AE636" s="54"/>
      <c r="AF636" s="54"/>
      <c r="AG636" s="54"/>
      <c r="AH636" s="54"/>
    </row>
    <row r="637">
      <c r="A637" s="59" t="s">
        <v>352</v>
      </c>
      <c r="B637" s="80" t="s">
        <v>20</v>
      </c>
      <c r="C637" s="59" t="s">
        <v>936</v>
      </c>
      <c r="D637" s="59" t="s">
        <v>317</v>
      </c>
      <c r="E637" s="59" t="s">
        <v>937</v>
      </c>
      <c r="F637" s="59" t="s">
        <v>938</v>
      </c>
      <c r="G637" s="59" t="s">
        <v>74</v>
      </c>
      <c r="H637" s="105">
        <v>2000.0</v>
      </c>
      <c r="I637" s="89">
        <v>3699.0</v>
      </c>
      <c r="J637" s="76" t="s">
        <v>188</v>
      </c>
      <c r="K637" s="81" t="s">
        <v>188</v>
      </c>
      <c r="L637" s="106" t="s">
        <v>939</v>
      </c>
      <c r="M637" s="107" t="s">
        <v>354</v>
      </c>
      <c r="N637" s="54"/>
      <c r="O637" s="54"/>
      <c r="P637" s="54"/>
      <c r="Q637" s="54"/>
      <c r="R637" s="54"/>
      <c r="S637" s="54"/>
      <c r="T637" s="54"/>
      <c r="U637" s="54"/>
      <c r="V637" s="54"/>
      <c r="W637" s="54"/>
      <c r="X637" s="54"/>
      <c r="Y637" s="54"/>
      <c r="Z637" s="54"/>
      <c r="AA637" s="54"/>
      <c r="AB637" s="54"/>
      <c r="AC637" s="54"/>
      <c r="AD637" s="54"/>
      <c r="AE637" s="54"/>
      <c r="AF637" s="54"/>
      <c r="AG637" s="54"/>
      <c r="AH637" s="54"/>
    </row>
    <row r="638">
      <c r="A638" s="59" t="s">
        <v>352</v>
      </c>
      <c r="B638" s="80" t="s">
        <v>20</v>
      </c>
      <c r="C638" s="59" t="s">
        <v>936</v>
      </c>
      <c r="D638" s="59" t="s">
        <v>317</v>
      </c>
      <c r="E638" s="59" t="s">
        <v>937</v>
      </c>
      <c r="F638" s="59" t="s">
        <v>938</v>
      </c>
      <c r="G638" s="59" t="s">
        <v>74</v>
      </c>
      <c r="H638" s="105">
        <v>2002.0</v>
      </c>
      <c r="I638" s="89">
        <v>3768.0</v>
      </c>
      <c r="J638" s="76" t="s">
        <v>188</v>
      </c>
      <c r="K638" s="81" t="s">
        <v>188</v>
      </c>
      <c r="L638" s="106" t="s">
        <v>939</v>
      </c>
      <c r="M638" s="107" t="s">
        <v>354</v>
      </c>
      <c r="N638" s="54"/>
      <c r="O638" s="54"/>
      <c r="P638" s="54"/>
      <c r="Q638" s="54"/>
      <c r="R638" s="54"/>
      <c r="S638" s="54"/>
      <c r="T638" s="54"/>
      <c r="U638" s="54"/>
      <c r="V638" s="54"/>
      <c r="W638" s="54"/>
      <c r="X638" s="54"/>
      <c r="Y638" s="54"/>
      <c r="Z638" s="54"/>
      <c r="AA638" s="54"/>
      <c r="AB638" s="54"/>
      <c r="AC638" s="54"/>
      <c r="AD638" s="54"/>
      <c r="AE638" s="54"/>
      <c r="AF638" s="54"/>
      <c r="AG638" s="54"/>
      <c r="AH638" s="54"/>
    </row>
    <row r="639">
      <c r="A639" s="59" t="s">
        <v>352</v>
      </c>
      <c r="B639" s="80" t="s">
        <v>20</v>
      </c>
      <c r="C639" s="59" t="s">
        <v>936</v>
      </c>
      <c r="D639" s="59" t="s">
        <v>317</v>
      </c>
      <c r="E639" s="59" t="s">
        <v>937</v>
      </c>
      <c r="F639" s="59" t="s">
        <v>938</v>
      </c>
      <c r="G639" s="59" t="s">
        <v>74</v>
      </c>
      <c r="H639" s="105">
        <v>2004.0</v>
      </c>
      <c r="I639" s="89">
        <v>4277.0</v>
      </c>
      <c r="J639" s="76" t="s">
        <v>188</v>
      </c>
      <c r="K639" s="81" t="s">
        <v>188</v>
      </c>
      <c r="L639" s="106" t="s">
        <v>939</v>
      </c>
      <c r="M639" s="107" t="s">
        <v>354</v>
      </c>
      <c r="N639" s="54"/>
      <c r="O639" s="54"/>
      <c r="P639" s="54"/>
      <c r="Q639" s="54"/>
      <c r="R639" s="54"/>
      <c r="S639" s="54"/>
      <c r="T639" s="54"/>
      <c r="U639" s="54"/>
      <c r="V639" s="54"/>
      <c r="W639" s="54"/>
      <c r="X639" s="54"/>
      <c r="Y639" s="54"/>
      <c r="Z639" s="54"/>
      <c r="AA639" s="54"/>
      <c r="AB639" s="54"/>
      <c r="AC639" s="54"/>
      <c r="AD639" s="54"/>
      <c r="AE639" s="54"/>
      <c r="AF639" s="54"/>
      <c r="AG639" s="54"/>
      <c r="AH639" s="54"/>
    </row>
    <row r="640">
      <c r="A640" s="59" t="s">
        <v>352</v>
      </c>
      <c r="B640" s="80" t="s">
        <v>20</v>
      </c>
      <c r="C640" s="59" t="s">
        <v>936</v>
      </c>
      <c r="D640" s="59" t="s">
        <v>317</v>
      </c>
      <c r="E640" s="59" t="s">
        <v>937</v>
      </c>
      <c r="F640" s="59" t="s">
        <v>938</v>
      </c>
      <c r="G640" s="59" t="s">
        <v>74</v>
      </c>
      <c r="H640" s="105">
        <v>2007.0</v>
      </c>
      <c r="I640" s="89">
        <v>3831.0</v>
      </c>
      <c r="J640" s="76" t="s">
        <v>188</v>
      </c>
      <c r="K640" s="81" t="s">
        <v>188</v>
      </c>
      <c r="L640" s="106" t="s">
        <v>939</v>
      </c>
      <c r="M640" s="107" t="s">
        <v>354</v>
      </c>
      <c r="N640" s="54"/>
      <c r="O640" s="54"/>
      <c r="P640" s="54"/>
      <c r="Q640" s="54"/>
      <c r="R640" s="54"/>
      <c r="S640" s="54"/>
      <c r="T640" s="54"/>
      <c r="U640" s="54"/>
      <c r="V640" s="54"/>
      <c r="W640" s="54"/>
      <c r="X640" s="54"/>
      <c r="Y640" s="54"/>
      <c r="Z640" s="54"/>
      <c r="AA640" s="54"/>
      <c r="AB640" s="54"/>
      <c r="AC640" s="54"/>
      <c r="AD640" s="54"/>
      <c r="AE640" s="54"/>
      <c r="AF640" s="54"/>
      <c r="AG640" s="54"/>
      <c r="AH640" s="54"/>
    </row>
    <row r="641">
      <c r="A641" s="59" t="s">
        <v>352</v>
      </c>
      <c r="B641" s="80" t="s">
        <v>20</v>
      </c>
      <c r="C641" s="59" t="s">
        <v>936</v>
      </c>
      <c r="D641" s="59" t="s">
        <v>317</v>
      </c>
      <c r="E641" s="59" t="s">
        <v>937</v>
      </c>
      <c r="F641" s="59" t="s">
        <v>938</v>
      </c>
      <c r="G641" s="59" t="s">
        <v>74</v>
      </c>
      <c r="H641" s="105">
        <v>2009.0</v>
      </c>
      <c r="I641" s="89">
        <v>3460.0</v>
      </c>
      <c r="J641" s="76" t="s">
        <v>188</v>
      </c>
      <c r="K641" s="81" t="s">
        <v>188</v>
      </c>
      <c r="L641" s="106" t="s">
        <v>939</v>
      </c>
      <c r="M641" s="107" t="s">
        <v>354</v>
      </c>
      <c r="N641" s="54"/>
      <c r="O641" s="54"/>
      <c r="P641" s="54"/>
      <c r="Q641" s="54"/>
      <c r="R641" s="54"/>
      <c r="S641" s="54"/>
      <c r="T641" s="54"/>
      <c r="U641" s="54"/>
      <c r="V641" s="54"/>
      <c r="W641" s="54"/>
      <c r="X641" s="54"/>
      <c r="Y641" s="54"/>
      <c r="Z641" s="54"/>
      <c r="AA641" s="54"/>
      <c r="AB641" s="54"/>
      <c r="AC641" s="54"/>
      <c r="AD641" s="54"/>
      <c r="AE641" s="54"/>
      <c r="AF641" s="54"/>
      <c r="AG641" s="54"/>
      <c r="AH641" s="54"/>
    </row>
    <row r="642">
      <c r="A642" s="59" t="s">
        <v>352</v>
      </c>
      <c r="B642" s="80" t="s">
        <v>20</v>
      </c>
      <c r="C642" s="59" t="s">
        <v>936</v>
      </c>
      <c r="D642" s="59" t="s">
        <v>317</v>
      </c>
      <c r="E642" s="59" t="s">
        <v>937</v>
      </c>
      <c r="F642" s="59" t="s">
        <v>938</v>
      </c>
      <c r="G642" s="59" t="s">
        <v>74</v>
      </c>
      <c r="H642" s="105">
        <v>2012.0</v>
      </c>
      <c r="I642" s="89">
        <v>4481.0</v>
      </c>
      <c r="J642" s="76" t="s">
        <v>188</v>
      </c>
      <c r="K642" s="81" t="s">
        <v>188</v>
      </c>
      <c r="L642" s="106" t="s">
        <v>939</v>
      </c>
      <c r="M642" s="107" t="s">
        <v>354</v>
      </c>
      <c r="N642" s="54"/>
      <c r="O642" s="54"/>
      <c r="P642" s="54"/>
      <c r="Q642" s="54"/>
      <c r="R642" s="54"/>
      <c r="S642" s="54"/>
      <c r="T642" s="54"/>
      <c r="U642" s="54"/>
      <c r="V642" s="54"/>
      <c r="W642" s="54"/>
      <c r="X642" s="54"/>
      <c r="Y642" s="54"/>
      <c r="Z642" s="54"/>
      <c r="AA642" s="54"/>
      <c r="AB642" s="54"/>
      <c r="AC642" s="54"/>
      <c r="AD642" s="54"/>
      <c r="AE642" s="54"/>
      <c r="AF642" s="54"/>
      <c r="AG642" s="54"/>
      <c r="AH642" s="54"/>
    </row>
    <row r="643">
      <c r="A643" s="59" t="s">
        <v>352</v>
      </c>
      <c r="B643" s="80" t="s">
        <v>20</v>
      </c>
      <c r="C643" s="59" t="s">
        <v>949</v>
      </c>
      <c r="D643" s="59" t="s">
        <v>317</v>
      </c>
      <c r="E643" s="11" t="s">
        <v>950</v>
      </c>
      <c r="F643" s="59" t="s">
        <v>938</v>
      </c>
      <c r="G643" s="59" t="s">
        <v>74</v>
      </c>
      <c r="H643" s="105">
        <v>1982.0</v>
      </c>
      <c r="I643" s="89">
        <v>12759.0</v>
      </c>
      <c r="J643" s="76" t="s">
        <v>188</v>
      </c>
      <c r="K643" s="81" t="s">
        <v>188</v>
      </c>
      <c r="L643" s="106" t="s">
        <v>939</v>
      </c>
      <c r="M643" s="107" t="s">
        <v>354</v>
      </c>
      <c r="N643" s="54"/>
      <c r="O643" s="54"/>
      <c r="P643" s="54"/>
      <c r="Q643" s="54"/>
      <c r="R643" s="54"/>
      <c r="S643" s="54"/>
      <c r="T643" s="54"/>
      <c r="U643" s="54"/>
      <c r="V643" s="54"/>
      <c r="W643" s="54"/>
      <c r="X643" s="54"/>
      <c r="Y643" s="54"/>
      <c r="Z643" s="54"/>
      <c r="AA643" s="54"/>
      <c r="AB643" s="54"/>
      <c r="AC643" s="54"/>
      <c r="AD643" s="54"/>
      <c r="AE643" s="54"/>
      <c r="AF643" s="54"/>
      <c r="AG643" s="54"/>
      <c r="AH643" s="54"/>
    </row>
    <row r="644">
      <c r="A644" s="59" t="s">
        <v>352</v>
      </c>
      <c r="B644" s="80" t="s">
        <v>20</v>
      </c>
      <c r="C644" s="59" t="s">
        <v>949</v>
      </c>
      <c r="D644" s="59" t="s">
        <v>317</v>
      </c>
      <c r="E644" s="11" t="s">
        <v>950</v>
      </c>
      <c r="F644" s="59" t="s">
        <v>938</v>
      </c>
      <c r="G644" s="59" t="s">
        <v>74</v>
      </c>
      <c r="H644" s="105">
        <v>1983.0</v>
      </c>
      <c r="I644" s="89">
        <v>10923.0</v>
      </c>
      <c r="J644" s="76" t="s">
        <v>188</v>
      </c>
      <c r="K644" s="81" t="s">
        <v>188</v>
      </c>
      <c r="L644" s="106" t="s">
        <v>939</v>
      </c>
      <c r="M644" s="107" t="s">
        <v>354</v>
      </c>
      <c r="N644" s="54"/>
      <c r="O644" s="54"/>
      <c r="P644" s="54"/>
      <c r="Q644" s="54"/>
      <c r="R644" s="54"/>
      <c r="S644" s="54"/>
      <c r="T644" s="54"/>
      <c r="U644" s="54"/>
      <c r="V644" s="54"/>
      <c r="W644" s="54"/>
      <c r="X644" s="54"/>
      <c r="Y644" s="54"/>
      <c r="Z644" s="54"/>
      <c r="AA644" s="54"/>
      <c r="AB644" s="54"/>
      <c r="AC644" s="54"/>
      <c r="AD644" s="54"/>
      <c r="AE644" s="54"/>
      <c r="AF644" s="54"/>
      <c r="AG644" s="54"/>
      <c r="AH644" s="54"/>
    </row>
    <row r="645">
      <c r="A645" s="59" t="s">
        <v>352</v>
      </c>
      <c r="B645" s="80" t="s">
        <v>20</v>
      </c>
      <c r="C645" s="59" t="s">
        <v>949</v>
      </c>
      <c r="D645" s="59" t="s">
        <v>317</v>
      </c>
      <c r="E645" s="11" t="s">
        <v>950</v>
      </c>
      <c r="F645" s="59" t="s">
        <v>938</v>
      </c>
      <c r="G645" s="59" t="s">
        <v>74</v>
      </c>
      <c r="H645" s="105">
        <v>1984.0</v>
      </c>
      <c r="I645" s="89">
        <v>10994.0</v>
      </c>
      <c r="J645" s="76" t="s">
        <v>188</v>
      </c>
      <c r="K645" s="81" t="s">
        <v>188</v>
      </c>
      <c r="L645" s="106" t="s">
        <v>939</v>
      </c>
      <c r="M645" s="107" t="s">
        <v>354</v>
      </c>
      <c r="N645" s="54"/>
      <c r="O645" s="54"/>
      <c r="P645" s="54"/>
      <c r="Q645" s="54"/>
      <c r="R645" s="54"/>
      <c r="S645" s="54"/>
      <c r="T645" s="54"/>
      <c r="U645" s="54"/>
      <c r="V645" s="54"/>
      <c r="W645" s="54"/>
      <c r="X645" s="54"/>
      <c r="Y645" s="54"/>
      <c r="Z645" s="54"/>
      <c r="AA645" s="54"/>
      <c r="AB645" s="54"/>
      <c r="AC645" s="54"/>
      <c r="AD645" s="54"/>
      <c r="AE645" s="54"/>
      <c r="AF645" s="54"/>
      <c r="AG645" s="54"/>
      <c r="AH645" s="54"/>
    </row>
    <row r="646">
      <c r="A646" s="59" t="s">
        <v>352</v>
      </c>
      <c r="B646" s="80" t="s">
        <v>20</v>
      </c>
      <c r="C646" s="59" t="s">
        <v>949</v>
      </c>
      <c r="D646" s="59" t="s">
        <v>317</v>
      </c>
      <c r="E646" s="11" t="s">
        <v>950</v>
      </c>
      <c r="F646" s="59" t="s">
        <v>938</v>
      </c>
      <c r="G646" s="59" t="s">
        <v>74</v>
      </c>
      <c r="H646" s="105">
        <v>1985.0</v>
      </c>
      <c r="I646" s="89">
        <v>12459.0</v>
      </c>
      <c r="J646" s="76" t="s">
        <v>188</v>
      </c>
      <c r="K646" s="81" t="s">
        <v>188</v>
      </c>
      <c r="L646" s="106" t="s">
        <v>939</v>
      </c>
      <c r="M646" s="107" t="s">
        <v>354</v>
      </c>
      <c r="N646" s="54"/>
      <c r="O646" s="54"/>
      <c r="P646" s="54"/>
      <c r="Q646" s="54"/>
      <c r="R646" s="54"/>
      <c r="S646" s="54"/>
      <c r="T646" s="54"/>
      <c r="U646" s="54"/>
      <c r="V646" s="54"/>
      <c r="W646" s="54"/>
      <c r="X646" s="54"/>
      <c r="Y646" s="54"/>
      <c r="Z646" s="54"/>
      <c r="AA646" s="54"/>
      <c r="AB646" s="54"/>
      <c r="AC646" s="54"/>
      <c r="AD646" s="54"/>
      <c r="AE646" s="54"/>
      <c r="AF646" s="54"/>
      <c r="AG646" s="54"/>
      <c r="AH646" s="54"/>
    </row>
    <row r="647">
      <c r="A647" s="59" t="s">
        <v>352</v>
      </c>
      <c r="B647" s="80" t="s">
        <v>20</v>
      </c>
      <c r="C647" s="59" t="s">
        <v>949</v>
      </c>
      <c r="D647" s="59" t="s">
        <v>317</v>
      </c>
      <c r="E647" s="11" t="s">
        <v>950</v>
      </c>
      <c r="F647" s="59" t="s">
        <v>938</v>
      </c>
      <c r="G647" s="59" t="s">
        <v>74</v>
      </c>
      <c r="H647" s="105">
        <v>1986.0</v>
      </c>
      <c r="I647" s="89">
        <v>13850.0</v>
      </c>
      <c r="J647" s="76" t="s">
        <v>188</v>
      </c>
      <c r="K647" s="81" t="s">
        <v>188</v>
      </c>
      <c r="L647" s="106" t="s">
        <v>939</v>
      </c>
      <c r="M647" s="107" t="s">
        <v>354</v>
      </c>
      <c r="N647" s="54"/>
      <c r="O647" s="54"/>
      <c r="P647" s="54"/>
      <c r="Q647" s="54"/>
      <c r="R647" s="54"/>
      <c r="S647" s="54"/>
      <c r="T647" s="54"/>
      <c r="U647" s="54"/>
      <c r="V647" s="54"/>
      <c r="W647" s="54"/>
      <c r="X647" s="54"/>
      <c r="Y647" s="54"/>
      <c r="Z647" s="54"/>
      <c r="AA647" s="54"/>
      <c r="AB647" s="54"/>
      <c r="AC647" s="54"/>
      <c r="AD647" s="54"/>
      <c r="AE647" s="54"/>
      <c r="AF647" s="54"/>
      <c r="AG647" s="54"/>
      <c r="AH647" s="54"/>
    </row>
    <row r="648">
      <c r="A648" s="59" t="s">
        <v>352</v>
      </c>
      <c r="B648" s="80" t="s">
        <v>20</v>
      </c>
      <c r="C648" s="59" t="s">
        <v>949</v>
      </c>
      <c r="D648" s="59" t="s">
        <v>317</v>
      </c>
      <c r="E648" s="11" t="s">
        <v>950</v>
      </c>
      <c r="F648" s="59" t="s">
        <v>938</v>
      </c>
      <c r="G648" s="59" t="s">
        <v>74</v>
      </c>
      <c r="H648" s="105">
        <v>1987.0</v>
      </c>
      <c r="I648" s="89">
        <v>15169.0</v>
      </c>
      <c r="J648" s="76" t="s">
        <v>188</v>
      </c>
      <c r="K648" s="81" t="s">
        <v>188</v>
      </c>
      <c r="L648" s="106" t="s">
        <v>939</v>
      </c>
      <c r="M648" s="107" t="s">
        <v>354</v>
      </c>
      <c r="N648" s="54"/>
      <c r="O648" s="54"/>
      <c r="P648" s="54"/>
      <c r="Q648" s="54"/>
      <c r="R648" s="54"/>
      <c r="S648" s="54"/>
      <c r="T648" s="54"/>
      <c r="U648" s="54"/>
      <c r="V648" s="54"/>
      <c r="W648" s="54"/>
      <c r="X648" s="54"/>
      <c r="Y648" s="54"/>
      <c r="Z648" s="54"/>
      <c r="AA648" s="54"/>
      <c r="AB648" s="54"/>
      <c r="AC648" s="54"/>
      <c r="AD648" s="54"/>
      <c r="AE648" s="54"/>
      <c r="AF648" s="54"/>
      <c r="AG648" s="54"/>
      <c r="AH648" s="54"/>
    </row>
    <row r="649">
      <c r="A649" s="59" t="s">
        <v>352</v>
      </c>
      <c r="B649" s="80" t="s">
        <v>20</v>
      </c>
      <c r="C649" s="59" t="s">
        <v>949</v>
      </c>
      <c r="D649" s="59" t="s">
        <v>317</v>
      </c>
      <c r="E649" s="11" t="s">
        <v>950</v>
      </c>
      <c r="F649" s="59" t="s">
        <v>938</v>
      </c>
      <c r="G649" s="59" t="s">
        <v>74</v>
      </c>
      <c r="H649" s="105">
        <v>1988.0</v>
      </c>
      <c r="I649" s="89">
        <v>14140.0</v>
      </c>
      <c r="J649" s="76" t="s">
        <v>188</v>
      </c>
      <c r="K649" s="81" t="s">
        <v>188</v>
      </c>
      <c r="L649" s="106" t="s">
        <v>939</v>
      </c>
      <c r="M649" s="107" t="s">
        <v>354</v>
      </c>
      <c r="N649" s="54"/>
      <c r="O649" s="54"/>
      <c r="P649" s="54"/>
      <c r="Q649" s="54"/>
      <c r="R649" s="54"/>
      <c r="S649" s="54"/>
      <c r="T649" s="54"/>
      <c r="U649" s="54"/>
      <c r="V649" s="54"/>
      <c r="W649" s="54"/>
      <c r="X649" s="54"/>
      <c r="Y649" s="54"/>
      <c r="Z649" s="54"/>
      <c r="AA649" s="54"/>
      <c r="AB649" s="54"/>
      <c r="AC649" s="54"/>
      <c r="AD649" s="54"/>
      <c r="AE649" s="54"/>
      <c r="AF649" s="54"/>
      <c r="AG649" s="54"/>
      <c r="AH649" s="54"/>
    </row>
    <row r="650">
      <c r="A650" s="59" t="s">
        <v>352</v>
      </c>
      <c r="B650" s="80" t="s">
        <v>20</v>
      </c>
      <c r="C650" s="59" t="s">
        <v>949</v>
      </c>
      <c r="D650" s="59" t="s">
        <v>317</v>
      </c>
      <c r="E650" s="11" t="s">
        <v>950</v>
      </c>
      <c r="F650" s="59" t="s">
        <v>938</v>
      </c>
      <c r="G650" s="59" t="s">
        <v>74</v>
      </c>
      <c r="H650" s="105">
        <v>1989.0</v>
      </c>
      <c r="I650" s="89">
        <v>16045.0</v>
      </c>
      <c r="J650" s="76" t="s">
        <v>188</v>
      </c>
      <c r="K650" s="81" t="s">
        <v>188</v>
      </c>
      <c r="L650" s="106" t="s">
        <v>939</v>
      </c>
      <c r="M650" s="107" t="s">
        <v>354</v>
      </c>
      <c r="N650" s="54"/>
      <c r="O650" s="54"/>
      <c r="P650" s="54"/>
      <c r="Q650" s="54"/>
      <c r="R650" s="54"/>
      <c r="S650" s="54"/>
      <c r="T650" s="54"/>
      <c r="U650" s="54"/>
      <c r="V650" s="54"/>
      <c r="W650" s="54"/>
      <c r="X650" s="54"/>
      <c r="Y650" s="54"/>
      <c r="Z650" s="54"/>
      <c r="AA650" s="54"/>
      <c r="AB650" s="54"/>
      <c r="AC650" s="54"/>
      <c r="AD650" s="54"/>
      <c r="AE650" s="54"/>
      <c r="AF650" s="54"/>
      <c r="AG650" s="54"/>
      <c r="AH650" s="54"/>
    </row>
    <row r="651">
      <c r="A651" s="59" t="s">
        <v>352</v>
      </c>
      <c r="B651" s="80" t="s">
        <v>20</v>
      </c>
      <c r="C651" s="59" t="s">
        <v>949</v>
      </c>
      <c r="D651" s="59" t="s">
        <v>317</v>
      </c>
      <c r="E651" s="11" t="s">
        <v>950</v>
      </c>
      <c r="F651" s="59" t="s">
        <v>938</v>
      </c>
      <c r="G651" s="59" t="s">
        <v>74</v>
      </c>
      <c r="H651" s="105">
        <v>1990.0</v>
      </c>
      <c r="I651" s="89">
        <v>15676.0</v>
      </c>
      <c r="J651" s="76" t="s">
        <v>188</v>
      </c>
      <c r="K651" s="81" t="s">
        <v>188</v>
      </c>
      <c r="L651" s="106" t="s">
        <v>939</v>
      </c>
      <c r="M651" s="107" t="s">
        <v>354</v>
      </c>
      <c r="N651" s="54"/>
      <c r="O651" s="54"/>
      <c r="P651" s="54"/>
      <c r="Q651" s="54"/>
      <c r="R651" s="54"/>
      <c r="S651" s="54"/>
      <c r="T651" s="54"/>
      <c r="U651" s="54"/>
      <c r="V651" s="54"/>
      <c r="W651" s="54"/>
      <c r="X651" s="54"/>
      <c r="Y651" s="54"/>
      <c r="Z651" s="54"/>
      <c r="AA651" s="54"/>
      <c r="AB651" s="54"/>
      <c r="AC651" s="54"/>
      <c r="AD651" s="54"/>
      <c r="AE651" s="54"/>
      <c r="AF651" s="54"/>
      <c r="AG651" s="54"/>
      <c r="AH651" s="54"/>
    </row>
    <row r="652">
      <c r="A652" s="59" t="s">
        <v>352</v>
      </c>
      <c r="B652" s="80" t="s">
        <v>20</v>
      </c>
      <c r="C652" s="59" t="s">
        <v>949</v>
      </c>
      <c r="D652" s="59" t="s">
        <v>317</v>
      </c>
      <c r="E652" s="11" t="s">
        <v>950</v>
      </c>
      <c r="F652" s="59" t="s">
        <v>938</v>
      </c>
      <c r="G652" s="59" t="s">
        <v>74</v>
      </c>
      <c r="H652" s="105">
        <v>1991.0</v>
      </c>
      <c r="I652" s="89">
        <v>18094.0</v>
      </c>
      <c r="J652" s="76" t="s">
        <v>188</v>
      </c>
      <c r="K652" s="81" t="s">
        <v>188</v>
      </c>
      <c r="L652" s="106" t="s">
        <v>939</v>
      </c>
      <c r="M652" s="107" t="s">
        <v>354</v>
      </c>
      <c r="N652" s="54"/>
      <c r="O652" s="54"/>
      <c r="P652" s="54"/>
      <c r="Q652" s="54"/>
      <c r="R652" s="54"/>
      <c r="S652" s="54"/>
      <c r="T652" s="54"/>
      <c r="U652" s="54"/>
      <c r="V652" s="54"/>
      <c r="W652" s="54"/>
      <c r="X652" s="54"/>
      <c r="Y652" s="54"/>
      <c r="Z652" s="54"/>
      <c r="AA652" s="54"/>
      <c r="AB652" s="54"/>
      <c r="AC652" s="54"/>
      <c r="AD652" s="54"/>
      <c r="AE652" s="54"/>
      <c r="AF652" s="54"/>
      <c r="AG652" s="54"/>
      <c r="AH652" s="54"/>
    </row>
    <row r="653">
      <c r="A653" s="59" t="s">
        <v>352</v>
      </c>
      <c r="B653" s="80" t="s">
        <v>20</v>
      </c>
      <c r="C653" s="59" t="s">
        <v>949</v>
      </c>
      <c r="D653" s="59" t="s">
        <v>317</v>
      </c>
      <c r="E653" s="11" t="s">
        <v>950</v>
      </c>
      <c r="F653" s="59" t="s">
        <v>938</v>
      </c>
      <c r="G653" s="59" t="s">
        <v>74</v>
      </c>
      <c r="H653" s="105">
        <v>1992.0</v>
      </c>
      <c r="I653" s="89">
        <v>18679.0</v>
      </c>
      <c r="J653" s="76" t="s">
        <v>188</v>
      </c>
      <c r="K653" s="81" t="s">
        <v>188</v>
      </c>
      <c r="L653" s="106" t="s">
        <v>939</v>
      </c>
      <c r="M653" s="107" t="s">
        <v>354</v>
      </c>
      <c r="N653" s="54"/>
      <c r="O653" s="54"/>
      <c r="P653" s="54"/>
      <c r="Q653" s="54"/>
      <c r="R653" s="54"/>
      <c r="S653" s="54"/>
      <c r="T653" s="54"/>
      <c r="U653" s="54"/>
      <c r="V653" s="54"/>
      <c r="W653" s="54"/>
      <c r="X653" s="54"/>
      <c r="Y653" s="54"/>
      <c r="Z653" s="54"/>
      <c r="AA653" s="54"/>
      <c r="AB653" s="54"/>
      <c r="AC653" s="54"/>
      <c r="AD653" s="54"/>
      <c r="AE653" s="54"/>
      <c r="AF653" s="54"/>
      <c r="AG653" s="54"/>
      <c r="AH653" s="54"/>
    </row>
    <row r="654">
      <c r="A654" s="59" t="s">
        <v>352</v>
      </c>
      <c r="B654" s="80" t="s">
        <v>20</v>
      </c>
      <c r="C654" s="59" t="s">
        <v>949</v>
      </c>
      <c r="D654" s="59" t="s">
        <v>317</v>
      </c>
      <c r="E654" s="11" t="s">
        <v>950</v>
      </c>
      <c r="F654" s="59" t="s">
        <v>938</v>
      </c>
      <c r="G654" s="59" t="s">
        <v>74</v>
      </c>
      <c r="H654" s="105">
        <v>1993.0</v>
      </c>
      <c r="I654" s="89">
        <v>14863.0</v>
      </c>
      <c r="J654" s="76" t="s">
        <v>188</v>
      </c>
      <c r="K654" s="81" t="s">
        <v>188</v>
      </c>
      <c r="L654" s="106" t="s">
        <v>939</v>
      </c>
      <c r="M654" s="107" t="s">
        <v>354</v>
      </c>
      <c r="N654" s="54"/>
      <c r="O654" s="54"/>
      <c r="P654" s="54"/>
      <c r="Q654" s="54"/>
      <c r="R654" s="54"/>
      <c r="S654" s="54"/>
      <c r="T654" s="54"/>
      <c r="U654" s="54"/>
      <c r="V654" s="54"/>
      <c r="W654" s="54"/>
      <c r="X654" s="54"/>
      <c r="Y654" s="54"/>
      <c r="Z654" s="54"/>
      <c r="AA654" s="54"/>
      <c r="AB654" s="54"/>
      <c r="AC654" s="54"/>
      <c r="AD654" s="54"/>
      <c r="AE654" s="54"/>
      <c r="AF654" s="54"/>
      <c r="AG654" s="54"/>
      <c r="AH654" s="54"/>
    </row>
    <row r="655">
      <c r="A655" s="59" t="s">
        <v>352</v>
      </c>
      <c r="B655" s="80" t="s">
        <v>20</v>
      </c>
      <c r="C655" s="59" t="s">
        <v>949</v>
      </c>
      <c r="D655" s="59" t="s">
        <v>317</v>
      </c>
      <c r="E655" s="11" t="s">
        <v>950</v>
      </c>
      <c r="F655" s="59" t="s">
        <v>938</v>
      </c>
      <c r="G655" s="59" t="s">
        <v>74</v>
      </c>
      <c r="H655" s="105">
        <v>1994.0</v>
      </c>
      <c r="I655" s="89">
        <v>17208.0</v>
      </c>
      <c r="J655" s="76" t="s">
        <v>188</v>
      </c>
      <c r="K655" s="81" t="s">
        <v>188</v>
      </c>
      <c r="L655" s="106" t="s">
        <v>939</v>
      </c>
      <c r="M655" s="107" t="s">
        <v>354</v>
      </c>
      <c r="N655" s="54"/>
      <c r="O655" s="54"/>
      <c r="P655" s="54"/>
      <c r="Q655" s="54"/>
      <c r="R655" s="54"/>
      <c r="S655" s="54"/>
      <c r="T655" s="54"/>
      <c r="U655" s="54"/>
      <c r="V655" s="54"/>
      <c r="W655" s="54"/>
      <c r="X655" s="54"/>
      <c r="Y655" s="54"/>
      <c r="Z655" s="54"/>
      <c r="AA655" s="54"/>
      <c r="AB655" s="54"/>
      <c r="AC655" s="54"/>
      <c r="AD655" s="54"/>
      <c r="AE655" s="54"/>
      <c r="AF655" s="54"/>
      <c r="AG655" s="54"/>
      <c r="AH655" s="54"/>
    </row>
    <row r="656">
      <c r="A656" s="59" t="s">
        <v>352</v>
      </c>
      <c r="B656" s="80" t="s">
        <v>20</v>
      </c>
      <c r="C656" s="59" t="s">
        <v>949</v>
      </c>
      <c r="D656" s="59" t="s">
        <v>317</v>
      </c>
      <c r="E656" s="11" t="s">
        <v>950</v>
      </c>
      <c r="F656" s="59" t="s">
        <v>938</v>
      </c>
      <c r="G656" s="59" t="s">
        <v>74</v>
      </c>
      <c r="H656" s="105">
        <v>1995.0</v>
      </c>
      <c r="I656" s="89">
        <v>20360.0</v>
      </c>
      <c r="J656" s="76" t="s">
        <v>188</v>
      </c>
      <c r="K656" s="81" t="s">
        <v>188</v>
      </c>
      <c r="L656" s="106" t="s">
        <v>939</v>
      </c>
      <c r="M656" s="107" t="s">
        <v>354</v>
      </c>
      <c r="N656" s="54"/>
      <c r="O656" s="54"/>
      <c r="P656" s="54"/>
      <c r="Q656" s="54"/>
      <c r="R656" s="54"/>
      <c r="S656" s="54"/>
      <c r="T656" s="54"/>
      <c r="U656" s="54"/>
      <c r="V656" s="54"/>
      <c r="W656" s="54"/>
      <c r="X656" s="54"/>
      <c r="Y656" s="54"/>
      <c r="Z656" s="54"/>
      <c r="AA656" s="54"/>
      <c r="AB656" s="54"/>
      <c r="AC656" s="54"/>
      <c r="AD656" s="54"/>
      <c r="AE656" s="54"/>
      <c r="AF656" s="54"/>
      <c r="AG656" s="54"/>
      <c r="AH656" s="54"/>
    </row>
    <row r="657">
      <c r="A657" s="59" t="s">
        <v>352</v>
      </c>
      <c r="B657" s="80" t="s">
        <v>20</v>
      </c>
      <c r="C657" s="59" t="s">
        <v>949</v>
      </c>
      <c r="D657" s="59" t="s">
        <v>317</v>
      </c>
      <c r="E657" s="11" t="s">
        <v>950</v>
      </c>
      <c r="F657" s="59" t="s">
        <v>938</v>
      </c>
      <c r="G657" s="59" t="s">
        <v>74</v>
      </c>
      <c r="H657" s="105">
        <v>2002.0</v>
      </c>
      <c r="I657" s="89">
        <v>17631.0</v>
      </c>
      <c r="J657" s="76" t="s">
        <v>188</v>
      </c>
      <c r="K657" s="81" t="s">
        <v>188</v>
      </c>
      <c r="L657" s="106" t="s">
        <v>939</v>
      </c>
      <c r="M657" s="107" t="s">
        <v>354</v>
      </c>
      <c r="N657" s="54"/>
      <c r="O657" s="54"/>
      <c r="P657" s="54"/>
      <c r="Q657" s="54"/>
      <c r="R657" s="54"/>
      <c r="S657" s="54"/>
      <c r="T657" s="54"/>
      <c r="U657" s="54"/>
      <c r="V657" s="54"/>
      <c r="W657" s="54"/>
      <c r="X657" s="54"/>
      <c r="Y657" s="54"/>
      <c r="Z657" s="54"/>
      <c r="AA657" s="54"/>
      <c r="AB657" s="54"/>
      <c r="AC657" s="54"/>
      <c r="AD657" s="54"/>
      <c r="AE657" s="54"/>
      <c r="AF657" s="54"/>
      <c r="AG657" s="54"/>
      <c r="AH657" s="54"/>
    </row>
    <row r="658">
      <c r="A658" s="59" t="s">
        <v>352</v>
      </c>
      <c r="B658" s="80" t="s">
        <v>20</v>
      </c>
      <c r="C658" s="59" t="s">
        <v>949</v>
      </c>
      <c r="D658" s="59" t="s">
        <v>317</v>
      </c>
      <c r="E658" s="11" t="s">
        <v>950</v>
      </c>
      <c r="F658" s="59" t="s">
        <v>938</v>
      </c>
      <c r="G658" s="59" t="s">
        <v>74</v>
      </c>
      <c r="H658" s="105">
        <v>2004.0</v>
      </c>
      <c r="I658" s="89">
        <v>21955.0</v>
      </c>
      <c r="J658" s="76" t="s">
        <v>188</v>
      </c>
      <c r="K658" s="81" t="s">
        <v>188</v>
      </c>
      <c r="L658" s="106" t="s">
        <v>939</v>
      </c>
      <c r="M658" s="107" t="s">
        <v>354</v>
      </c>
      <c r="N658" s="54"/>
      <c r="O658" s="54"/>
      <c r="P658" s="54"/>
      <c r="Q658" s="54"/>
      <c r="R658" s="54"/>
      <c r="S658" s="54"/>
      <c r="T658" s="54"/>
      <c r="U658" s="54"/>
      <c r="V658" s="54"/>
      <c r="W658" s="54"/>
      <c r="X658" s="54"/>
      <c r="Y658" s="54"/>
      <c r="Z658" s="54"/>
      <c r="AA658" s="54"/>
      <c r="AB658" s="54"/>
      <c r="AC658" s="54"/>
      <c r="AD658" s="54"/>
      <c r="AE658" s="54"/>
      <c r="AF658" s="54"/>
      <c r="AG658" s="54"/>
      <c r="AH658" s="54"/>
    </row>
    <row r="659">
      <c r="A659" s="59" t="s">
        <v>352</v>
      </c>
      <c r="B659" s="80" t="s">
        <v>20</v>
      </c>
      <c r="C659" s="59" t="s">
        <v>949</v>
      </c>
      <c r="D659" s="59" t="s">
        <v>317</v>
      </c>
      <c r="E659" s="11" t="s">
        <v>950</v>
      </c>
      <c r="F659" s="59" t="s">
        <v>938</v>
      </c>
      <c r="G659" s="59" t="s">
        <v>74</v>
      </c>
      <c r="H659" s="105">
        <v>2009.0</v>
      </c>
      <c r="I659" s="89">
        <v>16076.0</v>
      </c>
      <c r="J659" s="76" t="s">
        <v>188</v>
      </c>
      <c r="K659" s="81" t="s">
        <v>188</v>
      </c>
      <c r="L659" s="106" t="s">
        <v>939</v>
      </c>
      <c r="M659" s="107" t="s">
        <v>354</v>
      </c>
      <c r="N659" s="54"/>
      <c r="O659" s="54"/>
      <c r="P659" s="54"/>
      <c r="Q659" s="54"/>
      <c r="R659" s="54"/>
      <c r="S659" s="54"/>
      <c r="T659" s="54"/>
      <c r="U659" s="54"/>
      <c r="V659" s="54"/>
      <c r="W659" s="54"/>
      <c r="X659" s="54"/>
      <c r="Y659" s="54"/>
      <c r="Z659" s="54"/>
      <c r="AA659" s="54"/>
      <c r="AB659" s="54"/>
      <c r="AC659" s="54"/>
      <c r="AD659" s="54"/>
      <c r="AE659" s="54"/>
      <c r="AF659" s="54"/>
      <c r="AG659" s="54"/>
      <c r="AH659" s="54"/>
    </row>
    <row r="660">
      <c r="A660" s="59" t="s">
        <v>352</v>
      </c>
      <c r="B660" s="80" t="s">
        <v>20</v>
      </c>
      <c r="C660" s="59" t="s">
        <v>949</v>
      </c>
      <c r="D660" s="59" t="s">
        <v>317</v>
      </c>
      <c r="E660" s="11" t="s">
        <v>950</v>
      </c>
      <c r="F660" s="59" t="s">
        <v>938</v>
      </c>
      <c r="G660" s="59" t="s">
        <v>74</v>
      </c>
      <c r="H660" s="105">
        <v>2012.0</v>
      </c>
      <c r="I660" s="89">
        <v>15410.0</v>
      </c>
      <c r="J660" s="76" t="s">
        <v>188</v>
      </c>
      <c r="K660" s="81" t="s">
        <v>188</v>
      </c>
      <c r="L660" s="106" t="s">
        <v>939</v>
      </c>
      <c r="M660" s="107" t="s">
        <v>354</v>
      </c>
      <c r="N660" s="54"/>
      <c r="O660" s="54"/>
      <c r="P660" s="54"/>
      <c r="Q660" s="54"/>
      <c r="R660" s="54"/>
      <c r="S660" s="54"/>
      <c r="T660" s="54"/>
      <c r="U660" s="54"/>
      <c r="V660" s="54"/>
      <c r="W660" s="54"/>
      <c r="X660" s="54"/>
      <c r="Y660" s="54"/>
      <c r="Z660" s="54"/>
      <c r="AA660" s="54"/>
      <c r="AB660" s="54"/>
      <c r="AC660" s="54"/>
      <c r="AD660" s="54"/>
      <c r="AE660" s="54"/>
      <c r="AF660" s="54"/>
      <c r="AG660" s="54"/>
      <c r="AH660" s="54"/>
    </row>
    <row r="661">
      <c r="A661" s="59" t="s">
        <v>352</v>
      </c>
      <c r="B661" s="80" t="s">
        <v>20</v>
      </c>
      <c r="C661" s="59" t="s">
        <v>968</v>
      </c>
      <c r="D661" s="59" t="s">
        <v>317</v>
      </c>
      <c r="E661" s="59" t="s">
        <v>970</v>
      </c>
      <c r="F661" s="59" t="s">
        <v>938</v>
      </c>
      <c r="G661" s="59" t="s">
        <v>74</v>
      </c>
      <c r="H661" s="105">
        <v>1984.0</v>
      </c>
      <c r="I661" s="89">
        <v>14295.0</v>
      </c>
      <c r="J661" s="76" t="s">
        <v>188</v>
      </c>
      <c r="K661" s="81" t="s">
        <v>188</v>
      </c>
      <c r="L661" s="106" t="s">
        <v>939</v>
      </c>
      <c r="M661" s="107" t="s">
        <v>354</v>
      </c>
      <c r="N661" s="54"/>
      <c r="O661" s="54"/>
      <c r="P661" s="54"/>
      <c r="Q661" s="54"/>
      <c r="R661" s="54"/>
      <c r="S661" s="54"/>
      <c r="T661" s="54"/>
      <c r="U661" s="54"/>
      <c r="V661" s="54"/>
      <c r="W661" s="54"/>
      <c r="X661" s="54"/>
      <c r="Y661" s="54"/>
      <c r="Z661" s="54"/>
      <c r="AA661" s="54"/>
      <c r="AB661" s="54"/>
      <c r="AC661" s="54"/>
      <c r="AD661" s="54"/>
      <c r="AE661" s="54"/>
      <c r="AF661" s="54"/>
      <c r="AG661" s="54"/>
      <c r="AH661" s="54"/>
    </row>
    <row r="662">
      <c r="A662" s="59" t="s">
        <v>352</v>
      </c>
      <c r="B662" s="80" t="s">
        <v>20</v>
      </c>
      <c r="C662" s="59" t="s">
        <v>968</v>
      </c>
      <c r="D662" s="59" t="s">
        <v>317</v>
      </c>
      <c r="E662" s="59" t="s">
        <v>970</v>
      </c>
      <c r="F662" s="59" t="s">
        <v>938</v>
      </c>
      <c r="G662" s="59" t="s">
        <v>74</v>
      </c>
      <c r="H662" s="105">
        <v>1985.0</v>
      </c>
      <c r="I662" s="89">
        <v>14953.0</v>
      </c>
      <c r="J662" s="76" t="s">
        <v>188</v>
      </c>
      <c r="K662" s="81" t="s">
        <v>188</v>
      </c>
      <c r="L662" s="106" t="s">
        <v>939</v>
      </c>
      <c r="M662" s="107" t="s">
        <v>354</v>
      </c>
      <c r="N662" s="54"/>
      <c r="O662" s="54"/>
      <c r="P662" s="54"/>
      <c r="Q662" s="54"/>
      <c r="R662" s="54"/>
      <c r="S662" s="54"/>
      <c r="T662" s="54"/>
      <c r="U662" s="54"/>
      <c r="V662" s="54"/>
      <c r="W662" s="54"/>
      <c r="X662" s="54"/>
      <c r="Y662" s="54"/>
      <c r="Z662" s="54"/>
      <c r="AA662" s="54"/>
      <c r="AB662" s="54"/>
      <c r="AC662" s="54"/>
      <c r="AD662" s="54"/>
      <c r="AE662" s="54"/>
      <c r="AF662" s="54"/>
      <c r="AG662" s="54"/>
      <c r="AH662" s="54"/>
    </row>
    <row r="663">
      <c r="A663" s="59" t="s">
        <v>352</v>
      </c>
      <c r="B663" s="80" t="s">
        <v>20</v>
      </c>
      <c r="C663" s="59" t="s">
        <v>968</v>
      </c>
      <c r="D663" s="59" t="s">
        <v>317</v>
      </c>
      <c r="E663" s="59" t="s">
        <v>970</v>
      </c>
      <c r="F663" s="59" t="s">
        <v>938</v>
      </c>
      <c r="G663" s="59" t="s">
        <v>74</v>
      </c>
      <c r="H663" s="105">
        <v>1986.0</v>
      </c>
      <c r="I663" s="89">
        <v>15684.0</v>
      </c>
      <c r="J663" s="76" t="s">
        <v>188</v>
      </c>
      <c r="K663" s="81" t="s">
        <v>188</v>
      </c>
      <c r="L663" s="106" t="s">
        <v>939</v>
      </c>
      <c r="M663" s="107" t="s">
        <v>354</v>
      </c>
      <c r="N663" s="54"/>
      <c r="O663" s="54"/>
      <c r="P663" s="54"/>
      <c r="Q663" s="54"/>
      <c r="R663" s="54"/>
      <c r="S663" s="54"/>
      <c r="T663" s="54"/>
      <c r="U663" s="54"/>
      <c r="V663" s="54"/>
      <c r="W663" s="54"/>
      <c r="X663" s="54"/>
      <c r="Y663" s="54"/>
      <c r="Z663" s="54"/>
      <c r="AA663" s="54"/>
      <c r="AB663" s="54"/>
      <c r="AC663" s="54"/>
      <c r="AD663" s="54"/>
      <c r="AE663" s="54"/>
      <c r="AF663" s="54"/>
      <c r="AG663" s="54"/>
      <c r="AH663" s="54"/>
    </row>
    <row r="664">
      <c r="A664" s="59" t="s">
        <v>352</v>
      </c>
      <c r="B664" s="80" t="s">
        <v>20</v>
      </c>
      <c r="C664" s="59" t="s">
        <v>968</v>
      </c>
      <c r="D664" s="59" t="s">
        <v>317</v>
      </c>
      <c r="E664" s="59" t="s">
        <v>970</v>
      </c>
      <c r="F664" s="59" t="s">
        <v>938</v>
      </c>
      <c r="G664" s="59" t="s">
        <v>74</v>
      </c>
      <c r="H664" s="105">
        <v>1987.0</v>
      </c>
      <c r="I664" s="89">
        <v>19423.0</v>
      </c>
      <c r="J664" s="76" t="s">
        <v>188</v>
      </c>
      <c r="K664" s="81" t="s">
        <v>188</v>
      </c>
      <c r="L664" s="106" t="s">
        <v>939</v>
      </c>
      <c r="M664" s="107" t="s">
        <v>354</v>
      </c>
      <c r="N664" s="54"/>
      <c r="O664" s="54"/>
      <c r="P664" s="54"/>
      <c r="Q664" s="54"/>
      <c r="R664" s="54"/>
      <c r="S664" s="54"/>
      <c r="T664" s="54"/>
      <c r="U664" s="54"/>
      <c r="V664" s="54"/>
      <c r="W664" s="54"/>
      <c r="X664" s="54"/>
      <c r="Y664" s="54"/>
      <c r="Z664" s="54"/>
      <c r="AA664" s="54"/>
      <c r="AB664" s="54"/>
      <c r="AC664" s="54"/>
      <c r="AD664" s="54"/>
      <c r="AE664" s="54"/>
      <c r="AF664" s="54"/>
      <c r="AG664" s="54"/>
      <c r="AH664" s="54"/>
    </row>
    <row r="665">
      <c r="A665" s="59" t="s">
        <v>352</v>
      </c>
      <c r="B665" s="80" t="s">
        <v>20</v>
      </c>
      <c r="C665" s="59" t="s">
        <v>968</v>
      </c>
      <c r="D665" s="59" t="s">
        <v>317</v>
      </c>
      <c r="E665" s="59" t="s">
        <v>970</v>
      </c>
      <c r="F665" s="59" t="s">
        <v>938</v>
      </c>
      <c r="G665" s="59" t="s">
        <v>74</v>
      </c>
      <c r="H665" s="105">
        <v>1988.0</v>
      </c>
      <c r="I665" s="89">
        <v>18101.0</v>
      </c>
      <c r="J665" s="76" t="s">
        <v>188</v>
      </c>
      <c r="K665" s="81" t="s">
        <v>188</v>
      </c>
      <c r="L665" s="106" t="s">
        <v>939</v>
      </c>
      <c r="M665" s="107" t="s">
        <v>354</v>
      </c>
      <c r="N665" s="54"/>
      <c r="O665" s="54"/>
      <c r="P665" s="54"/>
      <c r="Q665" s="54"/>
      <c r="R665" s="54"/>
      <c r="S665" s="54"/>
      <c r="T665" s="54"/>
      <c r="U665" s="54"/>
      <c r="V665" s="54"/>
      <c r="W665" s="54"/>
      <c r="X665" s="54"/>
      <c r="Y665" s="54"/>
      <c r="Z665" s="54"/>
      <c r="AA665" s="54"/>
      <c r="AB665" s="54"/>
      <c r="AC665" s="54"/>
      <c r="AD665" s="54"/>
      <c r="AE665" s="54"/>
      <c r="AF665" s="54"/>
      <c r="AG665" s="54"/>
      <c r="AH665" s="54"/>
    </row>
    <row r="666">
      <c r="A666" s="59" t="s">
        <v>352</v>
      </c>
      <c r="B666" s="80" t="s">
        <v>20</v>
      </c>
      <c r="C666" s="59" t="s">
        <v>968</v>
      </c>
      <c r="D666" s="59" t="s">
        <v>317</v>
      </c>
      <c r="E666" s="59" t="s">
        <v>970</v>
      </c>
      <c r="F666" s="59" t="s">
        <v>938</v>
      </c>
      <c r="G666" s="59" t="s">
        <v>74</v>
      </c>
      <c r="H666" s="105">
        <v>1989.0</v>
      </c>
      <c r="I666" s="89">
        <v>20372.0</v>
      </c>
      <c r="J666" s="76" t="s">
        <v>188</v>
      </c>
      <c r="K666" s="81" t="s">
        <v>188</v>
      </c>
      <c r="L666" s="106" t="s">
        <v>939</v>
      </c>
      <c r="M666" s="107" t="s">
        <v>354</v>
      </c>
      <c r="N666" s="54"/>
      <c r="O666" s="54"/>
      <c r="P666" s="54"/>
      <c r="Q666" s="54"/>
      <c r="R666" s="54"/>
      <c r="S666" s="54"/>
      <c r="T666" s="54"/>
      <c r="U666" s="54"/>
      <c r="V666" s="54"/>
      <c r="W666" s="54"/>
      <c r="X666" s="54"/>
      <c r="Y666" s="54"/>
      <c r="Z666" s="54"/>
      <c r="AA666" s="54"/>
      <c r="AB666" s="54"/>
      <c r="AC666" s="54"/>
      <c r="AD666" s="54"/>
      <c r="AE666" s="54"/>
      <c r="AF666" s="54"/>
      <c r="AG666" s="54"/>
      <c r="AH666" s="54"/>
    </row>
    <row r="667">
      <c r="A667" s="59" t="s">
        <v>352</v>
      </c>
      <c r="B667" s="80" t="s">
        <v>20</v>
      </c>
      <c r="C667" s="59" t="s">
        <v>968</v>
      </c>
      <c r="D667" s="59" t="s">
        <v>317</v>
      </c>
      <c r="E667" s="59" t="s">
        <v>970</v>
      </c>
      <c r="F667" s="59" t="s">
        <v>938</v>
      </c>
      <c r="G667" s="59" t="s">
        <v>74</v>
      </c>
      <c r="H667" s="105">
        <v>1990.0</v>
      </c>
      <c r="I667" s="89">
        <v>18537.0</v>
      </c>
      <c r="J667" s="76" t="s">
        <v>188</v>
      </c>
      <c r="K667" s="81" t="s">
        <v>188</v>
      </c>
      <c r="L667" s="106" t="s">
        <v>939</v>
      </c>
      <c r="M667" s="107" t="s">
        <v>354</v>
      </c>
      <c r="N667" s="54"/>
      <c r="O667" s="54"/>
      <c r="P667" s="54"/>
      <c r="Q667" s="54"/>
      <c r="R667" s="54"/>
      <c r="S667" s="54"/>
      <c r="T667" s="54"/>
      <c r="U667" s="54"/>
      <c r="V667" s="54"/>
      <c r="W667" s="54"/>
      <c r="X667" s="54"/>
      <c r="Y667" s="54"/>
      <c r="Z667" s="54"/>
      <c r="AA667" s="54"/>
      <c r="AB667" s="54"/>
      <c r="AC667" s="54"/>
      <c r="AD667" s="54"/>
      <c r="AE667" s="54"/>
      <c r="AF667" s="54"/>
      <c r="AG667" s="54"/>
      <c r="AH667" s="54"/>
    </row>
    <row r="668">
      <c r="A668" s="59" t="s">
        <v>352</v>
      </c>
      <c r="B668" s="80" t="s">
        <v>20</v>
      </c>
      <c r="C668" s="59" t="s">
        <v>968</v>
      </c>
      <c r="D668" s="59" t="s">
        <v>317</v>
      </c>
      <c r="E668" s="59" t="s">
        <v>970</v>
      </c>
      <c r="F668" s="59" t="s">
        <v>938</v>
      </c>
      <c r="G668" s="59" t="s">
        <v>74</v>
      </c>
      <c r="H668" s="105">
        <v>1991.0</v>
      </c>
      <c r="I668" s="89">
        <v>22862.0</v>
      </c>
      <c r="J668" s="76" t="s">
        <v>188</v>
      </c>
      <c r="K668" s="81" t="s">
        <v>188</v>
      </c>
      <c r="L668" s="106" t="s">
        <v>939</v>
      </c>
      <c r="M668" s="107" t="s">
        <v>354</v>
      </c>
      <c r="N668" s="54"/>
      <c r="O668" s="54"/>
      <c r="P668" s="54"/>
      <c r="Q668" s="54"/>
      <c r="R668" s="54"/>
      <c r="S668" s="54"/>
      <c r="T668" s="54"/>
      <c r="U668" s="54"/>
      <c r="V668" s="54"/>
      <c r="W668" s="54"/>
      <c r="X668" s="54"/>
      <c r="Y668" s="54"/>
      <c r="Z668" s="54"/>
      <c r="AA668" s="54"/>
      <c r="AB668" s="54"/>
      <c r="AC668" s="54"/>
      <c r="AD668" s="54"/>
      <c r="AE668" s="54"/>
      <c r="AF668" s="54"/>
      <c r="AG668" s="54"/>
      <c r="AH668" s="54"/>
    </row>
    <row r="669">
      <c r="A669" s="59" t="s">
        <v>352</v>
      </c>
      <c r="B669" s="80" t="s">
        <v>20</v>
      </c>
      <c r="C669" s="59" t="s">
        <v>968</v>
      </c>
      <c r="D669" s="59" t="s">
        <v>317</v>
      </c>
      <c r="E669" s="59" t="s">
        <v>970</v>
      </c>
      <c r="F669" s="59" t="s">
        <v>938</v>
      </c>
      <c r="G669" s="59" t="s">
        <v>74</v>
      </c>
      <c r="H669" s="105">
        <v>1992.0</v>
      </c>
      <c r="I669" s="89">
        <v>23153.0</v>
      </c>
      <c r="J669" s="76" t="s">
        <v>188</v>
      </c>
      <c r="K669" s="81" t="s">
        <v>188</v>
      </c>
      <c r="L669" s="106" t="s">
        <v>939</v>
      </c>
      <c r="M669" s="107" t="s">
        <v>354</v>
      </c>
      <c r="N669" s="54"/>
      <c r="O669" s="54"/>
      <c r="P669" s="54"/>
      <c r="Q669" s="54"/>
      <c r="R669" s="54"/>
      <c r="S669" s="54"/>
      <c r="T669" s="54"/>
      <c r="U669" s="54"/>
      <c r="V669" s="54"/>
      <c r="W669" s="54"/>
      <c r="X669" s="54"/>
      <c r="Y669" s="54"/>
      <c r="Z669" s="54"/>
      <c r="AA669" s="54"/>
      <c r="AB669" s="54"/>
      <c r="AC669" s="54"/>
      <c r="AD669" s="54"/>
      <c r="AE669" s="54"/>
      <c r="AF669" s="54"/>
      <c r="AG669" s="54"/>
      <c r="AH669" s="54"/>
    </row>
    <row r="670">
      <c r="A670" s="59" t="s">
        <v>352</v>
      </c>
      <c r="B670" s="80" t="s">
        <v>20</v>
      </c>
      <c r="C670" s="59" t="s">
        <v>968</v>
      </c>
      <c r="D670" s="59" t="s">
        <v>317</v>
      </c>
      <c r="E670" s="59" t="s">
        <v>970</v>
      </c>
      <c r="F670" s="59" t="s">
        <v>938</v>
      </c>
      <c r="G670" s="59" t="s">
        <v>74</v>
      </c>
      <c r="H670" s="105">
        <v>1993.0</v>
      </c>
      <c r="I670" s="89">
        <v>18164.0</v>
      </c>
      <c r="J670" s="76" t="s">
        <v>188</v>
      </c>
      <c r="K670" s="81" t="s">
        <v>188</v>
      </c>
      <c r="L670" s="106" t="s">
        <v>939</v>
      </c>
      <c r="M670" s="107" t="s">
        <v>354</v>
      </c>
      <c r="N670" s="54"/>
      <c r="O670" s="54"/>
      <c r="P670" s="54"/>
      <c r="Q670" s="54"/>
      <c r="R670" s="54"/>
      <c r="S670" s="54"/>
      <c r="T670" s="54"/>
      <c r="U670" s="54"/>
      <c r="V670" s="54"/>
      <c r="W670" s="54"/>
      <c r="X670" s="54"/>
      <c r="Y670" s="54"/>
      <c r="Z670" s="54"/>
      <c r="AA670" s="54"/>
      <c r="AB670" s="54"/>
      <c r="AC670" s="54"/>
      <c r="AD670" s="54"/>
      <c r="AE670" s="54"/>
      <c r="AF670" s="54"/>
      <c r="AG670" s="54"/>
      <c r="AH670" s="54"/>
    </row>
    <row r="671">
      <c r="A671" s="59" t="s">
        <v>352</v>
      </c>
      <c r="B671" s="80" t="s">
        <v>20</v>
      </c>
      <c r="C671" s="59" t="s">
        <v>968</v>
      </c>
      <c r="D671" s="59" t="s">
        <v>317</v>
      </c>
      <c r="E671" s="59" t="s">
        <v>970</v>
      </c>
      <c r="F671" s="59" t="s">
        <v>938</v>
      </c>
      <c r="G671" s="59" t="s">
        <v>74</v>
      </c>
      <c r="H671" s="105">
        <v>1994.0</v>
      </c>
      <c r="I671" s="89">
        <v>21462.0</v>
      </c>
      <c r="J671" s="76" t="s">
        <v>188</v>
      </c>
      <c r="K671" s="81" t="s">
        <v>188</v>
      </c>
      <c r="L671" s="106" t="s">
        <v>939</v>
      </c>
      <c r="M671" s="107" t="s">
        <v>354</v>
      </c>
      <c r="N671" s="54"/>
      <c r="O671" s="54"/>
      <c r="P671" s="54"/>
      <c r="Q671" s="54"/>
      <c r="R671" s="54"/>
      <c r="S671" s="54"/>
      <c r="T671" s="54"/>
      <c r="U671" s="54"/>
      <c r="V671" s="54"/>
      <c r="W671" s="54"/>
      <c r="X671" s="54"/>
      <c r="Y671" s="54"/>
      <c r="Z671" s="54"/>
      <c r="AA671" s="54"/>
      <c r="AB671" s="54"/>
      <c r="AC671" s="54"/>
      <c r="AD671" s="54"/>
      <c r="AE671" s="54"/>
      <c r="AF671" s="54"/>
      <c r="AG671" s="54"/>
      <c r="AH671" s="54"/>
    </row>
    <row r="672">
      <c r="A672" s="59" t="s">
        <v>352</v>
      </c>
      <c r="B672" s="80" t="s">
        <v>20</v>
      </c>
      <c r="C672" s="59" t="s">
        <v>968</v>
      </c>
      <c r="D672" s="59" t="s">
        <v>317</v>
      </c>
      <c r="E672" s="59" t="s">
        <v>970</v>
      </c>
      <c r="F672" s="59" t="s">
        <v>938</v>
      </c>
      <c r="G672" s="59" t="s">
        <v>74</v>
      </c>
      <c r="H672" s="105">
        <v>1995.0</v>
      </c>
      <c r="I672" s="89">
        <v>23367.0</v>
      </c>
      <c r="J672" s="76" t="s">
        <v>188</v>
      </c>
      <c r="K672" s="81" t="s">
        <v>188</v>
      </c>
      <c r="L672" s="106" t="s">
        <v>939</v>
      </c>
      <c r="M672" s="107" t="s">
        <v>354</v>
      </c>
      <c r="N672" s="54"/>
      <c r="O672" s="54"/>
      <c r="P672" s="54"/>
      <c r="Q672" s="54"/>
      <c r="R672" s="54"/>
      <c r="S672" s="54"/>
      <c r="T672" s="54"/>
      <c r="U672" s="54"/>
      <c r="V672" s="54"/>
      <c r="W672" s="54"/>
      <c r="X672" s="54"/>
      <c r="Y672" s="54"/>
      <c r="Z672" s="54"/>
      <c r="AA672" s="54"/>
      <c r="AB672" s="54"/>
      <c r="AC672" s="54"/>
      <c r="AD672" s="54"/>
      <c r="AE672" s="54"/>
      <c r="AF672" s="54"/>
      <c r="AG672" s="54"/>
      <c r="AH672" s="54"/>
    </row>
    <row r="673">
      <c r="A673" s="59" t="s">
        <v>352</v>
      </c>
      <c r="B673" s="80" t="s">
        <v>20</v>
      </c>
      <c r="C673" s="59" t="s">
        <v>968</v>
      </c>
      <c r="D673" s="59" t="s">
        <v>317</v>
      </c>
      <c r="E673" s="59" t="s">
        <v>970</v>
      </c>
      <c r="F673" s="59" t="s">
        <v>938</v>
      </c>
      <c r="G673" s="59" t="s">
        <v>74</v>
      </c>
      <c r="H673" s="105">
        <v>2002.0</v>
      </c>
      <c r="I673" s="89">
        <v>21445.0</v>
      </c>
      <c r="J673" s="76" t="s">
        <v>188</v>
      </c>
      <c r="K673" s="81" t="s">
        <v>188</v>
      </c>
      <c r="L673" s="106" t="s">
        <v>939</v>
      </c>
      <c r="M673" s="107" t="s">
        <v>354</v>
      </c>
      <c r="N673" s="54"/>
      <c r="O673" s="54"/>
      <c r="P673" s="54"/>
      <c r="Q673" s="54"/>
      <c r="R673" s="54"/>
      <c r="S673" s="54"/>
      <c r="T673" s="54"/>
      <c r="U673" s="54"/>
      <c r="V673" s="54"/>
      <c r="W673" s="54"/>
      <c r="X673" s="54"/>
      <c r="Y673" s="54"/>
      <c r="Z673" s="54"/>
      <c r="AA673" s="54"/>
      <c r="AB673" s="54"/>
      <c r="AC673" s="54"/>
      <c r="AD673" s="54"/>
      <c r="AE673" s="54"/>
      <c r="AF673" s="54"/>
      <c r="AG673" s="54"/>
      <c r="AH673" s="54"/>
    </row>
    <row r="674">
      <c r="A674" s="59" t="s">
        <v>352</v>
      </c>
      <c r="B674" s="80" t="s">
        <v>20</v>
      </c>
      <c r="C674" s="59" t="s">
        <v>968</v>
      </c>
      <c r="D674" s="59" t="s">
        <v>317</v>
      </c>
      <c r="E674" s="59" t="s">
        <v>970</v>
      </c>
      <c r="F674" s="59" t="s">
        <v>938</v>
      </c>
      <c r="G674" s="59" t="s">
        <v>74</v>
      </c>
      <c r="H674" s="105">
        <v>2004.0</v>
      </c>
      <c r="I674" s="89">
        <v>26282.0</v>
      </c>
      <c r="J674" s="76" t="s">
        <v>188</v>
      </c>
      <c r="K674" s="81" t="s">
        <v>188</v>
      </c>
      <c r="L674" s="106" t="s">
        <v>939</v>
      </c>
      <c r="M674" s="107" t="s">
        <v>354</v>
      </c>
      <c r="N674" s="54"/>
      <c r="O674" s="54"/>
      <c r="P674" s="54"/>
      <c r="Q674" s="54"/>
      <c r="R674" s="54"/>
      <c r="S674" s="54"/>
      <c r="T674" s="54"/>
      <c r="U674" s="54"/>
      <c r="V674" s="54"/>
      <c r="W674" s="54"/>
      <c r="X674" s="54"/>
      <c r="Y674" s="54"/>
      <c r="Z674" s="54"/>
      <c r="AA674" s="54"/>
      <c r="AB674" s="54"/>
      <c r="AC674" s="54"/>
      <c r="AD674" s="54"/>
      <c r="AE674" s="54"/>
      <c r="AF674" s="54"/>
      <c r="AG674" s="54"/>
      <c r="AH674" s="54"/>
    </row>
    <row r="675">
      <c r="A675" s="59" t="s">
        <v>352</v>
      </c>
      <c r="B675" s="80" t="s">
        <v>20</v>
      </c>
      <c r="C675" s="59" t="s">
        <v>968</v>
      </c>
      <c r="D675" s="59" t="s">
        <v>317</v>
      </c>
      <c r="E675" s="59" t="s">
        <v>970</v>
      </c>
      <c r="F675" s="59" t="s">
        <v>938</v>
      </c>
      <c r="G675" s="59" t="s">
        <v>74</v>
      </c>
      <c r="H675" s="105">
        <v>2009.0</v>
      </c>
      <c r="I675" s="89">
        <v>19597.0</v>
      </c>
      <c r="J675" s="76" t="s">
        <v>188</v>
      </c>
      <c r="K675" s="81" t="s">
        <v>188</v>
      </c>
      <c r="L675" s="106" t="s">
        <v>939</v>
      </c>
      <c r="M675" s="107" t="s">
        <v>354</v>
      </c>
      <c r="N675" s="54"/>
      <c r="O675" s="54"/>
      <c r="P675" s="54"/>
      <c r="Q675" s="54"/>
      <c r="R675" s="54"/>
      <c r="S675" s="54"/>
      <c r="T675" s="54"/>
      <c r="U675" s="54"/>
      <c r="V675" s="54"/>
      <c r="W675" s="54"/>
      <c r="X675" s="54"/>
      <c r="Y675" s="54"/>
      <c r="Z675" s="54"/>
      <c r="AA675" s="54"/>
      <c r="AB675" s="54"/>
      <c r="AC675" s="54"/>
      <c r="AD675" s="54"/>
      <c r="AE675" s="54"/>
      <c r="AF675" s="54"/>
      <c r="AG675" s="54"/>
      <c r="AH675" s="54"/>
    </row>
    <row r="676">
      <c r="A676" s="59" t="s">
        <v>352</v>
      </c>
      <c r="B676" s="80" t="s">
        <v>20</v>
      </c>
      <c r="C676" s="59" t="s">
        <v>968</v>
      </c>
      <c r="D676" s="59" t="s">
        <v>317</v>
      </c>
      <c r="E676" s="59" t="s">
        <v>970</v>
      </c>
      <c r="F676" s="59" t="s">
        <v>938</v>
      </c>
      <c r="G676" s="59" t="s">
        <v>74</v>
      </c>
      <c r="H676" s="105">
        <v>2012.0</v>
      </c>
      <c r="I676" s="89">
        <v>20104.0</v>
      </c>
      <c r="J676" s="76" t="s">
        <v>188</v>
      </c>
      <c r="K676" s="81" t="s">
        <v>188</v>
      </c>
      <c r="L676" s="106" t="s">
        <v>939</v>
      </c>
      <c r="M676" s="107" t="s">
        <v>354</v>
      </c>
      <c r="N676" s="54"/>
      <c r="O676" s="54"/>
      <c r="P676" s="54"/>
      <c r="Q676" s="54"/>
      <c r="R676" s="54"/>
      <c r="S676" s="54"/>
      <c r="T676" s="54"/>
      <c r="U676" s="54"/>
      <c r="V676" s="54"/>
      <c r="W676" s="54"/>
      <c r="X676" s="54"/>
      <c r="Y676" s="54"/>
      <c r="Z676" s="54"/>
      <c r="AA676" s="54"/>
      <c r="AB676" s="54"/>
      <c r="AC676" s="54"/>
      <c r="AD676" s="54"/>
      <c r="AE676" s="54"/>
      <c r="AF676" s="54"/>
      <c r="AG676" s="54"/>
      <c r="AH676" s="54"/>
    </row>
    <row r="677">
      <c r="A677" s="59" t="s">
        <v>346</v>
      </c>
      <c r="B677" s="59" t="s">
        <v>20</v>
      </c>
      <c r="C677" s="59" t="s">
        <v>977</v>
      </c>
      <c r="D677" s="59" t="s">
        <v>317</v>
      </c>
      <c r="E677" s="11" t="s">
        <v>979</v>
      </c>
      <c r="F677" s="59" t="s">
        <v>313</v>
      </c>
      <c r="G677" s="59" t="s">
        <v>74</v>
      </c>
      <c r="H677" s="81">
        <v>1980.0</v>
      </c>
      <c r="I677" s="76">
        <v>4503.0</v>
      </c>
      <c r="J677" s="76" t="s">
        <v>188</v>
      </c>
      <c r="K677" s="81" t="s">
        <v>188</v>
      </c>
      <c r="L677" s="106" t="s">
        <v>81</v>
      </c>
      <c r="M677" s="107" t="s">
        <v>348</v>
      </c>
      <c r="N677" s="54"/>
      <c r="O677" s="54"/>
      <c r="P677" s="54"/>
      <c r="Q677" s="54"/>
      <c r="R677" s="54"/>
      <c r="S677" s="54"/>
      <c r="T677" s="54"/>
      <c r="U677" s="54"/>
      <c r="V677" s="54"/>
      <c r="W677" s="54"/>
      <c r="X677" s="54"/>
      <c r="Y677" s="54"/>
      <c r="Z677" s="54"/>
      <c r="AA677" s="54"/>
      <c r="AB677" s="54"/>
      <c r="AC677" s="54"/>
      <c r="AD677" s="54"/>
      <c r="AE677" s="54"/>
      <c r="AF677" s="54"/>
      <c r="AG677" s="54"/>
      <c r="AH677" s="54"/>
    </row>
    <row r="678">
      <c r="A678" s="59" t="s">
        <v>346</v>
      </c>
      <c r="B678" s="59" t="s">
        <v>20</v>
      </c>
      <c r="C678" s="59" t="s">
        <v>977</v>
      </c>
      <c r="D678" s="59" t="s">
        <v>317</v>
      </c>
      <c r="E678" s="11" t="s">
        <v>979</v>
      </c>
      <c r="F678" s="59" t="s">
        <v>313</v>
      </c>
      <c r="G678" s="59" t="s">
        <v>74</v>
      </c>
      <c r="H678" s="81">
        <v>1981.0</v>
      </c>
      <c r="I678" s="76">
        <v>6085.0</v>
      </c>
      <c r="J678" s="76" t="s">
        <v>188</v>
      </c>
      <c r="K678" s="81" t="s">
        <v>188</v>
      </c>
      <c r="L678" s="106" t="s">
        <v>81</v>
      </c>
      <c r="M678" s="107" t="s">
        <v>348</v>
      </c>
      <c r="N678" s="54"/>
      <c r="O678" s="54"/>
      <c r="P678" s="54"/>
      <c r="Q678" s="54"/>
      <c r="R678" s="54"/>
      <c r="S678" s="54"/>
      <c r="T678" s="54"/>
      <c r="U678" s="54"/>
      <c r="V678" s="54"/>
      <c r="W678" s="54"/>
      <c r="X678" s="54"/>
      <c r="Y678" s="54"/>
      <c r="Z678" s="54"/>
      <c r="AA678" s="54"/>
      <c r="AB678" s="54"/>
      <c r="AC678" s="54"/>
      <c r="AD678" s="54"/>
      <c r="AE678" s="54"/>
      <c r="AF678" s="54"/>
      <c r="AG678" s="54"/>
      <c r="AH678" s="54"/>
    </row>
    <row r="679">
      <c r="A679" s="59" t="s">
        <v>346</v>
      </c>
      <c r="B679" s="59" t="s">
        <v>20</v>
      </c>
      <c r="C679" s="59" t="s">
        <v>977</v>
      </c>
      <c r="D679" s="59" t="s">
        <v>317</v>
      </c>
      <c r="E679" s="11" t="s">
        <v>979</v>
      </c>
      <c r="F679" s="59" t="s">
        <v>313</v>
      </c>
      <c r="G679" s="59" t="s">
        <v>74</v>
      </c>
      <c r="H679" s="81">
        <v>1983.0</v>
      </c>
      <c r="I679" s="76">
        <v>6775.0</v>
      </c>
      <c r="J679" s="76" t="s">
        <v>188</v>
      </c>
      <c r="K679" s="81" t="s">
        <v>188</v>
      </c>
      <c r="L679" s="106" t="s">
        <v>81</v>
      </c>
      <c r="M679" s="107" t="s">
        <v>348</v>
      </c>
      <c r="N679" s="54"/>
      <c r="O679" s="54"/>
      <c r="P679" s="54"/>
      <c r="Q679" s="54"/>
      <c r="R679" s="54"/>
      <c r="S679" s="54"/>
      <c r="T679" s="54"/>
      <c r="U679" s="54"/>
      <c r="V679" s="54"/>
      <c r="W679" s="54"/>
      <c r="X679" s="54"/>
      <c r="Y679" s="54"/>
      <c r="Z679" s="54"/>
      <c r="AA679" s="54"/>
      <c r="AB679" s="54"/>
      <c r="AC679" s="54"/>
      <c r="AD679" s="54"/>
      <c r="AE679" s="54"/>
      <c r="AF679" s="54"/>
      <c r="AG679" s="54"/>
      <c r="AH679" s="54"/>
    </row>
    <row r="680">
      <c r="A680" s="59" t="s">
        <v>346</v>
      </c>
      <c r="B680" s="59" t="s">
        <v>20</v>
      </c>
      <c r="C680" s="59" t="s">
        <v>977</v>
      </c>
      <c r="D680" s="59" t="s">
        <v>317</v>
      </c>
      <c r="E680" s="11" t="s">
        <v>979</v>
      </c>
      <c r="F680" s="59" t="s">
        <v>313</v>
      </c>
      <c r="G680" s="59" t="s">
        <v>74</v>
      </c>
      <c r="H680" s="81">
        <v>1986.0</v>
      </c>
      <c r="I680" s="76">
        <v>6569.0</v>
      </c>
      <c r="J680" s="76" t="s">
        <v>188</v>
      </c>
      <c r="K680" s="81" t="s">
        <v>188</v>
      </c>
      <c r="L680" s="106" t="s">
        <v>81</v>
      </c>
      <c r="M680" s="107" t="s">
        <v>348</v>
      </c>
      <c r="N680" s="54"/>
      <c r="O680" s="54"/>
      <c r="P680" s="54"/>
      <c r="Q680" s="54"/>
      <c r="R680" s="54"/>
      <c r="S680" s="54"/>
      <c r="T680" s="54"/>
      <c r="U680" s="54"/>
      <c r="V680" s="54"/>
      <c r="W680" s="54"/>
      <c r="X680" s="54"/>
      <c r="Y680" s="54"/>
      <c r="Z680" s="54"/>
      <c r="AA680" s="54"/>
      <c r="AB680" s="54"/>
      <c r="AC680" s="54"/>
      <c r="AD680" s="54"/>
      <c r="AE680" s="54"/>
      <c r="AF680" s="54"/>
      <c r="AG680" s="54"/>
      <c r="AH680" s="54"/>
    </row>
    <row r="681">
      <c r="A681" s="59" t="s">
        <v>346</v>
      </c>
      <c r="B681" s="59" t="s">
        <v>20</v>
      </c>
      <c r="C681" s="59" t="s">
        <v>977</v>
      </c>
      <c r="D681" s="59" t="s">
        <v>317</v>
      </c>
      <c r="E681" s="11" t="s">
        <v>979</v>
      </c>
      <c r="F681" s="59" t="s">
        <v>313</v>
      </c>
      <c r="G681" s="59" t="s">
        <v>74</v>
      </c>
      <c r="H681" s="81">
        <v>1987.0</v>
      </c>
      <c r="I681" s="76">
        <v>10804.0</v>
      </c>
      <c r="J681" s="76" t="s">
        <v>188</v>
      </c>
      <c r="K681" s="81" t="s">
        <v>188</v>
      </c>
      <c r="L681" s="106" t="s">
        <v>81</v>
      </c>
      <c r="M681" s="107" t="s">
        <v>348</v>
      </c>
      <c r="N681" s="54"/>
      <c r="O681" s="54"/>
      <c r="P681" s="54"/>
      <c r="Q681" s="54"/>
      <c r="R681" s="54"/>
      <c r="S681" s="54"/>
      <c r="T681" s="54"/>
      <c r="U681" s="54"/>
      <c r="V681" s="54"/>
      <c r="W681" s="54"/>
      <c r="X681" s="54"/>
      <c r="Y681" s="54"/>
      <c r="Z681" s="54"/>
      <c r="AA681" s="54"/>
      <c r="AB681" s="54"/>
      <c r="AC681" s="54"/>
      <c r="AD681" s="54"/>
      <c r="AE681" s="54"/>
      <c r="AF681" s="54"/>
      <c r="AG681" s="54"/>
      <c r="AH681" s="54"/>
    </row>
    <row r="682">
      <c r="A682" s="59" t="s">
        <v>346</v>
      </c>
      <c r="B682" s="59" t="s">
        <v>20</v>
      </c>
      <c r="C682" s="59" t="s">
        <v>977</v>
      </c>
      <c r="D682" s="59" t="s">
        <v>317</v>
      </c>
      <c r="E682" s="11" t="s">
        <v>979</v>
      </c>
      <c r="F682" s="59" t="s">
        <v>313</v>
      </c>
      <c r="G682" s="59" t="s">
        <v>74</v>
      </c>
      <c r="H682" s="81">
        <v>1989.0</v>
      </c>
      <c r="I682" s="76">
        <v>10142.0</v>
      </c>
      <c r="J682" s="76" t="s">
        <v>188</v>
      </c>
      <c r="K682" s="81" t="s">
        <v>188</v>
      </c>
      <c r="L682" s="106" t="s">
        <v>81</v>
      </c>
      <c r="M682" s="107" t="s">
        <v>348</v>
      </c>
      <c r="N682" s="54"/>
      <c r="O682" s="54"/>
      <c r="P682" s="54"/>
      <c r="Q682" s="54"/>
      <c r="R682" s="54"/>
      <c r="S682" s="54"/>
      <c r="T682" s="54"/>
      <c r="U682" s="54"/>
      <c r="V682" s="54"/>
      <c r="W682" s="54"/>
      <c r="X682" s="54"/>
      <c r="Y682" s="54"/>
      <c r="Z682" s="54"/>
      <c r="AA682" s="54"/>
      <c r="AB682" s="54"/>
      <c r="AC682" s="54"/>
      <c r="AD682" s="54"/>
      <c r="AE682" s="54"/>
      <c r="AF682" s="54"/>
      <c r="AG682" s="54"/>
      <c r="AH682" s="54"/>
    </row>
    <row r="683">
      <c r="A683" s="59" t="s">
        <v>346</v>
      </c>
      <c r="B683" s="59" t="s">
        <v>20</v>
      </c>
      <c r="C683" s="59" t="s">
        <v>977</v>
      </c>
      <c r="D683" s="59" t="s">
        <v>317</v>
      </c>
      <c r="E683" s="11" t="s">
        <v>979</v>
      </c>
      <c r="F683" s="59" t="s">
        <v>313</v>
      </c>
      <c r="G683" s="59" t="s">
        <v>74</v>
      </c>
      <c r="H683" s="81">
        <v>1991.0</v>
      </c>
      <c r="I683" s="76">
        <v>12512.0</v>
      </c>
      <c r="J683" s="76" t="s">
        <v>188</v>
      </c>
      <c r="K683" s="81" t="s">
        <v>188</v>
      </c>
      <c r="L683" s="106" t="s">
        <v>81</v>
      </c>
      <c r="M683" s="107" t="s">
        <v>348</v>
      </c>
      <c r="N683" s="54"/>
      <c r="O683" s="54"/>
      <c r="P683" s="54"/>
      <c r="Q683" s="54"/>
      <c r="R683" s="54"/>
      <c r="S683" s="54"/>
      <c r="T683" s="54"/>
      <c r="U683" s="54"/>
      <c r="V683" s="54"/>
      <c r="W683" s="54"/>
      <c r="X683" s="54"/>
      <c r="Y683" s="54"/>
      <c r="Z683" s="54"/>
      <c r="AA683" s="54"/>
      <c r="AB683" s="54"/>
      <c r="AC683" s="54"/>
      <c r="AD683" s="54"/>
      <c r="AE683" s="54"/>
      <c r="AF683" s="54"/>
      <c r="AG683" s="54"/>
      <c r="AH683" s="54"/>
    </row>
    <row r="684">
      <c r="A684" s="59" t="s">
        <v>346</v>
      </c>
      <c r="B684" s="59" t="s">
        <v>20</v>
      </c>
      <c r="C684" s="59" t="s">
        <v>977</v>
      </c>
      <c r="D684" s="59" t="s">
        <v>317</v>
      </c>
      <c r="E684" s="11" t="s">
        <v>979</v>
      </c>
      <c r="F684" s="59" t="s">
        <v>313</v>
      </c>
      <c r="G684" s="59" t="s">
        <v>74</v>
      </c>
      <c r="H684" s="81">
        <v>1992.0</v>
      </c>
      <c r="I684" s="76">
        <v>11952.0</v>
      </c>
      <c r="J684" s="76" t="s">
        <v>188</v>
      </c>
      <c r="K684" s="81" t="s">
        <v>188</v>
      </c>
      <c r="L684" s="106" t="s">
        <v>81</v>
      </c>
      <c r="M684" s="107" t="s">
        <v>348</v>
      </c>
      <c r="N684" s="54"/>
      <c r="O684" s="54"/>
      <c r="P684" s="54"/>
      <c r="Q684" s="54"/>
      <c r="R684" s="54"/>
      <c r="S684" s="54"/>
      <c r="T684" s="54"/>
      <c r="U684" s="54"/>
      <c r="V684" s="54"/>
      <c r="W684" s="54"/>
      <c r="X684" s="54"/>
      <c r="Y684" s="54"/>
      <c r="Z684" s="54"/>
      <c r="AA684" s="54"/>
      <c r="AB684" s="54"/>
      <c r="AC684" s="54"/>
      <c r="AD684" s="54"/>
      <c r="AE684" s="54"/>
      <c r="AF684" s="54"/>
      <c r="AG684" s="54"/>
      <c r="AH684" s="54"/>
    </row>
    <row r="685">
      <c r="A685" s="59" t="s">
        <v>346</v>
      </c>
      <c r="B685" s="59" t="s">
        <v>20</v>
      </c>
      <c r="C685" s="59" t="s">
        <v>977</v>
      </c>
      <c r="D685" s="59" t="s">
        <v>317</v>
      </c>
      <c r="E685" s="11" t="s">
        <v>979</v>
      </c>
      <c r="F685" s="59" t="s">
        <v>313</v>
      </c>
      <c r="G685" s="59" t="s">
        <v>74</v>
      </c>
      <c r="H685" s="81">
        <v>1993.0</v>
      </c>
      <c r="I685" s="76">
        <v>11705.0</v>
      </c>
      <c r="J685" s="76" t="s">
        <v>188</v>
      </c>
      <c r="K685" s="81" t="s">
        <v>188</v>
      </c>
      <c r="L685" s="106" t="s">
        <v>81</v>
      </c>
      <c r="M685" s="107" t="s">
        <v>348</v>
      </c>
      <c r="N685" s="54"/>
      <c r="O685" s="54"/>
      <c r="P685" s="54"/>
      <c r="Q685" s="54"/>
      <c r="R685" s="54"/>
      <c r="S685" s="54"/>
      <c r="T685" s="54"/>
      <c r="U685" s="54"/>
      <c r="V685" s="54"/>
      <c r="W685" s="54"/>
      <c r="X685" s="54"/>
      <c r="Y685" s="54"/>
      <c r="Z685" s="54"/>
      <c r="AA685" s="54"/>
      <c r="AB685" s="54"/>
      <c r="AC685" s="54"/>
      <c r="AD685" s="54"/>
      <c r="AE685" s="54"/>
      <c r="AF685" s="54"/>
      <c r="AG685" s="54"/>
      <c r="AH685" s="54"/>
    </row>
    <row r="686">
      <c r="A686" s="59" t="s">
        <v>346</v>
      </c>
      <c r="B686" s="59" t="s">
        <v>20</v>
      </c>
      <c r="C686" s="59" t="s">
        <v>977</v>
      </c>
      <c r="D686" s="59" t="s">
        <v>317</v>
      </c>
      <c r="E686" s="11" t="s">
        <v>979</v>
      </c>
      <c r="F686" s="59" t="s">
        <v>313</v>
      </c>
      <c r="G686" s="59" t="s">
        <v>74</v>
      </c>
      <c r="H686" s="81">
        <v>1994.0</v>
      </c>
      <c r="I686" s="76">
        <v>9291.0</v>
      </c>
      <c r="J686" s="76" t="s">
        <v>188</v>
      </c>
      <c r="K686" s="81" t="s">
        <v>188</v>
      </c>
      <c r="L686" s="106" t="s">
        <v>81</v>
      </c>
      <c r="M686" s="107" t="s">
        <v>348</v>
      </c>
      <c r="N686" s="54"/>
      <c r="O686" s="54"/>
      <c r="P686" s="54"/>
      <c r="Q686" s="54"/>
      <c r="R686" s="54"/>
      <c r="S686" s="54"/>
      <c r="T686" s="54"/>
      <c r="U686" s="54"/>
      <c r="V686" s="54"/>
      <c r="W686" s="54"/>
      <c r="X686" s="54"/>
      <c r="Y686" s="54"/>
      <c r="Z686" s="54"/>
      <c r="AA686" s="54"/>
      <c r="AB686" s="54"/>
      <c r="AC686" s="54"/>
      <c r="AD686" s="54"/>
      <c r="AE686" s="54"/>
      <c r="AF686" s="54"/>
      <c r="AG686" s="54"/>
      <c r="AH686" s="54"/>
    </row>
    <row r="687">
      <c r="A687" s="59" t="s">
        <v>346</v>
      </c>
      <c r="B687" s="59" t="s">
        <v>20</v>
      </c>
      <c r="C687" s="59" t="s">
        <v>977</v>
      </c>
      <c r="D687" s="59" t="s">
        <v>317</v>
      </c>
      <c r="E687" s="11" t="s">
        <v>979</v>
      </c>
      <c r="F687" s="59" t="s">
        <v>313</v>
      </c>
      <c r="G687" s="59" t="s">
        <v>74</v>
      </c>
      <c r="H687" s="81">
        <v>1995.0</v>
      </c>
      <c r="I687" s="76">
        <v>11359.0</v>
      </c>
      <c r="J687" s="76" t="s">
        <v>188</v>
      </c>
      <c r="K687" s="81" t="s">
        <v>188</v>
      </c>
      <c r="L687" s="106" t="s">
        <v>81</v>
      </c>
      <c r="M687" s="107" t="s">
        <v>348</v>
      </c>
      <c r="N687" s="54"/>
      <c r="O687" s="54"/>
      <c r="P687" s="54"/>
      <c r="Q687" s="54"/>
      <c r="R687" s="54"/>
      <c r="S687" s="54"/>
      <c r="T687" s="54"/>
      <c r="U687" s="54"/>
      <c r="V687" s="54"/>
      <c r="W687" s="54"/>
      <c r="X687" s="54"/>
      <c r="Y687" s="54"/>
      <c r="Z687" s="54"/>
      <c r="AA687" s="54"/>
      <c r="AB687" s="54"/>
      <c r="AC687" s="54"/>
      <c r="AD687" s="54"/>
      <c r="AE687" s="54"/>
      <c r="AF687" s="54"/>
      <c r="AG687" s="54"/>
      <c r="AH687" s="54"/>
    </row>
    <row r="688">
      <c r="A688" s="59" t="s">
        <v>346</v>
      </c>
      <c r="B688" s="59" t="s">
        <v>20</v>
      </c>
      <c r="C688" s="59" t="s">
        <v>977</v>
      </c>
      <c r="D688" s="59" t="s">
        <v>317</v>
      </c>
      <c r="E688" s="11" t="s">
        <v>979</v>
      </c>
      <c r="F688" s="59" t="s">
        <v>313</v>
      </c>
      <c r="G688" s="59" t="s">
        <v>74</v>
      </c>
      <c r="H688" s="81">
        <v>1996.0</v>
      </c>
      <c r="I688" s="76">
        <v>10315.0</v>
      </c>
      <c r="J688" s="76" t="s">
        <v>188</v>
      </c>
      <c r="K688" s="81" t="s">
        <v>188</v>
      </c>
      <c r="L688" s="106" t="s">
        <v>81</v>
      </c>
      <c r="M688" s="107" t="s">
        <v>348</v>
      </c>
      <c r="N688" s="54"/>
      <c r="O688" s="54"/>
      <c r="P688" s="54"/>
      <c r="Q688" s="54"/>
      <c r="R688" s="54"/>
      <c r="S688" s="54"/>
      <c r="T688" s="54"/>
      <c r="U688" s="54"/>
      <c r="V688" s="54"/>
      <c r="W688" s="54"/>
      <c r="X688" s="54"/>
      <c r="Y688" s="54"/>
      <c r="Z688" s="54"/>
      <c r="AA688" s="54"/>
      <c r="AB688" s="54"/>
      <c r="AC688" s="54"/>
      <c r="AD688" s="54"/>
      <c r="AE688" s="54"/>
      <c r="AF688" s="54"/>
      <c r="AG688" s="54"/>
      <c r="AH688" s="54"/>
    </row>
    <row r="689">
      <c r="A689" s="59" t="s">
        <v>346</v>
      </c>
      <c r="B689" s="59" t="s">
        <v>20</v>
      </c>
      <c r="C689" s="59" t="s">
        <v>977</v>
      </c>
      <c r="D689" s="59" t="s">
        <v>317</v>
      </c>
      <c r="E689" s="11" t="s">
        <v>979</v>
      </c>
      <c r="F689" s="59" t="s">
        <v>313</v>
      </c>
      <c r="G689" s="59" t="s">
        <v>74</v>
      </c>
      <c r="H689" s="81">
        <v>1997.0</v>
      </c>
      <c r="I689" s="76">
        <v>11864.0</v>
      </c>
      <c r="J689" s="76" t="s">
        <v>188</v>
      </c>
      <c r="K689" s="81" t="s">
        <v>188</v>
      </c>
      <c r="L689" s="106" t="s">
        <v>81</v>
      </c>
      <c r="M689" s="107" t="s">
        <v>348</v>
      </c>
      <c r="N689" s="54"/>
      <c r="O689" s="54"/>
      <c r="P689" s="54"/>
      <c r="Q689" s="54"/>
      <c r="R689" s="54"/>
      <c r="S689" s="54"/>
      <c r="T689" s="54"/>
      <c r="U689" s="54"/>
      <c r="V689" s="54"/>
      <c r="W689" s="54"/>
      <c r="X689" s="54"/>
      <c r="Y689" s="54"/>
      <c r="Z689" s="54"/>
      <c r="AA689" s="54"/>
      <c r="AB689" s="54"/>
      <c r="AC689" s="54"/>
      <c r="AD689" s="54"/>
      <c r="AE689" s="54"/>
      <c r="AF689" s="54"/>
      <c r="AG689" s="54"/>
      <c r="AH689" s="54"/>
    </row>
    <row r="690">
      <c r="A690" s="59" t="s">
        <v>346</v>
      </c>
      <c r="B690" s="59" t="s">
        <v>20</v>
      </c>
      <c r="C690" s="59" t="s">
        <v>977</v>
      </c>
      <c r="D690" s="59" t="s">
        <v>317</v>
      </c>
      <c r="E690" s="11" t="s">
        <v>979</v>
      </c>
      <c r="F690" s="59" t="s">
        <v>313</v>
      </c>
      <c r="G690" s="59" t="s">
        <v>74</v>
      </c>
      <c r="H690" s="81">
        <v>1999.0</v>
      </c>
      <c r="I690" s="76">
        <v>10430.0</v>
      </c>
      <c r="J690" s="76" t="s">
        <v>188</v>
      </c>
      <c r="K690" s="81" t="s">
        <v>188</v>
      </c>
      <c r="L690" s="106" t="s">
        <v>81</v>
      </c>
      <c r="M690" s="107" t="s">
        <v>348</v>
      </c>
      <c r="N690" s="54"/>
      <c r="O690" s="54"/>
      <c r="P690" s="54"/>
      <c r="Q690" s="54"/>
      <c r="R690" s="54"/>
      <c r="S690" s="54"/>
      <c r="T690" s="54"/>
      <c r="U690" s="54"/>
      <c r="V690" s="54"/>
      <c r="W690" s="54"/>
      <c r="X690" s="54"/>
      <c r="Y690" s="54"/>
      <c r="Z690" s="54"/>
      <c r="AA690" s="54"/>
      <c r="AB690" s="54"/>
      <c r="AC690" s="54"/>
      <c r="AD690" s="54"/>
      <c r="AE690" s="54"/>
      <c r="AF690" s="54"/>
      <c r="AG690" s="54"/>
      <c r="AH690" s="54"/>
    </row>
    <row r="691">
      <c r="A691" s="59" t="s">
        <v>346</v>
      </c>
      <c r="B691" s="59" t="s">
        <v>20</v>
      </c>
      <c r="C691" s="59" t="s">
        <v>985</v>
      </c>
      <c r="D691" s="59" t="s">
        <v>317</v>
      </c>
      <c r="E691" s="11" t="s">
        <v>986</v>
      </c>
      <c r="F691" s="59" t="s">
        <v>313</v>
      </c>
      <c r="G691" s="59" t="s">
        <v>74</v>
      </c>
      <c r="H691" s="81">
        <v>1978.0</v>
      </c>
      <c r="I691" s="76">
        <v>3093.0</v>
      </c>
      <c r="J691" s="76" t="s">
        <v>188</v>
      </c>
      <c r="K691" s="81" t="s">
        <v>188</v>
      </c>
      <c r="L691" s="106" t="s">
        <v>81</v>
      </c>
      <c r="M691" s="107" t="s">
        <v>987</v>
      </c>
      <c r="N691" s="54"/>
      <c r="O691" s="54"/>
      <c r="P691" s="54"/>
      <c r="Q691" s="54"/>
      <c r="R691" s="54"/>
      <c r="S691" s="54"/>
      <c r="T691" s="54"/>
      <c r="U691" s="54"/>
      <c r="V691" s="54"/>
      <c r="W691" s="54"/>
      <c r="X691" s="54"/>
      <c r="Y691" s="54"/>
      <c r="Z691" s="54"/>
      <c r="AA691" s="54"/>
      <c r="AB691" s="54"/>
      <c r="AC691" s="54"/>
      <c r="AD691" s="54"/>
      <c r="AE691" s="54"/>
      <c r="AF691" s="54"/>
      <c r="AG691" s="54"/>
      <c r="AH691" s="54"/>
    </row>
    <row r="692">
      <c r="A692" s="59" t="s">
        <v>346</v>
      </c>
      <c r="B692" s="59" t="s">
        <v>20</v>
      </c>
      <c r="C692" s="59" t="s">
        <v>985</v>
      </c>
      <c r="D692" s="59" t="s">
        <v>317</v>
      </c>
      <c r="E692" s="11" t="s">
        <v>986</v>
      </c>
      <c r="F692" s="59" t="s">
        <v>313</v>
      </c>
      <c r="G692" s="59" t="s">
        <v>74</v>
      </c>
      <c r="H692" s="81">
        <v>1985.0</v>
      </c>
      <c r="I692" s="76">
        <v>5295.0</v>
      </c>
      <c r="J692" s="76" t="s">
        <v>188</v>
      </c>
      <c r="K692" s="81" t="s">
        <v>188</v>
      </c>
      <c r="L692" s="106" t="s">
        <v>81</v>
      </c>
      <c r="M692" s="107" t="s">
        <v>987</v>
      </c>
      <c r="N692" s="54"/>
      <c r="O692" s="54"/>
      <c r="P692" s="54"/>
      <c r="Q692" s="54"/>
      <c r="R692" s="54"/>
      <c r="S692" s="54"/>
      <c r="T692" s="54"/>
      <c r="U692" s="54"/>
      <c r="V692" s="54"/>
      <c r="W692" s="54"/>
      <c r="X692" s="54"/>
      <c r="Y692" s="54"/>
      <c r="Z692" s="54"/>
      <c r="AA692" s="54"/>
      <c r="AB692" s="54"/>
      <c r="AC692" s="54"/>
      <c r="AD692" s="54"/>
      <c r="AE692" s="54"/>
      <c r="AF692" s="54"/>
      <c r="AG692" s="54"/>
      <c r="AH692" s="54"/>
    </row>
    <row r="693">
      <c r="A693" s="59" t="s">
        <v>346</v>
      </c>
      <c r="B693" s="59" t="s">
        <v>20</v>
      </c>
      <c r="C693" s="59" t="s">
        <v>985</v>
      </c>
      <c r="D693" s="59" t="s">
        <v>317</v>
      </c>
      <c r="E693" s="11" t="s">
        <v>986</v>
      </c>
      <c r="F693" s="59" t="s">
        <v>313</v>
      </c>
      <c r="G693" s="59" t="s">
        <v>74</v>
      </c>
      <c r="H693" s="81">
        <v>1991.0</v>
      </c>
      <c r="I693" s="76">
        <v>8784.0</v>
      </c>
      <c r="J693" s="76" t="s">
        <v>188</v>
      </c>
      <c r="K693" s="81" t="s">
        <v>188</v>
      </c>
      <c r="L693" s="106" t="s">
        <v>81</v>
      </c>
      <c r="M693" s="107" t="s">
        <v>987</v>
      </c>
      <c r="N693" s="54"/>
      <c r="O693" s="54"/>
      <c r="P693" s="54"/>
      <c r="Q693" s="54"/>
      <c r="R693" s="54"/>
      <c r="S693" s="54"/>
      <c r="T693" s="54"/>
      <c r="U693" s="54"/>
      <c r="V693" s="54"/>
      <c r="W693" s="54"/>
      <c r="X693" s="54"/>
      <c r="Y693" s="54"/>
      <c r="Z693" s="54"/>
      <c r="AA693" s="54"/>
      <c r="AB693" s="54"/>
      <c r="AC693" s="54"/>
      <c r="AD693" s="54"/>
      <c r="AE693" s="54"/>
      <c r="AF693" s="54"/>
      <c r="AG693" s="54"/>
      <c r="AH693" s="54"/>
    </row>
    <row r="694">
      <c r="A694" s="59" t="s">
        <v>346</v>
      </c>
      <c r="B694" s="59" t="s">
        <v>20</v>
      </c>
      <c r="C694" s="59" t="s">
        <v>985</v>
      </c>
      <c r="D694" s="59" t="s">
        <v>317</v>
      </c>
      <c r="E694" s="11" t="s">
        <v>986</v>
      </c>
      <c r="F694" s="59" t="s">
        <v>313</v>
      </c>
      <c r="G694" s="59" t="s">
        <v>74</v>
      </c>
      <c r="H694" s="81">
        <v>1992.0</v>
      </c>
      <c r="I694" s="76">
        <v>9019.0</v>
      </c>
      <c r="J694" s="76" t="s">
        <v>188</v>
      </c>
      <c r="K694" s="81" t="s">
        <v>188</v>
      </c>
      <c r="L694" s="106" t="s">
        <v>81</v>
      </c>
      <c r="M694" s="107" t="s">
        <v>987</v>
      </c>
      <c r="N694" s="54"/>
      <c r="O694" s="54"/>
      <c r="P694" s="54"/>
      <c r="Q694" s="54"/>
      <c r="R694" s="54"/>
      <c r="S694" s="54"/>
      <c r="T694" s="54"/>
      <c r="U694" s="54"/>
      <c r="V694" s="54"/>
      <c r="W694" s="54"/>
      <c r="X694" s="54"/>
      <c r="Y694" s="54"/>
      <c r="Z694" s="54"/>
      <c r="AA694" s="54"/>
      <c r="AB694" s="54"/>
      <c r="AC694" s="54"/>
      <c r="AD694" s="54"/>
      <c r="AE694" s="54"/>
      <c r="AF694" s="54"/>
      <c r="AG694" s="54"/>
      <c r="AH694" s="54"/>
    </row>
    <row r="695">
      <c r="A695" s="59" t="s">
        <v>346</v>
      </c>
      <c r="B695" s="59" t="s">
        <v>20</v>
      </c>
      <c r="C695" s="59" t="s">
        <v>985</v>
      </c>
      <c r="D695" s="59" t="s">
        <v>317</v>
      </c>
      <c r="E695" s="11" t="s">
        <v>986</v>
      </c>
      <c r="F695" s="59" t="s">
        <v>313</v>
      </c>
      <c r="G695" s="59" t="s">
        <v>74</v>
      </c>
      <c r="H695" s="81">
        <v>1993.0</v>
      </c>
      <c r="I695" s="76">
        <v>10417.0</v>
      </c>
      <c r="J695" s="76" t="s">
        <v>188</v>
      </c>
      <c r="K695" s="81" t="s">
        <v>188</v>
      </c>
      <c r="L695" s="106" t="s">
        <v>81</v>
      </c>
      <c r="M695" s="107" t="s">
        <v>987</v>
      </c>
      <c r="N695" s="54"/>
      <c r="O695" s="54"/>
      <c r="P695" s="54"/>
      <c r="Q695" s="54"/>
      <c r="R695" s="54"/>
      <c r="S695" s="54"/>
      <c r="T695" s="54"/>
      <c r="U695" s="54"/>
      <c r="V695" s="54"/>
      <c r="W695" s="54"/>
      <c r="X695" s="54"/>
      <c r="Y695" s="54"/>
      <c r="Z695" s="54"/>
      <c r="AA695" s="54"/>
      <c r="AB695" s="54"/>
      <c r="AC695" s="54"/>
      <c r="AD695" s="54"/>
      <c r="AE695" s="54"/>
      <c r="AF695" s="54"/>
      <c r="AG695" s="54"/>
      <c r="AH695" s="54"/>
    </row>
    <row r="696">
      <c r="A696" s="59" t="s">
        <v>346</v>
      </c>
      <c r="B696" s="59" t="s">
        <v>20</v>
      </c>
      <c r="C696" s="59" t="s">
        <v>985</v>
      </c>
      <c r="D696" s="59" t="s">
        <v>317</v>
      </c>
      <c r="E696" s="11" t="s">
        <v>986</v>
      </c>
      <c r="F696" s="59" t="s">
        <v>313</v>
      </c>
      <c r="G696" s="59" t="s">
        <v>74</v>
      </c>
      <c r="H696" s="81">
        <v>1994.0</v>
      </c>
      <c r="I696" s="76">
        <v>9015.0</v>
      </c>
      <c r="J696" s="76" t="s">
        <v>188</v>
      </c>
      <c r="K696" s="81" t="s">
        <v>188</v>
      </c>
      <c r="L696" s="106" t="s">
        <v>81</v>
      </c>
      <c r="M696" s="107" t="s">
        <v>987</v>
      </c>
      <c r="N696" s="54"/>
      <c r="O696" s="54"/>
      <c r="P696" s="54"/>
      <c r="Q696" s="54"/>
      <c r="R696" s="54"/>
      <c r="S696" s="54"/>
      <c r="T696" s="54"/>
      <c r="U696" s="54"/>
      <c r="V696" s="54"/>
      <c r="W696" s="54"/>
      <c r="X696" s="54"/>
      <c r="Y696" s="54"/>
      <c r="Z696" s="54"/>
      <c r="AA696" s="54"/>
      <c r="AB696" s="54"/>
      <c r="AC696" s="54"/>
      <c r="AD696" s="54"/>
      <c r="AE696" s="54"/>
      <c r="AF696" s="54"/>
      <c r="AG696" s="54"/>
      <c r="AH696" s="54"/>
    </row>
    <row r="697">
      <c r="A697" s="59" t="s">
        <v>346</v>
      </c>
      <c r="B697" s="59" t="s">
        <v>20</v>
      </c>
      <c r="C697" s="59" t="s">
        <v>985</v>
      </c>
      <c r="D697" s="59" t="s">
        <v>317</v>
      </c>
      <c r="E697" s="11" t="s">
        <v>986</v>
      </c>
      <c r="F697" s="59" t="s">
        <v>313</v>
      </c>
      <c r="G697" s="59" t="s">
        <v>74</v>
      </c>
      <c r="H697" s="81">
        <v>1996.0</v>
      </c>
      <c r="I697" s="76">
        <v>11933.0</v>
      </c>
      <c r="J697" s="76" t="s">
        <v>188</v>
      </c>
      <c r="K697" s="81" t="s">
        <v>188</v>
      </c>
      <c r="L697" s="106" t="s">
        <v>81</v>
      </c>
      <c r="M697" s="107" t="s">
        <v>987</v>
      </c>
      <c r="N697" s="54"/>
      <c r="O697" s="54"/>
      <c r="P697" s="54"/>
      <c r="Q697" s="54"/>
      <c r="R697" s="54"/>
      <c r="S697" s="54"/>
      <c r="T697" s="54"/>
      <c r="U697" s="54"/>
      <c r="V697" s="54"/>
      <c r="W697" s="54"/>
      <c r="X697" s="54"/>
      <c r="Y697" s="54"/>
      <c r="Z697" s="54"/>
      <c r="AA697" s="54"/>
      <c r="AB697" s="54"/>
      <c r="AC697" s="54"/>
      <c r="AD697" s="54"/>
      <c r="AE697" s="54"/>
      <c r="AF697" s="54"/>
      <c r="AG697" s="54"/>
      <c r="AH697" s="54"/>
    </row>
    <row r="698">
      <c r="A698" s="59" t="s">
        <v>346</v>
      </c>
      <c r="B698" s="59" t="s">
        <v>20</v>
      </c>
      <c r="C698" s="59" t="s">
        <v>985</v>
      </c>
      <c r="D698" s="59" t="s">
        <v>317</v>
      </c>
      <c r="E698" s="11" t="s">
        <v>986</v>
      </c>
      <c r="F698" s="59" t="s">
        <v>313</v>
      </c>
      <c r="G698" s="59" t="s">
        <v>74</v>
      </c>
      <c r="H698" s="81">
        <v>1997.0</v>
      </c>
      <c r="I698" s="76">
        <v>10324.0</v>
      </c>
      <c r="J698" s="76" t="s">
        <v>188</v>
      </c>
      <c r="K698" s="81" t="s">
        <v>188</v>
      </c>
      <c r="L698" s="106" t="s">
        <v>81</v>
      </c>
      <c r="M698" s="107" t="s">
        <v>987</v>
      </c>
      <c r="N698" s="54"/>
      <c r="O698" s="54"/>
      <c r="P698" s="54"/>
      <c r="Q698" s="54"/>
      <c r="R698" s="54"/>
      <c r="S698" s="54"/>
      <c r="T698" s="54"/>
      <c r="U698" s="54"/>
      <c r="V698" s="54"/>
      <c r="W698" s="54"/>
      <c r="X698" s="54"/>
      <c r="Y698" s="54"/>
      <c r="Z698" s="54"/>
      <c r="AA698" s="54"/>
      <c r="AB698" s="54"/>
      <c r="AC698" s="54"/>
      <c r="AD698" s="54"/>
      <c r="AE698" s="54"/>
      <c r="AF698" s="54"/>
      <c r="AG698" s="54"/>
      <c r="AH698" s="54"/>
    </row>
    <row r="699">
      <c r="A699" s="59" t="s">
        <v>346</v>
      </c>
      <c r="B699" s="59" t="s">
        <v>20</v>
      </c>
      <c r="C699" s="59" t="s">
        <v>985</v>
      </c>
      <c r="D699" s="59" t="s">
        <v>317</v>
      </c>
      <c r="E699" s="11" t="s">
        <v>986</v>
      </c>
      <c r="F699" s="59" t="s">
        <v>313</v>
      </c>
      <c r="G699" s="59" t="s">
        <v>74</v>
      </c>
      <c r="H699" s="81">
        <v>1998.0</v>
      </c>
      <c r="I699" s="76">
        <v>9588.0</v>
      </c>
      <c r="J699" s="76" t="s">
        <v>188</v>
      </c>
      <c r="K699" s="81" t="s">
        <v>188</v>
      </c>
      <c r="L699" s="106" t="s">
        <v>81</v>
      </c>
      <c r="M699" s="107" t="s">
        <v>987</v>
      </c>
      <c r="N699" s="54"/>
      <c r="O699" s="54"/>
      <c r="P699" s="54"/>
      <c r="Q699" s="54"/>
      <c r="R699" s="54"/>
      <c r="S699" s="54"/>
      <c r="T699" s="54"/>
      <c r="U699" s="54"/>
      <c r="V699" s="54"/>
      <c r="W699" s="54"/>
      <c r="X699" s="54"/>
      <c r="Y699" s="54"/>
      <c r="Z699" s="54"/>
      <c r="AA699" s="54"/>
      <c r="AB699" s="54"/>
      <c r="AC699" s="54"/>
      <c r="AD699" s="54"/>
      <c r="AE699" s="54"/>
      <c r="AF699" s="54"/>
      <c r="AG699" s="54"/>
      <c r="AH699" s="54"/>
    </row>
    <row r="700">
      <c r="A700" s="59" t="s">
        <v>346</v>
      </c>
      <c r="B700" s="59" t="s">
        <v>20</v>
      </c>
      <c r="C700" s="59" t="s">
        <v>985</v>
      </c>
      <c r="D700" s="59" t="s">
        <v>317</v>
      </c>
      <c r="E700" s="11" t="s">
        <v>986</v>
      </c>
      <c r="F700" s="59" t="s">
        <v>313</v>
      </c>
      <c r="G700" s="59" t="s">
        <v>74</v>
      </c>
      <c r="H700" s="81">
        <v>1999.0</v>
      </c>
      <c r="I700" s="76">
        <v>8949.0</v>
      </c>
      <c r="J700" s="76" t="s">
        <v>188</v>
      </c>
      <c r="K700" s="81" t="s">
        <v>188</v>
      </c>
      <c r="L700" s="106" t="s">
        <v>81</v>
      </c>
      <c r="M700" s="107" t="s">
        <v>987</v>
      </c>
      <c r="N700" s="54"/>
      <c r="O700" s="54"/>
      <c r="P700" s="54"/>
      <c r="Q700" s="54"/>
      <c r="R700" s="54"/>
      <c r="S700" s="54"/>
      <c r="T700" s="54"/>
      <c r="U700" s="54"/>
      <c r="V700" s="54"/>
      <c r="W700" s="54"/>
      <c r="X700" s="54"/>
      <c r="Y700" s="54"/>
      <c r="Z700" s="54"/>
      <c r="AA700" s="54"/>
      <c r="AB700" s="54"/>
      <c r="AC700" s="54"/>
      <c r="AD700" s="54"/>
      <c r="AE700" s="54"/>
      <c r="AF700" s="54"/>
      <c r="AG700" s="54"/>
      <c r="AH700" s="54"/>
    </row>
    <row r="701">
      <c r="A701" s="59" t="s">
        <v>346</v>
      </c>
      <c r="B701" s="59" t="s">
        <v>20</v>
      </c>
      <c r="C701" s="59" t="s">
        <v>991</v>
      </c>
      <c r="D701" s="59" t="s">
        <v>317</v>
      </c>
      <c r="E701" s="59" t="s">
        <v>992</v>
      </c>
      <c r="F701" s="59" t="s">
        <v>313</v>
      </c>
      <c r="G701" s="59" t="s">
        <v>993</v>
      </c>
      <c r="H701" s="81">
        <v>1982.0</v>
      </c>
      <c r="I701" s="76">
        <v>2710.0</v>
      </c>
      <c r="J701" s="76" t="s">
        <v>188</v>
      </c>
      <c r="K701" s="81" t="s">
        <v>188</v>
      </c>
      <c r="L701" s="106" t="s">
        <v>81</v>
      </c>
      <c r="M701" s="107" t="s">
        <v>348</v>
      </c>
      <c r="N701" s="54"/>
      <c r="O701" s="54"/>
      <c r="P701" s="54"/>
      <c r="Q701" s="54"/>
      <c r="R701" s="54"/>
      <c r="S701" s="54"/>
      <c r="T701" s="54"/>
      <c r="U701" s="54"/>
      <c r="V701" s="54"/>
      <c r="W701" s="54"/>
      <c r="X701" s="54"/>
      <c r="Y701" s="54"/>
      <c r="Z701" s="54"/>
      <c r="AA701" s="54"/>
      <c r="AB701" s="54"/>
      <c r="AC701" s="54"/>
      <c r="AD701" s="54"/>
      <c r="AE701" s="54"/>
      <c r="AF701" s="54"/>
      <c r="AG701" s="54"/>
      <c r="AH701" s="54"/>
    </row>
    <row r="702">
      <c r="A702" s="59" t="s">
        <v>346</v>
      </c>
      <c r="B702" s="59" t="s">
        <v>20</v>
      </c>
      <c r="C702" s="59" t="s">
        <v>991</v>
      </c>
      <c r="D702" s="59" t="s">
        <v>317</v>
      </c>
      <c r="E702" s="59" t="s">
        <v>992</v>
      </c>
      <c r="F702" s="59" t="s">
        <v>313</v>
      </c>
      <c r="G702" s="59" t="s">
        <v>993</v>
      </c>
      <c r="H702" s="81">
        <v>1983.0</v>
      </c>
      <c r="I702" s="76">
        <v>3407.0</v>
      </c>
      <c r="J702" s="76" t="s">
        <v>188</v>
      </c>
      <c r="K702" s="81" t="s">
        <v>188</v>
      </c>
      <c r="L702" s="106" t="s">
        <v>81</v>
      </c>
      <c r="M702" s="107" t="s">
        <v>348</v>
      </c>
      <c r="N702" s="54"/>
      <c r="O702" s="54"/>
      <c r="P702" s="54"/>
      <c r="Q702" s="54"/>
      <c r="R702" s="54"/>
      <c r="S702" s="54"/>
      <c r="T702" s="54"/>
      <c r="U702" s="54"/>
      <c r="V702" s="54"/>
      <c r="W702" s="54"/>
      <c r="X702" s="54"/>
      <c r="Y702" s="54"/>
      <c r="Z702" s="54"/>
      <c r="AA702" s="54"/>
      <c r="AB702" s="54"/>
      <c r="AC702" s="54"/>
      <c r="AD702" s="54"/>
      <c r="AE702" s="54"/>
      <c r="AF702" s="54"/>
      <c r="AG702" s="54"/>
      <c r="AH702" s="54"/>
    </row>
    <row r="703">
      <c r="A703" s="59" t="s">
        <v>346</v>
      </c>
      <c r="B703" s="59" t="s">
        <v>20</v>
      </c>
      <c r="C703" s="59" t="s">
        <v>991</v>
      </c>
      <c r="D703" s="59" t="s">
        <v>317</v>
      </c>
      <c r="E703" s="59" t="s">
        <v>992</v>
      </c>
      <c r="F703" s="59" t="s">
        <v>313</v>
      </c>
      <c r="G703" s="59" t="s">
        <v>993</v>
      </c>
      <c r="H703" s="81">
        <v>1985.0</v>
      </c>
      <c r="I703" s="76">
        <v>3756.0</v>
      </c>
      <c r="J703" s="76" t="s">
        <v>188</v>
      </c>
      <c r="K703" s="81" t="s">
        <v>188</v>
      </c>
      <c r="L703" s="106" t="s">
        <v>81</v>
      </c>
      <c r="M703" s="107" t="s">
        <v>348</v>
      </c>
      <c r="N703" s="54"/>
      <c r="O703" s="54"/>
      <c r="P703" s="54"/>
      <c r="Q703" s="54"/>
      <c r="R703" s="54"/>
      <c r="S703" s="54"/>
      <c r="T703" s="54"/>
      <c r="U703" s="54"/>
      <c r="V703" s="54"/>
      <c r="W703" s="54"/>
      <c r="X703" s="54"/>
      <c r="Y703" s="54"/>
      <c r="Z703" s="54"/>
      <c r="AA703" s="54"/>
      <c r="AB703" s="54"/>
      <c r="AC703" s="54"/>
      <c r="AD703" s="54"/>
      <c r="AE703" s="54"/>
      <c r="AF703" s="54"/>
      <c r="AG703" s="54"/>
      <c r="AH703" s="54"/>
    </row>
    <row r="704">
      <c r="A704" s="59" t="s">
        <v>346</v>
      </c>
      <c r="B704" s="59" t="s">
        <v>20</v>
      </c>
      <c r="C704" s="59" t="s">
        <v>991</v>
      </c>
      <c r="D704" s="59" t="s">
        <v>317</v>
      </c>
      <c r="E704" s="59" t="s">
        <v>992</v>
      </c>
      <c r="F704" s="59" t="s">
        <v>313</v>
      </c>
      <c r="G704" s="59" t="s">
        <v>993</v>
      </c>
      <c r="H704" s="81">
        <v>1987.0</v>
      </c>
      <c r="I704" s="76">
        <v>3986.0</v>
      </c>
      <c r="J704" s="76" t="s">
        <v>188</v>
      </c>
      <c r="K704" s="81" t="s">
        <v>188</v>
      </c>
      <c r="L704" s="106" t="s">
        <v>81</v>
      </c>
      <c r="M704" s="107" t="s">
        <v>348</v>
      </c>
      <c r="N704" s="54"/>
      <c r="O704" s="54"/>
      <c r="P704" s="54"/>
      <c r="Q704" s="54"/>
      <c r="R704" s="54"/>
      <c r="S704" s="54"/>
      <c r="T704" s="54"/>
      <c r="U704" s="54"/>
      <c r="V704" s="54"/>
      <c r="W704" s="54"/>
      <c r="X704" s="54"/>
      <c r="Y704" s="54"/>
      <c r="Z704" s="54"/>
      <c r="AA704" s="54"/>
      <c r="AB704" s="54"/>
      <c r="AC704" s="54"/>
      <c r="AD704" s="54"/>
      <c r="AE704" s="54"/>
      <c r="AF704" s="54"/>
      <c r="AG704" s="54"/>
      <c r="AH704" s="54"/>
    </row>
    <row r="705">
      <c r="A705" s="59" t="s">
        <v>346</v>
      </c>
      <c r="B705" s="59" t="s">
        <v>20</v>
      </c>
      <c r="C705" s="59" t="s">
        <v>991</v>
      </c>
      <c r="D705" s="59" t="s">
        <v>317</v>
      </c>
      <c r="E705" s="59" t="s">
        <v>992</v>
      </c>
      <c r="F705" s="59" t="s">
        <v>313</v>
      </c>
      <c r="G705" s="59" t="s">
        <v>993</v>
      </c>
      <c r="H705" s="81">
        <v>1988.0</v>
      </c>
      <c r="I705" s="76">
        <v>4480.0</v>
      </c>
      <c r="J705" s="76" t="s">
        <v>188</v>
      </c>
      <c r="K705" s="81" t="s">
        <v>188</v>
      </c>
      <c r="L705" s="106" t="s">
        <v>81</v>
      </c>
      <c r="M705" s="107" t="s">
        <v>348</v>
      </c>
      <c r="N705" s="54"/>
      <c r="O705" s="54"/>
      <c r="P705" s="54"/>
      <c r="Q705" s="54"/>
      <c r="R705" s="54"/>
      <c r="S705" s="54"/>
      <c r="T705" s="54"/>
      <c r="U705" s="54"/>
      <c r="V705" s="54"/>
      <c r="W705" s="54"/>
      <c r="X705" s="54"/>
      <c r="Y705" s="54"/>
      <c r="Z705" s="54"/>
      <c r="AA705" s="54"/>
      <c r="AB705" s="54"/>
      <c r="AC705" s="54"/>
      <c r="AD705" s="54"/>
      <c r="AE705" s="54"/>
      <c r="AF705" s="54"/>
      <c r="AG705" s="54"/>
      <c r="AH705" s="54"/>
    </row>
    <row r="706">
      <c r="A706" s="59" t="s">
        <v>346</v>
      </c>
      <c r="B706" s="59" t="s">
        <v>20</v>
      </c>
      <c r="C706" s="59" t="s">
        <v>991</v>
      </c>
      <c r="D706" s="59" t="s">
        <v>317</v>
      </c>
      <c r="E706" s="59" t="s">
        <v>992</v>
      </c>
      <c r="F706" s="59" t="s">
        <v>313</v>
      </c>
      <c r="G706" s="59" t="s">
        <v>993</v>
      </c>
      <c r="H706" s="81">
        <v>1989.0</v>
      </c>
      <c r="I706" s="76">
        <v>5044.0</v>
      </c>
      <c r="J706" s="76" t="s">
        <v>188</v>
      </c>
      <c r="K706" s="81" t="s">
        <v>188</v>
      </c>
      <c r="L706" s="106" t="s">
        <v>81</v>
      </c>
      <c r="M706" s="107" t="s">
        <v>348</v>
      </c>
      <c r="N706" s="54"/>
      <c r="O706" s="54"/>
      <c r="P706" s="54"/>
      <c r="Q706" s="54"/>
      <c r="R706" s="54"/>
      <c r="S706" s="54"/>
      <c r="T706" s="54"/>
      <c r="U706" s="54"/>
      <c r="V706" s="54"/>
      <c r="W706" s="54"/>
      <c r="X706" s="54"/>
      <c r="Y706" s="54"/>
      <c r="Z706" s="54"/>
      <c r="AA706" s="54"/>
      <c r="AB706" s="54"/>
      <c r="AC706" s="54"/>
      <c r="AD706" s="54"/>
      <c r="AE706" s="54"/>
      <c r="AF706" s="54"/>
      <c r="AG706" s="54"/>
      <c r="AH706" s="54"/>
    </row>
    <row r="707">
      <c r="A707" s="59" t="s">
        <v>346</v>
      </c>
      <c r="B707" s="59" t="s">
        <v>20</v>
      </c>
      <c r="C707" s="59" t="s">
        <v>991</v>
      </c>
      <c r="D707" s="59" t="s">
        <v>317</v>
      </c>
      <c r="E707" s="59" t="s">
        <v>992</v>
      </c>
      <c r="F707" s="59" t="s">
        <v>313</v>
      </c>
      <c r="G707" s="59" t="s">
        <v>993</v>
      </c>
      <c r="H707" s="81">
        <v>1990.0</v>
      </c>
      <c r="I707" s="76">
        <v>4825.0</v>
      </c>
      <c r="J707" s="76" t="s">
        <v>188</v>
      </c>
      <c r="K707" s="81" t="s">
        <v>188</v>
      </c>
      <c r="L707" s="106" t="s">
        <v>81</v>
      </c>
      <c r="M707" s="107" t="s">
        <v>348</v>
      </c>
      <c r="N707" s="54"/>
      <c r="O707" s="54"/>
      <c r="P707" s="54"/>
      <c r="Q707" s="54"/>
      <c r="R707" s="54"/>
      <c r="S707" s="54"/>
      <c r="T707" s="54"/>
      <c r="U707" s="54"/>
      <c r="V707" s="54"/>
      <c r="W707" s="54"/>
      <c r="X707" s="54"/>
      <c r="Y707" s="54"/>
      <c r="Z707" s="54"/>
      <c r="AA707" s="54"/>
      <c r="AB707" s="54"/>
      <c r="AC707" s="54"/>
      <c r="AD707" s="54"/>
      <c r="AE707" s="54"/>
      <c r="AF707" s="54"/>
      <c r="AG707" s="54"/>
      <c r="AH707" s="54"/>
    </row>
    <row r="708">
      <c r="A708" s="59" t="s">
        <v>346</v>
      </c>
      <c r="B708" s="59" t="s">
        <v>20</v>
      </c>
      <c r="C708" s="59" t="s">
        <v>991</v>
      </c>
      <c r="D708" s="59" t="s">
        <v>317</v>
      </c>
      <c r="E708" s="59" t="s">
        <v>992</v>
      </c>
      <c r="F708" s="59" t="s">
        <v>313</v>
      </c>
      <c r="G708" s="59" t="s">
        <v>993</v>
      </c>
      <c r="H708" s="81">
        <v>1991.0</v>
      </c>
      <c r="I708" s="76">
        <v>4593.0</v>
      </c>
      <c r="J708" s="76" t="s">
        <v>188</v>
      </c>
      <c r="K708" s="81" t="s">
        <v>188</v>
      </c>
      <c r="L708" s="106" t="s">
        <v>81</v>
      </c>
      <c r="M708" s="107" t="s">
        <v>348</v>
      </c>
      <c r="N708" s="54"/>
      <c r="O708" s="54"/>
      <c r="P708" s="54"/>
      <c r="Q708" s="54"/>
      <c r="R708" s="54"/>
      <c r="S708" s="54"/>
      <c r="T708" s="54"/>
      <c r="U708" s="54"/>
      <c r="V708" s="54"/>
      <c r="W708" s="54"/>
      <c r="X708" s="54"/>
      <c r="Y708" s="54"/>
      <c r="Z708" s="54"/>
      <c r="AA708" s="54"/>
      <c r="AB708" s="54"/>
      <c r="AC708" s="54"/>
      <c r="AD708" s="54"/>
      <c r="AE708" s="54"/>
      <c r="AF708" s="54"/>
      <c r="AG708" s="54"/>
      <c r="AH708" s="54"/>
    </row>
    <row r="709">
      <c r="A709" s="59" t="s">
        <v>346</v>
      </c>
      <c r="B709" s="59" t="s">
        <v>20</v>
      </c>
      <c r="C709" s="59" t="s">
        <v>991</v>
      </c>
      <c r="D709" s="59" t="s">
        <v>317</v>
      </c>
      <c r="E709" s="59" t="s">
        <v>992</v>
      </c>
      <c r="F709" s="59" t="s">
        <v>313</v>
      </c>
      <c r="G709" s="59" t="s">
        <v>993</v>
      </c>
      <c r="H709" s="81">
        <v>1992.0</v>
      </c>
      <c r="I709" s="76">
        <v>5508.0</v>
      </c>
      <c r="J709" s="76" t="s">
        <v>188</v>
      </c>
      <c r="K709" s="81" t="s">
        <v>188</v>
      </c>
      <c r="L709" s="106" t="s">
        <v>81</v>
      </c>
      <c r="M709" s="107" t="s">
        <v>348</v>
      </c>
      <c r="N709" s="54"/>
      <c r="O709" s="54"/>
      <c r="P709" s="54"/>
      <c r="Q709" s="54"/>
      <c r="R709" s="54"/>
      <c r="S709" s="54"/>
      <c r="T709" s="54"/>
      <c r="U709" s="54"/>
      <c r="V709" s="54"/>
      <c r="W709" s="54"/>
      <c r="X709" s="54"/>
      <c r="Y709" s="54"/>
      <c r="Z709" s="54"/>
      <c r="AA709" s="54"/>
      <c r="AB709" s="54"/>
      <c r="AC709" s="54"/>
      <c r="AD709" s="54"/>
      <c r="AE709" s="54"/>
      <c r="AF709" s="54"/>
      <c r="AG709" s="54"/>
      <c r="AH709" s="54"/>
    </row>
    <row r="710">
      <c r="A710" s="59" t="s">
        <v>346</v>
      </c>
      <c r="B710" s="59" t="s">
        <v>20</v>
      </c>
      <c r="C710" s="59" t="s">
        <v>991</v>
      </c>
      <c r="D710" s="59" t="s">
        <v>317</v>
      </c>
      <c r="E710" s="59" t="s">
        <v>992</v>
      </c>
      <c r="F710" s="59" t="s">
        <v>313</v>
      </c>
      <c r="G710" s="59" t="s">
        <v>993</v>
      </c>
      <c r="H710" s="81">
        <v>1993.0</v>
      </c>
      <c r="I710" s="76">
        <v>5202.0</v>
      </c>
      <c r="J710" s="76" t="s">
        <v>188</v>
      </c>
      <c r="K710" s="81" t="s">
        <v>188</v>
      </c>
      <c r="L710" s="106" t="s">
        <v>81</v>
      </c>
      <c r="M710" s="107" t="s">
        <v>348</v>
      </c>
      <c r="N710" s="54"/>
      <c r="O710" s="54"/>
      <c r="P710" s="54"/>
      <c r="Q710" s="54"/>
      <c r="R710" s="54"/>
      <c r="S710" s="54"/>
      <c r="T710" s="54"/>
      <c r="U710" s="54"/>
      <c r="V710" s="54"/>
      <c r="W710" s="54"/>
      <c r="X710" s="54"/>
      <c r="Y710" s="54"/>
      <c r="Z710" s="54"/>
      <c r="AA710" s="54"/>
      <c r="AB710" s="54"/>
      <c r="AC710" s="54"/>
      <c r="AD710" s="54"/>
      <c r="AE710" s="54"/>
      <c r="AF710" s="54"/>
      <c r="AG710" s="54"/>
      <c r="AH710" s="54"/>
    </row>
    <row r="711">
      <c r="A711" s="59" t="s">
        <v>346</v>
      </c>
      <c r="B711" s="59" t="s">
        <v>20</v>
      </c>
      <c r="C711" s="59" t="s">
        <v>991</v>
      </c>
      <c r="D711" s="59" t="s">
        <v>317</v>
      </c>
      <c r="E711" s="59" t="s">
        <v>992</v>
      </c>
      <c r="F711" s="59" t="s">
        <v>313</v>
      </c>
      <c r="G711" s="59" t="s">
        <v>993</v>
      </c>
      <c r="H711" s="81">
        <v>1994.0</v>
      </c>
      <c r="I711" s="76">
        <v>4681.0</v>
      </c>
      <c r="J711" s="76" t="s">
        <v>188</v>
      </c>
      <c r="K711" s="81" t="s">
        <v>188</v>
      </c>
      <c r="L711" s="106" t="s">
        <v>81</v>
      </c>
      <c r="M711" s="107" t="s">
        <v>348</v>
      </c>
      <c r="N711" s="54"/>
      <c r="O711" s="54"/>
      <c r="P711" s="54"/>
      <c r="Q711" s="54"/>
      <c r="R711" s="54"/>
      <c r="S711" s="54"/>
      <c r="T711" s="54"/>
      <c r="U711" s="54"/>
      <c r="V711" s="54"/>
      <c r="W711" s="54"/>
      <c r="X711" s="54"/>
      <c r="Y711" s="54"/>
      <c r="Z711" s="54"/>
      <c r="AA711" s="54"/>
      <c r="AB711" s="54"/>
      <c r="AC711" s="54"/>
      <c r="AD711" s="54"/>
      <c r="AE711" s="54"/>
      <c r="AF711" s="54"/>
      <c r="AG711" s="54"/>
      <c r="AH711" s="54"/>
    </row>
    <row r="712">
      <c r="A712" s="59" t="s">
        <v>346</v>
      </c>
      <c r="B712" s="59" t="s">
        <v>20</v>
      </c>
      <c r="C712" s="59" t="s">
        <v>991</v>
      </c>
      <c r="D712" s="59" t="s">
        <v>317</v>
      </c>
      <c r="E712" s="59" t="s">
        <v>992</v>
      </c>
      <c r="F712" s="59" t="s">
        <v>313</v>
      </c>
      <c r="G712" s="59" t="s">
        <v>993</v>
      </c>
      <c r="H712" s="81">
        <v>1995.0</v>
      </c>
      <c r="I712" s="76">
        <v>4245.0</v>
      </c>
      <c r="J712" s="76" t="s">
        <v>188</v>
      </c>
      <c r="K712" s="81" t="s">
        <v>188</v>
      </c>
      <c r="L712" s="106" t="s">
        <v>81</v>
      </c>
      <c r="M712" s="107" t="s">
        <v>348</v>
      </c>
      <c r="N712" s="54"/>
      <c r="O712" s="54"/>
      <c r="P712" s="54"/>
      <c r="Q712" s="54"/>
      <c r="R712" s="54"/>
      <c r="S712" s="54"/>
      <c r="T712" s="54"/>
      <c r="U712" s="54"/>
      <c r="V712" s="54"/>
      <c r="W712" s="54"/>
      <c r="X712" s="54"/>
      <c r="Y712" s="54"/>
      <c r="Z712" s="54"/>
      <c r="AA712" s="54"/>
      <c r="AB712" s="54"/>
      <c r="AC712" s="54"/>
      <c r="AD712" s="54"/>
      <c r="AE712" s="54"/>
      <c r="AF712" s="54"/>
      <c r="AG712" s="54"/>
      <c r="AH712" s="54"/>
    </row>
    <row r="713">
      <c r="A713" s="59" t="s">
        <v>346</v>
      </c>
      <c r="B713" s="59" t="s">
        <v>20</v>
      </c>
      <c r="C713" s="59" t="s">
        <v>991</v>
      </c>
      <c r="D713" s="59" t="s">
        <v>317</v>
      </c>
      <c r="E713" s="59" t="s">
        <v>992</v>
      </c>
      <c r="F713" s="59" t="s">
        <v>313</v>
      </c>
      <c r="G713" s="59" t="s">
        <v>993</v>
      </c>
      <c r="H713" s="81">
        <v>1996.0</v>
      </c>
      <c r="I713" s="76">
        <v>4630.0</v>
      </c>
      <c r="J713" s="76" t="s">
        <v>188</v>
      </c>
      <c r="K713" s="81" t="s">
        <v>188</v>
      </c>
      <c r="L713" s="106" t="s">
        <v>81</v>
      </c>
      <c r="M713" s="107" t="s">
        <v>348</v>
      </c>
      <c r="N713" s="54"/>
      <c r="O713" s="54"/>
      <c r="P713" s="54"/>
      <c r="Q713" s="54"/>
      <c r="R713" s="54"/>
      <c r="S713" s="54"/>
      <c r="T713" s="54"/>
      <c r="U713" s="54"/>
      <c r="V713" s="54"/>
      <c r="W713" s="54"/>
      <c r="X713" s="54"/>
      <c r="Y713" s="54"/>
      <c r="Z713" s="54"/>
      <c r="AA713" s="54"/>
      <c r="AB713" s="54"/>
      <c r="AC713" s="54"/>
      <c r="AD713" s="54"/>
      <c r="AE713" s="54"/>
      <c r="AF713" s="54"/>
      <c r="AG713" s="54"/>
      <c r="AH713" s="54"/>
    </row>
    <row r="714">
      <c r="A714" s="59" t="s">
        <v>346</v>
      </c>
      <c r="B714" s="59" t="s">
        <v>20</v>
      </c>
      <c r="C714" s="59" t="s">
        <v>991</v>
      </c>
      <c r="D714" s="59" t="s">
        <v>317</v>
      </c>
      <c r="E714" s="59" t="s">
        <v>992</v>
      </c>
      <c r="F714" s="59" t="s">
        <v>313</v>
      </c>
      <c r="G714" s="59" t="s">
        <v>993</v>
      </c>
      <c r="H714" s="81">
        <v>1998.0</v>
      </c>
      <c r="I714" s="76">
        <v>5329.0</v>
      </c>
      <c r="J714" s="76" t="s">
        <v>188</v>
      </c>
      <c r="K714" s="81" t="s">
        <v>188</v>
      </c>
      <c r="L714" s="106" t="s">
        <v>81</v>
      </c>
      <c r="M714" s="107" t="s">
        <v>348</v>
      </c>
      <c r="N714" s="54"/>
      <c r="O714" s="54"/>
      <c r="P714" s="54"/>
      <c r="Q714" s="54"/>
      <c r="R714" s="54"/>
      <c r="S714" s="54"/>
      <c r="T714" s="54"/>
      <c r="U714" s="54"/>
      <c r="V714" s="54"/>
      <c r="W714" s="54"/>
      <c r="X714" s="54"/>
      <c r="Y714" s="54"/>
      <c r="Z714" s="54"/>
      <c r="AA714" s="54"/>
      <c r="AB714" s="54"/>
      <c r="AC714" s="54"/>
      <c r="AD714" s="54"/>
      <c r="AE714" s="54"/>
      <c r="AF714" s="54"/>
      <c r="AG714" s="54"/>
      <c r="AH714" s="54"/>
    </row>
    <row r="715">
      <c r="A715" s="59" t="s">
        <v>346</v>
      </c>
      <c r="B715" s="59" t="s">
        <v>20</v>
      </c>
      <c r="C715" s="59" t="s">
        <v>991</v>
      </c>
      <c r="D715" s="59" t="s">
        <v>317</v>
      </c>
      <c r="E715" s="59" t="s">
        <v>992</v>
      </c>
      <c r="F715" s="59" t="s">
        <v>313</v>
      </c>
      <c r="G715" s="59" t="s">
        <v>993</v>
      </c>
      <c r="H715" s="81">
        <v>1999.0</v>
      </c>
      <c r="I715" s="76">
        <v>4407.0</v>
      </c>
      <c r="J715" s="76" t="s">
        <v>188</v>
      </c>
      <c r="K715" s="81" t="s">
        <v>188</v>
      </c>
      <c r="L715" s="106" t="s">
        <v>81</v>
      </c>
      <c r="M715" s="107" t="s">
        <v>348</v>
      </c>
      <c r="N715" s="54"/>
      <c r="O715" s="54"/>
      <c r="P715" s="54"/>
      <c r="Q715" s="54"/>
      <c r="R715" s="54"/>
      <c r="S715" s="54"/>
      <c r="T715" s="54"/>
      <c r="U715" s="54"/>
      <c r="V715" s="54"/>
      <c r="W715" s="54"/>
      <c r="X715" s="54"/>
      <c r="Y715" s="54"/>
      <c r="Z715" s="54"/>
      <c r="AA715" s="54"/>
      <c r="AB715" s="54"/>
      <c r="AC715" s="54"/>
      <c r="AD715" s="54"/>
      <c r="AE715" s="54"/>
      <c r="AF715" s="54"/>
      <c r="AG715" s="54"/>
      <c r="AH715" s="54"/>
    </row>
    <row r="716">
      <c r="A716" s="59" t="s">
        <v>346</v>
      </c>
      <c r="B716" s="59" t="s">
        <v>20</v>
      </c>
      <c r="C716" s="59" t="s">
        <v>991</v>
      </c>
      <c r="D716" s="59" t="s">
        <v>317</v>
      </c>
      <c r="E716" s="59" t="s">
        <v>992</v>
      </c>
      <c r="F716" s="59" t="s">
        <v>313</v>
      </c>
      <c r="G716" s="59" t="s">
        <v>993</v>
      </c>
      <c r="H716" s="81">
        <v>2000.0</v>
      </c>
      <c r="I716" s="76">
        <v>4560.0</v>
      </c>
      <c r="J716" s="76" t="s">
        <v>188</v>
      </c>
      <c r="K716" s="81" t="s">
        <v>188</v>
      </c>
      <c r="L716" s="106" t="s">
        <v>81</v>
      </c>
      <c r="M716" s="107" t="s">
        <v>348</v>
      </c>
      <c r="N716" s="54"/>
      <c r="O716" s="54"/>
      <c r="P716" s="54"/>
      <c r="Q716" s="54"/>
      <c r="R716" s="54"/>
      <c r="S716" s="54"/>
      <c r="T716" s="54"/>
      <c r="U716" s="54"/>
      <c r="V716" s="54"/>
      <c r="W716" s="54"/>
      <c r="X716" s="54"/>
      <c r="Y716" s="54"/>
      <c r="Z716" s="54"/>
      <c r="AA716" s="54"/>
      <c r="AB716" s="54"/>
      <c r="AC716" s="54"/>
      <c r="AD716" s="54"/>
      <c r="AE716" s="54"/>
      <c r="AF716" s="54"/>
      <c r="AG716" s="54"/>
      <c r="AH716" s="54"/>
    </row>
    <row r="717">
      <c r="A717" s="59" t="s">
        <v>346</v>
      </c>
      <c r="B717" s="59" t="s">
        <v>20</v>
      </c>
      <c r="C717" s="59" t="s">
        <v>991</v>
      </c>
      <c r="D717" s="59" t="s">
        <v>317</v>
      </c>
      <c r="E717" s="59" t="s">
        <v>992</v>
      </c>
      <c r="F717" s="59" t="s">
        <v>313</v>
      </c>
      <c r="G717" s="59" t="s">
        <v>993</v>
      </c>
      <c r="H717" s="81">
        <v>2001.0</v>
      </c>
      <c r="I717" s="76">
        <v>4479.0</v>
      </c>
      <c r="J717" s="76" t="s">
        <v>188</v>
      </c>
      <c r="K717" s="81" t="s">
        <v>188</v>
      </c>
      <c r="L717" s="106" t="s">
        <v>81</v>
      </c>
      <c r="M717" s="107" t="s">
        <v>348</v>
      </c>
      <c r="N717" s="54"/>
      <c r="O717" s="54"/>
      <c r="P717" s="54"/>
      <c r="Q717" s="54"/>
      <c r="R717" s="54"/>
      <c r="S717" s="54"/>
      <c r="T717" s="54"/>
      <c r="U717" s="54"/>
      <c r="V717" s="54"/>
      <c r="W717" s="54"/>
      <c r="X717" s="54"/>
      <c r="Y717" s="54"/>
      <c r="Z717" s="54"/>
      <c r="AA717" s="54"/>
      <c r="AB717" s="54"/>
      <c r="AC717" s="54"/>
      <c r="AD717" s="54"/>
      <c r="AE717" s="54"/>
      <c r="AF717" s="54"/>
      <c r="AG717" s="54"/>
      <c r="AH717" s="54"/>
    </row>
    <row r="718">
      <c r="A718" s="59" t="s">
        <v>346</v>
      </c>
      <c r="B718" s="59" t="s">
        <v>20</v>
      </c>
      <c r="C718" s="59" t="s">
        <v>991</v>
      </c>
      <c r="D718" s="59" t="s">
        <v>317</v>
      </c>
      <c r="E718" s="59" t="s">
        <v>992</v>
      </c>
      <c r="F718" s="59" t="s">
        <v>313</v>
      </c>
      <c r="G718" s="59" t="s">
        <v>993</v>
      </c>
      <c r="H718" s="81">
        <v>2002.0</v>
      </c>
      <c r="I718" s="76">
        <v>5258.0</v>
      </c>
      <c r="J718" s="76" t="s">
        <v>188</v>
      </c>
      <c r="K718" s="81" t="s">
        <v>188</v>
      </c>
      <c r="L718" s="106" t="s">
        <v>81</v>
      </c>
      <c r="M718" s="107" t="s">
        <v>348</v>
      </c>
      <c r="N718" s="54"/>
      <c r="O718" s="54"/>
      <c r="P718" s="54"/>
      <c r="Q718" s="54"/>
      <c r="R718" s="54"/>
      <c r="S718" s="54"/>
      <c r="T718" s="54"/>
      <c r="U718" s="54"/>
      <c r="V718" s="54"/>
      <c r="W718" s="54"/>
      <c r="X718" s="54"/>
      <c r="Y718" s="54"/>
      <c r="Z718" s="54"/>
      <c r="AA718" s="54"/>
      <c r="AB718" s="54"/>
      <c r="AC718" s="54"/>
      <c r="AD718" s="54"/>
      <c r="AE718" s="54"/>
      <c r="AF718" s="54"/>
      <c r="AG718" s="54"/>
      <c r="AH718" s="54"/>
    </row>
    <row r="719">
      <c r="A719" s="59" t="s">
        <v>346</v>
      </c>
      <c r="B719" s="59" t="s">
        <v>20</v>
      </c>
      <c r="C719" s="59" t="s">
        <v>991</v>
      </c>
      <c r="D719" s="59" t="s">
        <v>317</v>
      </c>
      <c r="E719" s="59" t="s">
        <v>992</v>
      </c>
      <c r="F719" s="59" t="s">
        <v>313</v>
      </c>
      <c r="G719" s="59" t="s">
        <v>993</v>
      </c>
      <c r="H719" s="81">
        <v>2003.0</v>
      </c>
      <c r="I719" s="76">
        <v>5491.0</v>
      </c>
      <c r="J719" s="76" t="s">
        <v>188</v>
      </c>
      <c r="K719" s="81" t="s">
        <v>188</v>
      </c>
      <c r="L719" s="106" t="s">
        <v>81</v>
      </c>
      <c r="M719" s="107" t="s">
        <v>348</v>
      </c>
      <c r="N719" s="54"/>
      <c r="O719" s="54"/>
      <c r="P719" s="54"/>
      <c r="Q719" s="54"/>
      <c r="R719" s="54"/>
      <c r="S719" s="54"/>
      <c r="T719" s="54"/>
      <c r="U719" s="54"/>
      <c r="V719" s="54"/>
      <c r="W719" s="54"/>
      <c r="X719" s="54"/>
      <c r="Y719" s="54"/>
      <c r="Z719" s="54"/>
      <c r="AA719" s="54"/>
      <c r="AB719" s="54"/>
      <c r="AC719" s="54"/>
      <c r="AD719" s="54"/>
      <c r="AE719" s="54"/>
      <c r="AF719" s="54"/>
      <c r="AG719" s="54"/>
      <c r="AH719" s="54"/>
    </row>
    <row r="720">
      <c r="A720" s="11" t="s">
        <v>88</v>
      </c>
      <c r="B720" s="11" t="s">
        <v>20</v>
      </c>
      <c r="C720" s="11" t="s">
        <v>212</v>
      </c>
      <c r="D720" s="11" t="s">
        <v>294</v>
      </c>
      <c r="E720" s="11" t="s">
        <v>998</v>
      </c>
      <c r="F720" s="11" t="s">
        <v>999</v>
      </c>
      <c r="G720" s="11" t="s">
        <v>74</v>
      </c>
      <c r="H720" s="11">
        <v>2013.0</v>
      </c>
      <c r="I720" s="40">
        <v>1288.0</v>
      </c>
      <c r="J720" s="40">
        <v>1213.0</v>
      </c>
      <c r="K720" s="11">
        <v>1399.0</v>
      </c>
      <c r="L720" s="29" t="s">
        <v>260</v>
      </c>
      <c r="M720" s="30" t="s">
        <v>311</v>
      </c>
      <c r="N720" s="11" t="s">
        <v>314</v>
      </c>
    </row>
    <row r="721">
      <c r="A721" s="11" t="s">
        <v>88</v>
      </c>
      <c r="B721" s="11" t="s">
        <v>20</v>
      </c>
      <c r="C721" s="11" t="s">
        <v>212</v>
      </c>
      <c r="D721" s="11" t="s">
        <v>294</v>
      </c>
      <c r="E721" s="11" t="s">
        <v>998</v>
      </c>
      <c r="F721" s="11" t="s">
        <v>999</v>
      </c>
      <c r="G721" s="11" t="s">
        <v>74</v>
      </c>
      <c r="H721" s="11">
        <v>2014.0</v>
      </c>
      <c r="I721" s="40">
        <v>1309.0</v>
      </c>
      <c r="J721" s="40">
        <v>1242.0</v>
      </c>
      <c r="K721" s="11">
        <v>1418.0</v>
      </c>
      <c r="L721" s="29" t="s">
        <v>260</v>
      </c>
      <c r="M721" s="30" t="s">
        <v>311</v>
      </c>
      <c r="N721" s="11" t="s">
        <v>314</v>
      </c>
    </row>
    <row r="722">
      <c r="A722" s="11" t="s">
        <v>88</v>
      </c>
      <c r="B722" s="11" t="s">
        <v>20</v>
      </c>
      <c r="C722" s="11" t="s">
        <v>212</v>
      </c>
      <c r="D722" s="11" t="s">
        <v>294</v>
      </c>
      <c r="E722" s="11" t="s">
        <v>998</v>
      </c>
      <c r="F722" s="11" t="s">
        <v>999</v>
      </c>
      <c r="G722" s="11" t="s">
        <v>74</v>
      </c>
      <c r="H722" s="11">
        <v>2015.0</v>
      </c>
      <c r="I722" s="40">
        <v>1333.0</v>
      </c>
      <c r="J722" s="40">
        <v>1275.0</v>
      </c>
      <c r="K722" s="11">
        <v>1444.0</v>
      </c>
      <c r="L722" s="29" t="s">
        <v>260</v>
      </c>
      <c r="M722" s="30" t="s">
        <v>311</v>
      </c>
      <c r="N722" s="11" t="s">
        <v>314</v>
      </c>
    </row>
    <row r="723">
      <c r="A723" s="11" t="s">
        <v>88</v>
      </c>
      <c r="B723" s="11" t="s">
        <v>20</v>
      </c>
      <c r="C723" s="11" t="s">
        <v>212</v>
      </c>
      <c r="D723" s="11" t="s">
        <v>294</v>
      </c>
      <c r="E723" s="11" t="s">
        <v>998</v>
      </c>
      <c r="F723" s="11" t="s">
        <v>999</v>
      </c>
      <c r="G723" s="11" t="s">
        <v>74</v>
      </c>
      <c r="H723" s="11">
        <v>2016.0</v>
      </c>
      <c r="I723" s="40">
        <v>1416.0</v>
      </c>
      <c r="J723" s="40">
        <v>1348.0</v>
      </c>
      <c r="K723" s="11">
        <v>1527.0</v>
      </c>
      <c r="L723" s="29" t="s">
        <v>260</v>
      </c>
      <c r="M723" s="30" t="s">
        <v>311</v>
      </c>
      <c r="N723" s="11" t="s">
        <v>314</v>
      </c>
    </row>
    <row r="724">
      <c r="A724" s="11" t="s">
        <v>88</v>
      </c>
      <c r="B724" s="11" t="s">
        <v>20</v>
      </c>
      <c r="C724" s="11" t="s">
        <v>212</v>
      </c>
      <c r="D724" s="11" t="s">
        <v>294</v>
      </c>
      <c r="E724" s="11" t="s">
        <v>998</v>
      </c>
      <c r="F724" s="11" t="s">
        <v>999</v>
      </c>
      <c r="G724" s="11" t="s">
        <v>74</v>
      </c>
      <c r="H724" s="11">
        <v>2017.0</v>
      </c>
      <c r="I724" s="40">
        <v>1358.0</v>
      </c>
      <c r="J724" s="40">
        <v>1302.0</v>
      </c>
      <c r="K724" s="11">
        <v>1447.0</v>
      </c>
      <c r="L724" s="29" t="s">
        <v>260</v>
      </c>
      <c r="M724" s="30" t="s">
        <v>311</v>
      </c>
      <c r="N724" s="11" t="s">
        <v>314</v>
      </c>
    </row>
    <row r="725">
      <c r="A725" s="11" t="s">
        <v>88</v>
      </c>
      <c r="B725" s="11" t="s">
        <v>20</v>
      </c>
      <c r="C725" s="11" t="s">
        <v>212</v>
      </c>
      <c r="D725" s="11" t="s">
        <v>294</v>
      </c>
      <c r="E725" s="11" t="s">
        <v>998</v>
      </c>
      <c r="F725" s="11" t="s">
        <v>999</v>
      </c>
      <c r="G725" s="11" t="s">
        <v>74</v>
      </c>
      <c r="H725" s="11">
        <v>2018.0</v>
      </c>
      <c r="I725" s="40">
        <v>1437.0</v>
      </c>
      <c r="J725" s="40">
        <v>1366.0</v>
      </c>
      <c r="K725" s="11">
        <v>1550.0</v>
      </c>
      <c r="L725" s="29" t="s">
        <v>260</v>
      </c>
      <c r="M725" s="30" t="s">
        <v>311</v>
      </c>
      <c r="N725" s="11" t="s">
        <v>314</v>
      </c>
    </row>
    <row r="726">
      <c r="A726" s="11" t="s">
        <v>88</v>
      </c>
      <c r="B726" s="11" t="s">
        <v>20</v>
      </c>
      <c r="C726" s="11" t="s">
        <v>212</v>
      </c>
      <c r="D726" s="11" t="s">
        <v>294</v>
      </c>
      <c r="E726" s="11" t="s">
        <v>998</v>
      </c>
      <c r="F726" s="11" t="s">
        <v>999</v>
      </c>
      <c r="G726" s="11" t="s">
        <v>74</v>
      </c>
      <c r="H726" s="11">
        <v>2019.0</v>
      </c>
      <c r="I726" s="40">
        <v>1435.0</v>
      </c>
      <c r="J726" s="40">
        <v>1368.0</v>
      </c>
      <c r="K726" s="11">
        <v>1531.0</v>
      </c>
      <c r="L726" s="29" t="s">
        <v>260</v>
      </c>
      <c r="M726" s="30" t="s">
        <v>311</v>
      </c>
      <c r="N726" s="11" t="s">
        <v>314</v>
      </c>
    </row>
    <row r="727">
      <c r="A727" s="11" t="s">
        <v>88</v>
      </c>
      <c r="B727" s="11" t="s">
        <v>20</v>
      </c>
      <c r="C727" s="11" t="s">
        <v>212</v>
      </c>
      <c r="D727" s="11" t="s">
        <v>294</v>
      </c>
      <c r="E727" s="11" t="s">
        <v>998</v>
      </c>
      <c r="F727" s="11" t="s">
        <v>999</v>
      </c>
      <c r="G727" s="11" t="s">
        <v>74</v>
      </c>
      <c r="H727" s="11">
        <v>2020.0</v>
      </c>
      <c r="I727" s="40">
        <v>1465.0</v>
      </c>
      <c r="J727" s="40">
        <v>1389.0</v>
      </c>
      <c r="K727" s="11">
        <v>1568.0</v>
      </c>
      <c r="L727" s="29" t="s">
        <v>260</v>
      </c>
      <c r="M727" s="30" t="s">
        <v>311</v>
      </c>
      <c r="N727" s="11" t="s">
        <v>314</v>
      </c>
    </row>
    <row r="728">
      <c r="A728" s="11" t="s">
        <v>57</v>
      </c>
      <c r="B728" s="11" t="s">
        <v>20</v>
      </c>
      <c r="C728" s="11" t="s">
        <v>68</v>
      </c>
      <c r="D728" s="11" t="s">
        <v>154</v>
      </c>
      <c r="E728" s="11" t="s">
        <v>1001</v>
      </c>
      <c r="F728" s="11" t="s">
        <v>257</v>
      </c>
      <c r="G728" s="11" t="s">
        <v>74</v>
      </c>
      <c r="H728" s="87">
        <v>1991.32</v>
      </c>
      <c r="I728" s="44">
        <v>568.445475638051</v>
      </c>
      <c r="J728" s="44">
        <v>127.610208816706</v>
      </c>
      <c r="K728" s="87">
        <v>2111.36890951276</v>
      </c>
      <c r="L728" s="29" t="s">
        <v>260</v>
      </c>
      <c r="M728" s="39" t="s">
        <v>159</v>
      </c>
      <c r="N728" s="11" t="s">
        <v>164</v>
      </c>
      <c r="O728" s="11" t="s">
        <v>1003</v>
      </c>
    </row>
    <row r="729">
      <c r="A729" s="11" t="s">
        <v>57</v>
      </c>
      <c r="B729" s="11" t="s">
        <v>20</v>
      </c>
      <c r="C729" s="11" t="s">
        <v>68</v>
      </c>
      <c r="D729" s="11" t="s">
        <v>154</v>
      </c>
      <c r="E729" s="11" t="s">
        <v>1001</v>
      </c>
      <c r="F729" s="11" t="s">
        <v>257</v>
      </c>
      <c r="G729" s="11" t="s">
        <v>74</v>
      </c>
      <c r="H729" s="87">
        <v>1993.2962962963</v>
      </c>
      <c r="I729" s="44">
        <v>707.656612529003</v>
      </c>
      <c r="J729" s="44">
        <v>255.220417633412</v>
      </c>
      <c r="K729" s="87">
        <v>1844.5475638051</v>
      </c>
      <c r="L729" s="29" t="s">
        <v>260</v>
      </c>
      <c r="M729" s="39" t="s">
        <v>159</v>
      </c>
      <c r="N729" s="11" t="s">
        <v>164</v>
      </c>
    </row>
    <row r="730">
      <c r="A730" s="11" t="s">
        <v>57</v>
      </c>
      <c r="B730" s="11" t="s">
        <v>20</v>
      </c>
      <c r="C730" s="11" t="s">
        <v>68</v>
      </c>
      <c r="D730" s="11" t="s">
        <v>154</v>
      </c>
      <c r="E730" s="11" t="s">
        <v>1001</v>
      </c>
      <c r="F730" s="11" t="s">
        <v>257</v>
      </c>
      <c r="G730" s="11" t="s">
        <v>74</v>
      </c>
      <c r="H730" s="87">
        <v>1996.26074074074</v>
      </c>
      <c r="I730" s="44">
        <v>1751.74013921114</v>
      </c>
      <c r="J730" s="44">
        <v>649.651972157773</v>
      </c>
      <c r="K730" s="87">
        <v>4628.77030162413</v>
      </c>
      <c r="L730" s="29" t="s">
        <v>260</v>
      </c>
      <c r="M730" s="39" t="s">
        <v>159</v>
      </c>
      <c r="N730" s="11" t="s">
        <v>164</v>
      </c>
    </row>
    <row r="731">
      <c r="A731" s="11" t="s">
        <v>57</v>
      </c>
      <c r="B731" s="11" t="s">
        <v>20</v>
      </c>
      <c r="C731" s="11" t="s">
        <v>68</v>
      </c>
      <c r="D731" s="11" t="s">
        <v>154</v>
      </c>
      <c r="E731" s="11" t="s">
        <v>1001</v>
      </c>
      <c r="F731" s="11" t="s">
        <v>257</v>
      </c>
      <c r="G731" s="11" t="s">
        <v>74</v>
      </c>
      <c r="H731" s="87">
        <v>2001.24444444444</v>
      </c>
      <c r="I731" s="44">
        <v>1287.7030162413</v>
      </c>
      <c r="J731" s="44">
        <v>417.633410672855</v>
      </c>
      <c r="K731" s="87">
        <v>3781.90255220418</v>
      </c>
      <c r="L731" s="29" t="s">
        <v>260</v>
      </c>
      <c r="M731" s="39" t="s">
        <v>159</v>
      </c>
      <c r="N731" s="11" t="s">
        <v>164</v>
      </c>
    </row>
    <row r="732">
      <c r="A732" s="11" t="s">
        <v>57</v>
      </c>
      <c r="B732" s="11" t="s">
        <v>20</v>
      </c>
      <c r="C732" s="11" t="s">
        <v>68</v>
      </c>
      <c r="D732" s="11" t="s">
        <v>154</v>
      </c>
      <c r="E732" s="11" t="s">
        <v>1001</v>
      </c>
      <c r="F732" s="11" t="s">
        <v>257</v>
      </c>
      <c r="G732" s="11" t="s">
        <v>74</v>
      </c>
      <c r="H732" s="87">
        <v>2005.24</v>
      </c>
      <c r="I732" s="44">
        <v>1624.12993039443</v>
      </c>
      <c r="J732" s="44">
        <v>603.248259860789</v>
      </c>
      <c r="K732" s="87">
        <v>4245.93967517401</v>
      </c>
      <c r="L732" s="29" t="s">
        <v>260</v>
      </c>
      <c r="M732" s="39" t="s">
        <v>159</v>
      </c>
      <c r="N732" s="11" t="s">
        <v>164</v>
      </c>
    </row>
    <row r="733">
      <c r="A733" s="11" t="s">
        <v>57</v>
      </c>
      <c r="B733" s="11" t="s">
        <v>20</v>
      </c>
      <c r="C733" s="11" t="s">
        <v>68</v>
      </c>
      <c r="D733" s="11" t="s">
        <v>154</v>
      </c>
      <c r="E733" s="11" t="s">
        <v>1001</v>
      </c>
      <c r="F733" s="11" t="s">
        <v>257</v>
      </c>
      <c r="G733" s="11" t="s">
        <v>74</v>
      </c>
      <c r="H733" s="87">
        <v>2008.29037037037</v>
      </c>
      <c r="I733" s="44">
        <v>1310.90487238979</v>
      </c>
      <c r="J733" s="44">
        <v>429.2343387471</v>
      </c>
      <c r="K733" s="87">
        <v>3897.91183294664</v>
      </c>
      <c r="L733" s="29" t="s">
        <v>260</v>
      </c>
      <c r="M733" s="39" t="s">
        <v>159</v>
      </c>
      <c r="N733" s="11" t="s">
        <v>164</v>
      </c>
    </row>
    <row r="734">
      <c r="A734" s="11" t="s">
        <v>57</v>
      </c>
      <c r="B734" s="11" t="s">
        <v>20</v>
      </c>
      <c r="C734" s="11" t="s">
        <v>68</v>
      </c>
      <c r="D734" s="11" t="s">
        <v>154</v>
      </c>
      <c r="E734" s="11" t="s">
        <v>1001</v>
      </c>
      <c r="F734" s="11" t="s">
        <v>257</v>
      </c>
      <c r="G734" s="11" t="s">
        <v>74</v>
      </c>
      <c r="H734" s="87">
        <v>2014.26222222222</v>
      </c>
      <c r="I734" s="44">
        <v>3062.64501160093</v>
      </c>
      <c r="J734" s="44">
        <v>742.45939675174</v>
      </c>
      <c r="K734" s="28">
        <v>12000.0</v>
      </c>
      <c r="L734" s="29" t="s">
        <v>260</v>
      </c>
      <c r="M734" s="39" t="s">
        <v>159</v>
      </c>
      <c r="N734" s="11" t="s">
        <v>164</v>
      </c>
    </row>
    <row r="735">
      <c r="A735" s="11" t="s">
        <v>57</v>
      </c>
      <c r="B735" s="11" t="s">
        <v>20</v>
      </c>
      <c r="C735" s="11" t="s">
        <v>68</v>
      </c>
      <c r="D735" s="11" t="s">
        <v>154</v>
      </c>
      <c r="E735" s="11" t="s">
        <v>1001</v>
      </c>
      <c r="F735" s="11" t="s">
        <v>1004</v>
      </c>
      <c r="G735" s="11" t="s">
        <v>74</v>
      </c>
      <c r="H735" s="44">
        <v>1989.04296296296</v>
      </c>
      <c r="I735" s="27">
        <v>499.0</v>
      </c>
      <c r="J735" s="27" t="s">
        <v>188</v>
      </c>
      <c r="K735" s="28" t="s">
        <v>188</v>
      </c>
      <c r="L735" s="29" t="s">
        <v>81</v>
      </c>
      <c r="M735" s="39" t="s">
        <v>159</v>
      </c>
      <c r="N735" s="11" t="s">
        <v>164</v>
      </c>
    </row>
    <row r="736">
      <c r="A736" s="11" t="s">
        <v>57</v>
      </c>
      <c r="B736" s="11" t="s">
        <v>20</v>
      </c>
      <c r="C736" s="11" t="s">
        <v>68</v>
      </c>
      <c r="D736" s="11" t="s">
        <v>154</v>
      </c>
      <c r="E736" s="11" t="s">
        <v>1001</v>
      </c>
      <c r="F736" s="11" t="s">
        <v>1004</v>
      </c>
      <c r="G736" s="11" t="s">
        <v>74</v>
      </c>
      <c r="H736" s="44">
        <v>1990.03111111111</v>
      </c>
      <c r="I736" s="27">
        <v>552.0</v>
      </c>
      <c r="J736" s="27" t="s">
        <v>188</v>
      </c>
      <c r="K736" s="28" t="s">
        <v>188</v>
      </c>
      <c r="L736" s="29" t="s">
        <v>81</v>
      </c>
      <c r="M736" s="39" t="s">
        <v>159</v>
      </c>
      <c r="N736" s="11" t="s">
        <v>164</v>
      </c>
    </row>
    <row r="737">
      <c r="A737" s="11" t="s">
        <v>57</v>
      </c>
      <c r="B737" s="11" t="s">
        <v>20</v>
      </c>
      <c r="C737" s="11" t="s">
        <v>68</v>
      </c>
      <c r="D737" s="11" t="s">
        <v>154</v>
      </c>
      <c r="E737" s="11" t="s">
        <v>1001</v>
      </c>
      <c r="F737" s="11" t="s">
        <v>1004</v>
      </c>
      <c r="G737" s="11" t="s">
        <v>74</v>
      </c>
      <c r="H737" s="44">
        <v>1991.01925925926</v>
      </c>
      <c r="I737" s="27">
        <v>682.0</v>
      </c>
      <c r="J737" s="27" t="s">
        <v>188</v>
      </c>
      <c r="K737" s="28" t="s">
        <v>188</v>
      </c>
      <c r="L737" s="29" t="s">
        <v>81</v>
      </c>
      <c r="M737" s="39" t="s">
        <v>159</v>
      </c>
      <c r="N737" s="11" t="s">
        <v>164</v>
      </c>
    </row>
    <row r="738">
      <c r="A738" s="11" t="s">
        <v>57</v>
      </c>
      <c r="B738" s="11" t="s">
        <v>20</v>
      </c>
      <c r="C738" s="11" t="s">
        <v>68</v>
      </c>
      <c r="D738" s="11" t="s">
        <v>154</v>
      </c>
      <c r="E738" s="11" t="s">
        <v>1001</v>
      </c>
      <c r="F738" s="11" t="s">
        <v>1004</v>
      </c>
      <c r="G738" s="11" t="s">
        <v>74</v>
      </c>
      <c r="H738" s="44">
        <v>1992.00740740741</v>
      </c>
      <c r="I738" s="27">
        <v>759.0</v>
      </c>
      <c r="J738" s="27" t="s">
        <v>188</v>
      </c>
      <c r="K738" s="28" t="s">
        <v>188</v>
      </c>
      <c r="L738" s="29" t="s">
        <v>81</v>
      </c>
      <c r="M738" s="39" t="s">
        <v>159</v>
      </c>
      <c r="N738" s="11" t="s">
        <v>164</v>
      </c>
    </row>
    <row r="739">
      <c r="A739" s="11" t="s">
        <v>57</v>
      </c>
      <c r="B739" s="11" t="s">
        <v>20</v>
      </c>
      <c r="C739" s="11" t="s">
        <v>68</v>
      </c>
      <c r="D739" s="11" t="s">
        <v>154</v>
      </c>
      <c r="E739" s="11" t="s">
        <v>1001</v>
      </c>
      <c r="F739" s="11" t="s">
        <v>1004</v>
      </c>
      <c r="G739" s="11" t="s">
        <v>74</v>
      </c>
      <c r="H739" s="44">
        <v>1992.99555555556</v>
      </c>
      <c r="I739" s="27">
        <v>793.0</v>
      </c>
      <c r="J739" s="27" t="s">
        <v>188</v>
      </c>
      <c r="K739" s="28" t="s">
        <v>188</v>
      </c>
      <c r="L739" s="29" t="s">
        <v>81</v>
      </c>
      <c r="M739" s="39" t="s">
        <v>159</v>
      </c>
      <c r="N739" s="11" t="s">
        <v>164</v>
      </c>
    </row>
    <row r="740">
      <c r="A740" s="11" t="s">
        <v>57</v>
      </c>
      <c r="B740" s="11" t="s">
        <v>20</v>
      </c>
      <c r="C740" s="11" t="s">
        <v>68</v>
      </c>
      <c r="D740" s="11" t="s">
        <v>154</v>
      </c>
      <c r="E740" s="11" t="s">
        <v>1001</v>
      </c>
      <c r="F740" s="11" t="s">
        <v>1004</v>
      </c>
      <c r="G740" s="11" t="s">
        <v>74</v>
      </c>
      <c r="H740" s="44">
        <v>1994.02666666667</v>
      </c>
      <c r="I740" s="27">
        <v>804.0</v>
      </c>
      <c r="J740" s="27" t="s">
        <v>188</v>
      </c>
      <c r="K740" s="28" t="s">
        <v>188</v>
      </c>
      <c r="L740" s="29" t="s">
        <v>81</v>
      </c>
      <c r="M740" s="39" t="s">
        <v>159</v>
      </c>
      <c r="N740" s="11" t="s">
        <v>164</v>
      </c>
    </row>
    <row r="741">
      <c r="A741" s="11" t="s">
        <v>57</v>
      </c>
      <c r="B741" s="11" t="s">
        <v>20</v>
      </c>
      <c r="C741" s="11" t="s">
        <v>68</v>
      </c>
      <c r="D741" s="11" t="s">
        <v>154</v>
      </c>
      <c r="E741" s="11" t="s">
        <v>1001</v>
      </c>
      <c r="F741" s="11" t="s">
        <v>1004</v>
      </c>
      <c r="G741" s="11" t="s">
        <v>74</v>
      </c>
      <c r="H741" s="44">
        <v>1995.01481481481</v>
      </c>
      <c r="I741" s="27">
        <v>892.0</v>
      </c>
      <c r="J741" s="27" t="s">
        <v>188</v>
      </c>
      <c r="K741" s="28" t="s">
        <v>188</v>
      </c>
      <c r="L741" s="29" t="s">
        <v>81</v>
      </c>
      <c r="M741" s="39" t="s">
        <v>159</v>
      </c>
      <c r="N741" s="11" t="s">
        <v>164</v>
      </c>
    </row>
    <row r="742">
      <c r="A742" s="11" t="s">
        <v>57</v>
      </c>
      <c r="B742" s="11" t="s">
        <v>20</v>
      </c>
      <c r="C742" s="11" t="s">
        <v>68</v>
      </c>
      <c r="D742" s="11" t="s">
        <v>154</v>
      </c>
      <c r="E742" s="11" t="s">
        <v>1001</v>
      </c>
      <c r="F742" s="11" t="s">
        <v>1004</v>
      </c>
      <c r="G742" s="11" t="s">
        <v>74</v>
      </c>
      <c r="H742" s="44">
        <v>1996.00296296296</v>
      </c>
      <c r="I742" s="27">
        <v>919.0</v>
      </c>
      <c r="J742" s="27" t="s">
        <v>188</v>
      </c>
      <c r="K742" s="28" t="s">
        <v>188</v>
      </c>
      <c r="L742" s="29" t="s">
        <v>81</v>
      </c>
      <c r="M742" s="39" t="s">
        <v>159</v>
      </c>
      <c r="N742" s="11" t="s">
        <v>164</v>
      </c>
    </row>
    <row r="743">
      <c r="A743" s="11" t="s">
        <v>57</v>
      </c>
      <c r="B743" s="11" t="s">
        <v>20</v>
      </c>
      <c r="C743" s="11" t="s">
        <v>68</v>
      </c>
      <c r="D743" s="11" t="s">
        <v>154</v>
      </c>
      <c r="E743" s="11" t="s">
        <v>1001</v>
      </c>
      <c r="F743" s="11" t="s">
        <v>1004</v>
      </c>
      <c r="G743" s="11" t="s">
        <v>74</v>
      </c>
      <c r="H743" s="44">
        <v>1996.99111111111</v>
      </c>
      <c r="I743" s="27">
        <v>1016.0</v>
      </c>
      <c r="J743" s="27" t="s">
        <v>188</v>
      </c>
      <c r="K743" s="28" t="s">
        <v>188</v>
      </c>
      <c r="L743" s="29" t="s">
        <v>81</v>
      </c>
      <c r="M743" s="39" t="s">
        <v>159</v>
      </c>
      <c r="N743" s="11" t="s">
        <v>164</v>
      </c>
    </row>
    <row r="744">
      <c r="A744" s="11" t="s">
        <v>57</v>
      </c>
      <c r="B744" s="11" t="s">
        <v>20</v>
      </c>
      <c r="C744" s="11" t="s">
        <v>68</v>
      </c>
      <c r="D744" s="11" t="s">
        <v>154</v>
      </c>
      <c r="E744" s="11" t="s">
        <v>1001</v>
      </c>
      <c r="F744" s="11" t="s">
        <v>1004</v>
      </c>
      <c r="G744" s="11" t="s">
        <v>74</v>
      </c>
      <c r="H744" s="44">
        <v>1998.02222222222</v>
      </c>
      <c r="I744" s="27">
        <v>1090.0</v>
      </c>
      <c r="J744" s="27" t="s">
        <v>188</v>
      </c>
      <c r="K744" s="28" t="s">
        <v>188</v>
      </c>
      <c r="L744" s="29" t="s">
        <v>81</v>
      </c>
      <c r="M744" s="39" t="s">
        <v>159</v>
      </c>
      <c r="N744" s="11" t="s">
        <v>164</v>
      </c>
    </row>
    <row r="745">
      <c r="A745" s="11" t="s">
        <v>57</v>
      </c>
      <c r="B745" s="11" t="s">
        <v>20</v>
      </c>
      <c r="C745" s="11" t="s">
        <v>68</v>
      </c>
      <c r="D745" s="11" t="s">
        <v>154</v>
      </c>
      <c r="E745" s="11" t="s">
        <v>1001</v>
      </c>
      <c r="F745" s="11" t="s">
        <v>1004</v>
      </c>
      <c r="G745" s="11" t="s">
        <v>74</v>
      </c>
      <c r="H745" s="44">
        <v>1999.01037037037</v>
      </c>
      <c r="I745" s="27">
        <v>1276.0</v>
      </c>
      <c r="J745" s="27" t="s">
        <v>188</v>
      </c>
      <c r="K745" s="28" t="s">
        <v>188</v>
      </c>
      <c r="L745" s="29" t="s">
        <v>81</v>
      </c>
      <c r="M745" s="39" t="s">
        <v>159</v>
      </c>
      <c r="N745" s="11" t="s">
        <v>164</v>
      </c>
    </row>
    <row r="746">
      <c r="A746" s="11" t="s">
        <v>57</v>
      </c>
      <c r="B746" s="11" t="s">
        <v>20</v>
      </c>
      <c r="C746" s="11" t="s">
        <v>68</v>
      </c>
      <c r="D746" s="11" t="s">
        <v>154</v>
      </c>
      <c r="E746" s="11" t="s">
        <v>1001</v>
      </c>
      <c r="F746" s="11" t="s">
        <v>1004</v>
      </c>
      <c r="G746" s="11" t="s">
        <v>74</v>
      </c>
      <c r="H746" s="44">
        <v>2000.04148148148</v>
      </c>
      <c r="I746" s="27">
        <v>1112.0</v>
      </c>
      <c r="J746" s="27" t="s">
        <v>188</v>
      </c>
      <c r="K746" s="28" t="s">
        <v>188</v>
      </c>
      <c r="L746" s="29" t="s">
        <v>81</v>
      </c>
      <c r="M746" s="39" t="s">
        <v>159</v>
      </c>
      <c r="N746" s="11" t="s">
        <v>164</v>
      </c>
    </row>
    <row r="747">
      <c r="A747" s="11" t="s">
        <v>57</v>
      </c>
      <c r="B747" s="11" t="s">
        <v>20</v>
      </c>
      <c r="C747" s="11" t="s">
        <v>68</v>
      </c>
      <c r="D747" s="11" t="s">
        <v>154</v>
      </c>
      <c r="E747" s="11" t="s">
        <v>1001</v>
      </c>
      <c r="F747" s="11" t="s">
        <v>1004</v>
      </c>
      <c r="G747" s="11" t="s">
        <v>74</v>
      </c>
      <c r="H747" s="44">
        <v>2001.02962962963</v>
      </c>
      <c r="I747" s="27">
        <v>1276.0</v>
      </c>
      <c r="J747" s="27" t="s">
        <v>188</v>
      </c>
      <c r="K747" s="28" t="s">
        <v>188</v>
      </c>
      <c r="L747" s="29" t="s">
        <v>81</v>
      </c>
      <c r="M747" s="39" t="s">
        <v>159</v>
      </c>
      <c r="N747" s="11" t="s">
        <v>164</v>
      </c>
    </row>
    <row r="748">
      <c r="A748" s="11" t="s">
        <v>57</v>
      </c>
      <c r="B748" s="11" t="s">
        <v>20</v>
      </c>
      <c r="C748" s="11" t="s">
        <v>68</v>
      </c>
      <c r="D748" s="11" t="s">
        <v>154</v>
      </c>
      <c r="E748" s="11" t="s">
        <v>1001</v>
      </c>
      <c r="F748" s="11" t="s">
        <v>1004</v>
      </c>
      <c r="G748" s="11" t="s">
        <v>74</v>
      </c>
      <c r="H748" s="44">
        <v>2002.01777777778</v>
      </c>
      <c r="I748" s="27">
        <v>1304.0</v>
      </c>
      <c r="J748" s="27" t="s">
        <v>188</v>
      </c>
      <c r="K748" s="28" t="s">
        <v>188</v>
      </c>
      <c r="L748" s="29" t="s">
        <v>81</v>
      </c>
      <c r="M748" s="39" t="s">
        <v>159</v>
      </c>
      <c r="N748" s="11" t="s">
        <v>164</v>
      </c>
    </row>
    <row r="749">
      <c r="A749" s="11" t="s">
        <v>57</v>
      </c>
      <c r="B749" s="11" t="s">
        <v>20</v>
      </c>
      <c r="C749" s="11" t="s">
        <v>68</v>
      </c>
      <c r="D749" s="11" t="s">
        <v>154</v>
      </c>
      <c r="E749" s="11" t="s">
        <v>1001</v>
      </c>
      <c r="F749" s="11" t="s">
        <v>1004</v>
      </c>
      <c r="G749" s="11" t="s">
        <v>74</v>
      </c>
      <c r="H749" s="44">
        <v>2003.00592592593</v>
      </c>
      <c r="I749" s="27">
        <v>1553.0</v>
      </c>
      <c r="J749" s="27" t="s">
        <v>188</v>
      </c>
      <c r="K749" s="28" t="s">
        <v>188</v>
      </c>
      <c r="L749" s="29" t="s">
        <v>81</v>
      </c>
      <c r="M749" s="39" t="s">
        <v>159</v>
      </c>
      <c r="N749" s="11" t="s">
        <v>164</v>
      </c>
    </row>
    <row r="750">
      <c r="A750" s="11" t="s">
        <v>57</v>
      </c>
      <c r="B750" s="11" t="s">
        <v>20</v>
      </c>
      <c r="C750" s="11" t="s">
        <v>68</v>
      </c>
      <c r="D750" s="11" t="s">
        <v>154</v>
      </c>
      <c r="E750" s="11" t="s">
        <v>1001</v>
      </c>
      <c r="F750" s="11" t="s">
        <v>1004</v>
      </c>
      <c r="G750" s="11" t="s">
        <v>74</v>
      </c>
      <c r="H750" s="44">
        <v>2003.99407407407</v>
      </c>
      <c r="I750" s="27">
        <v>1535.0</v>
      </c>
      <c r="J750" s="27" t="s">
        <v>188</v>
      </c>
      <c r="K750" s="28" t="s">
        <v>188</v>
      </c>
      <c r="L750" s="29" t="s">
        <v>81</v>
      </c>
      <c r="M750" s="39" t="s">
        <v>159</v>
      </c>
      <c r="N750" s="11" t="s">
        <v>164</v>
      </c>
    </row>
    <row r="751">
      <c r="A751" s="11" t="s">
        <v>57</v>
      </c>
      <c r="B751" s="11" t="s">
        <v>20</v>
      </c>
      <c r="C751" s="11" t="s">
        <v>68</v>
      </c>
      <c r="D751" s="11" t="s">
        <v>154</v>
      </c>
      <c r="E751" s="11" t="s">
        <v>1001</v>
      </c>
      <c r="F751" s="11" t="s">
        <v>1004</v>
      </c>
      <c r="G751" s="11" t="s">
        <v>74</v>
      </c>
      <c r="H751" s="44">
        <v>2005.02518518519</v>
      </c>
      <c r="I751" s="27">
        <v>1860.0</v>
      </c>
      <c r="J751" s="27" t="s">
        <v>188</v>
      </c>
      <c r="K751" s="28" t="s">
        <v>188</v>
      </c>
      <c r="L751" s="29" t="s">
        <v>81</v>
      </c>
      <c r="M751" s="39" t="s">
        <v>159</v>
      </c>
      <c r="N751" s="11" t="s">
        <v>164</v>
      </c>
    </row>
    <row r="752">
      <c r="A752" s="11" t="s">
        <v>57</v>
      </c>
      <c r="B752" s="11" t="s">
        <v>20</v>
      </c>
      <c r="C752" s="11" t="s">
        <v>68</v>
      </c>
      <c r="D752" s="11" t="s">
        <v>154</v>
      </c>
      <c r="E752" s="11" t="s">
        <v>1001</v>
      </c>
      <c r="F752" s="11" t="s">
        <v>1004</v>
      </c>
      <c r="G752" s="11" t="s">
        <v>74</v>
      </c>
      <c r="H752" s="44">
        <v>2006.01333333333</v>
      </c>
      <c r="I752" s="27">
        <v>1964.0</v>
      </c>
      <c r="J752" s="27" t="s">
        <v>188</v>
      </c>
      <c r="K752" s="28" t="s">
        <v>188</v>
      </c>
      <c r="L752" s="29" t="s">
        <v>81</v>
      </c>
      <c r="M752" s="39" t="s">
        <v>159</v>
      </c>
      <c r="N752" s="11" t="s">
        <v>164</v>
      </c>
    </row>
    <row r="753">
      <c r="A753" s="11" t="s">
        <v>57</v>
      </c>
      <c r="B753" s="11" t="s">
        <v>20</v>
      </c>
      <c r="C753" s="11" t="s">
        <v>68</v>
      </c>
      <c r="D753" s="11" t="s">
        <v>154</v>
      </c>
      <c r="E753" s="11" t="s">
        <v>1001</v>
      </c>
      <c r="F753" s="11" t="s">
        <v>1004</v>
      </c>
      <c r="G753" s="11" t="s">
        <v>74</v>
      </c>
      <c r="H753" s="44">
        <v>2007.00148148148</v>
      </c>
      <c r="I753" s="27">
        <v>1901.0</v>
      </c>
      <c r="J753" s="27" t="s">
        <v>188</v>
      </c>
      <c r="K753" s="28" t="s">
        <v>188</v>
      </c>
      <c r="L753" s="29" t="s">
        <v>81</v>
      </c>
      <c r="M753" s="39" t="s">
        <v>159</v>
      </c>
      <c r="N753" s="11" t="s">
        <v>164</v>
      </c>
    </row>
    <row r="754">
      <c r="A754" s="11" t="s">
        <v>57</v>
      </c>
      <c r="B754" s="11" t="s">
        <v>20</v>
      </c>
      <c r="C754" s="11" t="s">
        <v>68</v>
      </c>
      <c r="D754" s="11" t="s">
        <v>154</v>
      </c>
      <c r="E754" s="11" t="s">
        <v>1001</v>
      </c>
      <c r="F754" s="11" t="s">
        <v>1004</v>
      </c>
      <c r="G754" s="11" t="s">
        <v>74</v>
      </c>
      <c r="H754" s="44">
        <v>2007.98962962963</v>
      </c>
      <c r="I754" s="27">
        <v>2255.0</v>
      </c>
      <c r="J754" s="27" t="s">
        <v>188</v>
      </c>
      <c r="K754" s="28" t="s">
        <v>188</v>
      </c>
      <c r="L754" s="29" t="s">
        <v>81</v>
      </c>
      <c r="M754" s="39" t="s">
        <v>159</v>
      </c>
      <c r="N754" s="11" t="s">
        <v>164</v>
      </c>
    </row>
    <row r="755">
      <c r="A755" s="11" t="s">
        <v>57</v>
      </c>
      <c r="B755" s="11" t="s">
        <v>20</v>
      </c>
      <c r="C755" s="11" t="s">
        <v>68</v>
      </c>
      <c r="D755" s="11" t="s">
        <v>154</v>
      </c>
      <c r="E755" s="11" t="s">
        <v>1001</v>
      </c>
      <c r="F755" s="11" t="s">
        <v>1004</v>
      </c>
      <c r="G755" s="11" t="s">
        <v>74</v>
      </c>
      <c r="H755" s="44">
        <v>2009.02074074074</v>
      </c>
      <c r="I755" s="27">
        <v>2308.0</v>
      </c>
      <c r="J755" s="27" t="s">
        <v>188</v>
      </c>
      <c r="K755" s="28" t="s">
        <v>188</v>
      </c>
      <c r="L755" s="29" t="s">
        <v>81</v>
      </c>
      <c r="M755" s="39" t="s">
        <v>159</v>
      </c>
      <c r="N755" s="11" t="s">
        <v>164</v>
      </c>
    </row>
    <row r="756">
      <c r="A756" s="11" t="s">
        <v>57</v>
      </c>
      <c r="B756" s="11" t="s">
        <v>20</v>
      </c>
      <c r="C756" s="11" t="s">
        <v>68</v>
      </c>
      <c r="D756" s="11" t="s">
        <v>154</v>
      </c>
      <c r="E756" s="11" t="s">
        <v>1001</v>
      </c>
      <c r="F756" s="11" t="s">
        <v>1004</v>
      </c>
      <c r="G756" s="11" t="s">
        <v>74</v>
      </c>
      <c r="H756" s="44">
        <v>2010.00888888889</v>
      </c>
      <c r="I756" s="27">
        <v>2254.0</v>
      </c>
      <c r="J756" s="27" t="s">
        <v>188</v>
      </c>
      <c r="K756" s="28" t="s">
        <v>188</v>
      </c>
      <c r="L756" s="29" t="s">
        <v>81</v>
      </c>
      <c r="M756" s="39" t="s">
        <v>159</v>
      </c>
      <c r="N756" s="11" t="s">
        <v>164</v>
      </c>
    </row>
    <row r="757">
      <c r="A757" s="11" t="s">
        <v>57</v>
      </c>
      <c r="B757" s="11" t="s">
        <v>20</v>
      </c>
      <c r="C757" s="11" t="s">
        <v>68</v>
      </c>
      <c r="D757" s="11" t="s">
        <v>154</v>
      </c>
      <c r="E757" s="11" t="s">
        <v>1001</v>
      </c>
      <c r="F757" s="11" t="s">
        <v>1004</v>
      </c>
      <c r="G757" s="11" t="s">
        <v>74</v>
      </c>
      <c r="H757" s="44">
        <v>2010.99703703704</v>
      </c>
      <c r="I757" s="27">
        <v>2320.0</v>
      </c>
      <c r="J757" s="27" t="s">
        <v>188</v>
      </c>
      <c r="K757" s="28" t="s">
        <v>188</v>
      </c>
      <c r="L757" s="29" t="s">
        <v>81</v>
      </c>
      <c r="M757" s="39" t="s">
        <v>159</v>
      </c>
      <c r="N757" s="11" t="s">
        <v>164</v>
      </c>
    </row>
    <row r="758">
      <c r="A758" s="11" t="s">
        <v>57</v>
      </c>
      <c r="B758" s="11" t="s">
        <v>20</v>
      </c>
      <c r="C758" s="11" t="s">
        <v>68</v>
      </c>
      <c r="D758" s="11" t="s">
        <v>154</v>
      </c>
      <c r="E758" s="11" t="s">
        <v>1001</v>
      </c>
      <c r="F758" s="11" t="s">
        <v>1004</v>
      </c>
      <c r="G758" s="11" t="s">
        <v>74</v>
      </c>
      <c r="H758" s="44">
        <v>2011.98518518519</v>
      </c>
      <c r="I758" s="27">
        <v>2373.0</v>
      </c>
      <c r="J758" s="27" t="s">
        <v>188</v>
      </c>
      <c r="K758" s="28" t="s">
        <v>188</v>
      </c>
      <c r="L758" s="29" t="s">
        <v>81</v>
      </c>
      <c r="M758" s="39" t="s">
        <v>159</v>
      </c>
      <c r="N758" s="11" t="s">
        <v>164</v>
      </c>
    </row>
    <row r="759">
      <c r="A759" s="11" t="s">
        <v>57</v>
      </c>
      <c r="B759" s="11" t="s">
        <v>20</v>
      </c>
      <c r="C759" s="11" t="s">
        <v>68</v>
      </c>
      <c r="D759" s="11" t="s">
        <v>154</v>
      </c>
      <c r="E759" s="11" t="s">
        <v>1001</v>
      </c>
      <c r="F759" s="11" t="s">
        <v>1004</v>
      </c>
      <c r="G759" s="11" t="s">
        <v>74</v>
      </c>
      <c r="H759" s="44">
        <v>2013.0162962963</v>
      </c>
      <c r="I759" s="27">
        <v>2210.0</v>
      </c>
      <c r="J759" s="27" t="s">
        <v>188</v>
      </c>
      <c r="K759" s="28" t="s">
        <v>188</v>
      </c>
      <c r="L759" s="29" t="s">
        <v>81</v>
      </c>
      <c r="M759" s="39" t="s">
        <v>159</v>
      </c>
      <c r="N759" s="11" t="s">
        <v>164</v>
      </c>
    </row>
    <row r="760">
      <c r="A760" s="11" t="s">
        <v>57</v>
      </c>
      <c r="B760" s="11" t="s">
        <v>20</v>
      </c>
      <c r="C760" s="11" t="s">
        <v>68</v>
      </c>
      <c r="D760" s="11" t="s">
        <v>154</v>
      </c>
      <c r="E760" s="11" t="s">
        <v>1001</v>
      </c>
      <c r="F760" s="11" t="s">
        <v>1004</v>
      </c>
      <c r="G760" s="11" t="s">
        <v>74</v>
      </c>
      <c r="H760" s="44">
        <v>2014.00444444444</v>
      </c>
      <c r="I760" s="27">
        <v>2322.0</v>
      </c>
      <c r="J760" s="27" t="s">
        <v>188</v>
      </c>
      <c r="K760" s="28" t="s">
        <v>188</v>
      </c>
      <c r="L760" s="29" t="s">
        <v>81</v>
      </c>
      <c r="M760" s="39" t="s">
        <v>159</v>
      </c>
      <c r="N760" s="11" t="s">
        <v>164</v>
      </c>
    </row>
    <row r="761">
      <c r="A761" s="11" t="s">
        <v>57</v>
      </c>
      <c r="B761" s="11" t="s">
        <v>20</v>
      </c>
      <c r="C761" s="11" t="s">
        <v>68</v>
      </c>
      <c r="D761" s="11" t="s">
        <v>154</v>
      </c>
      <c r="E761" s="11" t="s">
        <v>1001</v>
      </c>
      <c r="F761" s="11" t="s">
        <v>1004</v>
      </c>
      <c r="G761" s="11" t="s">
        <v>74</v>
      </c>
      <c r="H761" s="44">
        <v>2014.99259259259</v>
      </c>
      <c r="I761" s="27">
        <v>3021.0</v>
      </c>
      <c r="J761" s="27" t="s">
        <v>188</v>
      </c>
      <c r="K761" s="28" t="s">
        <v>188</v>
      </c>
      <c r="L761" s="29" t="s">
        <v>81</v>
      </c>
      <c r="M761" s="39" t="s">
        <v>159</v>
      </c>
      <c r="N761" s="11" t="s">
        <v>164</v>
      </c>
    </row>
    <row r="762">
      <c r="A762" s="11" t="s">
        <v>57</v>
      </c>
      <c r="B762" s="11" t="s">
        <v>20</v>
      </c>
      <c r="C762" s="11" t="s">
        <v>68</v>
      </c>
      <c r="D762" s="11" t="s">
        <v>154</v>
      </c>
      <c r="E762" s="11" t="s">
        <v>1001</v>
      </c>
      <c r="F762" s="11" t="s">
        <v>1004</v>
      </c>
      <c r="G762" s="11" t="s">
        <v>74</v>
      </c>
      <c r="H762" s="44">
        <v>2015.98074074074</v>
      </c>
      <c r="I762" s="27">
        <v>4303.0</v>
      </c>
      <c r="J762" s="27" t="s">
        <v>188</v>
      </c>
      <c r="K762" s="28" t="s">
        <v>188</v>
      </c>
      <c r="L762" s="29" t="s">
        <v>81</v>
      </c>
      <c r="M762" s="39" t="s">
        <v>159</v>
      </c>
      <c r="N762" s="11" t="s">
        <v>164</v>
      </c>
    </row>
    <row r="763">
      <c r="A763" s="11" t="s">
        <v>57</v>
      </c>
      <c r="B763" s="11" t="s">
        <v>20</v>
      </c>
      <c r="C763" s="11" t="s">
        <v>68</v>
      </c>
      <c r="D763" s="11" t="s">
        <v>154</v>
      </c>
      <c r="E763" s="11" t="s">
        <v>1001</v>
      </c>
      <c r="F763" s="11" t="s">
        <v>1004</v>
      </c>
      <c r="G763" s="11" t="s">
        <v>74</v>
      </c>
      <c r="H763" s="44">
        <v>2017.01185185185</v>
      </c>
      <c r="I763" s="27">
        <v>4674.0</v>
      </c>
      <c r="J763" s="27" t="s">
        <v>188</v>
      </c>
      <c r="K763" s="28" t="s">
        <v>188</v>
      </c>
      <c r="L763" s="29" t="s">
        <v>81</v>
      </c>
      <c r="M763" s="39" t="s">
        <v>159</v>
      </c>
      <c r="N763" s="11" t="s">
        <v>164</v>
      </c>
    </row>
    <row r="764">
      <c r="A764" s="11" t="s">
        <v>57</v>
      </c>
      <c r="B764" s="11" t="s">
        <v>20</v>
      </c>
      <c r="C764" s="11" t="s">
        <v>68</v>
      </c>
      <c r="D764" s="11" t="s">
        <v>154</v>
      </c>
      <c r="E764" s="11" t="s">
        <v>1001</v>
      </c>
      <c r="F764" s="11" t="s">
        <v>1004</v>
      </c>
      <c r="G764" s="11" t="s">
        <v>74</v>
      </c>
      <c r="H764" s="44">
        <v>2018.0</v>
      </c>
      <c r="I764" s="27">
        <v>5612.0</v>
      </c>
      <c r="J764" s="27" t="s">
        <v>188</v>
      </c>
      <c r="K764" s="28" t="s">
        <v>188</v>
      </c>
      <c r="L764" s="29" t="s">
        <v>81</v>
      </c>
      <c r="M764" s="39" t="s">
        <v>159</v>
      </c>
      <c r="N764" s="11" t="s">
        <v>164</v>
      </c>
    </row>
    <row r="765">
      <c r="A765" s="11" t="s">
        <v>166</v>
      </c>
      <c r="B765" s="11" t="s">
        <v>20</v>
      </c>
      <c r="C765" s="11" t="s">
        <v>167</v>
      </c>
      <c r="D765" s="11" t="s">
        <v>154</v>
      </c>
      <c r="E765" s="11" t="s">
        <v>1015</v>
      </c>
      <c r="F765" s="11" t="s">
        <v>1004</v>
      </c>
      <c r="G765" s="11" t="s">
        <v>1016</v>
      </c>
      <c r="H765" s="44">
        <v>2000.0</v>
      </c>
      <c r="I765" s="44">
        <v>448.159059222889</v>
      </c>
      <c r="J765" s="44">
        <v>412.265866521186</v>
      </c>
      <c r="K765" s="87">
        <v>481.069285324604</v>
      </c>
      <c r="L765" s="29" t="s">
        <v>260</v>
      </c>
      <c r="M765" s="30" t="s">
        <v>168</v>
      </c>
      <c r="N765" s="11" t="s">
        <v>177</v>
      </c>
      <c r="O765" s="11" t="s">
        <v>1018</v>
      </c>
    </row>
    <row r="766">
      <c r="A766" s="11" t="s">
        <v>166</v>
      </c>
      <c r="B766" s="11" t="s">
        <v>20</v>
      </c>
      <c r="C766" s="11" t="s">
        <v>167</v>
      </c>
      <c r="D766" s="11" t="s">
        <v>154</v>
      </c>
      <c r="E766" s="11" t="s">
        <v>1015</v>
      </c>
      <c r="F766" s="11" t="s">
        <v>1004</v>
      </c>
      <c r="G766" s="11" t="s">
        <v>1016</v>
      </c>
      <c r="H766" s="44">
        <v>2000.97872340426</v>
      </c>
      <c r="I766" s="44">
        <v>427.023701279021</v>
      </c>
      <c r="J766" s="44">
        <v>403.092077347397</v>
      </c>
      <c r="K766" s="87">
        <v>456.933987997818</v>
      </c>
      <c r="L766" s="29" t="s">
        <v>260</v>
      </c>
      <c r="M766" s="30" t="s">
        <v>168</v>
      </c>
      <c r="N766" s="11" t="s">
        <v>177</v>
      </c>
    </row>
    <row r="767">
      <c r="A767" s="11" t="s">
        <v>166</v>
      </c>
      <c r="B767" s="11" t="s">
        <v>20</v>
      </c>
      <c r="C767" s="11" t="s">
        <v>167</v>
      </c>
      <c r="D767" s="11" t="s">
        <v>154</v>
      </c>
      <c r="E767" s="11" t="s">
        <v>1015</v>
      </c>
      <c r="F767" s="11" t="s">
        <v>1004</v>
      </c>
      <c r="G767" s="11" t="s">
        <v>1016</v>
      </c>
      <c r="H767" s="44">
        <v>2001.97872340426</v>
      </c>
      <c r="I767" s="44">
        <v>462.721706977026</v>
      </c>
      <c r="J767" s="44">
        <v>438.78583984967</v>
      </c>
      <c r="K767" s="87">
        <v>489.644783900103</v>
      </c>
      <c r="L767" s="29" t="s">
        <v>260</v>
      </c>
      <c r="M767" s="30" t="s">
        <v>168</v>
      </c>
      <c r="N767" s="11" t="s">
        <v>177</v>
      </c>
    </row>
    <row r="768">
      <c r="A768" s="11" t="s">
        <v>166</v>
      </c>
      <c r="B768" s="11" t="s">
        <v>20</v>
      </c>
      <c r="C768" s="11" t="s">
        <v>167</v>
      </c>
      <c r="D768" s="11" t="s">
        <v>154</v>
      </c>
      <c r="E768" s="11" t="s">
        <v>1015</v>
      </c>
      <c r="F768" s="11" t="s">
        <v>1004</v>
      </c>
      <c r="G768" s="11" t="s">
        <v>1016</v>
      </c>
      <c r="H768" s="44">
        <v>2003.0</v>
      </c>
      <c r="I768" s="44">
        <v>483.458204522035</v>
      </c>
      <c r="J768" s="44">
        <v>459.530823786143</v>
      </c>
      <c r="K768" s="87">
        <v>504.398375462205</v>
      </c>
      <c r="L768" s="29" t="s">
        <v>260</v>
      </c>
      <c r="M768" s="30" t="s">
        <v>168</v>
      </c>
      <c r="N768" s="11" t="s">
        <v>177</v>
      </c>
    </row>
    <row r="769">
      <c r="A769" s="11" t="s">
        <v>166</v>
      </c>
      <c r="B769" s="11" t="s">
        <v>20</v>
      </c>
      <c r="C769" s="11" t="s">
        <v>167</v>
      </c>
      <c r="D769" s="11" t="s">
        <v>154</v>
      </c>
      <c r="E769" s="11" t="s">
        <v>1015</v>
      </c>
      <c r="F769" s="11" t="s">
        <v>1004</v>
      </c>
      <c r="G769" s="11" t="s">
        <v>1016</v>
      </c>
      <c r="H769" s="44">
        <v>2003.97872340426</v>
      </c>
      <c r="I769" s="44">
        <v>495.228829484149</v>
      </c>
      <c r="J769" s="44">
        <v>471.297205552525</v>
      </c>
      <c r="K769" s="87">
        <v>516.160514032855</v>
      </c>
      <c r="L769" s="29" t="s">
        <v>260</v>
      </c>
      <c r="M769" s="30" t="s">
        <v>168</v>
      </c>
      <c r="N769" s="11" t="s">
        <v>177</v>
      </c>
    </row>
    <row r="770">
      <c r="A770" s="11" t="s">
        <v>166</v>
      </c>
      <c r="B770" s="11" t="s">
        <v>20</v>
      </c>
      <c r="C770" s="11" t="s">
        <v>167</v>
      </c>
      <c r="D770" s="11" t="s">
        <v>154</v>
      </c>
      <c r="E770" s="11" t="s">
        <v>1015</v>
      </c>
      <c r="F770" s="11" t="s">
        <v>1004</v>
      </c>
      <c r="G770" s="11" t="s">
        <v>1016</v>
      </c>
      <c r="H770" s="44">
        <v>2004.97872340426</v>
      </c>
      <c r="I770" s="44">
        <v>495.029399284718</v>
      </c>
      <c r="J770" s="44">
        <v>468.106322361642</v>
      </c>
      <c r="K770" s="87">
        <v>518.961023216343</v>
      </c>
      <c r="L770" s="29" t="s">
        <v>260</v>
      </c>
      <c r="M770" s="30" t="s">
        <v>168</v>
      </c>
      <c r="N770" s="11" t="s">
        <v>177</v>
      </c>
    </row>
    <row r="771">
      <c r="A771" s="11" t="s">
        <v>166</v>
      </c>
      <c r="B771" s="11" t="s">
        <v>20</v>
      </c>
      <c r="C771" s="11" t="s">
        <v>167</v>
      </c>
      <c r="D771" s="11" t="s">
        <v>154</v>
      </c>
      <c r="E771" s="11" t="s">
        <v>1015</v>
      </c>
      <c r="F771" s="11" t="s">
        <v>1004</v>
      </c>
      <c r="G771" s="11" t="s">
        <v>1016</v>
      </c>
      <c r="H771" s="44">
        <v>2005.97872340426</v>
      </c>
      <c r="I771" s="44">
        <v>488.847063102382</v>
      </c>
      <c r="J771" s="44">
        <v>467.906892162211</v>
      </c>
      <c r="K771" s="87">
        <v>515.770140025459</v>
      </c>
      <c r="L771" s="29" t="s">
        <v>260</v>
      </c>
      <c r="M771" s="30" t="s">
        <v>168</v>
      </c>
      <c r="N771" s="11" t="s">
        <v>177</v>
      </c>
    </row>
    <row r="772">
      <c r="A772" s="11" t="s">
        <v>166</v>
      </c>
      <c r="B772" s="11" t="s">
        <v>20</v>
      </c>
      <c r="C772" s="11" t="s">
        <v>167</v>
      </c>
      <c r="D772" s="11" t="s">
        <v>154</v>
      </c>
      <c r="E772" s="11" t="s">
        <v>1015</v>
      </c>
      <c r="F772" s="11" t="s">
        <v>1004</v>
      </c>
      <c r="G772" s="11" t="s">
        <v>1016</v>
      </c>
      <c r="H772" s="44">
        <v>2006.97872340426</v>
      </c>
      <c r="I772" s="44">
        <v>539.502333757653</v>
      </c>
      <c r="J772" s="44">
        <v>512.575013638844</v>
      </c>
      <c r="K772" s="87">
        <v>563.433957689277</v>
      </c>
      <c r="L772" s="29" t="s">
        <v>260</v>
      </c>
      <c r="M772" s="30" t="s">
        <v>168</v>
      </c>
      <c r="N772" s="11" t="s">
        <v>177</v>
      </c>
    </row>
    <row r="773">
      <c r="A773" s="11" t="s">
        <v>166</v>
      </c>
      <c r="B773" s="11" t="s">
        <v>20</v>
      </c>
      <c r="C773" s="11" t="s">
        <v>167</v>
      </c>
      <c r="D773" s="11" t="s">
        <v>154</v>
      </c>
      <c r="E773" s="11" t="s">
        <v>1015</v>
      </c>
      <c r="F773" s="11" t="s">
        <v>1004</v>
      </c>
      <c r="G773" s="11" t="s">
        <v>1016</v>
      </c>
      <c r="H773" s="44">
        <v>2008.0</v>
      </c>
      <c r="I773" s="44">
        <v>584.170455234285</v>
      </c>
      <c r="J773" s="44">
        <v>557.25162150694</v>
      </c>
      <c r="K773" s="87">
        <v>611.093532157362</v>
      </c>
      <c r="L773" s="29" t="s">
        <v>260</v>
      </c>
      <c r="M773" s="30" t="s">
        <v>168</v>
      </c>
      <c r="N773" s="11" t="s">
        <v>177</v>
      </c>
    </row>
    <row r="774">
      <c r="A774" s="11" t="s">
        <v>166</v>
      </c>
      <c r="B774" s="11" t="s">
        <v>20</v>
      </c>
      <c r="C774" s="11" t="s">
        <v>167</v>
      </c>
      <c r="D774" s="11" t="s">
        <v>154</v>
      </c>
      <c r="E774" s="11" t="s">
        <v>1015</v>
      </c>
      <c r="F774" s="11" t="s">
        <v>1004</v>
      </c>
      <c r="G774" s="11" t="s">
        <v>1016</v>
      </c>
      <c r="H774" s="44">
        <v>2008.97872340426</v>
      </c>
      <c r="I774" s="44">
        <v>607.906892162211</v>
      </c>
      <c r="J774" s="44">
        <v>577.992362247681</v>
      </c>
      <c r="K774" s="87">
        <v>634.829969085288</v>
      </c>
      <c r="L774" s="29" t="s">
        <v>260</v>
      </c>
      <c r="M774" s="30" t="s">
        <v>168</v>
      </c>
      <c r="N774" s="11" t="s">
        <v>177</v>
      </c>
    </row>
    <row r="775">
      <c r="A775" s="11" t="s">
        <v>166</v>
      </c>
      <c r="B775" s="11" t="s">
        <v>20</v>
      </c>
      <c r="C775" s="11" t="s">
        <v>167</v>
      </c>
      <c r="D775" s="11" t="s">
        <v>154</v>
      </c>
      <c r="E775" s="11" t="s">
        <v>1015</v>
      </c>
      <c r="F775" s="11" t="s">
        <v>1004</v>
      </c>
      <c r="G775" s="11" t="s">
        <v>1016</v>
      </c>
      <c r="H775" s="44">
        <v>2010.0</v>
      </c>
      <c r="I775" s="44">
        <v>628.643389707219</v>
      </c>
      <c r="J775" s="44">
        <v>601.720312784142</v>
      </c>
      <c r="K775" s="87">
        <v>658.557919621749</v>
      </c>
      <c r="L775" s="29" t="s">
        <v>260</v>
      </c>
      <c r="M775" s="30" t="s">
        <v>168</v>
      </c>
      <c r="N775" s="11" t="s">
        <v>177</v>
      </c>
    </row>
    <row r="776">
      <c r="A776" s="11" t="s">
        <v>166</v>
      </c>
      <c r="B776" s="11" t="s">
        <v>20</v>
      </c>
      <c r="C776" s="11" t="s">
        <v>167</v>
      </c>
      <c r="D776" s="11" t="s">
        <v>154</v>
      </c>
      <c r="E776" s="11" t="s">
        <v>1015</v>
      </c>
      <c r="F776" s="11" t="s">
        <v>1004</v>
      </c>
      <c r="G776" s="11" t="s">
        <v>1016</v>
      </c>
      <c r="H776" s="44">
        <v>2011.0</v>
      </c>
      <c r="I776" s="44">
        <v>622.461053524883</v>
      </c>
      <c r="J776" s="44">
        <v>589.559313814633</v>
      </c>
      <c r="K776" s="87">
        <v>646.392677456507</v>
      </c>
      <c r="L776" s="29" t="s">
        <v>260</v>
      </c>
      <c r="M776" s="30" t="s">
        <v>168</v>
      </c>
      <c r="N776" s="11" t="s">
        <v>177</v>
      </c>
    </row>
    <row r="777">
      <c r="A777" s="11" t="s">
        <v>166</v>
      </c>
      <c r="B777" s="11" t="s">
        <v>20</v>
      </c>
      <c r="C777" s="11" t="s">
        <v>167</v>
      </c>
      <c r="D777" s="11" t="s">
        <v>154</v>
      </c>
      <c r="E777" s="11" t="s">
        <v>1015</v>
      </c>
      <c r="F777" s="11" t="s">
        <v>1004</v>
      </c>
      <c r="G777" s="11" t="s">
        <v>1016</v>
      </c>
      <c r="H777" s="44">
        <v>2011.97872340426</v>
      </c>
      <c r="I777" s="44">
        <v>616.28296053828</v>
      </c>
      <c r="J777" s="44">
        <v>583.372734436564</v>
      </c>
      <c r="K777" s="87">
        <v>643.206037461357</v>
      </c>
      <c r="L777" s="29" t="s">
        <v>260</v>
      </c>
      <c r="M777" s="30" t="s">
        <v>168</v>
      </c>
      <c r="N777" s="11" t="s">
        <v>177</v>
      </c>
    </row>
    <row r="778">
      <c r="A778" s="11" t="s">
        <v>166</v>
      </c>
      <c r="B778" s="11" t="s">
        <v>20</v>
      </c>
      <c r="C778" s="11" t="s">
        <v>167</v>
      </c>
      <c r="D778" s="11" t="s">
        <v>154</v>
      </c>
      <c r="E778" s="11" t="s">
        <v>1015</v>
      </c>
      <c r="F778" s="11" t="s">
        <v>1004</v>
      </c>
      <c r="G778" s="11" t="s">
        <v>1016</v>
      </c>
      <c r="H778" s="44">
        <v>2012.97872340426</v>
      </c>
      <c r="I778" s="44">
        <v>571.211735467055</v>
      </c>
      <c r="J778" s="44">
        <v>541.292962356792</v>
      </c>
      <c r="K778" s="87">
        <v>607.104928168758</v>
      </c>
      <c r="L778" s="29" t="s">
        <v>260</v>
      </c>
      <c r="M778" s="30" t="s">
        <v>168</v>
      </c>
      <c r="N778" s="11" t="s">
        <v>177</v>
      </c>
    </row>
    <row r="779">
      <c r="A779" s="11" t="s">
        <v>166</v>
      </c>
      <c r="B779" s="11" t="s">
        <v>20</v>
      </c>
      <c r="C779" s="11" t="s">
        <v>167</v>
      </c>
      <c r="D779" s="11" t="s">
        <v>154</v>
      </c>
      <c r="E779" s="11" t="s">
        <v>1015</v>
      </c>
      <c r="F779" s="11" t="s">
        <v>1004</v>
      </c>
      <c r="G779" s="11" t="s">
        <v>1016</v>
      </c>
      <c r="H779" s="44">
        <v>2014.0</v>
      </c>
      <c r="I779" s="44">
        <v>582.973874037704</v>
      </c>
      <c r="J779" s="44">
        <v>544.084985148815</v>
      </c>
      <c r="K779" s="87">
        <v>615.879856943687</v>
      </c>
      <c r="L779" s="29" t="s">
        <v>260</v>
      </c>
      <c r="M779" s="30" t="s">
        <v>168</v>
      </c>
      <c r="N779" s="11" t="s">
        <v>177</v>
      </c>
    </row>
    <row r="780">
      <c r="A780" s="11" t="s">
        <v>166</v>
      </c>
      <c r="B780" s="11" t="s">
        <v>20</v>
      </c>
      <c r="C780" s="11" t="s">
        <v>167</v>
      </c>
      <c r="D780" s="11" t="s">
        <v>154</v>
      </c>
      <c r="E780" s="11" t="s">
        <v>1015</v>
      </c>
      <c r="F780" s="11" t="s">
        <v>1004</v>
      </c>
      <c r="G780" s="11" t="s">
        <v>1016</v>
      </c>
      <c r="H780" s="44">
        <v>2015.0</v>
      </c>
      <c r="I780" s="44">
        <v>609.697520761351</v>
      </c>
      <c r="J780" s="44">
        <v>570.808631872462</v>
      </c>
      <c r="K780" s="87">
        <v>645.594956658787</v>
      </c>
      <c r="L780" s="29" t="s">
        <v>260</v>
      </c>
      <c r="M780" s="30" t="s">
        <v>168</v>
      </c>
      <c r="N780" s="11" t="s">
        <v>177</v>
      </c>
    </row>
    <row r="781">
      <c r="A781" s="11" t="s">
        <v>166</v>
      </c>
      <c r="B781" s="11" t="s">
        <v>20</v>
      </c>
      <c r="C781" s="11" t="s">
        <v>167</v>
      </c>
      <c r="D781" s="11" t="s">
        <v>154</v>
      </c>
      <c r="E781" s="11" t="s">
        <v>1015</v>
      </c>
      <c r="F781" s="11" t="s">
        <v>1004</v>
      </c>
      <c r="G781" s="11" t="s">
        <v>1016</v>
      </c>
      <c r="H781" s="44">
        <v>2016.0</v>
      </c>
      <c r="I781" s="44">
        <v>621.463902527732</v>
      </c>
      <c r="J781" s="44">
        <v>582.575013638844</v>
      </c>
      <c r="K781" s="87">
        <v>657.361338425168</v>
      </c>
      <c r="L781" s="29" t="s">
        <v>260</v>
      </c>
      <c r="M781" s="30" t="s">
        <v>168</v>
      </c>
      <c r="N781" s="11" t="s">
        <v>177</v>
      </c>
    </row>
    <row r="782">
      <c r="A782" s="11" t="s">
        <v>166</v>
      </c>
      <c r="B782" s="11" t="s">
        <v>20</v>
      </c>
      <c r="C782" s="11" t="s">
        <v>167</v>
      </c>
      <c r="D782" s="11" t="s">
        <v>154</v>
      </c>
      <c r="E782" s="11" t="s">
        <v>1015</v>
      </c>
      <c r="F782" s="11" t="s">
        <v>1004</v>
      </c>
      <c r="G782" s="11" t="s">
        <v>1021</v>
      </c>
      <c r="H782" s="44">
        <v>2000.0</v>
      </c>
      <c r="I782" s="44">
        <v>448.159059222889</v>
      </c>
      <c r="J782" s="44">
        <v>415.257319512639</v>
      </c>
      <c r="K782" s="87">
        <v>481.069285324604</v>
      </c>
      <c r="L782" s="29" t="s">
        <v>260</v>
      </c>
      <c r="M782" s="30" t="s">
        <v>168</v>
      </c>
      <c r="N782" s="11" t="s">
        <v>177</v>
      </c>
    </row>
    <row r="783">
      <c r="A783" s="11" t="s">
        <v>166</v>
      </c>
      <c r="B783" s="11" t="s">
        <v>20</v>
      </c>
      <c r="C783" s="11" t="s">
        <v>167</v>
      </c>
      <c r="D783" s="11" t="s">
        <v>154</v>
      </c>
      <c r="E783" s="11" t="s">
        <v>1015</v>
      </c>
      <c r="F783" s="11" t="s">
        <v>1004</v>
      </c>
      <c r="G783" s="11" t="s">
        <v>1021</v>
      </c>
      <c r="H783" s="44">
        <v>2000.97872</v>
      </c>
      <c r="I783" s="44">
        <v>465.912590167909</v>
      </c>
      <c r="J783" s="44">
        <v>433.006607261927</v>
      </c>
      <c r="K783" s="87">
        <v>492.831423895253</v>
      </c>
      <c r="L783" s="29" t="s">
        <v>260</v>
      </c>
      <c r="M783" s="30" t="s">
        <v>168</v>
      </c>
      <c r="N783" s="11" t="s">
        <v>177</v>
      </c>
    </row>
    <row r="784">
      <c r="A784" s="11" t="s">
        <v>166</v>
      </c>
      <c r="B784" s="11" t="s">
        <v>20</v>
      </c>
      <c r="C784" s="11" t="s">
        <v>167</v>
      </c>
      <c r="D784" s="11" t="s">
        <v>154</v>
      </c>
      <c r="E784" s="11" t="s">
        <v>1015</v>
      </c>
      <c r="F784" s="11" t="s">
        <v>1004</v>
      </c>
      <c r="G784" s="11" t="s">
        <v>1021</v>
      </c>
      <c r="H784" s="44">
        <v>2002.0</v>
      </c>
      <c r="I784" s="44">
        <v>498.614899678729</v>
      </c>
      <c r="J784" s="44">
        <v>468.700369764199</v>
      </c>
      <c r="K784" s="87">
        <v>522.546523610354</v>
      </c>
      <c r="L784" s="29" t="s">
        <v>260</v>
      </c>
      <c r="M784" s="30" t="s">
        <v>168</v>
      </c>
      <c r="N784" s="11" t="s">
        <v>177</v>
      </c>
    </row>
    <row r="785">
      <c r="A785" s="11" t="s">
        <v>166</v>
      </c>
      <c r="B785" s="11" t="s">
        <v>20</v>
      </c>
      <c r="C785" s="11" t="s">
        <v>167</v>
      </c>
      <c r="D785" s="11" t="s">
        <v>154</v>
      </c>
      <c r="E785" s="11" t="s">
        <v>1015</v>
      </c>
      <c r="F785" s="11" t="s">
        <v>1004</v>
      </c>
      <c r="G785" s="11" t="s">
        <v>1021</v>
      </c>
      <c r="H785" s="44">
        <v>2002.97872</v>
      </c>
      <c r="I785" s="44">
        <v>522.351336606656</v>
      </c>
      <c r="J785" s="44">
        <v>495.424016487846</v>
      </c>
      <c r="K785" s="87">
        <v>549.274413529733</v>
      </c>
      <c r="L785" s="29" t="s">
        <v>260</v>
      </c>
      <c r="M785" s="30" t="s">
        <v>168</v>
      </c>
      <c r="N785" s="11" t="s">
        <v>177</v>
      </c>
    </row>
    <row r="786">
      <c r="A786" s="11" t="s">
        <v>166</v>
      </c>
      <c r="B786" s="11" t="s">
        <v>20</v>
      </c>
      <c r="C786" s="11" t="s">
        <v>167</v>
      </c>
      <c r="D786" s="11" t="s">
        <v>154</v>
      </c>
      <c r="E786" s="11" t="s">
        <v>1015</v>
      </c>
      <c r="F786" s="11" t="s">
        <v>1004</v>
      </c>
      <c r="G786" s="11" t="s">
        <v>1021</v>
      </c>
      <c r="H786" s="44">
        <v>2003.97872</v>
      </c>
      <c r="I786" s="44">
        <v>534.117718373037</v>
      </c>
      <c r="J786" s="44">
        <v>510.181851245681</v>
      </c>
      <c r="K786" s="87">
        <v>561.040795296114</v>
      </c>
      <c r="L786" s="29" t="s">
        <v>260</v>
      </c>
      <c r="M786" s="30" t="s">
        <v>168</v>
      </c>
      <c r="N786" s="11" t="s">
        <v>177</v>
      </c>
    </row>
    <row r="787">
      <c r="A787" s="11" t="s">
        <v>166</v>
      </c>
      <c r="B787" s="11" t="s">
        <v>20</v>
      </c>
      <c r="C787" s="11" t="s">
        <v>167</v>
      </c>
      <c r="D787" s="11" t="s">
        <v>154</v>
      </c>
      <c r="E787" s="11" t="s">
        <v>1015</v>
      </c>
      <c r="F787" s="11" t="s">
        <v>1004</v>
      </c>
      <c r="G787" s="11" t="s">
        <v>1021</v>
      </c>
      <c r="H787" s="44">
        <v>2004.97872</v>
      </c>
      <c r="I787" s="44">
        <v>548.875553130873</v>
      </c>
      <c r="J787" s="44">
        <v>518.952536824877</v>
      </c>
      <c r="K787" s="87">
        <v>572.802933866764</v>
      </c>
      <c r="L787" s="29" t="s">
        <v>260</v>
      </c>
      <c r="M787" s="30" t="s">
        <v>168</v>
      </c>
      <c r="N787" s="11" t="s">
        <v>177</v>
      </c>
    </row>
    <row r="788">
      <c r="A788" s="11" t="s">
        <v>166</v>
      </c>
      <c r="B788" s="11" t="s">
        <v>20</v>
      </c>
      <c r="C788" s="11" t="s">
        <v>167</v>
      </c>
      <c r="D788" s="11" t="s">
        <v>154</v>
      </c>
      <c r="E788" s="11" t="s">
        <v>1015</v>
      </c>
      <c r="F788" s="11" t="s">
        <v>1004</v>
      </c>
      <c r="G788" s="11" t="s">
        <v>1021</v>
      </c>
      <c r="H788" s="44">
        <v>2006.0</v>
      </c>
      <c r="I788" s="44">
        <v>554.654785718616</v>
      </c>
      <c r="J788" s="44">
        <v>530.718918591259</v>
      </c>
      <c r="K788" s="87">
        <v>581.582105837425</v>
      </c>
      <c r="L788" s="29" t="s">
        <v>260</v>
      </c>
      <c r="M788" s="30" t="s">
        <v>168</v>
      </c>
      <c r="N788" s="11" t="s">
        <v>177</v>
      </c>
    </row>
    <row r="789">
      <c r="A789" s="11" t="s">
        <v>166</v>
      </c>
      <c r="B789" s="11" t="s">
        <v>20</v>
      </c>
      <c r="C789" s="11" t="s">
        <v>167</v>
      </c>
      <c r="D789" s="11" t="s">
        <v>154</v>
      </c>
      <c r="E789" s="11" t="s">
        <v>1015</v>
      </c>
      <c r="F789" s="11" t="s">
        <v>1004</v>
      </c>
      <c r="G789" s="11" t="s">
        <v>1021</v>
      </c>
      <c r="H789" s="44">
        <v>2006.97872</v>
      </c>
      <c r="I789" s="44">
        <v>602.322846578166</v>
      </c>
      <c r="J789" s="44">
        <v>575.395526459357</v>
      </c>
      <c r="K789" s="87">
        <v>629.24168030551</v>
      </c>
      <c r="L789" s="29" t="s">
        <v>260</v>
      </c>
      <c r="M789" s="30" t="s">
        <v>168</v>
      </c>
      <c r="N789" s="11" t="s">
        <v>177</v>
      </c>
    </row>
    <row r="790">
      <c r="A790" s="11" t="s">
        <v>166</v>
      </c>
      <c r="B790" s="11" t="s">
        <v>20</v>
      </c>
      <c r="C790" s="11" t="s">
        <v>167</v>
      </c>
      <c r="D790" s="11" t="s">
        <v>154</v>
      </c>
      <c r="E790" s="11" t="s">
        <v>1015</v>
      </c>
      <c r="F790" s="11" t="s">
        <v>1004</v>
      </c>
      <c r="G790" s="11" t="s">
        <v>1021</v>
      </c>
      <c r="H790" s="44">
        <v>2007.97872</v>
      </c>
      <c r="I790" s="44">
        <v>652.978117233437</v>
      </c>
      <c r="J790" s="44">
        <v>623.063587318907</v>
      </c>
      <c r="K790" s="87">
        <v>679.896950960781</v>
      </c>
      <c r="L790" s="29" t="s">
        <v>260</v>
      </c>
      <c r="M790" s="30" t="s">
        <v>168</v>
      </c>
      <c r="N790" s="11" t="s">
        <v>177</v>
      </c>
    </row>
    <row r="791">
      <c r="A791" s="11" t="s">
        <v>166</v>
      </c>
      <c r="B791" s="11" t="s">
        <v>20</v>
      </c>
      <c r="C791" s="11" t="s">
        <v>167</v>
      </c>
      <c r="D791" s="11" t="s">
        <v>154</v>
      </c>
      <c r="E791" s="11" t="s">
        <v>1015</v>
      </c>
      <c r="F791" s="11" t="s">
        <v>1004</v>
      </c>
      <c r="G791" s="11" t="s">
        <v>1021</v>
      </c>
      <c r="H791" s="44">
        <v>2008.97872</v>
      </c>
      <c r="I791" s="44">
        <v>685.684669939989</v>
      </c>
      <c r="J791" s="44">
        <v>652.778687034006</v>
      </c>
      <c r="K791" s="87">
        <v>712.603503667333</v>
      </c>
      <c r="L791" s="29" t="s">
        <v>260</v>
      </c>
      <c r="M791" s="30" t="s">
        <v>168</v>
      </c>
      <c r="N791" s="11" t="s">
        <v>177</v>
      </c>
    </row>
    <row r="792">
      <c r="A792" s="11" t="s">
        <v>166</v>
      </c>
      <c r="B792" s="11" t="s">
        <v>20</v>
      </c>
      <c r="C792" s="11" t="s">
        <v>167</v>
      </c>
      <c r="D792" s="11" t="s">
        <v>154</v>
      </c>
      <c r="E792" s="11" t="s">
        <v>1015</v>
      </c>
      <c r="F792" s="11" t="s">
        <v>1004</v>
      </c>
      <c r="G792" s="11" t="s">
        <v>1021</v>
      </c>
      <c r="H792" s="44">
        <v>2010.0</v>
      </c>
      <c r="I792" s="44">
        <v>718.386979450809</v>
      </c>
      <c r="J792" s="44">
        <v>685.480996544826</v>
      </c>
      <c r="K792" s="87">
        <v>745.310056373886</v>
      </c>
      <c r="L792" s="29" t="s">
        <v>260</v>
      </c>
      <c r="M792" s="30" t="s">
        <v>168</v>
      </c>
      <c r="N792" s="11" t="s">
        <v>177</v>
      </c>
    </row>
    <row r="793">
      <c r="A793" s="11" t="s">
        <v>166</v>
      </c>
      <c r="B793" s="11" t="s">
        <v>20</v>
      </c>
      <c r="C793" s="11" t="s">
        <v>167</v>
      </c>
      <c r="D793" s="11" t="s">
        <v>154</v>
      </c>
      <c r="E793" s="11" t="s">
        <v>1015</v>
      </c>
      <c r="F793" s="11" t="s">
        <v>1004</v>
      </c>
      <c r="G793" s="11" t="s">
        <v>1021</v>
      </c>
      <c r="H793" s="44">
        <v>2011.0</v>
      </c>
      <c r="I793" s="44">
        <v>718.187549251379</v>
      </c>
      <c r="J793" s="44">
        <v>682.290113353943</v>
      </c>
      <c r="K793" s="87">
        <v>745.114869370188</v>
      </c>
      <c r="L793" s="29" t="s">
        <v>260</v>
      </c>
      <c r="M793" s="30" t="s">
        <v>168</v>
      </c>
      <c r="N793" s="11" t="s">
        <v>177</v>
      </c>
    </row>
    <row r="794">
      <c r="A794" s="11" t="s">
        <v>166</v>
      </c>
      <c r="B794" s="11" t="s">
        <v>20</v>
      </c>
      <c r="C794" s="11" t="s">
        <v>167</v>
      </c>
      <c r="D794" s="11" t="s">
        <v>154</v>
      </c>
      <c r="E794" s="11" t="s">
        <v>1015</v>
      </c>
      <c r="F794" s="11" t="s">
        <v>1004</v>
      </c>
      <c r="G794" s="11" t="s">
        <v>1021</v>
      </c>
      <c r="H794" s="44">
        <v>2012.0</v>
      </c>
      <c r="I794" s="44">
        <v>714.996666060496</v>
      </c>
      <c r="J794" s="44">
        <v>685.082136145966</v>
      </c>
      <c r="K794" s="87">
        <v>759.868460932291</v>
      </c>
      <c r="L794" s="29" t="s">
        <v>260</v>
      </c>
      <c r="M794" s="30" t="s">
        <v>168</v>
      </c>
      <c r="N794" s="11" t="s">
        <v>177</v>
      </c>
    </row>
    <row r="795">
      <c r="A795" s="11" t="s">
        <v>166</v>
      </c>
      <c r="B795" s="11" t="s">
        <v>20</v>
      </c>
      <c r="C795" s="11" t="s">
        <v>167</v>
      </c>
      <c r="D795" s="11" t="s">
        <v>154</v>
      </c>
      <c r="E795" s="11" t="s">
        <v>1015</v>
      </c>
      <c r="F795" s="11" t="s">
        <v>1004</v>
      </c>
      <c r="G795" s="11" t="s">
        <v>1021</v>
      </c>
      <c r="H795" s="44">
        <v>2012.97872</v>
      </c>
      <c r="I795" s="44">
        <v>687.878402133721</v>
      </c>
      <c r="J795" s="44">
        <v>651.980966236285</v>
      </c>
      <c r="K795" s="87">
        <v>717.788688852519</v>
      </c>
      <c r="L795" s="29" t="s">
        <v>260</v>
      </c>
      <c r="M795" s="30" t="s">
        <v>168</v>
      </c>
      <c r="N795" s="11" t="s">
        <v>177</v>
      </c>
    </row>
    <row r="796">
      <c r="A796" s="11" t="s">
        <v>166</v>
      </c>
      <c r="B796" s="11" t="s">
        <v>20</v>
      </c>
      <c r="C796" s="11" t="s">
        <v>167</v>
      </c>
      <c r="D796" s="11" t="s">
        <v>154</v>
      </c>
      <c r="E796" s="11" t="s">
        <v>1015</v>
      </c>
      <c r="F796" s="11" t="s">
        <v>1004</v>
      </c>
      <c r="G796" s="11" t="s">
        <v>1021</v>
      </c>
      <c r="H796" s="44">
        <v>2014.0</v>
      </c>
      <c r="I796" s="44">
        <v>711.606352670182</v>
      </c>
      <c r="J796" s="44">
        <v>672.717463781293</v>
      </c>
      <c r="K796" s="87">
        <v>738.529429593259</v>
      </c>
      <c r="L796" s="29" t="s">
        <v>260</v>
      </c>
      <c r="M796" s="30" t="s">
        <v>168</v>
      </c>
      <c r="N796" s="11" t="s">
        <v>177</v>
      </c>
    </row>
    <row r="797">
      <c r="A797" s="11" t="s">
        <v>166</v>
      </c>
      <c r="B797" s="11" t="s">
        <v>20</v>
      </c>
      <c r="C797" s="11" t="s">
        <v>167</v>
      </c>
      <c r="D797" s="11" t="s">
        <v>154</v>
      </c>
      <c r="E797" s="11" t="s">
        <v>1015</v>
      </c>
      <c r="F797" s="11" t="s">
        <v>1004</v>
      </c>
      <c r="G797" s="11" t="s">
        <v>1021</v>
      </c>
      <c r="H797" s="44">
        <v>2015.0</v>
      </c>
      <c r="I797" s="44">
        <v>741.321452385282</v>
      </c>
      <c r="J797" s="44">
        <v>708.415469479299</v>
      </c>
      <c r="K797" s="87">
        <v>774.227435291265</v>
      </c>
      <c r="L797" s="29" t="s">
        <v>260</v>
      </c>
      <c r="M797" s="30" t="s">
        <v>168</v>
      </c>
      <c r="N797" s="11" t="s">
        <v>177</v>
      </c>
    </row>
    <row r="798">
      <c r="A798" s="11" t="s">
        <v>166</v>
      </c>
      <c r="B798" s="11" t="s">
        <v>20</v>
      </c>
      <c r="C798" s="11" t="s">
        <v>167</v>
      </c>
      <c r="D798" s="11" t="s">
        <v>154</v>
      </c>
      <c r="E798" s="11" t="s">
        <v>1015</v>
      </c>
      <c r="F798" s="11" t="s">
        <v>1004</v>
      </c>
      <c r="G798" s="11" t="s">
        <v>1021</v>
      </c>
      <c r="H798" s="44">
        <v>2015.97872</v>
      </c>
      <c r="I798" s="44">
        <v>765.057889313208</v>
      </c>
      <c r="J798" s="44">
        <v>726.164757228587</v>
      </c>
      <c r="K798" s="87">
        <v>797.955385827726</v>
      </c>
      <c r="L798" s="29" t="s">
        <v>260</v>
      </c>
      <c r="M798" s="30" t="s">
        <v>168</v>
      </c>
      <c r="N798" s="11" t="s">
        <v>177</v>
      </c>
    </row>
    <row r="799">
      <c r="A799" s="11" t="s">
        <v>166</v>
      </c>
      <c r="B799" s="11" t="s">
        <v>20</v>
      </c>
      <c r="C799" s="11" t="s">
        <v>167</v>
      </c>
      <c r="D799" s="11" t="s">
        <v>154</v>
      </c>
      <c r="E799" s="11" t="s">
        <v>1015</v>
      </c>
      <c r="F799" s="11" t="s">
        <v>1004</v>
      </c>
      <c r="G799" s="11" t="s">
        <v>1026</v>
      </c>
      <c r="H799" s="44">
        <v>2000.0</v>
      </c>
      <c r="I799" s="44">
        <v>896.877007940838</v>
      </c>
      <c r="J799" s="44">
        <v>849.01376007759</v>
      </c>
      <c r="K799" s="87">
        <v>947.735951991271</v>
      </c>
      <c r="L799" s="29" t="s">
        <v>260</v>
      </c>
      <c r="M799" s="30" t="s">
        <v>168</v>
      </c>
      <c r="N799" s="11" t="s">
        <v>177</v>
      </c>
    </row>
    <row r="800">
      <c r="A800" s="11" t="s">
        <v>166</v>
      </c>
      <c r="B800" s="11" t="s">
        <v>20</v>
      </c>
      <c r="C800" s="11" t="s">
        <v>167</v>
      </c>
      <c r="D800" s="11" t="s">
        <v>154</v>
      </c>
      <c r="E800" s="11" t="s">
        <v>1015</v>
      </c>
      <c r="F800" s="11" t="s">
        <v>1004</v>
      </c>
      <c r="G800" s="11" t="s">
        <v>1026</v>
      </c>
      <c r="H800" s="44">
        <v>2001.0</v>
      </c>
      <c r="I800" s="44">
        <v>893.686124749955</v>
      </c>
      <c r="J800" s="44">
        <v>851.805782869613</v>
      </c>
      <c r="K800" s="87">
        <v>935.570709826029</v>
      </c>
      <c r="L800" s="29" t="s">
        <v>260</v>
      </c>
      <c r="M800" s="30" t="s">
        <v>168</v>
      </c>
      <c r="N800" s="11" t="s">
        <v>177</v>
      </c>
    </row>
    <row r="801">
      <c r="A801" s="11" t="s">
        <v>166</v>
      </c>
      <c r="B801" s="11" t="s">
        <v>20</v>
      </c>
      <c r="C801" s="11" t="s">
        <v>167</v>
      </c>
      <c r="D801" s="11" t="s">
        <v>154</v>
      </c>
      <c r="E801" s="11" t="s">
        <v>1015</v>
      </c>
      <c r="F801" s="11" t="s">
        <v>1004</v>
      </c>
      <c r="G801" s="11" t="s">
        <v>1026</v>
      </c>
      <c r="H801" s="44">
        <v>2002.0</v>
      </c>
      <c r="I801" s="44">
        <v>962.290113353943</v>
      </c>
      <c r="J801" s="44">
        <v>929.388373643693</v>
      </c>
      <c r="K801" s="87">
        <v>989.21319027702</v>
      </c>
      <c r="L801" s="29" t="s">
        <v>260</v>
      </c>
      <c r="M801" s="30" t="s">
        <v>168</v>
      </c>
      <c r="N801" s="11" t="s">
        <v>177</v>
      </c>
    </row>
    <row r="802">
      <c r="A802" s="11" t="s">
        <v>166</v>
      </c>
      <c r="B802" s="11" t="s">
        <v>20</v>
      </c>
      <c r="C802" s="11" t="s">
        <v>167</v>
      </c>
      <c r="D802" s="11" t="s">
        <v>154</v>
      </c>
      <c r="E802" s="11" t="s">
        <v>1015</v>
      </c>
      <c r="F802" s="11" t="s">
        <v>1004</v>
      </c>
      <c r="G802" s="11" t="s">
        <v>1026</v>
      </c>
      <c r="H802" s="44">
        <v>2003.0</v>
      </c>
      <c r="I802" s="44">
        <v>1009.95393101776</v>
      </c>
      <c r="J802" s="44">
        <v>971.065042128872</v>
      </c>
      <c r="K802" s="87">
        <v>1036.87700794084</v>
      </c>
      <c r="L802" s="29" t="s">
        <v>260</v>
      </c>
      <c r="M802" s="30" t="s">
        <v>168</v>
      </c>
      <c r="N802" s="11" t="s">
        <v>177</v>
      </c>
    </row>
    <row r="803">
      <c r="A803" s="11" t="s">
        <v>166</v>
      </c>
      <c r="B803" s="11" t="s">
        <v>20</v>
      </c>
      <c r="C803" s="11" t="s">
        <v>167</v>
      </c>
      <c r="D803" s="11" t="s">
        <v>154</v>
      </c>
      <c r="E803" s="11" t="s">
        <v>1015</v>
      </c>
      <c r="F803" s="11" t="s">
        <v>1004</v>
      </c>
      <c r="G803" s="11" t="s">
        <v>1026</v>
      </c>
      <c r="H803" s="44">
        <v>2004.02127659574</v>
      </c>
      <c r="I803" s="44">
        <v>1027.69897557132</v>
      </c>
      <c r="J803" s="44">
        <v>997.792932048251</v>
      </c>
      <c r="K803" s="87">
        <v>1063.60489786022</v>
      </c>
      <c r="L803" s="29" t="s">
        <v>260</v>
      </c>
      <c r="M803" s="30" t="s">
        <v>168</v>
      </c>
      <c r="N803" s="11" t="s">
        <v>177</v>
      </c>
    </row>
    <row r="804">
      <c r="A804" s="11" t="s">
        <v>166</v>
      </c>
      <c r="B804" s="11" t="s">
        <v>20</v>
      </c>
      <c r="C804" s="11" t="s">
        <v>167</v>
      </c>
      <c r="D804" s="11" t="s">
        <v>154</v>
      </c>
      <c r="E804" s="11" t="s">
        <v>1015</v>
      </c>
      <c r="F804" s="11" t="s">
        <v>1004</v>
      </c>
      <c r="G804" s="11" t="s">
        <v>1026</v>
      </c>
      <c r="H804" s="44">
        <v>2004.97872340426</v>
      </c>
      <c r="I804" s="44">
        <v>1045.45674971207</v>
      </c>
      <c r="J804" s="44">
        <v>1009.5550706189</v>
      </c>
      <c r="K804" s="87">
        <v>1075.36703643087</v>
      </c>
      <c r="L804" s="29" t="s">
        <v>260</v>
      </c>
      <c r="M804" s="30" t="s">
        <v>168</v>
      </c>
      <c r="N804" s="11" t="s">
        <v>177</v>
      </c>
    </row>
    <row r="805">
      <c r="A805" s="11" t="s">
        <v>166</v>
      </c>
      <c r="B805" s="11" t="s">
        <v>20</v>
      </c>
      <c r="C805" s="11" t="s">
        <v>167</v>
      </c>
      <c r="D805" s="11" t="s">
        <v>154</v>
      </c>
      <c r="E805" s="11" t="s">
        <v>1015</v>
      </c>
      <c r="F805" s="11" t="s">
        <v>1004</v>
      </c>
      <c r="G805" s="11" t="s">
        <v>1026</v>
      </c>
      <c r="H805" s="44">
        <v>2006.02127659574</v>
      </c>
      <c r="I805" s="44">
        <v>1045.24883312117</v>
      </c>
      <c r="J805" s="44">
        <v>1015.33854640238</v>
      </c>
      <c r="K805" s="87">
        <v>1078.15905922289</v>
      </c>
      <c r="L805" s="29" t="s">
        <v>260</v>
      </c>
      <c r="M805" s="30" t="s">
        <v>168</v>
      </c>
      <c r="N805" s="11" t="s">
        <v>177</v>
      </c>
    </row>
    <row r="806">
      <c r="A806" s="11" t="s">
        <v>166</v>
      </c>
      <c r="B806" s="11" t="s">
        <v>20</v>
      </c>
      <c r="C806" s="11" t="s">
        <v>167</v>
      </c>
      <c r="D806" s="11" t="s">
        <v>154</v>
      </c>
      <c r="E806" s="11" t="s">
        <v>1015</v>
      </c>
      <c r="F806" s="11" t="s">
        <v>1004</v>
      </c>
      <c r="G806" s="11" t="s">
        <v>1026</v>
      </c>
      <c r="H806" s="44">
        <v>2006.95744680851</v>
      </c>
      <c r="I806" s="44">
        <v>1140.78862823544</v>
      </c>
      <c r="J806" s="44">
        <v>1104.88270594654</v>
      </c>
      <c r="K806" s="87">
        <v>1170.69891495423</v>
      </c>
      <c r="L806" s="29" t="s">
        <v>260</v>
      </c>
      <c r="M806" s="30" t="s">
        <v>168</v>
      </c>
      <c r="N806" s="11" t="s">
        <v>177</v>
      </c>
    </row>
    <row r="807">
      <c r="A807" s="11" t="s">
        <v>166</v>
      </c>
      <c r="B807" s="11" t="s">
        <v>20</v>
      </c>
      <c r="C807" s="11" t="s">
        <v>167</v>
      </c>
      <c r="D807" s="11" t="s">
        <v>154</v>
      </c>
      <c r="E807" s="11" t="s">
        <v>1015</v>
      </c>
      <c r="F807" s="11" t="s">
        <v>1004</v>
      </c>
      <c r="G807" s="11" t="s">
        <v>1026</v>
      </c>
      <c r="H807" s="44">
        <v>2008.0</v>
      </c>
      <c r="I807" s="44">
        <v>1242.29011335394</v>
      </c>
      <c r="J807" s="44">
        <v>1206.39267745651</v>
      </c>
      <c r="K807" s="87">
        <v>1269.21743347275</v>
      </c>
      <c r="L807" s="29" t="s">
        <v>260</v>
      </c>
      <c r="M807" s="30" t="s">
        <v>168</v>
      </c>
      <c r="N807" s="11" t="s">
        <v>177</v>
      </c>
    </row>
    <row r="808">
      <c r="A808" s="11" t="s">
        <v>166</v>
      </c>
      <c r="B808" s="11" t="s">
        <v>20</v>
      </c>
      <c r="C808" s="11" t="s">
        <v>167</v>
      </c>
      <c r="D808" s="11" t="s">
        <v>154</v>
      </c>
      <c r="E808" s="11" t="s">
        <v>1015</v>
      </c>
      <c r="F808" s="11" t="s">
        <v>1004</v>
      </c>
      <c r="G808" s="11" t="s">
        <v>1026</v>
      </c>
      <c r="H808" s="44">
        <v>2009.0</v>
      </c>
      <c r="I808" s="44">
        <v>1295.93683700067</v>
      </c>
      <c r="J808" s="44">
        <v>1266.0180638904</v>
      </c>
      <c r="K808" s="87">
        <v>1325.8513669152</v>
      </c>
      <c r="L808" s="29" t="s">
        <v>260</v>
      </c>
      <c r="M808" s="30" t="s">
        <v>168</v>
      </c>
      <c r="N808" s="11" t="s">
        <v>177</v>
      </c>
    </row>
    <row r="809">
      <c r="A809" s="11" t="s">
        <v>166</v>
      </c>
      <c r="B809" s="11" t="s">
        <v>20</v>
      </c>
      <c r="C809" s="11" t="s">
        <v>167</v>
      </c>
      <c r="D809" s="11" t="s">
        <v>154</v>
      </c>
      <c r="E809" s="11" t="s">
        <v>1015</v>
      </c>
      <c r="F809" s="11" t="s">
        <v>1004</v>
      </c>
      <c r="G809" s="11" t="s">
        <v>1026</v>
      </c>
      <c r="H809" s="44">
        <v>2010.0</v>
      </c>
      <c r="I809" s="44">
        <v>1349.58356064739</v>
      </c>
      <c r="J809" s="44">
        <v>1310.6946717585</v>
      </c>
      <c r="K809" s="87">
        <v>1379.50233375765</v>
      </c>
      <c r="L809" s="29" t="s">
        <v>260</v>
      </c>
      <c r="M809" s="30" t="s">
        <v>168</v>
      </c>
      <c r="N809" s="11" t="s">
        <v>177</v>
      </c>
    </row>
    <row r="810">
      <c r="A810" s="11" t="s">
        <v>166</v>
      </c>
      <c r="B810" s="11" t="s">
        <v>20</v>
      </c>
      <c r="C810" s="11" t="s">
        <v>167</v>
      </c>
      <c r="D810" s="11" t="s">
        <v>154</v>
      </c>
      <c r="E810" s="11" t="s">
        <v>1015</v>
      </c>
      <c r="F810" s="11" t="s">
        <v>1004</v>
      </c>
      <c r="G810" s="11" t="s">
        <v>1026</v>
      </c>
      <c r="H810" s="44">
        <v>2010.97872340426</v>
      </c>
      <c r="I810" s="44">
        <v>1340.41401466933</v>
      </c>
      <c r="J810" s="44">
        <v>1301.52512578044</v>
      </c>
      <c r="K810" s="87">
        <v>1370.32430138813</v>
      </c>
      <c r="L810" s="29" t="s">
        <v>260</v>
      </c>
      <c r="M810" s="30" t="s">
        <v>168</v>
      </c>
      <c r="N810" s="11" t="s">
        <v>177</v>
      </c>
    </row>
    <row r="811">
      <c r="A811" s="11" t="s">
        <v>166</v>
      </c>
      <c r="B811" s="11" t="s">
        <v>20</v>
      </c>
      <c r="C811" s="11" t="s">
        <v>167</v>
      </c>
      <c r="D811" s="11" t="s">
        <v>154</v>
      </c>
      <c r="E811" s="11" t="s">
        <v>1015</v>
      </c>
      <c r="F811" s="11" t="s">
        <v>1004</v>
      </c>
      <c r="G811" s="11" t="s">
        <v>1026</v>
      </c>
      <c r="H811" s="44">
        <v>2011.97872340426</v>
      </c>
      <c r="I811" s="44">
        <v>1337.22313147845</v>
      </c>
      <c r="J811" s="44">
        <v>1295.33854640238</v>
      </c>
      <c r="K811" s="87">
        <v>1373.11632418015</v>
      </c>
      <c r="L811" s="29" t="s">
        <v>260</v>
      </c>
      <c r="M811" s="30" t="s">
        <v>168</v>
      </c>
      <c r="N811" s="11" t="s">
        <v>177</v>
      </c>
    </row>
    <row r="812">
      <c r="A812" s="11" t="s">
        <v>166</v>
      </c>
      <c r="B812" s="11" t="s">
        <v>20</v>
      </c>
      <c r="C812" s="11" t="s">
        <v>167</v>
      </c>
      <c r="D812" s="11" t="s">
        <v>154</v>
      </c>
      <c r="E812" s="11" t="s">
        <v>1015</v>
      </c>
      <c r="F812" s="11" t="s">
        <v>1004</v>
      </c>
      <c r="G812" s="11" t="s">
        <v>1026</v>
      </c>
      <c r="H812" s="44">
        <v>2013.0</v>
      </c>
      <c r="I812" s="44">
        <v>1262.23313329696</v>
      </c>
      <c r="J812" s="44">
        <v>1220.35279141662</v>
      </c>
      <c r="K812" s="87">
        <v>1301.12202218585</v>
      </c>
      <c r="L812" s="29" t="s">
        <v>260</v>
      </c>
      <c r="M812" s="30" t="s">
        <v>168</v>
      </c>
      <c r="N812" s="11" t="s">
        <v>177</v>
      </c>
    </row>
    <row r="813">
      <c r="A813" s="11" t="s">
        <v>166</v>
      </c>
      <c r="B813" s="11" t="s">
        <v>20</v>
      </c>
      <c r="C813" s="11" t="s">
        <v>167</v>
      </c>
      <c r="D813" s="11" t="s">
        <v>154</v>
      </c>
      <c r="E813" s="11" t="s">
        <v>1015</v>
      </c>
      <c r="F813" s="11" t="s">
        <v>1004</v>
      </c>
      <c r="G813" s="11" t="s">
        <v>1026</v>
      </c>
      <c r="H813" s="44">
        <v>2014.0</v>
      </c>
      <c r="I813" s="44">
        <v>1291.94823301206</v>
      </c>
      <c r="J813" s="44">
        <v>1256.04655391889</v>
      </c>
      <c r="K813" s="87">
        <v>1333.83281808814</v>
      </c>
      <c r="L813" s="29" t="s">
        <v>260</v>
      </c>
      <c r="M813" s="30" t="s">
        <v>168</v>
      </c>
      <c r="N813" s="11" t="s">
        <v>177</v>
      </c>
    </row>
    <row r="814">
      <c r="A814" s="11" t="s">
        <v>166</v>
      </c>
      <c r="B814" s="11" t="s">
        <v>20</v>
      </c>
      <c r="C814" s="11" t="s">
        <v>167</v>
      </c>
      <c r="D814" s="11" t="s">
        <v>154</v>
      </c>
      <c r="E814" s="11" t="s">
        <v>1015</v>
      </c>
      <c r="F814" s="11" t="s">
        <v>1004</v>
      </c>
      <c r="G814" s="11" t="s">
        <v>1026</v>
      </c>
      <c r="H814" s="44">
        <v>2015.0</v>
      </c>
      <c r="I814" s="44">
        <v>1348.58640965024</v>
      </c>
      <c r="J814" s="44">
        <v>1315.68042674426</v>
      </c>
      <c r="K814" s="87">
        <v>1393.45820452203</v>
      </c>
      <c r="L814" s="29" t="s">
        <v>260</v>
      </c>
      <c r="M814" s="30" t="s">
        <v>168</v>
      </c>
      <c r="N814" s="11" t="s">
        <v>177</v>
      </c>
    </row>
    <row r="815">
      <c r="A815" s="11" t="s">
        <v>166</v>
      </c>
      <c r="B815" s="11" t="s">
        <v>20</v>
      </c>
      <c r="C815" s="11" t="s">
        <v>167</v>
      </c>
      <c r="D815" s="11" t="s">
        <v>154</v>
      </c>
      <c r="E815" s="11" t="s">
        <v>1015</v>
      </c>
      <c r="F815" s="11" t="s">
        <v>1004</v>
      </c>
      <c r="G815" s="11" t="s">
        <v>1026</v>
      </c>
      <c r="H815" s="44">
        <v>2016.0</v>
      </c>
      <c r="I815" s="44">
        <v>1390.26732133115</v>
      </c>
      <c r="J815" s="44">
        <v>1345.39552645936</v>
      </c>
      <c r="K815" s="87">
        <v>1429.15621022004</v>
      </c>
      <c r="L815" s="29" t="s">
        <v>260</v>
      </c>
      <c r="M815" s="30" t="s">
        <v>168</v>
      </c>
      <c r="N815" s="11" t="s">
        <v>177</v>
      </c>
    </row>
    <row r="816">
      <c r="A816" s="11" t="s">
        <v>57</v>
      </c>
      <c r="B816" s="11" t="s">
        <v>20</v>
      </c>
      <c r="C816" s="11" t="s">
        <v>68</v>
      </c>
      <c r="D816" s="11" t="s">
        <v>154</v>
      </c>
      <c r="E816" s="11" t="s">
        <v>1001</v>
      </c>
      <c r="F816" s="11" t="s">
        <v>157</v>
      </c>
      <c r="G816" s="11" t="s">
        <v>158</v>
      </c>
      <c r="H816" s="11">
        <v>1996.0</v>
      </c>
      <c r="I816" s="40">
        <v>1181.0</v>
      </c>
      <c r="J816" s="40">
        <v>642.0</v>
      </c>
      <c r="K816" s="41">
        <v>2173.0</v>
      </c>
      <c r="L816" s="42" t="s">
        <v>160</v>
      </c>
      <c r="M816" s="67" t="s">
        <v>583</v>
      </c>
      <c r="N816" s="11" t="s">
        <v>585</v>
      </c>
    </row>
    <row r="817">
      <c r="A817" s="11" t="s">
        <v>57</v>
      </c>
      <c r="B817" s="11" t="s">
        <v>20</v>
      </c>
      <c r="C817" s="11" t="s">
        <v>68</v>
      </c>
      <c r="D817" s="11" t="s">
        <v>154</v>
      </c>
      <c r="E817" s="11" t="s">
        <v>1001</v>
      </c>
      <c r="F817" s="11" t="s">
        <v>157</v>
      </c>
      <c r="G817" s="11" t="s">
        <v>158</v>
      </c>
      <c r="H817" s="11">
        <v>2001.0</v>
      </c>
      <c r="I817" s="40">
        <v>1364.0</v>
      </c>
      <c r="J817" s="40">
        <v>775.0</v>
      </c>
      <c r="K817" s="41">
        <v>2400.0</v>
      </c>
      <c r="L817" s="42" t="s">
        <v>160</v>
      </c>
      <c r="M817" s="67" t="s">
        <v>583</v>
      </c>
      <c r="N817" s="11" t="s">
        <v>585</v>
      </c>
    </row>
    <row r="818">
      <c r="A818" s="11" t="s">
        <v>57</v>
      </c>
      <c r="B818" s="11" t="s">
        <v>20</v>
      </c>
      <c r="C818" s="11" t="s">
        <v>68</v>
      </c>
      <c r="D818" s="11" t="s">
        <v>154</v>
      </c>
      <c r="E818" s="11" t="s">
        <v>1001</v>
      </c>
      <c r="F818" s="11" t="s">
        <v>157</v>
      </c>
      <c r="G818" s="11" t="s">
        <v>158</v>
      </c>
      <c r="H818" s="11">
        <v>2005.0</v>
      </c>
      <c r="I818" s="40">
        <v>1575.0</v>
      </c>
      <c r="J818" s="40">
        <v>878.0</v>
      </c>
      <c r="K818" s="41">
        <v>2824.0</v>
      </c>
      <c r="L818" s="42" t="s">
        <v>160</v>
      </c>
      <c r="M818" s="67" t="s">
        <v>583</v>
      </c>
      <c r="N818" s="11" t="s">
        <v>585</v>
      </c>
    </row>
    <row r="819">
      <c r="A819" s="11" t="s">
        <v>57</v>
      </c>
      <c r="B819" s="11" t="s">
        <v>20</v>
      </c>
      <c r="C819" s="11" t="s">
        <v>68</v>
      </c>
      <c r="D819" s="11" t="s">
        <v>154</v>
      </c>
      <c r="E819" s="11" t="s">
        <v>1001</v>
      </c>
      <c r="F819" s="11" t="s">
        <v>157</v>
      </c>
      <c r="G819" s="11" t="s">
        <v>158</v>
      </c>
      <c r="H819" s="11">
        <v>2008.0</v>
      </c>
      <c r="I819" s="40">
        <v>1727.0</v>
      </c>
      <c r="J819" s="40">
        <v>915.0</v>
      </c>
      <c r="K819" s="41">
        <v>3259.0</v>
      </c>
      <c r="L819" s="42" t="s">
        <v>160</v>
      </c>
      <c r="M819" s="67" t="s">
        <v>583</v>
      </c>
      <c r="N819" s="11" t="s">
        <v>585</v>
      </c>
    </row>
    <row r="820">
      <c r="A820" s="11" t="s">
        <v>57</v>
      </c>
      <c r="B820" s="11" t="s">
        <v>20</v>
      </c>
      <c r="C820" s="11" t="s">
        <v>68</v>
      </c>
      <c r="D820" s="11" t="s">
        <v>154</v>
      </c>
      <c r="E820" s="11" t="s">
        <v>1001</v>
      </c>
      <c r="F820" s="11" t="s">
        <v>157</v>
      </c>
      <c r="G820" s="11" t="s">
        <v>158</v>
      </c>
      <c r="H820" s="11">
        <v>2014.0</v>
      </c>
      <c r="I820" s="40">
        <v>2178.0</v>
      </c>
      <c r="J820" s="40">
        <v>1038.0</v>
      </c>
      <c r="K820" s="41">
        <v>4568.0</v>
      </c>
      <c r="L820" s="42" t="s">
        <v>160</v>
      </c>
      <c r="M820" s="67" t="s">
        <v>583</v>
      </c>
      <c r="N820" s="11" t="s">
        <v>585</v>
      </c>
    </row>
    <row r="821">
      <c r="A821" s="11" t="s">
        <v>57</v>
      </c>
      <c r="B821" s="11" t="s">
        <v>20</v>
      </c>
      <c r="C821" s="11" t="s">
        <v>68</v>
      </c>
      <c r="D821" s="11" t="s">
        <v>154</v>
      </c>
      <c r="E821" s="11" t="s">
        <v>1001</v>
      </c>
      <c r="F821" s="11" t="s">
        <v>157</v>
      </c>
      <c r="G821" s="11" t="s">
        <v>158</v>
      </c>
      <c r="H821" s="11">
        <v>2018.0</v>
      </c>
      <c r="I821" s="40">
        <v>4784.0</v>
      </c>
      <c r="J821" s="40">
        <v>2658.0</v>
      </c>
      <c r="K821" s="41">
        <v>8609.0</v>
      </c>
      <c r="L821" s="42" t="s">
        <v>160</v>
      </c>
      <c r="M821" s="67" t="s">
        <v>583</v>
      </c>
      <c r="N821" s="11" t="s">
        <v>585</v>
      </c>
    </row>
    <row r="822">
      <c r="A822" s="11" t="s">
        <v>88</v>
      </c>
      <c r="B822" s="11" t="s">
        <v>20</v>
      </c>
      <c r="C822" s="11" t="s">
        <v>1035</v>
      </c>
      <c r="D822" s="11" t="s">
        <v>220</v>
      </c>
      <c r="E822" s="25" t="s">
        <v>1036</v>
      </c>
      <c r="F822" s="11" t="s">
        <v>640</v>
      </c>
      <c r="G822" s="11" t="s">
        <v>74</v>
      </c>
      <c r="H822" s="27">
        <v>1974.0</v>
      </c>
      <c r="I822" s="27">
        <v>72.0</v>
      </c>
      <c r="J822" s="40" t="s">
        <v>188</v>
      </c>
      <c r="K822" s="11" t="s">
        <v>188</v>
      </c>
      <c r="L822" s="29" t="s">
        <v>81</v>
      </c>
      <c r="M822" s="30" t="s">
        <v>222</v>
      </c>
      <c r="N822" s="11" t="s">
        <v>224</v>
      </c>
      <c r="O822" s="11" t="s">
        <v>1038</v>
      </c>
    </row>
    <row r="823">
      <c r="A823" s="11" t="s">
        <v>88</v>
      </c>
      <c r="B823" s="11" t="s">
        <v>20</v>
      </c>
      <c r="C823" s="11" t="s">
        <v>1035</v>
      </c>
      <c r="D823" s="11" t="s">
        <v>220</v>
      </c>
      <c r="E823" s="25" t="s">
        <v>1036</v>
      </c>
      <c r="F823" s="11" t="s">
        <v>640</v>
      </c>
      <c r="G823" s="11" t="s">
        <v>74</v>
      </c>
      <c r="H823" s="27">
        <v>1975.0</v>
      </c>
      <c r="I823" s="27">
        <v>71.0</v>
      </c>
      <c r="J823" s="40" t="s">
        <v>188</v>
      </c>
      <c r="K823" s="11" t="s">
        <v>188</v>
      </c>
      <c r="L823" s="29" t="s">
        <v>81</v>
      </c>
      <c r="M823" s="30" t="s">
        <v>222</v>
      </c>
      <c r="N823" s="11" t="s">
        <v>224</v>
      </c>
    </row>
    <row r="824">
      <c r="A824" s="11" t="s">
        <v>88</v>
      </c>
      <c r="B824" s="11" t="s">
        <v>20</v>
      </c>
      <c r="C824" s="11" t="s">
        <v>1035</v>
      </c>
      <c r="D824" s="11" t="s">
        <v>220</v>
      </c>
      <c r="E824" s="25" t="s">
        <v>1036</v>
      </c>
      <c r="F824" s="11" t="s">
        <v>640</v>
      </c>
      <c r="G824" s="11" t="s">
        <v>74</v>
      </c>
      <c r="H824" s="11">
        <v>1976.0</v>
      </c>
      <c r="I824" s="27">
        <v>80.0</v>
      </c>
      <c r="J824" s="40" t="s">
        <v>188</v>
      </c>
      <c r="K824" s="11" t="s">
        <v>188</v>
      </c>
      <c r="L824" s="29" t="s">
        <v>81</v>
      </c>
      <c r="M824" s="30" t="s">
        <v>222</v>
      </c>
      <c r="N824" s="11" t="s">
        <v>224</v>
      </c>
    </row>
    <row r="825">
      <c r="A825" s="11" t="s">
        <v>88</v>
      </c>
      <c r="B825" s="11" t="s">
        <v>20</v>
      </c>
      <c r="C825" s="11" t="s">
        <v>1035</v>
      </c>
      <c r="D825" s="11" t="s">
        <v>220</v>
      </c>
      <c r="E825" s="25" t="s">
        <v>1036</v>
      </c>
      <c r="F825" s="11" t="s">
        <v>640</v>
      </c>
      <c r="G825" s="11" t="s">
        <v>74</v>
      </c>
      <c r="H825" s="27">
        <v>1977.0</v>
      </c>
      <c r="I825" s="27">
        <v>80.0</v>
      </c>
      <c r="J825" s="40" t="s">
        <v>188</v>
      </c>
      <c r="K825" s="11" t="s">
        <v>188</v>
      </c>
      <c r="L825" s="29" t="s">
        <v>81</v>
      </c>
      <c r="M825" s="30" t="s">
        <v>222</v>
      </c>
      <c r="N825" s="11" t="s">
        <v>224</v>
      </c>
    </row>
    <row r="826">
      <c r="A826" s="11" t="s">
        <v>88</v>
      </c>
      <c r="B826" s="11" t="s">
        <v>20</v>
      </c>
      <c r="C826" s="11" t="s">
        <v>1035</v>
      </c>
      <c r="D826" s="11" t="s">
        <v>220</v>
      </c>
      <c r="E826" s="25" t="s">
        <v>1036</v>
      </c>
      <c r="F826" s="11" t="s">
        <v>640</v>
      </c>
      <c r="G826" s="11" t="s">
        <v>74</v>
      </c>
      <c r="H826" s="27">
        <v>1978.0</v>
      </c>
      <c r="I826" s="27">
        <v>82.0</v>
      </c>
      <c r="J826" s="40" t="s">
        <v>188</v>
      </c>
      <c r="K826" s="11" t="s">
        <v>188</v>
      </c>
      <c r="L826" s="29" t="s">
        <v>81</v>
      </c>
      <c r="M826" s="30" t="s">
        <v>222</v>
      </c>
      <c r="N826" s="11" t="s">
        <v>224</v>
      </c>
    </row>
    <row r="827">
      <c r="A827" s="11" t="s">
        <v>88</v>
      </c>
      <c r="B827" s="11" t="s">
        <v>20</v>
      </c>
      <c r="C827" s="11" t="s">
        <v>1035</v>
      </c>
      <c r="D827" s="11" t="s">
        <v>220</v>
      </c>
      <c r="E827" s="25" t="s">
        <v>1036</v>
      </c>
      <c r="F827" s="11" t="s">
        <v>640</v>
      </c>
      <c r="G827" s="11" t="s">
        <v>74</v>
      </c>
      <c r="H827" s="27">
        <v>1979.0</v>
      </c>
      <c r="I827" s="27">
        <v>84.0</v>
      </c>
      <c r="J827" s="40" t="s">
        <v>188</v>
      </c>
      <c r="K827" s="11" t="s">
        <v>188</v>
      </c>
      <c r="L827" s="29" t="s">
        <v>81</v>
      </c>
      <c r="M827" s="30" t="s">
        <v>222</v>
      </c>
      <c r="N827" s="11" t="s">
        <v>224</v>
      </c>
    </row>
    <row r="828">
      <c r="A828" s="11" t="s">
        <v>88</v>
      </c>
      <c r="B828" s="11" t="s">
        <v>20</v>
      </c>
      <c r="C828" s="11" t="s">
        <v>1035</v>
      </c>
      <c r="D828" s="11" t="s">
        <v>220</v>
      </c>
      <c r="E828" s="25" t="s">
        <v>1036</v>
      </c>
      <c r="F828" s="11" t="s">
        <v>640</v>
      </c>
      <c r="G828" s="11" t="s">
        <v>74</v>
      </c>
      <c r="H828" s="27">
        <v>1980.0</v>
      </c>
      <c r="I828" s="27">
        <v>82.0</v>
      </c>
      <c r="J828" s="40" t="s">
        <v>188</v>
      </c>
      <c r="K828" s="11" t="s">
        <v>188</v>
      </c>
      <c r="L828" s="29" t="s">
        <v>81</v>
      </c>
      <c r="M828" s="30" t="s">
        <v>222</v>
      </c>
      <c r="N828" s="11" t="s">
        <v>224</v>
      </c>
    </row>
    <row r="829">
      <c r="A829" s="11" t="s">
        <v>88</v>
      </c>
      <c r="B829" s="11" t="s">
        <v>20</v>
      </c>
      <c r="C829" s="11" t="s">
        <v>1035</v>
      </c>
      <c r="D829" s="11" t="s">
        <v>220</v>
      </c>
      <c r="E829" s="25" t="s">
        <v>1036</v>
      </c>
      <c r="F829" s="11" t="s">
        <v>640</v>
      </c>
      <c r="G829" s="11" t="s">
        <v>74</v>
      </c>
      <c r="H829" s="27">
        <v>1981.0</v>
      </c>
      <c r="I829" s="27">
        <v>79.0</v>
      </c>
      <c r="J829" s="40" t="s">
        <v>188</v>
      </c>
      <c r="K829" s="11" t="s">
        <v>188</v>
      </c>
      <c r="L829" s="29" t="s">
        <v>81</v>
      </c>
      <c r="M829" s="30" t="s">
        <v>222</v>
      </c>
      <c r="N829" s="11" t="s">
        <v>224</v>
      </c>
    </row>
    <row r="830">
      <c r="A830" s="11" t="s">
        <v>88</v>
      </c>
      <c r="B830" s="11" t="s">
        <v>20</v>
      </c>
      <c r="C830" s="11" t="s">
        <v>1035</v>
      </c>
      <c r="D830" s="11" t="s">
        <v>220</v>
      </c>
      <c r="E830" s="25" t="s">
        <v>1036</v>
      </c>
      <c r="F830" s="11" t="s">
        <v>640</v>
      </c>
      <c r="G830" s="11" t="s">
        <v>74</v>
      </c>
      <c r="H830" s="27">
        <v>1982.0</v>
      </c>
      <c r="I830" s="27">
        <v>76.0</v>
      </c>
      <c r="J830" s="40" t="s">
        <v>188</v>
      </c>
      <c r="K830" s="11" t="s">
        <v>188</v>
      </c>
      <c r="L830" s="29" t="s">
        <v>81</v>
      </c>
      <c r="M830" s="30" t="s">
        <v>222</v>
      </c>
      <c r="N830" s="11" t="s">
        <v>224</v>
      </c>
    </row>
    <row r="831">
      <c r="A831" s="11" t="s">
        <v>88</v>
      </c>
      <c r="B831" s="11" t="s">
        <v>20</v>
      </c>
      <c r="C831" s="11" t="s">
        <v>1035</v>
      </c>
      <c r="D831" s="11" t="s">
        <v>220</v>
      </c>
      <c r="E831" s="25" t="s">
        <v>1036</v>
      </c>
      <c r="F831" s="11" t="s">
        <v>640</v>
      </c>
      <c r="G831" s="11" t="s">
        <v>74</v>
      </c>
      <c r="H831" s="27">
        <v>1983.0</v>
      </c>
      <c r="I831" s="27">
        <v>74.0</v>
      </c>
      <c r="J831" s="40" t="s">
        <v>188</v>
      </c>
      <c r="K831" s="11" t="s">
        <v>188</v>
      </c>
      <c r="L831" s="29" t="s">
        <v>81</v>
      </c>
      <c r="M831" s="30" t="s">
        <v>222</v>
      </c>
      <c r="N831" s="11" t="s">
        <v>224</v>
      </c>
    </row>
    <row r="832">
      <c r="A832" s="11" t="s">
        <v>88</v>
      </c>
      <c r="B832" s="11" t="s">
        <v>20</v>
      </c>
      <c r="C832" s="11" t="s">
        <v>1035</v>
      </c>
      <c r="D832" s="11" t="s">
        <v>220</v>
      </c>
      <c r="E832" s="25" t="s">
        <v>1036</v>
      </c>
      <c r="F832" s="11" t="s">
        <v>640</v>
      </c>
      <c r="G832" s="11" t="s">
        <v>74</v>
      </c>
      <c r="H832" s="27">
        <v>1984.0</v>
      </c>
      <c r="I832" s="27">
        <v>77.0</v>
      </c>
      <c r="J832" s="40" t="s">
        <v>188</v>
      </c>
      <c r="K832" s="11" t="s">
        <v>188</v>
      </c>
      <c r="L832" s="29" t="s">
        <v>81</v>
      </c>
      <c r="M832" s="30" t="s">
        <v>222</v>
      </c>
      <c r="N832" s="11" t="s">
        <v>224</v>
      </c>
    </row>
    <row r="833">
      <c r="A833" s="11" t="s">
        <v>88</v>
      </c>
      <c r="B833" s="11" t="s">
        <v>20</v>
      </c>
      <c r="C833" s="11" t="s">
        <v>1035</v>
      </c>
      <c r="D833" s="11" t="s">
        <v>220</v>
      </c>
      <c r="E833" s="25" t="s">
        <v>1036</v>
      </c>
      <c r="F833" s="11" t="s">
        <v>640</v>
      </c>
      <c r="G833" s="11" t="s">
        <v>74</v>
      </c>
      <c r="H833" s="27">
        <v>1985.0</v>
      </c>
      <c r="I833" s="27">
        <v>81.0</v>
      </c>
      <c r="J833" s="40" t="s">
        <v>188</v>
      </c>
      <c r="K833" s="11" t="s">
        <v>188</v>
      </c>
      <c r="L833" s="29" t="s">
        <v>81</v>
      </c>
      <c r="M833" s="30" t="s">
        <v>222</v>
      </c>
      <c r="N833" s="11" t="s">
        <v>224</v>
      </c>
    </row>
    <row r="834">
      <c r="A834" s="11" t="s">
        <v>88</v>
      </c>
      <c r="B834" s="11" t="s">
        <v>20</v>
      </c>
      <c r="C834" s="11" t="s">
        <v>1035</v>
      </c>
      <c r="D834" s="11" t="s">
        <v>220</v>
      </c>
      <c r="E834" s="25" t="s">
        <v>1036</v>
      </c>
      <c r="F834" s="11" t="s">
        <v>640</v>
      </c>
      <c r="G834" s="11" t="s">
        <v>74</v>
      </c>
      <c r="H834" s="27">
        <v>1986.0</v>
      </c>
      <c r="I834" s="27">
        <v>84.0</v>
      </c>
      <c r="J834" s="40" t="s">
        <v>188</v>
      </c>
      <c r="K834" s="11" t="s">
        <v>188</v>
      </c>
      <c r="L834" s="29" t="s">
        <v>81</v>
      </c>
      <c r="M834" s="30" t="s">
        <v>222</v>
      </c>
      <c r="N834" s="11" t="s">
        <v>224</v>
      </c>
    </row>
    <row r="835">
      <c r="A835" s="11" t="s">
        <v>88</v>
      </c>
      <c r="B835" s="11" t="s">
        <v>20</v>
      </c>
      <c r="C835" s="11" t="s">
        <v>1035</v>
      </c>
      <c r="D835" s="11" t="s">
        <v>220</v>
      </c>
      <c r="E835" s="25" t="s">
        <v>1036</v>
      </c>
      <c r="F835" s="11" t="s">
        <v>640</v>
      </c>
      <c r="G835" s="11" t="s">
        <v>74</v>
      </c>
      <c r="H835" s="27">
        <v>1987.0</v>
      </c>
      <c r="I835" s="27">
        <v>85.0</v>
      </c>
      <c r="J835" s="40" t="s">
        <v>188</v>
      </c>
      <c r="K835" s="11" t="s">
        <v>188</v>
      </c>
      <c r="L835" s="29" t="s">
        <v>81</v>
      </c>
      <c r="M835" s="30" t="s">
        <v>222</v>
      </c>
      <c r="N835" s="11" t="s">
        <v>224</v>
      </c>
    </row>
    <row r="836">
      <c r="A836" s="11" t="s">
        <v>88</v>
      </c>
      <c r="B836" s="11" t="s">
        <v>20</v>
      </c>
      <c r="C836" s="11" t="s">
        <v>1035</v>
      </c>
      <c r="D836" s="11" t="s">
        <v>220</v>
      </c>
      <c r="E836" s="25" t="s">
        <v>1036</v>
      </c>
      <c r="F836" s="11" t="s">
        <v>640</v>
      </c>
      <c r="G836" s="11" t="s">
        <v>74</v>
      </c>
      <c r="H836" s="27">
        <v>1988.0</v>
      </c>
      <c r="I836" s="27">
        <v>85.0</v>
      </c>
      <c r="J836" s="40" t="s">
        <v>188</v>
      </c>
      <c r="K836" s="11" t="s">
        <v>188</v>
      </c>
      <c r="L836" s="29" t="s">
        <v>81</v>
      </c>
      <c r="M836" s="30" t="s">
        <v>222</v>
      </c>
      <c r="N836" s="11" t="s">
        <v>224</v>
      </c>
    </row>
    <row r="837">
      <c r="A837" s="11" t="s">
        <v>88</v>
      </c>
      <c r="B837" s="11" t="s">
        <v>20</v>
      </c>
      <c r="C837" s="11" t="s">
        <v>1035</v>
      </c>
      <c r="D837" s="11" t="s">
        <v>220</v>
      </c>
      <c r="E837" s="25" t="s">
        <v>1036</v>
      </c>
      <c r="F837" s="11" t="s">
        <v>640</v>
      </c>
      <c r="G837" s="11" t="s">
        <v>74</v>
      </c>
      <c r="H837" s="27">
        <v>1989.0</v>
      </c>
      <c r="I837" s="27">
        <v>88.0</v>
      </c>
      <c r="J837" s="40" t="s">
        <v>188</v>
      </c>
      <c r="K837" s="11" t="s">
        <v>188</v>
      </c>
      <c r="L837" s="29" t="s">
        <v>81</v>
      </c>
      <c r="M837" s="30" t="s">
        <v>222</v>
      </c>
      <c r="N837" s="11" t="s">
        <v>224</v>
      </c>
    </row>
    <row r="838">
      <c r="A838" s="11" t="s">
        <v>88</v>
      </c>
      <c r="B838" s="11" t="s">
        <v>20</v>
      </c>
      <c r="C838" s="11" t="s">
        <v>1035</v>
      </c>
      <c r="D838" s="11" t="s">
        <v>220</v>
      </c>
      <c r="E838" s="25" t="s">
        <v>1036</v>
      </c>
      <c r="F838" s="11" t="s">
        <v>640</v>
      </c>
      <c r="G838" s="11" t="s">
        <v>74</v>
      </c>
      <c r="H838" s="27">
        <v>1990.0</v>
      </c>
      <c r="I838" s="27">
        <v>92.0</v>
      </c>
      <c r="J838" s="40" t="s">
        <v>188</v>
      </c>
      <c r="K838" s="11" t="s">
        <v>188</v>
      </c>
      <c r="L838" s="29" t="s">
        <v>81</v>
      </c>
      <c r="M838" s="30" t="s">
        <v>222</v>
      </c>
      <c r="N838" s="11" t="s">
        <v>224</v>
      </c>
    </row>
    <row r="839">
      <c r="A839" s="11" t="s">
        <v>88</v>
      </c>
      <c r="B839" s="11" t="s">
        <v>20</v>
      </c>
      <c r="C839" s="11" t="s">
        <v>1035</v>
      </c>
      <c r="D839" s="11" t="s">
        <v>220</v>
      </c>
      <c r="E839" s="25" t="s">
        <v>1036</v>
      </c>
      <c r="F839" s="11" t="s">
        <v>640</v>
      </c>
      <c r="G839" s="11" t="s">
        <v>74</v>
      </c>
      <c r="H839" s="27">
        <v>1991.0</v>
      </c>
      <c r="I839" s="27">
        <v>91.0</v>
      </c>
      <c r="J839" s="40" t="s">
        <v>188</v>
      </c>
      <c r="K839" s="11" t="s">
        <v>188</v>
      </c>
      <c r="L839" s="29" t="s">
        <v>81</v>
      </c>
      <c r="M839" s="30" t="s">
        <v>222</v>
      </c>
      <c r="N839" s="11" t="s">
        <v>224</v>
      </c>
    </row>
    <row r="840">
      <c r="A840" s="11" t="s">
        <v>88</v>
      </c>
      <c r="B840" s="11" t="s">
        <v>20</v>
      </c>
      <c r="C840" s="11" t="s">
        <v>1035</v>
      </c>
      <c r="D840" s="11" t="s">
        <v>220</v>
      </c>
      <c r="E840" s="25" t="s">
        <v>1036</v>
      </c>
      <c r="F840" s="11" t="s">
        <v>640</v>
      </c>
      <c r="G840" s="11" t="s">
        <v>74</v>
      </c>
      <c r="H840" s="27">
        <v>1992.0</v>
      </c>
      <c r="I840" s="27">
        <v>97.0</v>
      </c>
      <c r="J840" s="40" t="s">
        <v>188</v>
      </c>
      <c r="K840" s="11" t="s">
        <v>188</v>
      </c>
      <c r="L840" s="29" t="s">
        <v>81</v>
      </c>
      <c r="M840" s="30" t="s">
        <v>222</v>
      </c>
      <c r="N840" s="11" t="s">
        <v>224</v>
      </c>
    </row>
    <row r="841">
      <c r="A841" s="11" t="s">
        <v>88</v>
      </c>
      <c r="B841" s="11" t="s">
        <v>20</v>
      </c>
      <c r="C841" s="11" t="s">
        <v>1035</v>
      </c>
      <c r="D841" s="11" t="s">
        <v>220</v>
      </c>
      <c r="E841" s="25" t="s">
        <v>1036</v>
      </c>
      <c r="F841" s="11" t="s">
        <v>640</v>
      </c>
      <c r="G841" s="11" t="s">
        <v>74</v>
      </c>
      <c r="H841" s="27">
        <v>1993.0</v>
      </c>
      <c r="I841" s="27">
        <v>96.0</v>
      </c>
      <c r="J841" s="40" t="s">
        <v>188</v>
      </c>
      <c r="K841" s="11" t="s">
        <v>188</v>
      </c>
      <c r="L841" s="29" t="s">
        <v>81</v>
      </c>
      <c r="M841" s="30" t="s">
        <v>222</v>
      </c>
      <c r="N841" s="11" t="s">
        <v>224</v>
      </c>
    </row>
    <row r="842">
      <c r="A842" s="11" t="s">
        <v>88</v>
      </c>
      <c r="B842" s="11" t="s">
        <v>20</v>
      </c>
      <c r="C842" s="11" t="s">
        <v>1035</v>
      </c>
      <c r="D842" s="11" t="s">
        <v>220</v>
      </c>
      <c r="E842" s="25" t="s">
        <v>1036</v>
      </c>
      <c r="F842" s="11" t="s">
        <v>640</v>
      </c>
      <c r="G842" s="11" t="s">
        <v>74</v>
      </c>
      <c r="H842" s="27">
        <v>1994.0</v>
      </c>
      <c r="I842" s="27">
        <v>98.0</v>
      </c>
      <c r="J842" s="40" t="s">
        <v>188</v>
      </c>
      <c r="K842" s="11" t="s">
        <v>188</v>
      </c>
      <c r="L842" s="29" t="s">
        <v>81</v>
      </c>
      <c r="M842" s="30" t="s">
        <v>222</v>
      </c>
      <c r="N842" s="11" t="s">
        <v>224</v>
      </c>
    </row>
    <row r="843">
      <c r="A843" s="11" t="s">
        <v>88</v>
      </c>
      <c r="B843" s="11" t="s">
        <v>20</v>
      </c>
      <c r="C843" s="11" t="s">
        <v>1035</v>
      </c>
      <c r="D843" s="11" t="s">
        <v>220</v>
      </c>
      <c r="E843" s="25" t="s">
        <v>1036</v>
      </c>
      <c r="F843" s="11" t="s">
        <v>640</v>
      </c>
      <c r="G843" s="11" t="s">
        <v>74</v>
      </c>
      <c r="H843" s="27">
        <v>1995.0</v>
      </c>
      <c r="I843" s="27">
        <v>97.0</v>
      </c>
      <c r="J843" s="40" t="s">
        <v>188</v>
      </c>
      <c r="K843" s="11" t="s">
        <v>188</v>
      </c>
      <c r="L843" s="29" t="s">
        <v>81</v>
      </c>
      <c r="M843" s="30" t="s">
        <v>222</v>
      </c>
      <c r="N843" s="11" t="s">
        <v>224</v>
      </c>
    </row>
    <row r="844">
      <c r="A844" s="11" t="s">
        <v>88</v>
      </c>
      <c r="B844" s="11" t="s">
        <v>20</v>
      </c>
      <c r="C844" s="11" t="s">
        <v>1035</v>
      </c>
      <c r="D844" s="11" t="s">
        <v>220</v>
      </c>
      <c r="E844" s="25" t="s">
        <v>1036</v>
      </c>
      <c r="F844" s="11" t="s">
        <v>640</v>
      </c>
      <c r="G844" s="11" t="s">
        <v>74</v>
      </c>
      <c r="H844" s="27">
        <v>1996.0</v>
      </c>
      <c r="I844" s="27">
        <v>92.0</v>
      </c>
      <c r="J844" s="40" t="s">
        <v>188</v>
      </c>
      <c r="K844" s="11" t="s">
        <v>188</v>
      </c>
      <c r="L844" s="29" t="s">
        <v>81</v>
      </c>
      <c r="M844" s="30" t="s">
        <v>222</v>
      </c>
      <c r="N844" s="11" t="s">
        <v>224</v>
      </c>
    </row>
    <row r="845">
      <c r="A845" s="11" t="s">
        <v>88</v>
      </c>
      <c r="B845" s="11" t="s">
        <v>20</v>
      </c>
      <c r="C845" s="11" t="s">
        <v>1035</v>
      </c>
      <c r="D845" s="11" t="s">
        <v>220</v>
      </c>
      <c r="E845" s="25" t="s">
        <v>1036</v>
      </c>
      <c r="F845" s="11" t="s">
        <v>640</v>
      </c>
      <c r="G845" s="11" t="s">
        <v>74</v>
      </c>
      <c r="H845" s="27">
        <v>1997.0</v>
      </c>
      <c r="I845" s="27">
        <v>89.0</v>
      </c>
      <c r="J845" s="40" t="s">
        <v>188</v>
      </c>
      <c r="K845" s="11" t="s">
        <v>188</v>
      </c>
      <c r="L845" s="29" t="s">
        <v>81</v>
      </c>
      <c r="M845" s="30" t="s">
        <v>222</v>
      </c>
      <c r="N845" s="11" t="s">
        <v>224</v>
      </c>
    </row>
    <row r="846">
      <c r="A846" s="11" t="s">
        <v>88</v>
      </c>
      <c r="B846" s="11" t="s">
        <v>20</v>
      </c>
      <c r="C846" s="11" t="s">
        <v>1035</v>
      </c>
      <c r="D846" s="11" t="s">
        <v>220</v>
      </c>
      <c r="E846" s="25" t="s">
        <v>1036</v>
      </c>
      <c r="F846" s="11" t="s">
        <v>640</v>
      </c>
      <c r="G846" s="11" t="s">
        <v>74</v>
      </c>
      <c r="H846" s="27">
        <v>1998.0</v>
      </c>
      <c r="I846" s="27">
        <v>85.0</v>
      </c>
      <c r="J846" s="40" t="s">
        <v>188</v>
      </c>
      <c r="K846" s="11" t="s">
        <v>188</v>
      </c>
      <c r="L846" s="29" t="s">
        <v>81</v>
      </c>
      <c r="M846" s="30" t="s">
        <v>222</v>
      </c>
      <c r="N846" s="11" t="s">
        <v>224</v>
      </c>
    </row>
    <row r="847">
      <c r="A847" s="11" t="s">
        <v>88</v>
      </c>
      <c r="B847" s="11" t="s">
        <v>20</v>
      </c>
      <c r="C847" s="11" t="s">
        <v>1035</v>
      </c>
      <c r="D847" s="11" t="s">
        <v>220</v>
      </c>
      <c r="E847" s="25" t="s">
        <v>1036</v>
      </c>
      <c r="F847" s="11" t="s">
        <v>640</v>
      </c>
      <c r="G847" s="11" t="s">
        <v>74</v>
      </c>
      <c r="H847" s="27">
        <v>1999.0</v>
      </c>
      <c r="I847" s="27">
        <v>82.0</v>
      </c>
      <c r="J847" s="40" t="s">
        <v>188</v>
      </c>
      <c r="K847" s="11" t="s">
        <v>188</v>
      </c>
      <c r="L847" s="29" t="s">
        <v>81</v>
      </c>
      <c r="M847" s="30" t="s">
        <v>222</v>
      </c>
      <c r="N847" s="11" t="s">
        <v>224</v>
      </c>
    </row>
    <row r="848">
      <c r="A848" s="11" t="s">
        <v>88</v>
      </c>
      <c r="B848" s="11" t="s">
        <v>20</v>
      </c>
      <c r="C848" s="11" t="s">
        <v>1035</v>
      </c>
      <c r="D848" s="11" t="s">
        <v>220</v>
      </c>
      <c r="E848" s="25" t="s">
        <v>1036</v>
      </c>
      <c r="F848" s="11" t="s">
        <v>640</v>
      </c>
      <c r="G848" s="11" t="s">
        <v>74</v>
      </c>
      <c r="H848" s="27">
        <v>2000.0</v>
      </c>
      <c r="I848" s="27">
        <v>78.0</v>
      </c>
      <c r="J848" s="40" t="s">
        <v>188</v>
      </c>
      <c r="K848" s="11" t="s">
        <v>188</v>
      </c>
      <c r="L848" s="29" t="s">
        <v>81</v>
      </c>
      <c r="M848" s="30" t="s">
        <v>222</v>
      </c>
      <c r="N848" s="11" t="s">
        <v>224</v>
      </c>
    </row>
    <row r="849">
      <c r="A849" s="11" t="s">
        <v>88</v>
      </c>
      <c r="B849" s="11" t="s">
        <v>20</v>
      </c>
      <c r="C849" s="11" t="s">
        <v>1035</v>
      </c>
      <c r="D849" s="11" t="s">
        <v>220</v>
      </c>
      <c r="E849" s="25" t="s">
        <v>1036</v>
      </c>
      <c r="F849" s="11" t="s">
        <v>640</v>
      </c>
      <c r="G849" s="11" t="s">
        <v>74</v>
      </c>
      <c r="H849" s="27">
        <v>2001.0</v>
      </c>
      <c r="I849" s="27">
        <v>79.0</v>
      </c>
      <c r="J849" s="40" t="s">
        <v>188</v>
      </c>
      <c r="K849" s="11" t="s">
        <v>188</v>
      </c>
      <c r="L849" s="29" t="s">
        <v>81</v>
      </c>
      <c r="M849" s="30" t="s">
        <v>222</v>
      </c>
      <c r="N849" s="11" t="s">
        <v>224</v>
      </c>
    </row>
    <row r="850">
      <c r="A850" s="11" t="s">
        <v>88</v>
      </c>
      <c r="B850" s="11" t="s">
        <v>20</v>
      </c>
      <c r="C850" s="11" t="s">
        <v>1035</v>
      </c>
      <c r="D850" s="11" t="s">
        <v>220</v>
      </c>
      <c r="E850" s="25" t="s">
        <v>1036</v>
      </c>
      <c r="F850" s="11" t="s">
        <v>640</v>
      </c>
      <c r="G850" s="11" t="s">
        <v>74</v>
      </c>
      <c r="H850" s="27">
        <v>2002.0</v>
      </c>
      <c r="I850" s="27">
        <v>82.0</v>
      </c>
      <c r="J850" s="40" t="s">
        <v>188</v>
      </c>
      <c r="K850" s="11" t="s">
        <v>188</v>
      </c>
      <c r="L850" s="29" t="s">
        <v>81</v>
      </c>
      <c r="M850" s="30" t="s">
        <v>222</v>
      </c>
      <c r="N850" s="11" t="s">
        <v>224</v>
      </c>
    </row>
    <row r="851">
      <c r="A851" s="11" t="s">
        <v>88</v>
      </c>
      <c r="B851" s="11" t="s">
        <v>20</v>
      </c>
      <c r="C851" s="11" t="s">
        <v>1035</v>
      </c>
      <c r="D851" s="11" t="s">
        <v>220</v>
      </c>
      <c r="E851" s="25" t="s">
        <v>1036</v>
      </c>
      <c r="F851" s="11" t="s">
        <v>640</v>
      </c>
      <c r="G851" s="11" t="s">
        <v>74</v>
      </c>
      <c r="H851" s="27">
        <v>2003.0</v>
      </c>
      <c r="I851" s="27">
        <v>83.0</v>
      </c>
      <c r="J851" s="40" t="s">
        <v>188</v>
      </c>
      <c r="K851" s="11" t="s">
        <v>188</v>
      </c>
      <c r="L851" s="29" t="s">
        <v>81</v>
      </c>
      <c r="M851" s="30" t="s">
        <v>222</v>
      </c>
      <c r="N851" s="11" t="s">
        <v>224</v>
      </c>
    </row>
    <row r="852">
      <c r="A852" s="11" t="s">
        <v>88</v>
      </c>
      <c r="B852" s="11" t="s">
        <v>20</v>
      </c>
      <c r="C852" s="11" t="s">
        <v>1035</v>
      </c>
      <c r="D852" s="11" t="s">
        <v>220</v>
      </c>
      <c r="E852" s="25" t="s">
        <v>1036</v>
      </c>
      <c r="F852" s="11" t="s">
        <v>640</v>
      </c>
      <c r="G852" s="11" t="s">
        <v>74</v>
      </c>
      <c r="H852" s="27">
        <v>2004.0</v>
      </c>
      <c r="I852" s="27">
        <v>88.0</v>
      </c>
      <c r="J852" s="40" t="s">
        <v>188</v>
      </c>
      <c r="K852" s="11" t="s">
        <v>188</v>
      </c>
      <c r="L852" s="29" t="s">
        <v>81</v>
      </c>
      <c r="M852" s="30" t="s">
        <v>222</v>
      </c>
      <c r="N852" s="11" t="s">
        <v>224</v>
      </c>
    </row>
    <row r="853">
      <c r="A853" s="11" t="s">
        <v>88</v>
      </c>
      <c r="B853" s="11" t="s">
        <v>20</v>
      </c>
      <c r="C853" s="11" t="s">
        <v>1035</v>
      </c>
      <c r="D853" s="11" t="s">
        <v>220</v>
      </c>
      <c r="E853" s="25" t="s">
        <v>1036</v>
      </c>
      <c r="F853" s="11" t="s">
        <v>640</v>
      </c>
      <c r="G853" s="11" t="s">
        <v>74</v>
      </c>
      <c r="H853" s="27">
        <v>2005.0</v>
      </c>
      <c r="I853" s="27">
        <v>89.0</v>
      </c>
      <c r="J853" s="40" t="s">
        <v>188</v>
      </c>
      <c r="K853" s="11" t="s">
        <v>188</v>
      </c>
      <c r="L853" s="29" t="s">
        <v>81</v>
      </c>
      <c r="M853" s="30" t="s">
        <v>222</v>
      </c>
      <c r="N853" s="11" t="s">
        <v>224</v>
      </c>
    </row>
    <row r="854">
      <c r="A854" s="11" t="s">
        <v>88</v>
      </c>
      <c r="B854" s="11" t="s">
        <v>20</v>
      </c>
      <c r="C854" s="11" t="s">
        <v>1035</v>
      </c>
      <c r="D854" s="11" t="s">
        <v>220</v>
      </c>
      <c r="E854" s="25" t="s">
        <v>1036</v>
      </c>
      <c r="F854" s="11" t="s">
        <v>640</v>
      </c>
      <c r="G854" s="11" t="s">
        <v>74</v>
      </c>
      <c r="H854" s="27">
        <v>2006.0</v>
      </c>
      <c r="I854" s="27">
        <v>86.0</v>
      </c>
      <c r="J854" s="40" t="s">
        <v>188</v>
      </c>
      <c r="K854" s="11" t="s">
        <v>188</v>
      </c>
      <c r="L854" s="29" t="s">
        <v>81</v>
      </c>
      <c r="M854" s="30" t="s">
        <v>222</v>
      </c>
      <c r="N854" s="11" t="s">
        <v>224</v>
      </c>
    </row>
    <row r="855">
      <c r="A855" s="11" t="s">
        <v>88</v>
      </c>
      <c r="B855" s="11" t="s">
        <v>20</v>
      </c>
      <c r="C855" s="11" t="s">
        <v>1035</v>
      </c>
      <c r="D855" s="11" t="s">
        <v>220</v>
      </c>
      <c r="E855" s="25" t="s">
        <v>1036</v>
      </c>
      <c r="F855" s="11" t="s">
        <v>640</v>
      </c>
      <c r="G855" s="11" t="s">
        <v>74</v>
      </c>
      <c r="H855" s="27">
        <v>2007.0</v>
      </c>
      <c r="I855" s="27">
        <v>85.0</v>
      </c>
      <c r="J855" s="40" t="s">
        <v>188</v>
      </c>
      <c r="K855" s="11" t="s">
        <v>188</v>
      </c>
      <c r="L855" s="29" t="s">
        <v>81</v>
      </c>
      <c r="M855" s="30" t="s">
        <v>222</v>
      </c>
      <c r="N855" s="11" t="s">
        <v>224</v>
      </c>
    </row>
    <row r="856">
      <c r="A856" s="11" t="s">
        <v>88</v>
      </c>
      <c r="B856" s="11" t="s">
        <v>20</v>
      </c>
      <c r="C856" s="11" t="s">
        <v>1035</v>
      </c>
      <c r="D856" s="11" t="s">
        <v>220</v>
      </c>
      <c r="E856" s="25" t="s">
        <v>1036</v>
      </c>
      <c r="F856" s="11" t="s">
        <v>640</v>
      </c>
      <c r="G856" s="11" t="s">
        <v>74</v>
      </c>
      <c r="H856" s="27">
        <v>2008.0</v>
      </c>
      <c r="I856" s="27">
        <v>85.0</v>
      </c>
      <c r="J856" s="40" t="s">
        <v>188</v>
      </c>
      <c r="K856" s="11" t="s">
        <v>188</v>
      </c>
      <c r="L856" s="29" t="s">
        <v>81</v>
      </c>
      <c r="M856" s="30" t="s">
        <v>222</v>
      </c>
      <c r="N856" s="11" t="s">
        <v>224</v>
      </c>
    </row>
    <row r="857">
      <c r="A857" s="11" t="s">
        <v>88</v>
      </c>
      <c r="B857" s="11" t="s">
        <v>20</v>
      </c>
      <c r="C857" s="11" t="s">
        <v>1035</v>
      </c>
      <c r="D857" s="11" t="s">
        <v>220</v>
      </c>
      <c r="E857" s="25" t="s">
        <v>1036</v>
      </c>
      <c r="F857" s="11" t="s">
        <v>640</v>
      </c>
      <c r="G857" s="11" t="s">
        <v>74</v>
      </c>
      <c r="H857" s="27">
        <v>2009.0</v>
      </c>
      <c r="I857" s="27">
        <v>86.0</v>
      </c>
      <c r="J857" s="40" t="s">
        <v>188</v>
      </c>
      <c r="K857" s="11" t="s">
        <v>188</v>
      </c>
      <c r="L857" s="29" t="s">
        <v>81</v>
      </c>
      <c r="M857" s="30" t="s">
        <v>222</v>
      </c>
      <c r="N857" s="11" t="s">
        <v>224</v>
      </c>
    </row>
    <row r="858">
      <c r="A858" s="11" t="s">
        <v>88</v>
      </c>
      <c r="B858" s="11" t="s">
        <v>20</v>
      </c>
      <c r="C858" s="11" t="s">
        <v>1035</v>
      </c>
      <c r="D858" s="11" t="s">
        <v>220</v>
      </c>
      <c r="E858" s="25" t="s">
        <v>1036</v>
      </c>
      <c r="F858" s="11" t="s">
        <v>640</v>
      </c>
      <c r="G858" s="11" t="s">
        <v>74</v>
      </c>
      <c r="H858" s="27">
        <v>2010.0</v>
      </c>
      <c r="I858" s="27">
        <v>87.0</v>
      </c>
      <c r="J858" s="40" t="s">
        <v>188</v>
      </c>
      <c r="K858" s="11" t="s">
        <v>188</v>
      </c>
      <c r="L858" s="29" t="s">
        <v>81</v>
      </c>
      <c r="M858" s="30" t="s">
        <v>222</v>
      </c>
      <c r="N858" s="11" t="s">
        <v>224</v>
      </c>
    </row>
    <row r="859">
      <c r="A859" s="11" t="s">
        <v>88</v>
      </c>
      <c r="B859" s="11" t="s">
        <v>20</v>
      </c>
      <c r="C859" s="11" t="s">
        <v>1035</v>
      </c>
      <c r="D859" s="11" t="s">
        <v>220</v>
      </c>
      <c r="E859" s="25" t="s">
        <v>1036</v>
      </c>
      <c r="F859" s="11" t="s">
        <v>640</v>
      </c>
      <c r="G859" s="11" t="s">
        <v>74</v>
      </c>
      <c r="H859" s="27">
        <v>2011.0</v>
      </c>
      <c r="I859" s="27">
        <v>84.0</v>
      </c>
      <c r="J859" s="40" t="s">
        <v>188</v>
      </c>
      <c r="K859" s="11" t="s">
        <v>188</v>
      </c>
      <c r="L859" s="29" t="s">
        <v>81</v>
      </c>
      <c r="M859" s="30" t="s">
        <v>222</v>
      </c>
      <c r="N859" s="11" t="s">
        <v>224</v>
      </c>
    </row>
    <row r="860">
      <c r="A860" s="11" t="s">
        <v>88</v>
      </c>
      <c r="B860" s="11" t="s">
        <v>20</v>
      </c>
      <c r="C860" s="11" t="s">
        <v>1035</v>
      </c>
      <c r="D860" s="11" t="s">
        <v>220</v>
      </c>
      <c r="E860" s="25" t="s">
        <v>1036</v>
      </c>
      <c r="F860" s="11" t="s">
        <v>640</v>
      </c>
      <c r="G860" s="11" t="s">
        <v>74</v>
      </c>
      <c r="H860" s="27">
        <v>2012.0</v>
      </c>
      <c r="I860" s="27">
        <v>82.0</v>
      </c>
      <c r="J860" s="40" t="s">
        <v>188</v>
      </c>
      <c r="K860" s="11" t="s">
        <v>188</v>
      </c>
      <c r="L860" s="29" t="s">
        <v>81</v>
      </c>
      <c r="M860" s="30" t="s">
        <v>222</v>
      </c>
      <c r="N860" s="11" t="s">
        <v>224</v>
      </c>
    </row>
    <row r="861">
      <c r="A861" s="11" t="s">
        <v>88</v>
      </c>
      <c r="B861" s="11" t="s">
        <v>20</v>
      </c>
      <c r="C861" s="11" t="s">
        <v>1035</v>
      </c>
      <c r="D861" s="11" t="s">
        <v>220</v>
      </c>
      <c r="E861" s="25" t="s">
        <v>1036</v>
      </c>
      <c r="F861" s="11" t="s">
        <v>640</v>
      </c>
      <c r="G861" s="11" t="s">
        <v>74</v>
      </c>
      <c r="H861" s="27">
        <v>2013.0</v>
      </c>
      <c r="I861" s="27">
        <v>78.0</v>
      </c>
      <c r="J861" s="40" t="s">
        <v>188</v>
      </c>
      <c r="K861" s="11" t="s">
        <v>188</v>
      </c>
      <c r="L861" s="29" t="s">
        <v>81</v>
      </c>
      <c r="M861" s="30" t="s">
        <v>222</v>
      </c>
      <c r="N861" s="11" t="s">
        <v>224</v>
      </c>
    </row>
    <row r="862">
      <c r="A862" s="11" t="s">
        <v>88</v>
      </c>
      <c r="B862" s="11" t="s">
        <v>20</v>
      </c>
      <c r="C862" s="11" t="s">
        <v>1035</v>
      </c>
      <c r="D862" s="11" t="s">
        <v>220</v>
      </c>
      <c r="E862" s="25" t="s">
        <v>1036</v>
      </c>
      <c r="F862" s="11" t="s">
        <v>640</v>
      </c>
      <c r="G862" s="11" t="s">
        <v>74</v>
      </c>
      <c r="H862" s="27">
        <v>2014.0</v>
      </c>
      <c r="I862" s="27">
        <v>81.0</v>
      </c>
      <c r="J862" s="40" t="s">
        <v>188</v>
      </c>
      <c r="K862" s="11" t="s">
        <v>188</v>
      </c>
      <c r="L862" s="29" t="s">
        <v>81</v>
      </c>
      <c r="M862" s="30" t="s">
        <v>222</v>
      </c>
      <c r="N862" s="11" t="s">
        <v>224</v>
      </c>
    </row>
    <row r="863">
      <c r="A863" s="11" t="s">
        <v>88</v>
      </c>
      <c r="B863" s="11" t="s">
        <v>20</v>
      </c>
      <c r="C863" s="11" t="s">
        <v>1035</v>
      </c>
      <c r="D863" s="11" t="s">
        <v>220</v>
      </c>
      <c r="E863" s="25" t="s">
        <v>1036</v>
      </c>
      <c r="F863" s="11" t="s">
        <v>640</v>
      </c>
      <c r="G863" s="11" t="s">
        <v>74</v>
      </c>
      <c r="H863" s="27">
        <v>2015.0</v>
      </c>
      <c r="I863" s="27">
        <v>83.0</v>
      </c>
      <c r="J863" s="40" t="s">
        <v>188</v>
      </c>
      <c r="K863" s="11" t="s">
        <v>188</v>
      </c>
      <c r="L863" s="29" t="s">
        <v>81</v>
      </c>
      <c r="M863" s="30" t="s">
        <v>222</v>
      </c>
      <c r="N863" s="11" t="s">
        <v>224</v>
      </c>
    </row>
    <row r="864">
      <c r="A864" s="11" t="s">
        <v>88</v>
      </c>
      <c r="B864" s="11" t="s">
        <v>20</v>
      </c>
      <c r="C864" s="11" t="s">
        <v>1035</v>
      </c>
      <c r="D864" s="11" t="s">
        <v>220</v>
      </c>
      <c r="E864" s="25" t="s">
        <v>1036</v>
      </c>
      <c r="F864" s="11" t="s">
        <v>640</v>
      </c>
      <c r="G864" s="11" t="s">
        <v>74</v>
      </c>
      <c r="H864" s="27">
        <v>2016.0</v>
      </c>
      <c r="I864" s="27">
        <v>77.0</v>
      </c>
      <c r="J864" s="40" t="s">
        <v>188</v>
      </c>
      <c r="K864" s="11" t="s">
        <v>188</v>
      </c>
      <c r="L864" s="29" t="s">
        <v>81</v>
      </c>
      <c r="M864" s="30" t="s">
        <v>222</v>
      </c>
      <c r="N864" s="11" t="s">
        <v>224</v>
      </c>
    </row>
    <row r="865">
      <c r="A865" s="11" t="s">
        <v>88</v>
      </c>
      <c r="B865" s="11" t="s">
        <v>20</v>
      </c>
      <c r="C865" s="11" t="s">
        <v>1035</v>
      </c>
      <c r="D865" s="11" t="s">
        <v>220</v>
      </c>
      <c r="E865" s="25" t="s">
        <v>1036</v>
      </c>
      <c r="F865" s="11" t="s">
        <v>640</v>
      </c>
      <c r="G865" s="11" t="s">
        <v>74</v>
      </c>
      <c r="H865" s="27">
        <v>2017.0</v>
      </c>
      <c r="I865" s="27">
        <v>75.0</v>
      </c>
      <c r="J865" s="40" t="s">
        <v>188</v>
      </c>
      <c r="K865" s="11" t="s">
        <v>188</v>
      </c>
      <c r="L865" s="29" t="s">
        <v>81</v>
      </c>
      <c r="M865" s="30" t="s">
        <v>222</v>
      </c>
      <c r="N865" s="11" t="s">
        <v>224</v>
      </c>
    </row>
    <row r="866">
      <c r="A866" s="11" t="s">
        <v>88</v>
      </c>
      <c r="B866" s="11" t="s">
        <v>20</v>
      </c>
      <c r="C866" s="11" t="s">
        <v>1035</v>
      </c>
      <c r="D866" s="11" t="s">
        <v>220</v>
      </c>
      <c r="E866" s="25" t="s">
        <v>1036</v>
      </c>
      <c r="F866" s="11" t="s">
        <v>640</v>
      </c>
      <c r="G866" s="11" t="s">
        <v>74</v>
      </c>
      <c r="H866" s="27">
        <v>2018.0</v>
      </c>
      <c r="I866" s="27">
        <v>73.0</v>
      </c>
      <c r="J866" s="40" t="s">
        <v>188</v>
      </c>
      <c r="K866" s="11" t="s">
        <v>188</v>
      </c>
      <c r="L866" s="29" t="s">
        <v>81</v>
      </c>
      <c r="M866" s="30" t="s">
        <v>222</v>
      </c>
      <c r="N866" s="11" t="s">
        <v>224</v>
      </c>
    </row>
    <row r="867">
      <c r="A867" s="11" t="s">
        <v>88</v>
      </c>
      <c r="B867" s="11" t="s">
        <v>20</v>
      </c>
      <c r="C867" s="11" t="s">
        <v>1035</v>
      </c>
      <c r="D867" s="11" t="s">
        <v>220</v>
      </c>
      <c r="E867" s="25" t="s">
        <v>1036</v>
      </c>
      <c r="F867" s="11" t="s">
        <v>640</v>
      </c>
      <c r="G867" s="11" t="s">
        <v>74</v>
      </c>
      <c r="H867" s="27">
        <v>2019.0</v>
      </c>
      <c r="I867" s="27">
        <v>72.0</v>
      </c>
      <c r="J867" s="40" t="s">
        <v>188</v>
      </c>
      <c r="K867" s="11" t="s">
        <v>188</v>
      </c>
      <c r="L867" s="29" t="s">
        <v>81</v>
      </c>
      <c r="M867" s="30" t="s">
        <v>222</v>
      </c>
      <c r="N867" s="11" t="s">
        <v>224</v>
      </c>
    </row>
    <row r="868">
      <c r="A868" s="11" t="s">
        <v>88</v>
      </c>
      <c r="B868" s="11" t="s">
        <v>20</v>
      </c>
      <c r="C868" s="11" t="s">
        <v>1035</v>
      </c>
      <c r="D868" s="11" t="s">
        <v>220</v>
      </c>
      <c r="E868" s="25" t="s">
        <v>1036</v>
      </c>
      <c r="F868" s="11" t="s">
        <v>640</v>
      </c>
      <c r="G868" s="11" t="s">
        <v>74</v>
      </c>
      <c r="H868" s="27">
        <v>2020.0</v>
      </c>
      <c r="I868" s="27">
        <v>74.0</v>
      </c>
      <c r="J868" s="40" t="s">
        <v>188</v>
      </c>
      <c r="K868" s="11" t="s">
        <v>188</v>
      </c>
      <c r="L868" s="29" t="s">
        <v>81</v>
      </c>
      <c r="M868" s="30" t="s">
        <v>222</v>
      </c>
      <c r="N868" s="11" t="s">
        <v>224</v>
      </c>
    </row>
    <row r="869">
      <c r="A869" s="11" t="s">
        <v>88</v>
      </c>
      <c r="B869" s="11" t="s">
        <v>20</v>
      </c>
      <c r="C869" s="11" t="s">
        <v>1035</v>
      </c>
      <c r="D869" s="11" t="s">
        <v>220</v>
      </c>
      <c r="E869" s="25" t="s">
        <v>1036</v>
      </c>
      <c r="F869" s="11" t="s">
        <v>640</v>
      </c>
      <c r="G869" s="11" t="s">
        <v>74</v>
      </c>
      <c r="H869" s="27">
        <v>2021.0</v>
      </c>
      <c r="I869" s="27">
        <v>73.0</v>
      </c>
      <c r="J869" s="40" t="s">
        <v>188</v>
      </c>
      <c r="K869" s="11" t="s">
        <v>188</v>
      </c>
      <c r="L869" s="29" t="s">
        <v>81</v>
      </c>
      <c r="M869" s="30" t="s">
        <v>222</v>
      </c>
      <c r="N869" s="11" t="s">
        <v>224</v>
      </c>
    </row>
    <row r="870">
      <c r="A870" s="45" t="s">
        <v>57</v>
      </c>
      <c r="B870" s="45" t="s">
        <v>20</v>
      </c>
      <c r="C870" s="45" t="s">
        <v>353</v>
      </c>
      <c r="D870" s="45" t="s">
        <v>591</v>
      </c>
      <c r="E870" s="11" t="s">
        <v>1052</v>
      </c>
      <c r="F870" s="25" t="s">
        <v>257</v>
      </c>
      <c r="G870" s="45" t="s">
        <v>1053</v>
      </c>
      <c r="H870" s="47">
        <v>1991.0</v>
      </c>
      <c r="I870" s="48">
        <v>23739.0</v>
      </c>
      <c r="J870" s="48">
        <v>4472.0</v>
      </c>
      <c r="K870" s="29">
        <v>122477.0</v>
      </c>
      <c r="L870" s="29" t="s">
        <v>939</v>
      </c>
      <c r="M870" s="110" t="s">
        <v>1055</v>
      </c>
      <c r="N870" s="52"/>
      <c r="O870" s="25"/>
      <c r="P870" s="51"/>
      <c r="Q870" s="51"/>
      <c r="R870" s="51"/>
      <c r="S870" s="51"/>
      <c r="T870" s="51"/>
      <c r="U870" s="51"/>
      <c r="V870" s="51"/>
      <c r="W870" s="51"/>
      <c r="X870" s="51"/>
      <c r="Y870" s="51"/>
      <c r="Z870" s="51"/>
      <c r="AA870" s="51"/>
      <c r="AB870" s="51"/>
      <c r="AC870" s="51"/>
      <c r="AD870" s="51"/>
      <c r="AE870" s="51"/>
      <c r="AF870" s="51"/>
      <c r="AG870" s="51"/>
      <c r="AH870" s="51"/>
    </row>
    <row r="871">
      <c r="A871" s="45" t="s">
        <v>57</v>
      </c>
      <c r="B871" s="45" t="s">
        <v>20</v>
      </c>
      <c r="C871" s="45" t="s">
        <v>353</v>
      </c>
      <c r="D871" s="45" t="s">
        <v>591</v>
      </c>
      <c r="E871" s="11" t="s">
        <v>1052</v>
      </c>
      <c r="F871" s="25" t="s">
        <v>257</v>
      </c>
      <c r="G871" s="45" t="s">
        <v>1053</v>
      </c>
      <c r="H871" s="47">
        <v>1993.0</v>
      </c>
      <c r="I871" s="48">
        <v>12729.0</v>
      </c>
      <c r="J871" s="48">
        <v>2408.0</v>
      </c>
      <c r="K871" s="29">
        <v>75000.0</v>
      </c>
      <c r="L871" s="29" t="s">
        <v>939</v>
      </c>
      <c r="M871" s="110" t="s">
        <v>1055</v>
      </c>
      <c r="N871" s="52"/>
      <c r="O871" s="25"/>
      <c r="P871" s="51"/>
      <c r="Q871" s="51"/>
      <c r="R871" s="51"/>
      <c r="S871" s="51"/>
      <c r="T871" s="51"/>
      <c r="U871" s="51"/>
      <c r="V871" s="51"/>
      <c r="W871" s="51"/>
      <c r="X871" s="51"/>
      <c r="Y871" s="51"/>
      <c r="Z871" s="51"/>
      <c r="AA871" s="51"/>
      <c r="AB871" s="51"/>
      <c r="AC871" s="51"/>
      <c r="AD871" s="51"/>
      <c r="AE871" s="51"/>
      <c r="AF871" s="51"/>
      <c r="AG871" s="51"/>
      <c r="AH871" s="51"/>
    </row>
    <row r="872">
      <c r="A872" s="45" t="s">
        <v>57</v>
      </c>
      <c r="B872" s="45" t="s">
        <v>20</v>
      </c>
      <c r="C872" s="45" t="s">
        <v>353</v>
      </c>
      <c r="D872" s="45" t="s">
        <v>591</v>
      </c>
      <c r="E872" s="11" t="s">
        <v>1052</v>
      </c>
      <c r="F872" s="25" t="s">
        <v>257</v>
      </c>
      <c r="G872" s="45" t="s">
        <v>1053</v>
      </c>
      <c r="H872" s="47">
        <v>1996.0</v>
      </c>
      <c r="I872" s="48">
        <v>70183.0</v>
      </c>
      <c r="J872" s="48">
        <v>19266.0</v>
      </c>
      <c r="K872" s="29" t="s">
        <v>188</v>
      </c>
      <c r="L872" s="29" t="s">
        <v>939</v>
      </c>
      <c r="M872" s="110" t="s">
        <v>1055</v>
      </c>
      <c r="N872" s="52"/>
      <c r="O872" s="25"/>
      <c r="P872" s="51"/>
      <c r="Q872" s="51"/>
      <c r="R872" s="51"/>
      <c r="S872" s="51"/>
      <c r="T872" s="51"/>
      <c r="U872" s="51"/>
      <c r="V872" s="51"/>
      <c r="W872" s="51"/>
      <c r="X872" s="51"/>
      <c r="Y872" s="51"/>
      <c r="Z872" s="51"/>
      <c r="AA872" s="51"/>
      <c r="AB872" s="51"/>
      <c r="AC872" s="51"/>
      <c r="AD872" s="51"/>
      <c r="AE872" s="51"/>
      <c r="AF872" s="51"/>
      <c r="AG872" s="51"/>
      <c r="AH872" s="51"/>
    </row>
    <row r="873">
      <c r="A873" s="45" t="s">
        <v>57</v>
      </c>
      <c r="B873" s="45" t="s">
        <v>20</v>
      </c>
      <c r="C873" s="45" t="s">
        <v>353</v>
      </c>
      <c r="D873" s="45" t="s">
        <v>591</v>
      </c>
      <c r="E873" s="11" t="s">
        <v>1052</v>
      </c>
      <c r="F873" s="25" t="s">
        <v>257</v>
      </c>
      <c r="G873" s="45" t="s">
        <v>1053</v>
      </c>
      <c r="H873" s="47">
        <v>2001.0</v>
      </c>
      <c r="I873" s="48">
        <v>34060.0</v>
      </c>
      <c r="J873" s="48">
        <v>5849.0</v>
      </c>
      <c r="K873" s="29" t="s">
        <v>188</v>
      </c>
      <c r="L873" s="29" t="s">
        <v>939</v>
      </c>
      <c r="M873" s="110" t="s">
        <v>1055</v>
      </c>
      <c r="N873" s="52"/>
      <c r="O873" s="25"/>
      <c r="P873" s="51"/>
      <c r="Q873" s="51"/>
      <c r="R873" s="51"/>
      <c r="S873" s="51"/>
      <c r="T873" s="51"/>
      <c r="U873" s="51"/>
      <c r="V873" s="51"/>
      <c r="W873" s="51"/>
      <c r="X873" s="51"/>
      <c r="Y873" s="51"/>
      <c r="Z873" s="51"/>
      <c r="AA873" s="51"/>
      <c r="AB873" s="51"/>
      <c r="AC873" s="51"/>
      <c r="AD873" s="51"/>
      <c r="AE873" s="51"/>
      <c r="AF873" s="51"/>
      <c r="AG873" s="51"/>
      <c r="AH873" s="51"/>
    </row>
    <row r="874">
      <c r="A874" s="45" t="s">
        <v>57</v>
      </c>
      <c r="B874" s="45" t="s">
        <v>20</v>
      </c>
      <c r="C874" s="45" t="s">
        <v>353</v>
      </c>
      <c r="D874" s="45" t="s">
        <v>591</v>
      </c>
      <c r="E874" s="11" t="s">
        <v>1052</v>
      </c>
      <c r="F874" s="25" t="s">
        <v>257</v>
      </c>
      <c r="G874" s="45" t="s">
        <v>1053</v>
      </c>
      <c r="H874" s="47">
        <v>2005.0</v>
      </c>
      <c r="I874" s="48">
        <v>15138.0</v>
      </c>
      <c r="J874" s="48">
        <v>3096.0</v>
      </c>
      <c r="K874" s="29">
        <v>77604.0</v>
      </c>
      <c r="L874" s="29" t="s">
        <v>939</v>
      </c>
      <c r="M874" s="110" t="s">
        <v>1055</v>
      </c>
      <c r="N874" s="52"/>
      <c r="O874" s="25"/>
      <c r="P874" s="51"/>
      <c r="Q874" s="51"/>
      <c r="R874" s="51"/>
      <c r="S874" s="51"/>
      <c r="T874" s="51"/>
      <c r="U874" s="51"/>
      <c r="V874" s="51"/>
      <c r="W874" s="51"/>
      <c r="X874" s="51"/>
      <c r="Y874" s="51"/>
      <c r="Z874" s="51"/>
      <c r="AA874" s="51"/>
      <c r="AB874" s="51"/>
      <c r="AC874" s="51"/>
      <c r="AD874" s="51"/>
      <c r="AE874" s="51"/>
      <c r="AF874" s="51"/>
      <c r="AG874" s="51"/>
      <c r="AH874" s="51"/>
    </row>
    <row r="875">
      <c r="A875" s="45" t="s">
        <v>57</v>
      </c>
      <c r="B875" s="45" t="s">
        <v>20</v>
      </c>
      <c r="C875" s="45" t="s">
        <v>353</v>
      </c>
      <c r="D875" s="45" t="s">
        <v>591</v>
      </c>
      <c r="E875" s="11" t="s">
        <v>1052</v>
      </c>
      <c r="F875" s="25" t="s">
        <v>257</v>
      </c>
      <c r="G875" s="45" t="s">
        <v>1053</v>
      </c>
      <c r="H875" s="47">
        <v>2008.0</v>
      </c>
      <c r="I875" s="48">
        <v>113876.0</v>
      </c>
      <c r="J875" s="48">
        <v>25803.0</v>
      </c>
      <c r="K875" s="29" t="s">
        <v>188</v>
      </c>
      <c r="L875" s="29" t="s">
        <v>939</v>
      </c>
      <c r="M875" s="110" t="s">
        <v>1055</v>
      </c>
      <c r="N875" s="52"/>
      <c r="O875" s="25"/>
      <c r="P875" s="51"/>
      <c r="Q875" s="51"/>
      <c r="R875" s="51"/>
      <c r="S875" s="51"/>
      <c r="T875" s="51"/>
      <c r="U875" s="51"/>
      <c r="V875" s="51"/>
      <c r="W875" s="51"/>
      <c r="X875" s="51"/>
      <c r="Y875" s="51"/>
      <c r="Z875" s="51"/>
      <c r="AA875" s="51"/>
      <c r="AB875" s="51"/>
      <c r="AC875" s="51"/>
      <c r="AD875" s="51"/>
      <c r="AE875" s="51"/>
      <c r="AF875" s="51"/>
      <c r="AG875" s="51"/>
      <c r="AH875" s="51"/>
    </row>
    <row r="876">
      <c r="A876" s="45" t="s">
        <v>57</v>
      </c>
      <c r="B876" s="45" t="s">
        <v>20</v>
      </c>
      <c r="C876" s="45" t="s">
        <v>353</v>
      </c>
      <c r="D876" s="45" t="s">
        <v>591</v>
      </c>
      <c r="E876" s="11" t="s">
        <v>1052</v>
      </c>
      <c r="F876" s="25" t="s">
        <v>257</v>
      </c>
      <c r="G876" s="45" t="s">
        <v>1053</v>
      </c>
      <c r="H876" s="47">
        <v>2014.0</v>
      </c>
      <c r="I876" s="48">
        <v>89794.0</v>
      </c>
      <c r="J876" s="48">
        <v>31307.0</v>
      </c>
      <c r="K876" s="29" t="s">
        <v>188</v>
      </c>
      <c r="L876" s="29" t="s">
        <v>939</v>
      </c>
      <c r="M876" s="110" t="s">
        <v>1055</v>
      </c>
      <c r="N876" s="52"/>
      <c r="O876" s="25"/>
      <c r="P876" s="51"/>
      <c r="Q876" s="51"/>
      <c r="R876" s="51"/>
      <c r="S876" s="51"/>
      <c r="T876" s="51"/>
      <c r="U876" s="51"/>
      <c r="V876" s="51"/>
      <c r="W876" s="51"/>
      <c r="X876" s="51"/>
      <c r="Y876" s="51"/>
      <c r="Z876" s="51"/>
      <c r="AA876" s="51"/>
      <c r="AB876" s="51"/>
      <c r="AC876" s="51"/>
      <c r="AD876" s="51"/>
      <c r="AE876" s="51"/>
      <c r="AF876" s="51"/>
      <c r="AG876" s="51"/>
      <c r="AH876" s="51"/>
    </row>
    <row r="877">
      <c r="A877" s="45" t="s">
        <v>57</v>
      </c>
      <c r="B877" s="11" t="s">
        <v>20</v>
      </c>
      <c r="C877" s="45" t="s">
        <v>353</v>
      </c>
      <c r="D877" s="11" t="s">
        <v>591</v>
      </c>
      <c r="E877" s="11" t="s">
        <v>1052</v>
      </c>
      <c r="F877" s="11" t="s">
        <v>157</v>
      </c>
      <c r="G877" s="11" t="s">
        <v>158</v>
      </c>
      <c r="H877" s="11">
        <v>1996.0</v>
      </c>
      <c r="I877" s="41">
        <v>57623.0</v>
      </c>
      <c r="J877" s="41">
        <v>37370.0</v>
      </c>
      <c r="K877" s="41">
        <v>88851.0</v>
      </c>
      <c r="L877" s="42" t="s">
        <v>160</v>
      </c>
      <c r="M877" s="110" t="s">
        <v>1055</v>
      </c>
    </row>
    <row r="878">
      <c r="A878" s="45" t="s">
        <v>57</v>
      </c>
      <c r="B878" s="11" t="s">
        <v>20</v>
      </c>
      <c r="C878" s="45" t="s">
        <v>353</v>
      </c>
      <c r="D878" s="11" t="s">
        <v>591</v>
      </c>
      <c r="E878" s="11" t="s">
        <v>1052</v>
      </c>
      <c r="F878" s="11" t="s">
        <v>157</v>
      </c>
      <c r="G878" s="11" t="s">
        <v>158</v>
      </c>
      <c r="H878" s="11">
        <v>2001.0</v>
      </c>
      <c r="I878" s="41">
        <v>53044.0</v>
      </c>
      <c r="J878" s="41">
        <v>35381.0</v>
      </c>
      <c r="K878" s="41">
        <v>79524.0</v>
      </c>
      <c r="L878" s="42" t="s">
        <v>160</v>
      </c>
      <c r="M878" s="110" t="s">
        <v>1055</v>
      </c>
    </row>
    <row r="879">
      <c r="A879" s="45" t="s">
        <v>57</v>
      </c>
      <c r="B879" s="11" t="s">
        <v>20</v>
      </c>
      <c r="C879" s="45" t="s">
        <v>353</v>
      </c>
      <c r="D879" s="11" t="s">
        <v>591</v>
      </c>
      <c r="E879" s="11" t="s">
        <v>1052</v>
      </c>
      <c r="F879" s="11" t="s">
        <v>157</v>
      </c>
      <c r="G879" s="11" t="s">
        <v>158</v>
      </c>
      <c r="H879" s="11">
        <v>2005.0</v>
      </c>
      <c r="I879" s="41">
        <v>52356.0</v>
      </c>
      <c r="J879" s="41">
        <v>34170.0</v>
      </c>
      <c r="K879" s="41">
        <v>80221.0</v>
      </c>
      <c r="L879" s="42" t="s">
        <v>160</v>
      </c>
      <c r="M879" s="110" t="s">
        <v>1055</v>
      </c>
    </row>
    <row r="880">
      <c r="A880" s="45" t="s">
        <v>57</v>
      </c>
      <c r="B880" s="11" t="s">
        <v>20</v>
      </c>
      <c r="C880" s="45" t="s">
        <v>353</v>
      </c>
      <c r="D880" s="11" t="s">
        <v>591</v>
      </c>
      <c r="E880" s="11" t="s">
        <v>1052</v>
      </c>
      <c r="F880" s="11" t="s">
        <v>157</v>
      </c>
      <c r="G880" s="11" t="s">
        <v>158</v>
      </c>
      <c r="H880" s="11">
        <v>2008.0</v>
      </c>
      <c r="I880" s="41">
        <v>58624.0</v>
      </c>
      <c r="J880" s="41">
        <v>40799.0</v>
      </c>
      <c r="K880" s="41">
        <v>84236.0</v>
      </c>
      <c r="L880" s="42" t="s">
        <v>160</v>
      </c>
      <c r="M880" s="110" t="s">
        <v>1055</v>
      </c>
    </row>
    <row r="881">
      <c r="A881" s="45" t="s">
        <v>57</v>
      </c>
      <c r="B881" s="11" t="s">
        <v>20</v>
      </c>
      <c r="C881" s="45" t="s">
        <v>353</v>
      </c>
      <c r="D881" s="11" t="s">
        <v>591</v>
      </c>
      <c r="E881" s="11" t="s">
        <v>1052</v>
      </c>
      <c r="F881" s="11" t="s">
        <v>157</v>
      </c>
      <c r="G881" s="11" t="s">
        <v>158</v>
      </c>
      <c r="H881" s="11">
        <v>2014.0</v>
      </c>
      <c r="I881" s="41">
        <v>58794.0</v>
      </c>
      <c r="J881" s="41">
        <v>40380.0</v>
      </c>
      <c r="K881" s="41">
        <v>85605.0</v>
      </c>
      <c r="L881" s="42" t="s">
        <v>160</v>
      </c>
      <c r="M881" s="110" t="s">
        <v>1055</v>
      </c>
    </row>
    <row r="882">
      <c r="A882" s="45" t="s">
        <v>57</v>
      </c>
      <c r="B882" s="11" t="s">
        <v>20</v>
      </c>
      <c r="C882" s="45" t="s">
        <v>353</v>
      </c>
      <c r="D882" s="11" t="s">
        <v>591</v>
      </c>
      <c r="E882" s="11" t="s">
        <v>1052</v>
      </c>
      <c r="F882" s="11" t="s">
        <v>157</v>
      </c>
      <c r="G882" s="11" t="s">
        <v>158</v>
      </c>
      <c r="H882" s="11">
        <v>2018.0</v>
      </c>
      <c r="I882" s="41">
        <v>83379.0</v>
      </c>
      <c r="J882" s="41">
        <v>54823.0</v>
      </c>
      <c r="K882" s="41">
        <v>126809.0</v>
      </c>
      <c r="L882" s="42" t="s">
        <v>160</v>
      </c>
      <c r="M882" s="110" t="s">
        <v>1055</v>
      </c>
      <c r="N882" s="11"/>
    </row>
    <row r="883">
      <c r="A883" s="11" t="s">
        <v>1061</v>
      </c>
      <c r="B883" s="11" t="s">
        <v>20</v>
      </c>
      <c r="C883" s="11" t="s">
        <v>68</v>
      </c>
      <c r="D883" s="11" t="s">
        <v>301</v>
      </c>
      <c r="E883" s="11" t="s">
        <v>1062</v>
      </c>
      <c r="F883" s="11" t="s">
        <v>257</v>
      </c>
      <c r="G883" s="11" t="s">
        <v>74</v>
      </c>
      <c r="H883" s="11">
        <v>1991.0</v>
      </c>
      <c r="I883" s="40">
        <v>1702.0</v>
      </c>
      <c r="J883" s="111">
        <v>769.0</v>
      </c>
      <c r="K883" s="11">
        <v>4034.0</v>
      </c>
      <c r="L883" s="29" t="s">
        <v>81</v>
      </c>
      <c r="M883" s="57" t="s">
        <v>303</v>
      </c>
      <c r="N883" s="113" t="s">
        <v>1065</v>
      </c>
    </row>
    <row r="884">
      <c r="A884" s="11" t="s">
        <v>1061</v>
      </c>
      <c r="B884" s="11" t="s">
        <v>20</v>
      </c>
      <c r="C884" s="11" t="s">
        <v>68</v>
      </c>
      <c r="D884" s="11" t="s">
        <v>301</v>
      </c>
      <c r="E884" s="11" t="s">
        <v>1062</v>
      </c>
      <c r="F884" s="11" t="s">
        <v>257</v>
      </c>
      <c r="G884" s="11" t="s">
        <v>74</v>
      </c>
      <c r="H884" s="11">
        <v>1993.0</v>
      </c>
      <c r="I884" s="40">
        <v>2438.0</v>
      </c>
      <c r="J884" s="40">
        <v>1058.0</v>
      </c>
      <c r="K884" s="11">
        <v>6015.0</v>
      </c>
      <c r="L884" s="29" t="s">
        <v>81</v>
      </c>
      <c r="M884" s="57" t="s">
        <v>303</v>
      </c>
      <c r="N884" s="113" t="s">
        <v>1066</v>
      </c>
    </row>
    <row r="885">
      <c r="A885" s="11" t="s">
        <v>1061</v>
      </c>
      <c r="B885" s="11" t="s">
        <v>20</v>
      </c>
      <c r="C885" s="11" t="s">
        <v>68</v>
      </c>
      <c r="D885" s="11" t="s">
        <v>301</v>
      </c>
      <c r="E885" s="11" t="s">
        <v>1062</v>
      </c>
      <c r="F885" s="11" t="s">
        <v>257</v>
      </c>
      <c r="G885" s="11" t="s">
        <v>74</v>
      </c>
      <c r="H885" s="11">
        <v>1996.0</v>
      </c>
      <c r="I885" s="40">
        <v>2657.0</v>
      </c>
      <c r="J885" s="40">
        <v>1158.0</v>
      </c>
      <c r="K885" s="11">
        <v>6252.0</v>
      </c>
      <c r="L885" s="29" t="s">
        <v>81</v>
      </c>
      <c r="M885" s="57" t="s">
        <v>303</v>
      </c>
      <c r="N885" s="113" t="s">
        <v>1067</v>
      </c>
    </row>
    <row r="886">
      <c r="A886" s="11" t="s">
        <v>1061</v>
      </c>
      <c r="B886" s="11" t="s">
        <v>20</v>
      </c>
      <c r="C886" s="11" t="s">
        <v>68</v>
      </c>
      <c r="D886" s="11" t="s">
        <v>301</v>
      </c>
      <c r="E886" s="11" t="s">
        <v>1062</v>
      </c>
      <c r="F886" s="11" t="s">
        <v>257</v>
      </c>
      <c r="G886" s="11" t="s">
        <v>74</v>
      </c>
      <c r="H886" s="11">
        <v>2001.0</v>
      </c>
      <c r="I886" s="40">
        <v>1078.0</v>
      </c>
      <c r="J886" s="40">
        <v>265.0</v>
      </c>
      <c r="K886" s="11">
        <v>3069.0</v>
      </c>
      <c r="L886" s="29" t="s">
        <v>81</v>
      </c>
      <c r="M886" s="57" t="s">
        <v>303</v>
      </c>
      <c r="N886" s="113" t="s">
        <v>1068</v>
      </c>
    </row>
    <row r="887">
      <c r="A887" s="11" t="s">
        <v>1061</v>
      </c>
      <c r="B887" s="11" t="s">
        <v>20</v>
      </c>
      <c r="C887" s="11" t="s">
        <v>68</v>
      </c>
      <c r="D887" s="11" t="s">
        <v>301</v>
      </c>
      <c r="E887" s="11" t="s">
        <v>1062</v>
      </c>
      <c r="F887" s="11" t="s">
        <v>257</v>
      </c>
      <c r="G887" s="11" t="s">
        <v>74</v>
      </c>
      <c r="H887" s="11">
        <v>2005.0</v>
      </c>
      <c r="I887" s="40">
        <v>1227.0</v>
      </c>
      <c r="J887" s="40">
        <v>399.0</v>
      </c>
      <c r="K887" s="11">
        <v>3322.0</v>
      </c>
      <c r="L887" s="29" t="s">
        <v>81</v>
      </c>
      <c r="M887" s="57" t="s">
        <v>303</v>
      </c>
      <c r="N887" s="113" t="s">
        <v>1070</v>
      </c>
    </row>
    <row r="888">
      <c r="A888" s="11" t="s">
        <v>1061</v>
      </c>
      <c r="B888" s="11" t="s">
        <v>20</v>
      </c>
      <c r="C888" s="11" t="s">
        <v>68</v>
      </c>
      <c r="D888" s="11" t="s">
        <v>301</v>
      </c>
      <c r="E888" s="11" t="s">
        <v>1062</v>
      </c>
      <c r="F888" s="11" t="s">
        <v>257</v>
      </c>
      <c r="G888" s="11" t="s">
        <v>74</v>
      </c>
      <c r="H888" s="11">
        <v>2008.0</v>
      </c>
      <c r="I888" s="40">
        <v>1148.0</v>
      </c>
      <c r="J888" s="40">
        <v>329.0</v>
      </c>
      <c r="K888" s="11">
        <v>3183.0</v>
      </c>
      <c r="L888" s="29" t="s">
        <v>81</v>
      </c>
      <c r="M888" s="57" t="s">
        <v>303</v>
      </c>
      <c r="N888" s="113" t="s">
        <v>1071</v>
      </c>
    </row>
    <row r="889">
      <c r="A889" s="11" t="s">
        <v>1061</v>
      </c>
      <c r="B889" s="11" t="s">
        <v>20</v>
      </c>
      <c r="C889" s="11" t="s">
        <v>68</v>
      </c>
      <c r="D889" s="11" t="s">
        <v>301</v>
      </c>
      <c r="E889" s="11" t="s">
        <v>1062</v>
      </c>
      <c r="F889" s="11" t="s">
        <v>257</v>
      </c>
      <c r="G889" s="11" t="s">
        <v>74</v>
      </c>
      <c r="H889" s="11">
        <v>2014.0</v>
      </c>
      <c r="I889" s="40">
        <v>3044.0</v>
      </c>
      <c r="J889" s="40">
        <v>1042.0</v>
      </c>
      <c r="K889" s="11">
        <v>7999.0</v>
      </c>
      <c r="L889" s="29" t="s">
        <v>81</v>
      </c>
      <c r="M889" s="57" t="s">
        <v>303</v>
      </c>
      <c r="N889" s="113" t="s">
        <v>1072</v>
      </c>
    </row>
    <row r="890">
      <c r="A890" s="11" t="s">
        <v>57</v>
      </c>
      <c r="B890" s="11" t="s">
        <v>20</v>
      </c>
      <c r="C890" s="11" t="s">
        <v>68</v>
      </c>
      <c r="D890" s="11" t="s">
        <v>610</v>
      </c>
      <c r="E890" s="11" t="s">
        <v>1074</v>
      </c>
      <c r="F890" s="11" t="s">
        <v>257</v>
      </c>
      <c r="G890" s="11" t="s">
        <v>74</v>
      </c>
      <c r="H890" s="11">
        <v>1991.0</v>
      </c>
      <c r="I890" s="116">
        <v>385.0</v>
      </c>
      <c r="J890" s="116">
        <v>52.0</v>
      </c>
      <c r="K890" s="117">
        <v>1971.0</v>
      </c>
      <c r="L890" s="42" t="s">
        <v>939</v>
      </c>
      <c r="M890" s="39" t="s">
        <v>1075</v>
      </c>
      <c r="N890" s="11"/>
    </row>
    <row r="891">
      <c r="A891" s="11" t="s">
        <v>57</v>
      </c>
      <c r="B891" s="11" t="s">
        <v>20</v>
      </c>
      <c r="C891" s="11" t="s">
        <v>68</v>
      </c>
      <c r="D891" s="11" t="s">
        <v>610</v>
      </c>
      <c r="E891" s="11" t="s">
        <v>1074</v>
      </c>
      <c r="F891" s="11" t="s">
        <v>257</v>
      </c>
      <c r="G891" s="11" t="s">
        <v>74</v>
      </c>
      <c r="H891" s="11">
        <v>1996.0</v>
      </c>
      <c r="I891" s="116">
        <v>1414.0</v>
      </c>
      <c r="J891" s="116">
        <v>263.0</v>
      </c>
      <c r="K891" s="117">
        <v>7734.0</v>
      </c>
      <c r="L891" s="42" t="s">
        <v>939</v>
      </c>
      <c r="M891" s="39" t="s">
        <v>1075</v>
      </c>
      <c r="N891" s="11"/>
    </row>
    <row r="892">
      <c r="A892" s="11" t="s">
        <v>57</v>
      </c>
      <c r="B892" s="11" t="s">
        <v>20</v>
      </c>
      <c r="C892" s="11" t="s">
        <v>68</v>
      </c>
      <c r="D892" s="11" t="s">
        <v>610</v>
      </c>
      <c r="E892" s="11" t="s">
        <v>1074</v>
      </c>
      <c r="F892" s="11" t="s">
        <v>257</v>
      </c>
      <c r="G892" s="11" t="s">
        <v>74</v>
      </c>
      <c r="H892" s="11">
        <v>2001.0</v>
      </c>
      <c r="I892" s="116">
        <v>959.0</v>
      </c>
      <c r="J892" s="116">
        <v>191.0</v>
      </c>
      <c r="K892" s="117">
        <v>4643.0</v>
      </c>
      <c r="L892" s="42" t="s">
        <v>939</v>
      </c>
      <c r="M892" s="39" t="s">
        <v>1075</v>
      </c>
      <c r="N892" s="11"/>
    </row>
    <row r="893">
      <c r="A893" s="11" t="s">
        <v>57</v>
      </c>
      <c r="B893" s="11" t="s">
        <v>20</v>
      </c>
      <c r="C893" s="11" t="s">
        <v>68</v>
      </c>
      <c r="D893" s="11" t="s">
        <v>610</v>
      </c>
      <c r="E893" s="11" t="s">
        <v>1074</v>
      </c>
      <c r="F893" s="11" t="s">
        <v>257</v>
      </c>
      <c r="G893" s="11" t="s">
        <v>74</v>
      </c>
      <c r="H893" s="11">
        <v>2005.0</v>
      </c>
      <c r="I893" s="116">
        <v>1347.0</v>
      </c>
      <c r="J893" s="116">
        <v>145.0</v>
      </c>
      <c r="K893" s="117">
        <v>12708.0</v>
      </c>
      <c r="L893" s="42" t="s">
        <v>939</v>
      </c>
      <c r="M893" s="39" t="s">
        <v>1075</v>
      </c>
      <c r="N893" s="11"/>
    </row>
    <row r="894">
      <c r="A894" s="11" t="s">
        <v>57</v>
      </c>
      <c r="B894" s="11" t="s">
        <v>20</v>
      </c>
      <c r="C894" s="11" t="s">
        <v>68</v>
      </c>
      <c r="D894" s="11" t="s">
        <v>610</v>
      </c>
      <c r="E894" s="11" t="s">
        <v>1074</v>
      </c>
      <c r="F894" s="11" t="s">
        <v>257</v>
      </c>
      <c r="G894" s="11" t="s">
        <v>74</v>
      </c>
      <c r="H894" s="11">
        <v>2008.0</v>
      </c>
      <c r="I894" s="116">
        <v>609.0</v>
      </c>
      <c r="J894" s="116">
        <v>97.0</v>
      </c>
      <c r="K894" s="117">
        <v>4242.0</v>
      </c>
      <c r="L894" s="42" t="s">
        <v>939</v>
      </c>
      <c r="M894" s="39" t="s">
        <v>1075</v>
      </c>
      <c r="N894" s="11"/>
    </row>
    <row r="895">
      <c r="A895" s="11" t="s">
        <v>57</v>
      </c>
      <c r="B895" s="11" t="s">
        <v>20</v>
      </c>
      <c r="C895" s="11" t="s">
        <v>68</v>
      </c>
      <c r="D895" s="11" t="s">
        <v>610</v>
      </c>
      <c r="E895" s="11" t="s">
        <v>1074</v>
      </c>
      <c r="F895" s="11" t="s">
        <v>257</v>
      </c>
      <c r="G895" s="11" t="s">
        <v>74</v>
      </c>
      <c r="H895" s="11">
        <v>2014.0</v>
      </c>
      <c r="I895" s="116">
        <v>692.0</v>
      </c>
      <c r="J895" s="116">
        <v>155.0</v>
      </c>
      <c r="K895" s="117">
        <v>3404.0</v>
      </c>
      <c r="L895" s="42" t="s">
        <v>939</v>
      </c>
      <c r="M895" s="39" t="s">
        <v>1075</v>
      </c>
      <c r="N895" s="11"/>
    </row>
    <row r="896">
      <c r="A896" s="11" t="s">
        <v>57</v>
      </c>
      <c r="B896" s="11" t="s">
        <v>20</v>
      </c>
      <c r="C896" s="11" t="s">
        <v>68</v>
      </c>
      <c r="D896" s="11" t="s">
        <v>610</v>
      </c>
      <c r="E896" s="11" t="s">
        <v>1074</v>
      </c>
      <c r="F896" s="11" t="s">
        <v>157</v>
      </c>
      <c r="G896" s="11" t="s">
        <v>74</v>
      </c>
      <c r="H896" s="11">
        <v>1996.0</v>
      </c>
      <c r="I896" s="116">
        <v>847.0</v>
      </c>
      <c r="J896" s="40">
        <v>214.0</v>
      </c>
      <c r="K896" s="41">
        <v>3358.0</v>
      </c>
      <c r="L896" s="42" t="s">
        <v>160</v>
      </c>
      <c r="M896" s="39" t="s">
        <v>1075</v>
      </c>
    </row>
    <row r="897">
      <c r="A897" s="11" t="s">
        <v>57</v>
      </c>
      <c r="B897" s="11" t="s">
        <v>20</v>
      </c>
      <c r="C897" s="11" t="s">
        <v>68</v>
      </c>
      <c r="D897" s="11" t="s">
        <v>610</v>
      </c>
      <c r="E897" s="11" t="s">
        <v>1074</v>
      </c>
      <c r="F897" s="11" t="s">
        <v>157</v>
      </c>
      <c r="G897" s="11" t="s">
        <v>158</v>
      </c>
      <c r="H897" s="11">
        <v>2001.0</v>
      </c>
      <c r="I897" s="40">
        <v>812.0</v>
      </c>
      <c r="J897" s="40">
        <v>206.0</v>
      </c>
      <c r="K897" s="41">
        <v>3200.0</v>
      </c>
      <c r="L897" s="42" t="s">
        <v>160</v>
      </c>
      <c r="M897" s="39" t="s">
        <v>1075</v>
      </c>
    </row>
    <row r="898">
      <c r="A898" s="11" t="s">
        <v>57</v>
      </c>
      <c r="B898" s="11" t="s">
        <v>20</v>
      </c>
      <c r="C898" s="11" t="s">
        <v>68</v>
      </c>
      <c r="D898" s="11" t="s">
        <v>610</v>
      </c>
      <c r="E898" s="11" t="s">
        <v>1074</v>
      </c>
      <c r="F898" s="11" t="s">
        <v>157</v>
      </c>
      <c r="G898" s="11" t="s">
        <v>158</v>
      </c>
      <c r="H898" s="11">
        <v>2005.0</v>
      </c>
      <c r="I898" s="40">
        <v>819.0</v>
      </c>
      <c r="J898" s="40">
        <v>208.0</v>
      </c>
      <c r="K898" s="41">
        <v>3227.0</v>
      </c>
      <c r="L898" s="42" t="s">
        <v>160</v>
      </c>
      <c r="M898" s="39" t="s">
        <v>1075</v>
      </c>
    </row>
    <row r="899">
      <c r="A899" s="11" t="s">
        <v>57</v>
      </c>
      <c r="B899" s="11" t="s">
        <v>20</v>
      </c>
      <c r="C899" s="11" t="s">
        <v>68</v>
      </c>
      <c r="D899" s="11" t="s">
        <v>610</v>
      </c>
      <c r="E899" s="11" t="s">
        <v>1074</v>
      </c>
      <c r="F899" s="11" t="s">
        <v>157</v>
      </c>
      <c r="G899" s="11" t="s">
        <v>158</v>
      </c>
      <c r="H899" s="11">
        <v>2008.0</v>
      </c>
      <c r="I899" s="40">
        <v>804.0</v>
      </c>
      <c r="J899" s="40">
        <v>204.0</v>
      </c>
      <c r="K899" s="41">
        <v>3170.0</v>
      </c>
      <c r="L899" s="42" t="s">
        <v>160</v>
      </c>
      <c r="M899" s="39" t="s">
        <v>1075</v>
      </c>
    </row>
    <row r="900">
      <c r="A900" s="11" t="s">
        <v>57</v>
      </c>
      <c r="B900" s="11" t="s">
        <v>20</v>
      </c>
      <c r="C900" s="11" t="s">
        <v>68</v>
      </c>
      <c r="D900" s="11" t="s">
        <v>610</v>
      </c>
      <c r="E900" s="11" t="s">
        <v>1074</v>
      </c>
      <c r="F900" s="11" t="s">
        <v>157</v>
      </c>
      <c r="G900" s="11" t="s">
        <v>158</v>
      </c>
      <c r="H900" s="11">
        <v>2014.0</v>
      </c>
      <c r="I900" s="40">
        <v>1062.0</v>
      </c>
      <c r="J900" s="40">
        <v>270.0</v>
      </c>
      <c r="K900" s="41">
        <v>4184.0</v>
      </c>
      <c r="L900" s="42" t="s">
        <v>160</v>
      </c>
      <c r="M900" s="39" t="s">
        <v>1075</v>
      </c>
    </row>
    <row r="901">
      <c r="A901" s="11" t="s">
        <v>57</v>
      </c>
      <c r="B901" s="11" t="s">
        <v>20</v>
      </c>
      <c r="C901" s="11" t="s">
        <v>68</v>
      </c>
      <c r="D901" s="11" t="s">
        <v>610</v>
      </c>
      <c r="E901" s="11" t="s">
        <v>1074</v>
      </c>
      <c r="F901" s="11" t="s">
        <v>157</v>
      </c>
      <c r="G901" s="11" t="s">
        <v>158</v>
      </c>
      <c r="H901" s="11">
        <v>2018.0</v>
      </c>
      <c r="I901" s="40">
        <v>915.0</v>
      </c>
      <c r="J901" s="40">
        <v>233.0</v>
      </c>
      <c r="K901" s="41">
        <v>3590.0</v>
      </c>
      <c r="L901" s="42" t="s">
        <v>160</v>
      </c>
      <c r="M901" s="39" t="s">
        <v>1075</v>
      </c>
    </row>
    <row r="902">
      <c r="A902" s="11" t="s">
        <v>88</v>
      </c>
      <c r="B902" s="11" t="s">
        <v>20</v>
      </c>
      <c r="C902" s="11" t="s">
        <v>1082</v>
      </c>
      <c r="D902" s="11" t="s">
        <v>179</v>
      </c>
      <c r="E902" s="11" t="s">
        <v>1083</v>
      </c>
      <c r="F902" s="11" t="s">
        <v>1004</v>
      </c>
      <c r="G902" s="11" t="s">
        <v>1084</v>
      </c>
      <c r="H902" s="44">
        <v>1990.0</v>
      </c>
      <c r="I902" s="44">
        <v>117.460317460317</v>
      </c>
      <c r="J902" s="44">
        <v>112.698412698413</v>
      </c>
      <c r="K902" s="87">
        <v>121.428571428571</v>
      </c>
      <c r="L902" s="29" t="s">
        <v>260</v>
      </c>
      <c r="M902" s="30" t="s">
        <v>181</v>
      </c>
      <c r="N902" s="11" t="s">
        <v>191</v>
      </c>
    </row>
    <row r="903">
      <c r="A903" s="11" t="s">
        <v>88</v>
      </c>
      <c r="B903" s="11" t="s">
        <v>20</v>
      </c>
      <c r="C903" s="11" t="s">
        <v>1082</v>
      </c>
      <c r="D903" s="11" t="s">
        <v>179</v>
      </c>
      <c r="E903" s="11" t="s">
        <v>1083</v>
      </c>
      <c r="F903" s="11" t="s">
        <v>1004</v>
      </c>
      <c r="G903" s="11" t="s">
        <v>1084</v>
      </c>
      <c r="H903" s="44">
        <v>1991.03703703704</v>
      </c>
      <c r="I903" s="44">
        <v>121.428571428571</v>
      </c>
      <c r="J903" s="44">
        <v>115.873015873016</v>
      </c>
      <c r="K903" s="87">
        <v>126.190476190476</v>
      </c>
      <c r="L903" s="29" t="s">
        <v>260</v>
      </c>
      <c r="M903" s="30" t="s">
        <v>181</v>
      </c>
      <c r="N903" s="11" t="s">
        <v>191</v>
      </c>
    </row>
    <row r="904">
      <c r="A904" s="11" t="s">
        <v>88</v>
      </c>
      <c r="B904" s="11" t="s">
        <v>20</v>
      </c>
      <c r="C904" s="11" t="s">
        <v>1082</v>
      </c>
      <c r="D904" s="11" t="s">
        <v>179</v>
      </c>
      <c r="E904" s="11" t="s">
        <v>1083</v>
      </c>
      <c r="F904" s="11" t="s">
        <v>1004</v>
      </c>
      <c r="G904" s="11" t="s">
        <v>1084</v>
      </c>
      <c r="H904" s="44">
        <v>1992.03703703704</v>
      </c>
      <c r="I904" s="44">
        <v>123.809523809524</v>
      </c>
      <c r="J904" s="44">
        <v>119.047619047619</v>
      </c>
      <c r="K904" s="87">
        <v>127.777777777778</v>
      </c>
      <c r="L904" s="29" t="s">
        <v>260</v>
      </c>
      <c r="M904" s="30" t="s">
        <v>181</v>
      </c>
      <c r="N904" s="11" t="s">
        <v>191</v>
      </c>
    </row>
    <row r="905">
      <c r="A905" s="11" t="s">
        <v>88</v>
      </c>
      <c r="B905" s="11" t="s">
        <v>20</v>
      </c>
      <c r="C905" s="11" t="s">
        <v>1082</v>
      </c>
      <c r="D905" s="11" t="s">
        <v>179</v>
      </c>
      <c r="E905" s="11" t="s">
        <v>1083</v>
      </c>
      <c r="F905" s="11" t="s">
        <v>1004</v>
      </c>
      <c r="G905" s="11" t="s">
        <v>1084</v>
      </c>
      <c r="H905" s="44">
        <v>1993.0</v>
      </c>
      <c r="I905" s="44">
        <v>119.047619047619</v>
      </c>
      <c r="J905" s="44">
        <v>115.079365079365</v>
      </c>
      <c r="K905" s="87">
        <v>123.809523809524</v>
      </c>
      <c r="L905" s="29" t="s">
        <v>260</v>
      </c>
      <c r="M905" s="30" t="s">
        <v>181</v>
      </c>
      <c r="N905" s="11" t="s">
        <v>191</v>
      </c>
    </row>
    <row r="906">
      <c r="A906" s="11" t="s">
        <v>88</v>
      </c>
      <c r="B906" s="11" t="s">
        <v>20</v>
      </c>
      <c r="C906" s="11" t="s">
        <v>1082</v>
      </c>
      <c r="D906" s="11" t="s">
        <v>179</v>
      </c>
      <c r="E906" s="11" t="s">
        <v>1083</v>
      </c>
      <c r="F906" s="11" t="s">
        <v>1004</v>
      </c>
      <c r="G906" s="11" t="s">
        <v>1084</v>
      </c>
      <c r="H906" s="44">
        <v>1994.03703703704</v>
      </c>
      <c r="I906" s="44">
        <v>123.809523809524</v>
      </c>
      <c r="J906" s="44">
        <v>119.84126984127</v>
      </c>
      <c r="K906" s="87">
        <v>128.571428571429</v>
      </c>
      <c r="L906" s="29" t="s">
        <v>260</v>
      </c>
      <c r="M906" s="30" t="s">
        <v>181</v>
      </c>
      <c r="N906" s="11" t="s">
        <v>191</v>
      </c>
    </row>
    <row r="907">
      <c r="A907" s="11" t="s">
        <v>88</v>
      </c>
      <c r="B907" s="11" t="s">
        <v>20</v>
      </c>
      <c r="C907" s="11" t="s">
        <v>1082</v>
      </c>
      <c r="D907" s="11" t="s">
        <v>179</v>
      </c>
      <c r="E907" s="11" t="s">
        <v>1083</v>
      </c>
      <c r="F907" s="11" t="s">
        <v>1004</v>
      </c>
      <c r="G907" s="11" t="s">
        <v>1084</v>
      </c>
      <c r="H907" s="44">
        <v>1995.03703703704</v>
      </c>
      <c r="I907" s="44">
        <v>126.190476190476</v>
      </c>
      <c r="J907" s="44">
        <v>122.222222222222</v>
      </c>
      <c r="K907" s="87">
        <v>130.15873015873</v>
      </c>
      <c r="L907" s="29" t="s">
        <v>260</v>
      </c>
      <c r="M907" s="30" t="s">
        <v>181</v>
      </c>
      <c r="N907" s="11" t="s">
        <v>191</v>
      </c>
    </row>
    <row r="908">
      <c r="A908" s="11" t="s">
        <v>88</v>
      </c>
      <c r="B908" s="11" t="s">
        <v>20</v>
      </c>
      <c r="C908" s="11" t="s">
        <v>1082</v>
      </c>
      <c r="D908" s="11" t="s">
        <v>179</v>
      </c>
      <c r="E908" s="11" t="s">
        <v>1083</v>
      </c>
      <c r="F908" s="11" t="s">
        <v>1004</v>
      </c>
      <c r="G908" s="11" t="s">
        <v>1084</v>
      </c>
      <c r="H908" s="44">
        <v>1996.0</v>
      </c>
      <c r="I908" s="44">
        <v>134.126984126984</v>
      </c>
      <c r="J908" s="44">
        <v>129.365079365079</v>
      </c>
      <c r="K908" s="87">
        <v>138.095238095238</v>
      </c>
      <c r="L908" s="29" t="s">
        <v>260</v>
      </c>
      <c r="M908" s="30" t="s">
        <v>181</v>
      </c>
      <c r="N908" s="11" t="s">
        <v>191</v>
      </c>
    </row>
    <row r="909">
      <c r="A909" s="11" t="s">
        <v>88</v>
      </c>
      <c r="B909" s="11" t="s">
        <v>20</v>
      </c>
      <c r="C909" s="11" t="s">
        <v>1082</v>
      </c>
      <c r="D909" s="11" t="s">
        <v>179</v>
      </c>
      <c r="E909" s="11" t="s">
        <v>1083</v>
      </c>
      <c r="F909" s="11" t="s">
        <v>1004</v>
      </c>
      <c r="G909" s="11" t="s">
        <v>1084</v>
      </c>
      <c r="H909" s="44">
        <v>1997.0</v>
      </c>
      <c r="I909" s="44">
        <v>137.301587301587</v>
      </c>
      <c r="J909" s="44">
        <v>131.746031746032</v>
      </c>
      <c r="K909" s="87">
        <v>141.269841269841</v>
      </c>
      <c r="L909" s="29" t="s">
        <v>260</v>
      </c>
      <c r="M909" s="30" t="s">
        <v>181</v>
      </c>
      <c r="N909" s="11" t="s">
        <v>191</v>
      </c>
    </row>
    <row r="910">
      <c r="A910" s="11" t="s">
        <v>88</v>
      </c>
      <c r="B910" s="11" t="s">
        <v>20</v>
      </c>
      <c r="C910" s="11" t="s">
        <v>1082</v>
      </c>
      <c r="D910" s="11" t="s">
        <v>179</v>
      </c>
      <c r="E910" s="11" t="s">
        <v>1083</v>
      </c>
      <c r="F910" s="11" t="s">
        <v>1004</v>
      </c>
      <c r="G910" s="11" t="s">
        <v>1084</v>
      </c>
      <c r="H910" s="44">
        <v>1998.0</v>
      </c>
      <c r="I910" s="44">
        <v>134.126984126984</v>
      </c>
      <c r="J910" s="44">
        <v>128.571428571429</v>
      </c>
      <c r="K910" s="87">
        <v>138.095238095238</v>
      </c>
      <c r="L910" s="29" t="s">
        <v>260</v>
      </c>
      <c r="M910" s="30" t="s">
        <v>181</v>
      </c>
      <c r="N910" s="11" t="s">
        <v>191</v>
      </c>
    </row>
    <row r="911">
      <c r="A911" s="11" t="s">
        <v>88</v>
      </c>
      <c r="B911" s="11" t="s">
        <v>20</v>
      </c>
      <c r="C911" s="11" t="s">
        <v>1082</v>
      </c>
      <c r="D911" s="11" t="s">
        <v>179</v>
      </c>
      <c r="E911" s="11" t="s">
        <v>1083</v>
      </c>
      <c r="F911" s="11" t="s">
        <v>1004</v>
      </c>
      <c r="G911" s="11" t="s">
        <v>1084</v>
      </c>
      <c r="H911" s="44">
        <v>1999.03703703704</v>
      </c>
      <c r="I911" s="44">
        <v>130.952380952381</v>
      </c>
      <c r="J911" s="44">
        <v>126.984126984127</v>
      </c>
      <c r="K911" s="87">
        <v>134.920634920635</v>
      </c>
      <c r="L911" s="29" t="s">
        <v>260</v>
      </c>
      <c r="M911" s="30" t="s">
        <v>181</v>
      </c>
      <c r="N911" s="11" t="s">
        <v>191</v>
      </c>
    </row>
    <row r="912">
      <c r="A912" s="11" t="s">
        <v>88</v>
      </c>
      <c r="B912" s="11" t="s">
        <v>20</v>
      </c>
      <c r="C912" s="11" t="s">
        <v>1082</v>
      </c>
      <c r="D912" s="11" t="s">
        <v>179</v>
      </c>
      <c r="E912" s="11" t="s">
        <v>1083</v>
      </c>
      <c r="F912" s="11" t="s">
        <v>1004</v>
      </c>
      <c r="G912" s="11" t="s">
        <v>1084</v>
      </c>
      <c r="H912" s="44">
        <v>2000.0</v>
      </c>
      <c r="I912" s="44">
        <v>126.984126984127</v>
      </c>
      <c r="J912" s="44">
        <v>123.809523809524</v>
      </c>
      <c r="K912" s="87">
        <v>130.952380952381</v>
      </c>
      <c r="L912" s="29" t="s">
        <v>260</v>
      </c>
      <c r="M912" s="30" t="s">
        <v>181</v>
      </c>
      <c r="N912" s="11" t="s">
        <v>191</v>
      </c>
    </row>
    <row r="913">
      <c r="A913" s="11" t="s">
        <v>88</v>
      </c>
      <c r="B913" s="11" t="s">
        <v>20</v>
      </c>
      <c r="C913" s="11" t="s">
        <v>1082</v>
      </c>
      <c r="D913" s="11" t="s">
        <v>179</v>
      </c>
      <c r="E913" s="11" t="s">
        <v>1083</v>
      </c>
      <c r="F913" s="11" t="s">
        <v>1004</v>
      </c>
      <c r="G913" s="11" t="s">
        <v>1084</v>
      </c>
      <c r="H913" s="44">
        <v>2001.0</v>
      </c>
      <c r="I913" s="44">
        <v>140.47619047619</v>
      </c>
      <c r="J913" s="44">
        <v>135.714285714286</v>
      </c>
      <c r="K913" s="87">
        <v>142.857142857143</v>
      </c>
      <c r="L913" s="29" t="s">
        <v>260</v>
      </c>
      <c r="M913" s="30" t="s">
        <v>181</v>
      </c>
      <c r="N913" s="11" t="s">
        <v>191</v>
      </c>
    </row>
    <row r="914">
      <c r="A914" s="11" t="s">
        <v>88</v>
      </c>
      <c r="B914" s="11" t="s">
        <v>20</v>
      </c>
      <c r="C914" s="11" t="s">
        <v>1082</v>
      </c>
      <c r="D914" s="11" t="s">
        <v>179</v>
      </c>
      <c r="E914" s="11" t="s">
        <v>1083</v>
      </c>
      <c r="F914" s="11" t="s">
        <v>1004</v>
      </c>
      <c r="G914" s="11" t="s">
        <v>1084</v>
      </c>
      <c r="H914" s="44">
        <v>2002.03703703704</v>
      </c>
      <c r="I914" s="44">
        <v>146.031746031746</v>
      </c>
      <c r="J914" s="44">
        <v>142.063492063492</v>
      </c>
      <c r="K914" s="87">
        <v>150.0</v>
      </c>
      <c r="L914" s="29" t="s">
        <v>260</v>
      </c>
      <c r="M914" s="30" t="s">
        <v>181</v>
      </c>
      <c r="N914" s="11" t="s">
        <v>191</v>
      </c>
    </row>
    <row r="915">
      <c r="A915" s="11" t="s">
        <v>88</v>
      </c>
      <c r="B915" s="11" t="s">
        <v>20</v>
      </c>
      <c r="C915" s="11" t="s">
        <v>1082</v>
      </c>
      <c r="D915" s="11" t="s">
        <v>179</v>
      </c>
      <c r="E915" s="11" t="s">
        <v>1083</v>
      </c>
      <c r="F915" s="11" t="s">
        <v>1004</v>
      </c>
      <c r="G915" s="11" t="s">
        <v>1084</v>
      </c>
      <c r="H915" s="44">
        <v>2003.03703703704</v>
      </c>
      <c r="I915" s="44">
        <v>148.412698412698</v>
      </c>
      <c r="J915" s="44">
        <v>143.650793650794</v>
      </c>
      <c r="K915" s="87">
        <v>152.380952380952</v>
      </c>
      <c r="L915" s="29" t="s">
        <v>260</v>
      </c>
      <c r="M915" s="30" t="s">
        <v>181</v>
      </c>
      <c r="N915" s="11" t="s">
        <v>191</v>
      </c>
    </row>
    <row r="916">
      <c r="A916" s="11" t="s">
        <v>88</v>
      </c>
      <c r="B916" s="11" t="s">
        <v>20</v>
      </c>
      <c r="C916" s="11" t="s">
        <v>1082</v>
      </c>
      <c r="D916" s="11" t="s">
        <v>179</v>
      </c>
      <c r="E916" s="11" t="s">
        <v>1083</v>
      </c>
      <c r="F916" s="11" t="s">
        <v>1004</v>
      </c>
      <c r="G916" s="11" t="s">
        <v>1084</v>
      </c>
      <c r="H916" s="44">
        <v>2004.0</v>
      </c>
      <c r="I916" s="44">
        <v>150.0</v>
      </c>
      <c r="J916" s="44">
        <v>145.238095238095</v>
      </c>
      <c r="K916" s="87">
        <v>153.968253968254</v>
      </c>
      <c r="L916" s="29" t="s">
        <v>260</v>
      </c>
      <c r="M916" s="30" t="s">
        <v>181</v>
      </c>
      <c r="N916" s="11" t="s">
        <v>191</v>
      </c>
    </row>
    <row r="917">
      <c r="A917" s="11" t="s">
        <v>88</v>
      </c>
      <c r="B917" s="11" t="s">
        <v>20</v>
      </c>
      <c r="C917" s="11" t="s">
        <v>1082</v>
      </c>
      <c r="D917" s="11" t="s">
        <v>179</v>
      </c>
      <c r="E917" s="11" t="s">
        <v>1083</v>
      </c>
      <c r="F917" s="11" t="s">
        <v>1004</v>
      </c>
      <c r="G917" s="11" t="s">
        <v>1084</v>
      </c>
      <c r="H917" s="44">
        <v>2005.0</v>
      </c>
      <c r="I917" s="44">
        <v>162.698412698413</v>
      </c>
      <c r="J917" s="44">
        <v>157.936507936508</v>
      </c>
      <c r="K917" s="87">
        <v>166.666666666667</v>
      </c>
      <c r="L917" s="29" t="s">
        <v>260</v>
      </c>
      <c r="M917" s="30" t="s">
        <v>181</v>
      </c>
      <c r="N917" s="11" t="s">
        <v>191</v>
      </c>
    </row>
    <row r="918">
      <c r="A918" s="11" t="s">
        <v>88</v>
      </c>
      <c r="B918" s="11" t="s">
        <v>20</v>
      </c>
      <c r="C918" s="11" t="s">
        <v>1082</v>
      </c>
      <c r="D918" s="11" t="s">
        <v>179</v>
      </c>
      <c r="E918" s="11" t="s">
        <v>1083</v>
      </c>
      <c r="F918" s="11" t="s">
        <v>1004</v>
      </c>
      <c r="G918" s="11" t="s">
        <v>1084</v>
      </c>
      <c r="H918" s="44">
        <v>2006.0</v>
      </c>
      <c r="I918" s="44">
        <v>161.904761904762</v>
      </c>
      <c r="J918" s="44">
        <v>157.142857142857</v>
      </c>
      <c r="K918" s="87">
        <v>166.666666666667</v>
      </c>
      <c r="L918" s="29" t="s">
        <v>260</v>
      </c>
      <c r="M918" s="30" t="s">
        <v>181</v>
      </c>
      <c r="N918" s="11" t="s">
        <v>191</v>
      </c>
    </row>
    <row r="919">
      <c r="A919" s="11" t="s">
        <v>88</v>
      </c>
      <c r="B919" s="11" t="s">
        <v>20</v>
      </c>
      <c r="C919" s="11" t="s">
        <v>1082</v>
      </c>
      <c r="D919" s="11" t="s">
        <v>179</v>
      </c>
      <c r="E919" s="11" t="s">
        <v>1083</v>
      </c>
      <c r="F919" s="11" t="s">
        <v>1004</v>
      </c>
      <c r="G919" s="11" t="s">
        <v>1084</v>
      </c>
      <c r="H919" s="44">
        <v>2007.0</v>
      </c>
      <c r="I919" s="44">
        <v>161.904761904762</v>
      </c>
      <c r="J919" s="44">
        <v>157.936507936508</v>
      </c>
      <c r="K919" s="87">
        <v>166.666666666667</v>
      </c>
      <c r="L919" s="29" t="s">
        <v>260</v>
      </c>
      <c r="M919" s="30" t="s">
        <v>181</v>
      </c>
      <c r="N919" s="11" t="s">
        <v>191</v>
      </c>
    </row>
    <row r="920">
      <c r="A920" s="11" t="s">
        <v>88</v>
      </c>
      <c r="B920" s="11" t="s">
        <v>20</v>
      </c>
      <c r="C920" s="11" t="s">
        <v>1082</v>
      </c>
      <c r="D920" s="11" t="s">
        <v>179</v>
      </c>
      <c r="E920" s="11" t="s">
        <v>1083</v>
      </c>
      <c r="F920" s="11" t="s">
        <v>1004</v>
      </c>
      <c r="G920" s="11" t="s">
        <v>1084</v>
      </c>
      <c r="H920" s="44">
        <v>2008.03703703704</v>
      </c>
      <c r="I920" s="44">
        <v>169.84126984127</v>
      </c>
      <c r="J920" s="44">
        <v>165.079365079365</v>
      </c>
      <c r="K920" s="87">
        <v>173.809523809524</v>
      </c>
      <c r="L920" s="29" t="s">
        <v>260</v>
      </c>
      <c r="M920" s="30" t="s">
        <v>181</v>
      </c>
      <c r="N920" s="11" t="s">
        <v>191</v>
      </c>
    </row>
    <row r="921">
      <c r="A921" s="11" t="s">
        <v>88</v>
      </c>
      <c r="B921" s="11" t="s">
        <v>20</v>
      </c>
      <c r="C921" s="11" t="s">
        <v>1082</v>
      </c>
      <c r="D921" s="11" t="s">
        <v>179</v>
      </c>
      <c r="E921" s="11" t="s">
        <v>1083</v>
      </c>
      <c r="F921" s="11" t="s">
        <v>1004</v>
      </c>
      <c r="G921" s="11" t="s">
        <v>1084</v>
      </c>
      <c r="H921" s="44">
        <v>2009.0</v>
      </c>
      <c r="I921" s="44">
        <v>188.095238095238</v>
      </c>
      <c r="J921" s="44">
        <v>182.539682539682</v>
      </c>
      <c r="K921" s="87">
        <v>191.269841269841</v>
      </c>
      <c r="L921" s="29" t="s">
        <v>260</v>
      </c>
      <c r="M921" s="30" t="s">
        <v>181</v>
      </c>
      <c r="N921" s="11" t="s">
        <v>191</v>
      </c>
    </row>
    <row r="922">
      <c r="A922" s="11" t="s">
        <v>88</v>
      </c>
      <c r="B922" s="11" t="s">
        <v>20</v>
      </c>
      <c r="C922" s="11" t="s">
        <v>1082</v>
      </c>
      <c r="D922" s="11" t="s">
        <v>179</v>
      </c>
      <c r="E922" s="11" t="s">
        <v>1083</v>
      </c>
      <c r="F922" s="11" t="s">
        <v>1004</v>
      </c>
      <c r="G922" s="11" t="s">
        <v>1084</v>
      </c>
      <c r="H922" s="44">
        <v>2010.0</v>
      </c>
      <c r="I922" s="44">
        <v>196.031746031746</v>
      </c>
      <c r="J922" s="44">
        <v>190.47619047619</v>
      </c>
      <c r="K922" s="87">
        <v>200.0</v>
      </c>
      <c r="L922" s="29" t="s">
        <v>260</v>
      </c>
      <c r="M922" s="30" t="s">
        <v>181</v>
      </c>
      <c r="N922" s="11" t="s">
        <v>191</v>
      </c>
    </row>
    <row r="923">
      <c r="A923" s="11" t="s">
        <v>88</v>
      </c>
      <c r="B923" s="11" t="s">
        <v>20</v>
      </c>
      <c r="C923" s="11" t="s">
        <v>1082</v>
      </c>
      <c r="D923" s="11" t="s">
        <v>179</v>
      </c>
      <c r="E923" s="11" t="s">
        <v>1083</v>
      </c>
      <c r="F923" s="11" t="s">
        <v>1004</v>
      </c>
      <c r="G923" s="11" t="s">
        <v>1084</v>
      </c>
      <c r="H923" s="44">
        <v>2011.0</v>
      </c>
      <c r="I923" s="44">
        <v>200.0</v>
      </c>
      <c r="J923" s="44">
        <v>194.444444444444</v>
      </c>
      <c r="K923" s="87">
        <v>203.968253968254</v>
      </c>
      <c r="L923" s="29" t="s">
        <v>260</v>
      </c>
      <c r="M923" s="30" t="s">
        <v>181</v>
      </c>
      <c r="N923" s="11" t="s">
        <v>191</v>
      </c>
    </row>
    <row r="924">
      <c r="A924" s="11" t="s">
        <v>88</v>
      </c>
      <c r="B924" s="11" t="s">
        <v>20</v>
      </c>
      <c r="C924" s="11" t="s">
        <v>1082</v>
      </c>
      <c r="D924" s="11" t="s">
        <v>179</v>
      </c>
      <c r="E924" s="11" t="s">
        <v>1083</v>
      </c>
      <c r="F924" s="11" t="s">
        <v>1004</v>
      </c>
      <c r="G924" s="11" t="s">
        <v>1084</v>
      </c>
      <c r="H924" s="44">
        <v>2012.0</v>
      </c>
      <c r="I924" s="44">
        <v>193.650793650794</v>
      </c>
      <c r="J924" s="44">
        <v>187.301587301587</v>
      </c>
      <c r="K924" s="87">
        <v>199.206349206349</v>
      </c>
      <c r="L924" s="29" t="s">
        <v>260</v>
      </c>
      <c r="M924" s="30" t="s">
        <v>181</v>
      </c>
      <c r="N924" s="11" t="s">
        <v>191</v>
      </c>
    </row>
    <row r="925">
      <c r="A925" s="11" t="s">
        <v>88</v>
      </c>
      <c r="B925" s="11" t="s">
        <v>20</v>
      </c>
      <c r="C925" s="11" t="s">
        <v>1082</v>
      </c>
      <c r="D925" s="11" t="s">
        <v>179</v>
      </c>
      <c r="E925" s="11" t="s">
        <v>1083</v>
      </c>
      <c r="F925" s="11" t="s">
        <v>1004</v>
      </c>
      <c r="G925" s="11" t="s">
        <v>1084</v>
      </c>
      <c r="H925" s="44">
        <v>2013.03703703704</v>
      </c>
      <c r="I925" s="44">
        <v>199.206349206349</v>
      </c>
      <c r="J925" s="44">
        <v>192.063492063492</v>
      </c>
      <c r="K925" s="87">
        <v>203.968253968254</v>
      </c>
      <c r="L925" s="29" t="s">
        <v>260</v>
      </c>
      <c r="M925" s="30" t="s">
        <v>181</v>
      </c>
      <c r="N925" s="11" t="s">
        <v>191</v>
      </c>
    </row>
    <row r="926">
      <c r="A926" s="11" t="s">
        <v>88</v>
      </c>
      <c r="B926" s="11" t="s">
        <v>20</v>
      </c>
      <c r="C926" s="11" t="s">
        <v>1082</v>
      </c>
      <c r="D926" s="11" t="s">
        <v>179</v>
      </c>
      <c r="E926" s="11" t="s">
        <v>1083</v>
      </c>
      <c r="F926" s="11" t="s">
        <v>1004</v>
      </c>
      <c r="G926" s="11" t="s">
        <v>1084</v>
      </c>
      <c r="H926" s="44">
        <v>2014.0</v>
      </c>
      <c r="I926" s="44">
        <v>192.063492063492</v>
      </c>
      <c r="J926" s="44">
        <v>185.714285714286</v>
      </c>
      <c r="K926" s="87">
        <v>198.412698412698</v>
      </c>
      <c r="L926" s="29" t="s">
        <v>260</v>
      </c>
      <c r="M926" s="30" t="s">
        <v>181</v>
      </c>
      <c r="N926" s="11" t="s">
        <v>191</v>
      </c>
    </row>
    <row r="927">
      <c r="A927" s="11" t="s">
        <v>88</v>
      </c>
      <c r="B927" s="11" t="s">
        <v>20</v>
      </c>
      <c r="C927" s="11" t="s">
        <v>1082</v>
      </c>
      <c r="D927" s="11" t="s">
        <v>179</v>
      </c>
      <c r="E927" s="11" t="s">
        <v>1083</v>
      </c>
      <c r="F927" s="11" t="s">
        <v>1004</v>
      </c>
      <c r="G927" s="11" t="s">
        <v>1084</v>
      </c>
      <c r="H927" s="44">
        <v>2015.0</v>
      </c>
      <c r="I927" s="44">
        <v>192.063492063492</v>
      </c>
      <c r="J927" s="44">
        <v>185.714285714286</v>
      </c>
      <c r="K927" s="87">
        <v>199.206349206349</v>
      </c>
      <c r="L927" s="29" t="s">
        <v>260</v>
      </c>
      <c r="M927" s="30" t="s">
        <v>181</v>
      </c>
      <c r="N927" s="11" t="s">
        <v>191</v>
      </c>
    </row>
    <row r="928">
      <c r="A928" s="11" t="s">
        <v>88</v>
      </c>
      <c r="B928" s="11" t="s">
        <v>20</v>
      </c>
      <c r="C928" s="11" t="s">
        <v>1082</v>
      </c>
      <c r="D928" s="11" t="s">
        <v>179</v>
      </c>
      <c r="E928" s="11" t="s">
        <v>1083</v>
      </c>
      <c r="F928" s="11" t="s">
        <v>1004</v>
      </c>
      <c r="G928" s="11" t="s">
        <v>1084</v>
      </c>
      <c r="H928" s="44">
        <v>2016.03703703704</v>
      </c>
      <c r="I928" s="44">
        <v>184.920634920635</v>
      </c>
      <c r="J928" s="44">
        <v>178.571428571429</v>
      </c>
      <c r="K928" s="87">
        <v>191.269841269841</v>
      </c>
      <c r="L928" s="29" t="s">
        <v>260</v>
      </c>
      <c r="M928" s="30" t="s">
        <v>181</v>
      </c>
      <c r="N928" s="11" t="s">
        <v>191</v>
      </c>
    </row>
    <row r="929">
      <c r="A929" s="11" t="s">
        <v>88</v>
      </c>
      <c r="B929" s="11" t="s">
        <v>20</v>
      </c>
      <c r="C929" s="11" t="s">
        <v>1082</v>
      </c>
      <c r="D929" s="11" t="s">
        <v>179</v>
      </c>
      <c r="E929" s="11" t="s">
        <v>1083</v>
      </c>
      <c r="F929" s="11" t="s">
        <v>1004</v>
      </c>
      <c r="G929" s="11" t="s">
        <v>1084</v>
      </c>
      <c r="H929" s="44">
        <v>2017.0</v>
      </c>
      <c r="I929" s="44">
        <v>177.777777777778</v>
      </c>
      <c r="J929" s="44">
        <v>171.428571428571</v>
      </c>
      <c r="K929" s="87">
        <v>182.539682539682</v>
      </c>
      <c r="L929" s="29" t="s">
        <v>260</v>
      </c>
      <c r="M929" s="30" t="s">
        <v>181</v>
      </c>
      <c r="N929" s="11" t="s">
        <v>191</v>
      </c>
    </row>
    <row r="930">
      <c r="A930" s="11" t="s">
        <v>88</v>
      </c>
      <c r="B930" s="11" t="s">
        <v>20</v>
      </c>
      <c r="C930" s="11" t="s">
        <v>1082</v>
      </c>
      <c r="D930" s="11" t="s">
        <v>179</v>
      </c>
      <c r="E930" s="11" t="s">
        <v>1083</v>
      </c>
      <c r="F930" s="11" t="s">
        <v>1004</v>
      </c>
      <c r="G930" s="11" t="s">
        <v>1084</v>
      </c>
      <c r="H930" s="44">
        <v>2018.03703703704</v>
      </c>
      <c r="I930" s="44">
        <v>157.142857142857</v>
      </c>
      <c r="J930" s="44">
        <v>150.793650793651</v>
      </c>
      <c r="K930" s="87">
        <v>161.904761904762</v>
      </c>
      <c r="L930" s="29" t="s">
        <v>260</v>
      </c>
      <c r="M930" s="30" t="s">
        <v>181</v>
      </c>
      <c r="N930" s="11" t="s">
        <v>191</v>
      </c>
    </row>
    <row r="931">
      <c r="A931" s="11" t="s">
        <v>88</v>
      </c>
      <c r="B931" s="11" t="s">
        <v>20</v>
      </c>
      <c r="C931" s="11" t="s">
        <v>1082</v>
      </c>
      <c r="D931" s="11" t="s">
        <v>179</v>
      </c>
      <c r="E931" s="11" t="s">
        <v>1083</v>
      </c>
      <c r="F931" s="11" t="s">
        <v>1004</v>
      </c>
      <c r="G931" s="11" t="s">
        <v>1084</v>
      </c>
      <c r="H931" s="44">
        <v>2019.0</v>
      </c>
      <c r="I931" s="44">
        <v>150.793650793651</v>
      </c>
      <c r="J931" s="44">
        <v>145.238095238095</v>
      </c>
      <c r="K931" s="87">
        <v>155.555555555556</v>
      </c>
      <c r="L931" s="29" t="s">
        <v>260</v>
      </c>
      <c r="M931" s="30" t="s">
        <v>181</v>
      </c>
      <c r="N931" s="11" t="s">
        <v>191</v>
      </c>
    </row>
    <row r="932">
      <c r="A932" s="11" t="s">
        <v>88</v>
      </c>
      <c r="B932" s="11" t="s">
        <v>20</v>
      </c>
      <c r="C932" s="11" t="s">
        <v>1082</v>
      </c>
      <c r="D932" s="11" t="s">
        <v>179</v>
      </c>
      <c r="E932" s="11" t="s">
        <v>1083</v>
      </c>
      <c r="F932" s="11" t="s">
        <v>1004</v>
      </c>
      <c r="G932" s="11" t="s">
        <v>1084</v>
      </c>
      <c r="H932" s="44">
        <v>2020.0</v>
      </c>
      <c r="I932" s="44">
        <v>138.095238095238</v>
      </c>
      <c r="J932" s="44">
        <v>129.365079365079</v>
      </c>
      <c r="K932" s="87">
        <v>145.238095238095</v>
      </c>
      <c r="L932" s="29" t="s">
        <v>260</v>
      </c>
      <c r="M932" s="30" t="s">
        <v>181</v>
      </c>
      <c r="N932" s="11" t="s">
        <v>191</v>
      </c>
    </row>
    <row r="933">
      <c r="A933" s="11" t="s">
        <v>88</v>
      </c>
      <c r="B933" s="11" t="s">
        <v>20</v>
      </c>
      <c r="C933" s="11" t="s">
        <v>1082</v>
      </c>
      <c r="D933" s="11" t="s">
        <v>179</v>
      </c>
      <c r="E933" s="11" t="s">
        <v>1083</v>
      </c>
      <c r="F933" s="11" t="s">
        <v>1004</v>
      </c>
      <c r="G933" s="11" t="s">
        <v>1112</v>
      </c>
      <c r="H933" s="44">
        <v>1990.0</v>
      </c>
      <c r="I933" s="44">
        <v>145.238095238095</v>
      </c>
      <c r="J933" s="44">
        <v>139.68253968254</v>
      </c>
      <c r="K933" s="87">
        <v>148.412698412698</v>
      </c>
      <c r="L933" s="29" t="s">
        <v>260</v>
      </c>
      <c r="M933" s="30" t="s">
        <v>181</v>
      </c>
      <c r="N933" s="11" t="s">
        <v>191</v>
      </c>
    </row>
    <row r="934">
      <c r="A934" s="11" t="s">
        <v>88</v>
      </c>
      <c r="B934" s="11" t="s">
        <v>20</v>
      </c>
      <c r="C934" s="11" t="s">
        <v>1082</v>
      </c>
      <c r="D934" s="11" t="s">
        <v>179</v>
      </c>
      <c r="E934" s="11" t="s">
        <v>1083</v>
      </c>
      <c r="F934" s="11" t="s">
        <v>1004</v>
      </c>
      <c r="G934" s="11" t="s">
        <v>1112</v>
      </c>
      <c r="H934" s="44">
        <v>1991.03703703704</v>
      </c>
      <c r="I934" s="44">
        <v>149.206349206349</v>
      </c>
      <c r="J934" s="44">
        <v>144.444444444444</v>
      </c>
      <c r="K934" s="87">
        <v>153.174603174603</v>
      </c>
      <c r="L934" s="29" t="s">
        <v>260</v>
      </c>
      <c r="M934" s="30" t="s">
        <v>181</v>
      </c>
      <c r="N934" s="11" t="s">
        <v>191</v>
      </c>
    </row>
    <row r="935">
      <c r="A935" s="11" t="s">
        <v>88</v>
      </c>
      <c r="B935" s="11" t="s">
        <v>20</v>
      </c>
      <c r="C935" s="11" t="s">
        <v>1082</v>
      </c>
      <c r="D935" s="11" t="s">
        <v>179</v>
      </c>
      <c r="E935" s="11" t="s">
        <v>1083</v>
      </c>
      <c r="F935" s="11" t="s">
        <v>1004</v>
      </c>
      <c r="G935" s="11" t="s">
        <v>1112</v>
      </c>
      <c r="H935" s="44">
        <v>1992.03703703704</v>
      </c>
      <c r="I935" s="44">
        <v>155.555555555556</v>
      </c>
      <c r="J935" s="44">
        <v>151.587301587302</v>
      </c>
      <c r="K935" s="87">
        <v>160.31746031746</v>
      </c>
      <c r="L935" s="29" t="s">
        <v>260</v>
      </c>
      <c r="M935" s="30" t="s">
        <v>181</v>
      </c>
      <c r="N935" s="11" t="s">
        <v>191</v>
      </c>
    </row>
    <row r="936">
      <c r="A936" s="11" t="s">
        <v>88</v>
      </c>
      <c r="B936" s="11" t="s">
        <v>20</v>
      </c>
      <c r="C936" s="11" t="s">
        <v>1082</v>
      </c>
      <c r="D936" s="11" t="s">
        <v>179</v>
      </c>
      <c r="E936" s="11" t="s">
        <v>1083</v>
      </c>
      <c r="F936" s="11" t="s">
        <v>1004</v>
      </c>
      <c r="G936" s="11" t="s">
        <v>1112</v>
      </c>
      <c r="H936" s="44">
        <v>1993.03703703704</v>
      </c>
      <c r="I936" s="44">
        <v>157.936507936508</v>
      </c>
      <c r="J936" s="44">
        <v>152.380952380952</v>
      </c>
      <c r="K936" s="87">
        <v>161.904761904762</v>
      </c>
      <c r="L936" s="29" t="s">
        <v>260</v>
      </c>
      <c r="M936" s="30" t="s">
        <v>181</v>
      </c>
      <c r="N936" s="11" t="s">
        <v>191</v>
      </c>
    </row>
    <row r="937">
      <c r="A937" s="11" t="s">
        <v>88</v>
      </c>
      <c r="B937" s="11" t="s">
        <v>20</v>
      </c>
      <c r="C937" s="11" t="s">
        <v>1082</v>
      </c>
      <c r="D937" s="11" t="s">
        <v>179</v>
      </c>
      <c r="E937" s="11" t="s">
        <v>1083</v>
      </c>
      <c r="F937" s="11" t="s">
        <v>1004</v>
      </c>
      <c r="G937" s="11" t="s">
        <v>1112</v>
      </c>
      <c r="H937" s="44">
        <v>1994.03703703704</v>
      </c>
      <c r="I937" s="44">
        <v>161.904761904762</v>
      </c>
      <c r="J937" s="44">
        <v>156.349206349206</v>
      </c>
      <c r="K937" s="87">
        <v>165.873015873016</v>
      </c>
      <c r="L937" s="29" t="s">
        <v>260</v>
      </c>
      <c r="M937" s="30" t="s">
        <v>181</v>
      </c>
      <c r="N937" s="11" t="s">
        <v>191</v>
      </c>
    </row>
    <row r="938">
      <c r="A938" s="11" t="s">
        <v>88</v>
      </c>
      <c r="B938" s="11" t="s">
        <v>20</v>
      </c>
      <c r="C938" s="11" t="s">
        <v>1082</v>
      </c>
      <c r="D938" s="11" t="s">
        <v>179</v>
      </c>
      <c r="E938" s="11" t="s">
        <v>1083</v>
      </c>
      <c r="F938" s="11" t="s">
        <v>1004</v>
      </c>
      <c r="G938" s="11" t="s">
        <v>1112</v>
      </c>
      <c r="H938" s="44">
        <v>1995.0</v>
      </c>
      <c r="I938" s="44">
        <v>165.873015873016</v>
      </c>
      <c r="J938" s="44">
        <v>161.904761904762</v>
      </c>
      <c r="K938" s="87">
        <v>169.84126984127</v>
      </c>
      <c r="L938" s="29" t="s">
        <v>260</v>
      </c>
      <c r="M938" s="30" t="s">
        <v>181</v>
      </c>
      <c r="N938" s="11" t="s">
        <v>191</v>
      </c>
    </row>
    <row r="939">
      <c r="A939" s="11" t="s">
        <v>88</v>
      </c>
      <c r="B939" s="11" t="s">
        <v>20</v>
      </c>
      <c r="C939" s="11" t="s">
        <v>1082</v>
      </c>
      <c r="D939" s="11" t="s">
        <v>179</v>
      </c>
      <c r="E939" s="11" t="s">
        <v>1083</v>
      </c>
      <c r="F939" s="11" t="s">
        <v>1004</v>
      </c>
      <c r="G939" s="11" t="s">
        <v>1112</v>
      </c>
      <c r="H939" s="44">
        <v>1996.03703703704</v>
      </c>
      <c r="I939" s="44">
        <v>169.047619047619</v>
      </c>
      <c r="J939" s="44">
        <v>164.285714285714</v>
      </c>
      <c r="K939" s="87">
        <v>174.603174603175</v>
      </c>
      <c r="L939" s="29" t="s">
        <v>260</v>
      </c>
      <c r="M939" s="30" t="s">
        <v>181</v>
      </c>
      <c r="N939" s="11" t="s">
        <v>191</v>
      </c>
    </row>
    <row r="940">
      <c r="A940" s="11" t="s">
        <v>88</v>
      </c>
      <c r="B940" s="11" t="s">
        <v>20</v>
      </c>
      <c r="C940" s="11" t="s">
        <v>1082</v>
      </c>
      <c r="D940" s="11" t="s">
        <v>179</v>
      </c>
      <c r="E940" s="11" t="s">
        <v>1083</v>
      </c>
      <c r="F940" s="11" t="s">
        <v>1004</v>
      </c>
      <c r="G940" s="11" t="s">
        <v>1112</v>
      </c>
      <c r="H940" s="44">
        <v>1997.03703703704</v>
      </c>
      <c r="I940" s="44">
        <v>177.777777777778</v>
      </c>
      <c r="J940" s="44">
        <v>171.428571428571</v>
      </c>
      <c r="K940" s="87">
        <v>180.952380952381</v>
      </c>
      <c r="L940" s="29" t="s">
        <v>260</v>
      </c>
      <c r="M940" s="30" t="s">
        <v>181</v>
      </c>
      <c r="N940" s="11" t="s">
        <v>191</v>
      </c>
    </row>
    <row r="941">
      <c r="A941" s="11" t="s">
        <v>88</v>
      </c>
      <c r="B941" s="11" t="s">
        <v>20</v>
      </c>
      <c r="C941" s="11" t="s">
        <v>1082</v>
      </c>
      <c r="D941" s="11" t="s">
        <v>179</v>
      </c>
      <c r="E941" s="11" t="s">
        <v>1083</v>
      </c>
      <c r="F941" s="11" t="s">
        <v>1004</v>
      </c>
      <c r="G941" s="11" t="s">
        <v>1112</v>
      </c>
      <c r="H941" s="44">
        <v>1998.0</v>
      </c>
      <c r="I941" s="44">
        <v>179.365079365079</v>
      </c>
      <c r="J941" s="44">
        <v>173.015873015873</v>
      </c>
      <c r="K941" s="87">
        <v>183.333333333333</v>
      </c>
      <c r="L941" s="29" t="s">
        <v>260</v>
      </c>
      <c r="M941" s="30" t="s">
        <v>181</v>
      </c>
      <c r="N941" s="11" t="s">
        <v>191</v>
      </c>
    </row>
    <row r="942">
      <c r="A942" s="11" t="s">
        <v>88</v>
      </c>
      <c r="B942" s="11" t="s">
        <v>20</v>
      </c>
      <c r="C942" s="11" t="s">
        <v>1082</v>
      </c>
      <c r="D942" s="11" t="s">
        <v>179</v>
      </c>
      <c r="E942" s="11" t="s">
        <v>1083</v>
      </c>
      <c r="F942" s="11" t="s">
        <v>1004</v>
      </c>
      <c r="G942" s="11" t="s">
        <v>1112</v>
      </c>
      <c r="H942" s="44">
        <v>1999.03703703704</v>
      </c>
      <c r="I942" s="44">
        <v>179.365079365079</v>
      </c>
      <c r="J942" s="44">
        <v>175.396825396825</v>
      </c>
      <c r="K942" s="87">
        <v>184.920634920635</v>
      </c>
      <c r="L942" s="29" t="s">
        <v>260</v>
      </c>
      <c r="M942" s="30" t="s">
        <v>181</v>
      </c>
      <c r="N942" s="11" t="s">
        <v>191</v>
      </c>
    </row>
    <row r="943">
      <c r="A943" s="11" t="s">
        <v>88</v>
      </c>
      <c r="B943" s="11" t="s">
        <v>20</v>
      </c>
      <c r="C943" s="11" t="s">
        <v>1082</v>
      </c>
      <c r="D943" s="11" t="s">
        <v>179</v>
      </c>
      <c r="E943" s="11" t="s">
        <v>1083</v>
      </c>
      <c r="F943" s="11" t="s">
        <v>1004</v>
      </c>
      <c r="G943" s="11" t="s">
        <v>1112</v>
      </c>
      <c r="H943" s="44">
        <v>2000.0</v>
      </c>
      <c r="I943" s="44">
        <v>181.746031746032</v>
      </c>
      <c r="J943" s="44">
        <v>176.190476190476</v>
      </c>
      <c r="K943" s="87">
        <v>184.920634920635</v>
      </c>
      <c r="L943" s="29" t="s">
        <v>260</v>
      </c>
      <c r="M943" s="30" t="s">
        <v>181</v>
      </c>
      <c r="N943" s="11" t="s">
        <v>191</v>
      </c>
    </row>
    <row r="944">
      <c r="A944" s="11" t="s">
        <v>88</v>
      </c>
      <c r="B944" s="11" t="s">
        <v>20</v>
      </c>
      <c r="C944" s="11" t="s">
        <v>1082</v>
      </c>
      <c r="D944" s="11" t="s">
        <v>179</v>
      </c>
      <c r="E944" s="11" t="s">
        <v>1083</v>
      </c>
      <c r="F944" s="11" t="s">
        <v>1004</v>
      </c>
      <c r="G944" s="11" t="s">
        <v>1112</v>
      </c>
      <c r="H944" s="44">
        <v>2001.0</v>
      </c>
      <c r="I944" s="44">
        <v>192.063492063492</v>
      </c>
      <c r="J944" s="44">
        <v>187.301587301587</v>
      </c>
      <c r="K944" s="87">
        <v>196.031746031746</v>
      </c>
      <c r="L944" s="29" t="s">
        <v>260</v>
      </c>
      <c r="M944" s="30" t="s">
        <v>181</v>
      </c>
      <c r="N944" s="11" t="s">
        <v>191</v>
      </c>
    </row>
    <row r="945">
      <c r="A945" s="11" t="s">
        <v>88</v>
      </c>
      <c r="B945" s="11" t="s">
        <v>20</v>
      </c>
      <c r="C945" s="11" t="s">
        <v>1082</v>
      </c>
      <c r="D945" s="11" t="s">
        <v>179</v>
      </c>
      <c r="E945" s="11" t="s">
        <v>1083</v>
      </c>
      <c r="F945" s="11" t="s">
        <v>1004</v>
      </c>
      <c r="G945" s="11" t="s">
        <v>1112</v>
      </c>
      <c r="H945" s="44">
        <v>2002.0</v>
      </c>
      <c r="I945" s="44">
        <v>199.206349206349</v>
      </c>
      <c r="J945" s="44">
        <v>192.857142857143</v>
      </c>
      <c r="K945" s="87">
        <v>202.380952380952</v>
      </c>
      <c r="L945" s="29" t="s">
        <v>260</v>
      </c>
      <c r="M945" s="30" t="s">
        <v>181</v>
      </c>
      <c r="N945" s="11" t="s">
        <v>191</v>
      </c>
    </row>
    <row r="946">
      <c r="A946" s="11" t="s">
        <v>88</v>
      </c>
      <c r="B946" s="11" t="s">
        <v>20</v>
      </c>
      <c r="C946" s="11" t="s">
        <v>1082</v>
      </c>
      <c r="D946" s="11" t="s">
        <v>179</v>
      </c>
      <c r="E946" s="11" t="s">
        <v>1083</v>
      </c>
      <c r="F946" s="11" t="s">
        <v>1004</v>
      </c>
      <c r="G946" s="11" t="s">
        <v>1112</v>
      </c>
      <c r="H946" s="44">
        <v>2003.03703703704</v>
      </c>
      <c r="I946" s="44">
        <v>211.111111111111</v>
      </c>
      <c r="J946" s="44">
        <v>205.555555555556</v>
      </c>
      <c r="K946" s="87">
        <v>215.079365079365</v>
      </c>
      <c r="L946" s="29" t="s">
        <v>260</v>
      </c>
      <c r="M946" s="30" t="s">
        <v>181</v>
      </c>
      <c r="N946" s="11" t="s">
        <v>191</v>
      </c>
    </row>
    <row r="947">
      <c r="A947" s="11" t="s">
        <v>88</v>
      </c>
      <c r="B947" s="11" t="s">
        <v>20</v>
      </c>
      <c r="C947" s="11" t="s">
        <v>1082</v>
      </c>
      <c r="D947" s="11" t="s">
        <v>179</v>
      </c>
      <c r="E947" s="11" t="s">
        <v>1083</v>
      </c>
      <c r="F947" s="11" t="s">
        <v>1004</v>
      </c>
      <c r="G947" s="11" t="s">
        <v>1112</v>
      </c>
      <c r="H947" s="44">
        <v>2004.0</v>
      </c>
      <c r="I947" s="44">
        <v>218.253968253968</v>
      </c>
      <c r="J947" s="44">
        <v>212.698412698413</v>
      </c>
      <c r="K947" s="87">
        <v>222.222222222222</v>
      </c>
      <c r="L947" s="29" t="s">
        <v>260</v>
      </c>
      <c r="M947" s="30" t="s">
        <v>181</v>
      </c>
      <c r="N947" s="11" t="s">
        <v>191</v>
      </c>
    </row>
    <row r="948">
      <c r="A948" s="11" t="s">
        <v>88</v>
      </c>
      <c r="B948" s="11" t="s">
        <v>20</v>
      </c>
      <c r="C948" s="11" t="s">
        <v>1082</v>
      </c>
      <c r="D948" s="11" t="s">
        <v>179</v>
      </c>
      <c r="E948" s="11" t="s">
        <v>1083</v>
      </c>
      <c r="F948" s="11" t="s">
        <v>1004</v>
      </c>
      <c r="G948" s="11" t="s">
        <v>1112</v>
      </c>
      <c r="H948" s="44">
        <v>2005.0</v>
      </c>
      <c r="I948" s="44">
        <v>229.365079365079</v>
      </c>
      <c r="J948" s="44">
        <v>223.809523809524</v>
      </c>
      <c r="K948" s="87">
        <v>234.126984126984</v>
      </c>
      <c r="L948" s="29" t="s">
        <v>260</v>
      </c>
      <c r="M948" s="30" t="s">
        <v>181</v>
      </c>
      <c r="N948" s="11" t="s">
        <v>191</v>
      </c>
    </row>
    <row r="949">
      <c r="A949" s="11" t="s">
        <v>88</v>
      </c>
      <c r="B949" s="11" t="s">
        <v>20</v>
      </c>
      <c r="C949" s="11" t="s">
        <v>1082</v>
      </c>
      <c r="D949" s="11" t="s">
        <v>179</v>
      </c>
      <c r="E949" s="11" t="s">
        <v>1083</v>
      </c>
      <c r="F949" s="11" t="s">
        <v>1004</v>
      </c>
      <c r="G949" s="11" t="s">
        <v>1112</v>
      </c>
      <c r="H949" s="44">
        <v>2006.03703703704</v>
      </c>
      <c r="I949" s="44">
        <v>240.47619047619</v>
      </c>
      <c r="J949" s="44">
        <v>234.920634920635</v>
      </c>
      <c r="K949" s="87">
        <v>245.238095238095</v>
      </c>
      <c r="L949" s="29" t="s">
        <v>260</v>
      </c>
      <c r="M949" s="30" t="s">
        <v>181</v>
      </c>
      <c r="N949" s="11" t="s">
        <v>191</v>
      </c>
    </row>
    <row r="950">
      <c r="A950" s="11" t="s">
        <v>88</v>
      </c>
      <c r="B950" s="11" t="s">
        <v>20</v>
      </c>
      <c r="C950" s="11" t="s">
        <v>1082</v>
      </c>
      <c r="D950" s="11" t="s">
        <v>179</v>
      </c>
      <c r="E950" s="11" t="s">
        <v>1083</v>
      </c>
      <c r="F950" s="11" t="s">
        <v>1004</v>
      </c>
      <c r="G950" s="11" t="s">
        <v>1112</v>
      </c>
      <c r="H950" s="44">
        <v>2007.03703703704</v>
      </c>
      <c r="I950" s="44">
        <v>250.0</v>
      </c>
      <c r="J950" s="44">
        <v>245.238095238095</v>
      </c>
      <c r="K950" s="87">
        <v>254.761904761905</v>
      </c>
      <c r="L950" s="29" t="s">
        <v>260</v>
      </c>
      <c r="M950" s="30" t="s">
        <v>181</v>
      </c>
      <c r="N950" s="11" t="s">
        <v>191</v>
      </c>
    </row>
    <row r="951">
      <c r="A951" s="11" t="s">
        <v>88</v>
      </c>
      <c r="B951" s="11" t="s">
        <v>20</v>
      </c>
      <c r="C951" s="11" t="s">
        <v>1082</v>
      </c>
      <c r="D951" s="11" t="s">
        <v>179</v>
      </c>
      <c r="E951" s="11" t="s">
        <v>1083</v>
      </c>
      <c r="F951" s="11" t="s">
        <v>1004</v>
      </c>
      <c r="G951" s="11" t="s">
        <v>1112</v>
      </c>
      <c r="H951" s="44">
        <v>2008.03703703704</v>
      </c>
      <c r="I951" s="44">
        <v>261.111111111111</v>
      </c>
      <c r="J951" s="44">
        <v>256.349206349206</v>
      </c>
      <c r="K951" s="87">
        <v>265.873015873016</v>
      </c>
      <c r="L951" s="29" t="s">
        <v>260</v>
      </c>
      <c r="M951" s="30" t="s">
        <v>181</v>
      </c>
      <c r="N951" s="11" t="s">
        <v>191</v>
      </c>
    </row>
    <row r="952">
      <c r="A952" s="11" t="s">
        <v>88</v>
      </c>
      <c r="B952" s="11" t="s">
        <v>20</v>
      </c>
      <c r="C952" s="11" t="s">
        <v>1082</v>
      </c>
      <c r="D952" s="11" t="s">
        <v>179</v>
      </c>
      <c r="E952" s="11" t="s">
        <v>1083</v>
      </c>
      <c r="F952" s="11" t="s">
        <v>1004</v>
      </c>
      <c r="G952" s="11" t="s">
        <v>1112</v>
      </c>
      <c r="H952" s="44">
        <v>2009.03703703704</v>
      </c>
      <c r="I952" s="44">
        <v>273.015873015873</v>
      </c>
      <c r="J952" s="44">
        <v>269.84126984127</v>
      </c>
      <c r="K952" s="87">
        <v>278.571428571429</v>
      </c>
      <c r="L952" s="29" t="s">
        <v>260</v>
      </c>
      <c r="M952" s="30" t="s">
        <v>181</v>
      </c>
      <c r="N952" s="11" t="s">
        <v>191</v>
      </c>
    </row>
    <row r="953">
      <c r="A953" s="11" t="s">
        <v>88</v>
      </c>
      <c r="B953" s="11" t="s">
        <v>20</v>
      </c>
      <c r="C953" s="11" t="s">
        <v>1082</v>
      </c>
      <c r="D953" s="11" t="s">
        <v>179</v>
      </c>
      <c r="E953" s="11" t="s">
        <v>1083</v>
      </c>
      <c r="F953" s="11" t="s">
        <v>1004</v>
      </c>
      <c r="G953" s="11" t="s">
        <v>1112</v>
      </c>
      <c r="H953" s="44">
        <v>2010.0</v>
      </c>
      <c r="I953" s="44">
        <v>280.952380952381</v>
      </c>
      <c r="J953" s="44">
        <v>274.603174603175</v>
      </c>
      <c r="K953" s="87">
        <v>284.920634920635</v>
      </c>
      <c r="L953" s="29" t="s">
        <v>260</v>
      </c>
      <c r="M953" s="30" t="s">
        <v>181</v>
      </c>
      <c r="N953" s="11" t="s">
        <v>191</v>
      </c>
    </row>
    <row r="954">
      <c r="A954" s="11" t="s">
        <v>88</v>
      </c>
      <c r="B954" s="11" t="s">
        <v>20</v>
      </c>
      <c r="C954" s="11" t="s">
        <v>1082</v>
      </c>
      <c r="D954" s="11" t="s">
        <v>179</v>
      </c>
      <c r="E954" s="11" t="s">
        <v>1083</v>
      </c>
      <c r="F954" s="11" t="s">
        <v>1004</v>
      </c>
      <c r="G954" s="11" t="s">
        <v>1112</v>
      </c>
      <c r="H954" s="44">
        <v>2011.03703703704</v>
      </c>
      <c r="I954" s="44">
        <v>280.952380952381</v>
      </c>
      <c r="J954" s="44">
        <v>275.396825396825</v>
      </c>
      <c r="K954" s="87">
        <v>286.507936507936</v>
      </c>
      <c r="L954" s="29" t="s">
        <v>260</v>
      </c>
      <c r="M954" s="30" t="s">
        <v>181</v>
      </c>
      <c r="N954" s="11" t="s">
        <v>191</v>
      </c>
    </row>
    <row r="955">
      <c r="A955" s="11" t="s">
        <v>88</v>
      </c>
      <c r="B955" s="11" t="s">
        <v>20</v>
      </c>
      <c r="C955" s="11" t="s">
        <v>1082</v>
      </c>
      <c r="D955" s="11" t="s">
        <v>179</v>
      </c>
      <c r="E955" s="11" t="s">
        <v>1083</v>
      </c>
      <c r="F955" s="11" t="s">
        <v>1004</v>
      </c>
      <c r="G955" s="11" t="s">
        <v>1112</v>
      </c>
      <c r="H955" s="44">
        <v>2012.0</v>
      </c>
      <c r="I955" s="44">
        <v>278.571428571429</v>
      </c>
      <c r="J955" s="44">
        <v>272.222222222222</v>
      </c>
      <c r="K955" s="87">
        <v>284.126984126984</v>
      </c>
      <c r="L955" s="29" t="s">
        <v>260</v>
      </c>
      <c r="M955" s="30" t="s">
        <v>181</v>
      </c>
      <c r="N955" s="11" t="s">
        <v>191</v>
      </c>
    </row>
    <row r="956">
      <c r="A956" s="11" t="s">
        <v>88</v>
      </c>
      <c r="B956" s="11" t="s">
        <v>20</v>
      </c>
      <c r="C956" s="11" t="s">
        <v>1082</v>
      </c>
      <c r="D956" s="11" t="s">
        <v>179</v>
      </c>
      <c r="E956" s="11" t="s">
        <v>1083</v>
      </c>
      <c r="F956" s="11" t="s">
        <v>1004</v>
      </c>
      <c r="G956" s="11" t="s">
        <v>1112</v>
      </c>
      <c r="H956" s="44">
        <v>2013.0</v>
      </c>
      <c r="I956" s="44">
        <v>279.365079365079</v>
      </c>
      <c r="J956" s="44">
        <v>272.222222222222</v>
      </c>
      <c r="K956" s="87">
        <v>284.920634920635</v>
      </c>
      <c r="L956" s="29" t="s">
        <v>260</v>
      </c>
      <c r="M956" s="30" t="s">
        <v>181</v>
      </c>
      <c r="N956" s="11" t="s">
        <v>191</v>
      </c>
    </row>
    <row r="957">
      <c r="A957" s="11" t="s">
        <v>88</v>
      </c>
      <c r="B957" s="11" t="s">
        <v>20</v>
      </c>
      <c r="C957" s="11" t="s">
        <v>1082</v>
      </c>
      <c r="D957" s="11" t="s">
        <v>179</v>
      </c>
      <c r="E957" s="11" t="s">
        <v>1083</v>
      </c>
      <c r="F957" s="11" t="s">
        <v>1004</v>
      </c>
      <c r="G957" s="11" t="s">
        <v>1112</v>
      </c>
      <c r="H957" s="44">
        <v>2014.03703703704</v>
      </c>
      <c r="I957" s="44">
        <v>280.15873015873</v>
      </c>
      <c r="J957" s="44">
        <v>273.809523809524</v>
      </c>
      <c r="K957" s="87">
        <v>287.301587301587</v>
      </c>
      <c r="L957" s="29" t="s">
        <v>260</v>
      </c>
      <c r="M957" s="30" t="s">
        <v>181</v>
      </c>
      <c r="N957" s="11" t="s">
        <v>191</v>
      </c>
    </row>
    <row r="958">
      <c r="A958" s="11" t="s">
        <v>88</v>
      </c>
      <c r="B958" s="11" t="s">
        <v>20</v>
      </c>
      <c r="C958" s="11" t="s">
        <v>1082</v>
      </c>
      <c r="D958" s="11" t="s">
        <v>179</v>
      </c>
      <c r="E958" s="11" t="s">
        <v>1083</v>
      </c>
      <c r="F958" s="11" t="s">
        <v>1004</v>
      </c>
      <c r="G958" s="11" t="s">
        <v>1112</v>
      </c>
      <c r="H958" s="44">
        <v>2015.0</v>
      </c>
      <c r="I958" s="44">
        <v>275.396825396825</v>
      </c>
      <c r="J958" s="44">
        <v>265.873015873016</v>
      </c>
      <c r="K958" s="87">
        <v>283.333333333333</v>
      </c>
      <c r="L958" s="29" t="s">
        <v>260</v>
      </c>
      <c r="M958" s="30" t="s">
        <v>181</v>
      </c>
      <c r="N958" s="11" t="s">
        <v>191</v>
      </c>
    </row>
    <row r="959">
      <c r="A959" s="11" t="s">
        <v>88</v>
      </c>
      <c r="B959" s="11" t="s">
        <v>20</v>
      </c>
      <c r="C959" s="11" t="s">
        <v>1082</v>
      </c>
      <c r="D959" s="11" t="s">
        <v>179</v>
      </c>
      <c r="E959" s="11" t="s">
        <v>1083</v>
      </c>
      <c r="F959" s="11" t="s">
        <v>1004</v>
      </c>
      <c r="G959" s="11" t="s">
        <v>1112</v>
      </c>
      <c r="H959" s="44">
        <v>2016.03703703704</v>
      </c>
      <c r="I959" s="44">
        <v>265.873015873016</v>
      </c>
      <c r="J959" s="44">
        <v>259.523809523809</v>
      </c>
      <c r="K959" s="87">
        <v>273.015873015873</v>
      </c>
      <c r="L959" s="29" t="s">
        <v>260</v>
      </c>
      <c r="M959" s="30" t="s">
        <v>181</v>
      </c>
      <c r="N959" s="11" t="s">
        <v>191</v>
      </c>
    </row>
    <row r="960">
      <c r="A960" s="11" t="s">
        <v>88</v>
      </c>
      <c r="B960" s="11" t="s">
        <v>20</v>
      </c>
      <c r="C960" s="11" t="s">
        <v>1082</v>
      </c>
      <c r="D960" s="11" t="s">
        <v>179</v>
      </c>
      <c r="E960" s="11" t="s">
        <v>1083</v>
      </c>
      <c r="F960" s="11" t="s">
        <v>1004</v>
      </c>
      <c r="G960" s="11" t="s">
        <v>1112</v>
      </c>
      <c r="H960" s="44">
        <v>2017.0</v>
      </c>
      <c r="I960" s="44">
        <v>250.0</v>
      </c>
      <c r="J960" s="44">
        <v>244.444444444444</v>
      </c>
      <c r="K960" s="87">
        <v>255.555555555556</v>
      </c>
      <c r="L960" s="29" t="s">
        <v>260</v>
      </c>
      <c r="M960" s="30" t="s">
        <v>181</v>
      </c>
      <c r="N960" s="11" t="s">
        <v>191</v>
      </c>
    </row>
    <row r="961">
      <c r="A961" s="11" t="s">
        <v>88</v>
      </c>
      <c r="B961" s="11" t="s">
        <v>20</v>
      </c>
      <c r="C961" s="11" t="s">
        <v>1082</v>
      </c>
      <c r="D961" s="11" t="s">
        <v>179</v>
      </c>
      <c r="E961" s="11" t="s">
        <v>1083</v>
      </c>
      <c r="F961" s="11" t="s">
        <v>1004</v>
      </c>
      <c r="G961" s="11" t="s">
        <v>1112</v>
      </c>
      <c r="H961" s="44">
        <v>2018.03703703704</v>
      </c>
      <c r="I961" s="44">
        <v>227.777777777778</v>
      </c>
      <c r="J961" s="44">
        <v>222.222222222222</v>
      </c>
      <c r="K961" s="87">
        <v>233.333333333333</v>
      </c>
      <c r="L961" s="29" t="s">
        <v>260</v>
      </c>
      <c r="M961" s="30" t="s">
        <v>181</v>
      </c>
      <c r="N961" s="11" t="s">
        <v>191</v>
      </c>
    </row>
    <row r="962">
      <c r="A962" s="11" t="s">
        <v>88</v>
      </c>
      <c r="B962" s="11" t="s">
        <v>20</v>
      </c>
      <c r="C962" s="11" t="s">
        <v>1082</v>
      </c>
      <c r="D962" s="11" t="s">
        <v>179</v>
      </c>
      <c r="E962" s="11" t="s">
        <v>1083</v>
      </c>
      <c r="F962" s="11" t="s">
        <v>1004</v>
      </c>
      <c r="G962" s="11" t="s">
        <v>1112</v>
      </c>
      <c r="H962" s="44">
        <v>2019.03703703704</v>
      </c>
      <c r="I962" s="44">
        <v>215.079365079365</v>
      </c>
      <c r="J962" s="44">
        <v>209.523809523809</v>
      </c>
      <c r="K962" s="87">
        <v>219.84126984127</v>
      </c>
      <c r="L962" s="29" t="s">
        <v>260</v>
      </c>
      <c r="M962" s="30" t="s">
        <v>181</v>
      </c>
      <c r="N962" s="11" t="s">
        <v>191</v>
      </c>
    </row>
    <row r="963">
      <c r="A963" s="11" t="s">
        <v>88</v>
      </c>
      <c r="B963" s="11" t="s">
        <v>20</v>
      </c>
      <c r="C963" s="11" t="s">
        <v>1082</v>
      </c>
      <c r="D963" s="11" t="s">
        <v>179</v>
      </c>
      <c r="E963" s="11" t="s">
        <v>1083</v>
      </c>
      <c r="F963" s="11" t="s">
        <v>1004</v>
      </c>
      <c r="G963" s="11" t="s">
        <v>1112</v>
      </c>
      <c r="H963" s="44">
        <v>2020.0</v>
      </c>
      <c r="I963" s="44">
        <v>199.206349206349</v>
      </c>
      <c r="J963" s="44">
        <v>188.888888888889</v>
      </c>
      <c r="K963" s="87">
        <v>208.730158730159</v>
      </c>
      <c r="L963" s="29" t="s">
        <v>260</v>
      </c>
      <c r="M963" s="30" t="s">
        <v>181</v>
      </c>
      <c r="N963" s="11" t="s">
        <v>191</v>
      </c>
    </row>
    <row r="964">
      <c r="A964" s="11" t="s">
        <v>88</v>
      </c>
      <c r="B964" s="11" t="s">
        <v>20</v>
      </c>
      <c r="C964" s="11" t="s">
        <v>1082</v>
      </c>
      <c r="D964" s="11" t="s">
        <v>179</v>
      </c>
      <c r="E964" s="11" t="s">
        <v>1083</v>
      </c>
      <c r="F964" s="11" t="s">
        <v>1004</v>
      </c>
      <c r="G964" s="11" t="s">
        <v>158</v>
      </c>
      <c r="H964" s="11">
        <v>1990.0</v>
      </c>
      <c r="I964" s="40">
        <v>262.0</v>
      </c>
      <c r="J964" s="40">
        <v>258.0</v>
      </c>
      <c r="K964" s="11">
        <v>266.0</v>
      </c>
      <c r="L964" s="29" t="s">
        <v>260</v>
      </c>
      <c r="M964" s="30" t="s">
        <v>181</v>
      </c>
      <c r="N964" s="11" t="s">
        <v>191</v>
      </c>
    </row>
    <row r="965">
      <c r="A965" s="11" t="s">
        <v>88</v>
      </c>
      <c r="B965" s="11" t="s">
        <v>20</v>
      </c>
      <c r="C965" s="11" t="s">
        <v>1082</v>
      </c>
      <c r="D965" s="11" t="s">
        <v>179</v>
      </c>
      <c r="E965" s="11" t="s">
        <v>1083</v>
      </c>
      <c r="F965" s="11" t="s">
        <v>1004</v>
      </c>
      <c r="G965" s="11" t="s">
        <v>158</v>
      </c>
      <c r="H965" s="11">
        <v>1991.0</v>
      </c>
      <c r="I965" s="40">
        <v>270.0</v>
      </c>
      <c r="J965" s="40">
        <v>266.0</v>
      </c>
      <c r="K965" s="11">
        <v>275.0</v>
      </c>
      <c r="L965" s="29" t="s">
        <v>260</v>
      </c>
      <c r="M965" s="30" t="s">
        <v>181</v>
      </c>
      <c r="N965" s="11" t="s">
        <v>191</v>
      </c>
    </row>
    <row r="966">
      <c r="A966" s="11" t="s">
        <v>88</v>
      </c>
      <c r="B966" s="11" t="s">
        <v>20</v>
      </c>
      <c r="C966" s="11" t="s">
        <v>1082</v>
      </c>
      <c r="D966" s="11" t="s">
        <v>179</v>
      </c>
      <c r="E966" s="11" t="s">
        <v>1083</v>
      </c>
      <c r="F966" s="11" t="s">
        <v>1004</v>
      </c>
      <c r="G966" s="11" t="s">
        <v>158</v>
      </c>
      <c r="H966" s="11">
        <v>1992.0</v>
      </c>
      <c r="I966" s="40">
        <v>281.0</v>
      </c>
      <c r="J966" s="40">
        <v>277.0</v>
      </c>
      <c r="K966" s="11">
        <v>285.0</v>
      </c>
      <c r="L966" s="29" t="s">
        <v>260</v>
      </c>
      <c r="M966" s="30" t="s">
        <v>181</v>
      </c>
      <c r="N966" s="11" t="s">
        <v>191</v>
      </c>
    </row>
    <row r="967">
      <c r="A967" s="11" t="s">
        <v>88</v>
      </c>
      <c r="B967" s="11" t="s">
        <v>20</v>
      </c>
      <c r="C967" s="11" t="s">
        <v>1082</v>
      </c>
      <c r="D967" s="11" t="s">
        <v>179</v>
      </c>
      <c r="E967" s="11" t="s">
        <v>1083</v>
      </c>
      <c r="F967" s="11" t="s">
        <v>1004</v>
      </c>
      <c r="G967" s="11" t="s">
        <v>158</v>
      </c>
      <c r="H967" s="11">
        <v>1993.0</v>
      </c>
      <c r="I967" s="40">
        <v>276.0</v>
      </c>
      <c r="J967" s="40">
        <v>273.0</v>
      </c>
      <c r="K967" s="11">
        <v>281.0</v>
      </c>
      <c r="L967" s="29" t="s">
        <v>260</v>
      </c>
      <c r="M967" s="30" t="s">
        <v>181</v>
      </c>
      <c r="N967" s="11" t="s">
        <v>191</v>
      </c>
    </row>
    <row r="968">
      <c r="A968" s="11" t="s">
        <v>88</v>
      </c>
      <c r="B968" s="11" t="s">
        <v>20</v>
      </c>
      <c r="C968" s="11" t="s">
        <v>1082</v>
      </c>
      <c r="D968" s="11" t="s">
        <v>179</v>
      </c>
      <c r="E968" s="11" t="s">
        <v>1083</v>
      </c>
      <c r="F968" s="11" t="s">
        <v>1004</v>
      </c>
      <c r="G968" s="11" t="s">
        <v>158</v>
      </c>
      <c r="H968" s="11">
        <v>1994.0</v>
      </c>
      <c r="I968" s="40">
        <v>286.0</v>
      </c>
      <c r="J968" s="40">
        <v>282.0</v>
      </c>
      <c r="K968" s="11">
        <v>289.0</v>
      </c>
      <c r="L968" s="29" t="s">
        <v>260</v>
      </c>
      <c r="M968" s="30" t="s">
        <v>181</v>
      </c>
      <c r="N968" s="11" t="s">
        <v>191</v>
      </c>
    </row>
    <row r="969">
      <c r="A969" s="11" t="s">
        <v>88</v>
      </c>
      <c r="B969" s="11" t="s">
        <v>20</v>
      </c>
      <c r="C969" s="11" t="s">
        <v>1082</v>
      </c>
      <c r="D969" s="11" t="s">
        <v>179</v>
      </c>
      <c r="E969" s="11" t="s">
        <v>1083</v>
      </c>
      <c r="F969" s="11" t="s">
        <v>1004</v>
      </c>
      <c r="G969" s="11" t="s">
        <v>158</v>
      </c>
      <c r="H969" s="11">
        <v>1995.0</v>
      </c>
      <c r="I969" s="40">
        <v>292.0</v>
      </c>
      <c r="J969" s="40">
        <v>289.0</v>
      </c>
      <c r="K969" s="11">
        <v>295.0</v>
      </c>
      <c r="L969" s="29" t="s">
        <v>260</v>
      </c>
      <c r="M969" s="30" t="s">
        <v>181</v>
      </c>
      <c r="N969" s="11" t="s">
        <v>191</v>
      </c>
    </row>
    <row r="970">
      <c r="A970" s="11" t="s">
        <v>88</v>
      </c>
      <c r="B970" s="11" t="s">
        <v>20</v>
      </c>
      <c r="C970" s="11" t="s">
        <v>1082</v>
      </c>
      <c r="D970" s="11" t="s">
        <v>179</v>
      </c>
      <c r="E970" s="11" t="s">
        <v>1083</v>
      </c>
      <c r="F970" s="11" t="s">
        <v>1004</v>
      </c>
      <c r="G970" s="11" t="s">
        <v>158</v>
      </c>
      <c r="H970" s="11">
        <v>1996.0</v>
      </c>
      <c r="I970" s="40">
        <v>303.0</v>
      </c>
      <c r="J970" s="40">
        <v>299.0</v>
      </c>
      <c r="K970" s="11">
        <v>306.0</v>
      </c>
      <c r="L970" s="29" t="s">
        <v>260</v>
      </c>
      <c r="M970" s="30" t="s">
        <v>181</v>
      </c>
      <c r="N970" s="11" t="s">
        <v>191</v>
      </c>
    </row>
    <row r="971">
      <c r="A971" s="11" t="s">
        <v>88</v>
      </c>
      <c r="B971" s="11" t="s">
        <v>20</v>
      </c>
      <c r="C971" s="11" t="s">
        <v>1082</v>
      </c>
      <c r="D971" s="11" t="s">
        <v>179</v>
      </c>
      <c r="E971" s="11" t="s">
        <v>1083</v>
      </c>
      <c r="F971" s="11" t="s">
        <v>1004</v>
      </c>
      <c r="G971" s="11" t="s">
        <v>158</v>
      </c>
      <c r="H971" s="11">
        <v>1997.0</v>
      </c>
      <c r="I971" s="40">
        <v>313.0</v>
      </c>
      <c r="J971" s="40">
        <v>310.0</v>
      </c>
      <c r="K971" s="11">
        <v>317.0</v>
      </c>
      <c r="L971" s="29" t="s">
        <v>260</v>
      </c>
      <c r="M971" s="30" t="s">
        <v>181</v>
      </c>
      <c r="N971" s="11" t="s">
        <v>191</v>
      </c>
    </row>
    <row r="972">
      <c r="A972" s="11" t="s">
        <v>88</v>
      </c>
      <c r="B972" s="11" t="s">
        <v>20</v>
      </c>
      <c r="C972" s="11" t="s">
        <v>1082</v>
      </c>
      <c r="D972" s="11" t="s">
        <v>179</v>
      </c>
      <c r="E972" s="11" t="s">
        <v>1083</v>
      </c>
      <c r="F972" s="11" t="s">
        <v>1004</v>
      </c>
      <c r="G972" s="11" t="s">
        <v>158</v>
      </c>
      <c r="H972" s="11">
        <v>1998.0</v>
      </c>
      <c r="I972" s="40">
        <v>312.0</v>
      </c>
      <c r="J972" s="40">
        <v>308.0</v>
      </c>
      <c r="K972" s="11">
        <v>315.0</v>
      </c>
      <c r="L972" s="29" t="s">
        <v>260</v>
      </c>
      <c r="M972" s="30" t="s">
        <v>181</v>
      </c>
      <c r="N972" s="11" t="s">
        <v>191</v>
      </c>
    </row>
    <row r="973">
      <c r="A973" s="11" t="s">
        <v>88</v>
      </c>
      <c r="B973" s="11" t="s">
        <v>20</v>
      </c>
      <c r="C973" s="11" t="s">
        <v>1082</v>
      </c>
      <c r="D973" s="11" t="s">
        <v>179</v>
      </c>
      <c r="E973" s="11" t="s">
        <v>1083</v>
      </c>
      <c r="F973" s="11" t="s">
        <v>1004</v>
      </c>
      <c r="G973" s="11" t="s">
        <v>158</v>
      </c>
      <c r="H973" s="11">
        <v>1999.0</v>
      </c>
      <c r="I973" s="40">
        <v>311.0</v>
      </c>
      <c r="J973" s="40">
        <v>307.0</v>
      </c>
      <c r="K973" s="11">
        <v>315.0</v>
      </c>
      <c r="L973" s="29" t="s">
        <v>260</v>
      </c>
      <c r="M973" s="30" t="s">
        <v>181</v>
      </c>
      <c r="N973" s="11" t="s">
        <v>191</v>
      </c>
    </row>
    <row r="974">
      <c r="A974" s="11" t="s">
        <v>88</v>
      </c>
      <c r="B974" s="11" t="s">
        <v>20</v>
      </c>
      <c r="C974" s="11" t="s">
        <v>1082</v>
      </c>
      <c r="D974" s="11" t="s">
        <v>179</v>
      </c>
      <c r="E974" s="11" t="s">
        <v>1083</v>
      </c>
      <c r="F974" s="11" t="s">
        <v>1004</v>
      </c>
      <c r="G974" s="11" t="s">
        <v>158</v>
      </c>
      <c r="H974" s="11">
        <v>2000.0</v>
      </c>
      <c r="I974" s="40">
        <v>308.0</v>
      </c>
      <c r="J974" s="40">
        <v>304.0</v>
      </c>
      <c r="K974" s="11">
        <v>312.0</v>
      </c>
      <c r="L974" s="29" t="s">
        <v>260</v>
      </c>
      <c r="M974" s="30" t="s">
        <v>181</v>
      </c>
      <c r="N974" s="11" t="s">
        <v>191</v>
      </c>
    </row>
    <row r="975">
      <c r="A975" s="11" t="s">
        <v>88</v>
      </c>
      <c r="B975" s="11" t="s">
        <v>20</v>
      </c>
      <c r="C975" s="11" t="s">
        <v>1082</v>
      </c>
      <c r="D975" s="11" t="s">
        <v>179</v>
      </c>
      <c r="E975" s="11" t="s">
        <v>1083</v>
      </c>
      <c r="F975" s="11" t="s">
        <v>1004</v>
      </c>
      <c r="G975" s="11" t="s">
        <v>158</v>
      </c>
      <c r="H975" s="11">
        <v>2001.0</v>
      </c>
      <c r="I975" s="40">
        <v>333.0</v>
      </c>
      <c r="J975" s="40">
        <v>329.0</v>
      </c>
      <c r="K975" s="11">
        <v>335.0</v>
      </c>
      <c r="L975" s="29" t="s">
        <v>260</v>
      </c>
      <c r="M975" s="30" t="s">
        <v>181</v>
      </c>
      <c r="N975" s="11" t="s">
        <v>191</v>
      </c>
    </row>
    <row r="976">
      <c r="A976" s="11" t="s">
        <v>88</v>
      </c>
      <c r="B976" s="11" t="s">
        <v>20</v>
      </c>
      <c r="C976" s="11" t="s">
        <v>1082</v>
      </c>
      <c r="D976" s="11" t="s">
        <v>179</v>
      </c>
      <c r="E976" s="11" t="s">
        <v>1083</v>
      </c>
      <c r="F976" s="11" t="s">
        <v>1004</v>
      </c>
      <c r="G976" s="11" t="s">
        <v>158</v>
      </c>
      <c r="H976" s="11">
        <v>2002.0</v>
      </c>
      <c r="I976" s="40">
        <v>346.0</v>
      </c>
      <c r="J976" s="40">
        <v>342.0</v>
      </c>
      <c r="K976" s="11">
        <v>349.0</v>
      </c>
      <c r="L976" s="29" t="s">
        <v>260</v>
      </c>
      <c r="M976" s="30" t="s">
        <v>181</v>
      </c>
      <c r="N976" s="11" t="s">
        <v>191</v>
      </c>
    </row>
    <row r="977">
      <c r="A977" s="11" t="s">
        <v>88</v>
      </c>
      <c r="B977" s="11" t="s">
        <v>20</v>
      </c>
      <c r="C977" s="11" t="s">
        <v>1082</v>
      </c>
      <c r="D977" s="11" t="s">
        <v>179</v>
      </c>
      <c r="E977" s="11" t="s">
        <v>1083</v>
      </c>
      <c r="F977" s="11" t="s">
        <v>1004</v>
      </c>
      <c r="G977" s="11" t="s">
        <v>158</v>
      </c>
      <c r="H977" s="11">
        <v>2003.0</v>
      </c>
      <c r="I977" s="40">
        <v>359.0</v>
      </c>
      <c r="J977" s="40">
        <v>355.0</v>
      </c>
      <c r="K977" s="11">
        <v>362.0</v>
      </c>
      <c r="L977" s="29" t="s">
        <v>260</v>
      </c>
      <c r="M977" s="30" t="s">
        <v>181</v>
      </c>
      <c r="N977" s="11" t="s">
        <v>191</v>
      </c>
    </row>
    <row r="978">
      <c r="A978" s="11" t="s">
        <v>88</v>
      </c>
      <c r="B978" s="11" t="s">
        <v>20</v>
      </c>
      <c r="C978" s="11" t="s">
        <v>1082</v>
      </c>
      <c r="D978" s="11" t="s">
        <v>179</v>
      </c>
      <c r="E978" s="11" t="s">
        <v>1083</v>
      </c>
      <c r="F978" s="11" t="s">
        <v>1004</v>
      </c>
      <c r="G978" s="11" t="s">
        <v>158</v>
      </c>
      <c r="H978" s="11">
        <v>2004.0</v>
      </c>
      <c r="I978" s="40">
        <v>368.0</v>
      </c>
      <c r="J978" s="40">
        <v>363.0</v>
      </c>
      <c r="K978" s="11">
        <v>370.0</v>
      </c>
      <c r="L978" s="29" t="s">
        <v>260</v>
      </c>
      <c r="M978" s="30" t="s">
        <v>181</v>
      </c>
      <c r="N978" s="11" t="s">
        <v>191</v>
      </c>
    </row>
    <row r="979">
      <c r="A979" s="11" t="s">
        <v>88</v>
      </c>
      <c r="B979" s="11" t="s">
        <v>20</v>
      </c>
      <c r="C979" s="11" t="s">
        <v>1082</v>
      </c>
      <c r="D979" s="11" t="s">
        <v>179</v>
      </c>
      <c r="E979" s="11" t="s">
        <v>1083</v>
      </c>
      <c r="F979" s="11" t="s">
        <v>1004</v>
      </c>
      <c r="G979" s="11" t="s">
        <v>158</v>
      </c>
      <c r="H979" s="11">
        <v>2005.0</v>
      </c>
      <c r="I979" s="40">
        <v>391.0</v>
      </c>
      <c r="J979" s="40">
        <v>387.0</v>
      </c>
      <c r="K979" s="11">
        <v>395.0</v>
      </c>
      <c r="L979" s="29" t="s">
        <v>260</v>
      </c>
      <c r="M979" s="30" t="s">
        <v>181</v>
      </c>
      <c r="N979" s="11" t="s">
        <v>191</v>
      </c>
    </row>
    <row r="980">
      <c r="A980" s="11" t="s">
        <v>88</v>
      </c>
      <c r="B980" s="11" t="s">
        <v>20</v>
      </c>
      <c r="C980" s="11" t="s">
        <v>1082</v>
      </c>
      <c r="D980" s="11" t="s">
        <v>179</v>
      </c>
      <c r="E980" s="11" t="s">
        <v>1083</v>
      </c>
      <c r="F980" s="11" t="s">
        <v>1004</v>
      </c>
      <c r="G980" s="11" t="s">
        <v>158</v>
      </c>
      <c r="H980" s="11">
        <v>2006.0</v>
      </c>
      <c r="I980" s="40">
        <v>403.0</v>
      </c>
      <c r="J980" s="40">
        <v>399.0</v>
      </c>
      <c r="K980" s="11">
        <v>406.0</v>
      </c>
      <c r="L980" s="29" t="s">
        <v>260</v>
      </c>
      <c r="M980" s="30" t="s">
        <v>181</v>
      </c>
      <c r="N980" s="11" t="s">
        <v>191</v>
      </c>
    </row>
    <row r="981">
      <c r="A981" s="11" t="s">
        <v>88</v>
      </c>
      <c r="B981" s="11" t="s">
        <v>20</v>
      </c>
      <c r="C981" s="11" t="s">
        <v>1082</v>
      </c>
      <c r="D981" s="11" t="s">
        <v>179</v>
      </c>
      <c r="E981" s="11" t="s">
        <v>1083</v>
      </c>
      <c r="F981" s="11" t="s">
        <v>1004</v>
      </c>
      <c r="G981" s="11" t="s">
        <v>158</v>
      </c>
      <c r="H981" s="11">
        <v>2007.0</v>
      </c>
      <c r="I981" s="40">
        <v>412.0</v>
      </c>
      <c r="J981" s="40">
        <v>408.0</v>
      </c>
      <c r="K981" s="11">
        <v>415.0</v>
      </c>
      <c r="L981" s="29" t="s">
        <v>260</v>
      </c>
      <c r="M981" s="30" t="s">
        <v>181</v>
      </c>
      <c r="N981" s="11" t="s">
        <v>191</v>
      </c>
    </row>
    <row r="982">
      <c r="A982" s="11" t="s">
        <v>88</v>
      </c>
      <c r="B982" s="11" t="s">
        <v>20</v>
      </c>
      <c r="C982" s="11" t="s">
        <v>1082</v>
      </c>
      <c r="D982" s="11" t="s">
        <v>179</v>
      </c>
      <c r="E982" s="11" t="s">
        <v>1083</v>
      </c>
      <c r="F982" s="11" t="s">
        <v>1004</v>
      </c>
      <c r="G982" s="11" t="s">
        <v>158</v>
      </c>
      <c r="H982" s="11">
        <v>2008.0</v>
      </c>
      <c r="I982" s="40">
        <v>432.0</v>
      </c>
      <c r="J982" s="40">
        <v>429.0</v>
      </c>
      <c r="K982" s="11">
        <v>434.0</v>
      </c>
      <c r="L982" s="29" t="s">
        <v>260</v>
      </c>
      <c r="M982" s="30" t="s">
        <v>181</v>
      </c>
      <c r="N982" s="11" t="s">
        <v>191</v>
      </c>
    </row>
    <row r="983">
      <c r="A983" s="11" t="s">
        <v>88</v>
      </c>
      <c r="B983" s="11" t="s">
        <v>20</v>
      </c>
      <c r="C983" s="11" t="s">
        <v>1082</v>
      </c>
      <c r="D983" s="11" t="s">
        <v>179</v>
      </c>
      <c r="E983" s="11" t="s">
        <v>1083</v>
      </c>
      <c r="F983" s="11" t="s">
        <v>1004</v>
      </c>
      <c r="G983" s="11" t="s">
        <v>158</v>
      </c>
      <c r="H983" s="11">
        <v>2009.0</v>
      </c>
      <c r="I983" s="40">
        <v>461.0</v>
      </c>
      <c r="J983" s="40">
        <v>460.0</v>
      </c>
      <c r="K983" s="11">
        <v>463.0</v>
      </c>
      <c r="L983" s="29" t="s">
        <v>260</v>
      </c>
      <c r="M983" s="30" t="s">
        <v>181</v>
      </c>
      <c r="N983" s="11" t="s">
        <v>191</v>
      </c>
    </row>
    <row r="984">
      <c r="A984" s="11" t="s">
        <v>88</v>
      </c>
      <c r="B984" s="11" t="s">
        <v>20</v>
      </c>
      <c r="C984" s="11" t="s">
        <v>1082</v>
      </c>
      <c r="D984" s="11" t="s">
        <v>179</v>
      </c>
      <c r="E984" s="11" t="s">
        <v>1083</v>
      </c>
      <c r="F984" s="11" t="s">
        <v>1004</v>
      </c>
      <c r="G984" s="11" t="s">
        <v>158</v>
      </c>
      <c r="H984" s="11">
        <v>2010.0</v>
      </c>
      <c r="I984" s="40">
        <v>475.0</v>
      </c>
      <c r="J984" s="40">
        <v>472.0</v>
      </c>
      <c r="K984" s="11">
        <v>479.0</v>
      </c>
      <c r="L984" s="29" t="s">
        <v>260</v>
      </c>
      <c r="M984" s="30" t="s">
        <v>181</v>
      </c>
      <c r="N984" s="11" t="s">
        <v>191</v>
      </c>
    </row>
    <row r="985">
      <c r="A985" s="11" t="s">
        <v>88</v>
      </c>
      <c r="B985" s="11" t="s">
        <v>20</v>
      </c>
      <c r="C985" s="11" t="s">
        <v>1082</v>
      </c>
      <c r="D985" s="11" t="s">
        <v>179</v>
      </c>
      <c r="E985" s="11" t="s">
        <v>1083</v>
      </c>
      <c r="F985" s="11" t="s">
        <v>1004</v>
      </c>
      <c r="G985" s="11" t="s">
        <v>158</v>
      </c>
      <c r="H985" s="11">
        <v>2011.0</v>
      </c>
      <c r="I985" s="40">
        <v>481.0</v>
      </c>
      <c r="J985" s="40">
        <v>478.0</v>
      </c>
      <c r="K985" s="11">
        <v>486.0</v>
      </c>
      <c r="L985" s="29" t="s">
        <v>260</v>
      </c>
      <c r="M985" s="30" t="s">
        <v>181</v>
      </c>
      <c r="N985" s="11" t="s">
        <v>191</v>
      </c>
    </row>
    <row r="986">
      <c r="A986" s="11" t="s">
        <v>88</v>
      </c>
      <c r="B986" s="11" t="s">
        <v>20</v>
      </c>
      <c r="C986" s="11" t="s">
        <v>1082</v>
      </c>
      <c r="D986" s="11" t="s">
        <v>179</v>
      </c>
      <c r="E986" s="11" t="s">
        <v>1083</v>
      </c>
      <c r="F986" s="11" t="s">
        <v>1004</v>
      </c>
      <c r="G986" s="11" t="s">
        <v>158</v>
      </c>
      <c r="H986" s="11">
        <v>2012.0</v>
      </c>
      <c r="I986" s="40">
        <v>473.0</v>
      </c>
      <c r="J986" s="40">
        <v>467.0</v>
      </c>
      <c r="K986" s="11">
        <v>477.0</v>
      </c>
      <c r="L986" s="29" t="s">
        <v>260</v>
      </c>
      <c r="M986" s="30" t="s">
        <v>181</v>
      </c>
      <c r="N986" s="11" t="s">
        <v>191</v>
      </c>
    </row>
    <row r="987">
      <c r="A987" s="11" t="s">
        <v>88</v>
      </c>
      <c r="B987" s="11" t="s">
        <v>20</v>
      </c>
      <c r="C987" s="11" t="s">
        <v>1082</v>
      </c>
      <c r="D987" s="11" t="s">
        <v>179</v>
      </c>
      <c r="E987" s="11" t="s">
        <v>1083</v>
      </c>
      <c r="F987" s="11" t="s">
        <v>1004</v>
      </c>
      <c r="G987" s="11" t="s">
        <v>158</v>
      </c>
      <c r="H987" s="11">
        <v>2013.0</v>
      </c>
      <c r="I987" s="40">
        <v>478.0</v>
      </c>
      <c r="J987" s="40">
        <v>471.0</v>
      </c>
      <c r="K987" s="11">
        <v>484.0</v>
      </c>
      <c r="L987" s="29" t="s">
        <v>260</v>
      </c>
      <c r="M987" s="30" t="s">
        <v>181</v>
      </c>
      <c r="N987" s="11" t="s">
        <v>191</v>
      </c>
    </row>
    <row r="988">
      <c r="A988" s="11" t="s">
        <v>88</v>
      </c>
      <c r="B988" s="11" t="s">
        <v>20</v>
      </c>
      <c r="C988" s="11" t="s">
        <v>1082</v>
      </c>
      <c r="D988" s="11" t="s">
        <v>179</v>
      </c>
      <c r="E988" s="11" t="s">
        <v>1083</v>
      </c>
      <c r="F988" s="11" t="s">
        <v>1004</v>
      </c>
      <c r="G988" s="11" t="s">
        <v>158</v>
      </c>
      <c r="H988" s="11">
        <v>2014.0</v>
      </c>
      <c r="I988" s="40">
        <v>473.0</v>
      </c>
      <c r="J988" s="40">
        <v>467.0</v>
      </c>
      <c r="K988" s="11">
        <v>478.0</v>
      </c>
      <c r="L988" s="29" t="s">
        <v>260</v>
      </c>
      <c r="M988" s="30" t="s">
        <v>181</v>
      </c>
      <c r="N988" s="11" t="s">
        <v>191</v>
      </c>
    </row>
    <row r="989">
      <c r="A989" s="11" t="s">
        <v>88</v>
      </c>
      <c r="B989" s="11" t="s">
        <v>20</v>
      </c>
      <c r="C989" s="11" t="s">
        <v>1082</v>
      </c>
      <c r="D989" s="11" t="s">
        <v>179</v>
      </c>
      <c r="E989" s="11" t="s">
        <v>1083</v>
      </c>
      <c r="F989" s="11" t="s">
        <v>1004</v>
      </c>
      <c r="G989" s="11" t="s">
        <v>158</v>
      </c>
      <c r="H989" s="11">
        <v>2015.0</v>
      </c>
      <c r="I989" s="40">
        <v>469.0</v>
      </c>
      <c r="J989" s="40">
        <v>460.0</v>
      </c>
      <c r="K989" s="11">
        <v>476.0</v>
      </c>
      <c r="L989" s="29" t="s">
        <v>260</v>
      </c>
      <c r="M989" s="30" t="s">
        <v>181</v>
      </c>
      <c r="N989" s="11" t="s">
        <v>191</v>
      </c>
    </row>
    <row r="990">
      <c r="A990" s="11" t="s">
        <v>88</v>
      </c>
      <c r="B990" s="11" t="s">
        <v>20</v>
      </c>
      <c r="C990" s="11" t="s">
        <v>1082</v>
      </c>
      <c r="D990" s="11" t="s">
        <v>179</v>
      </c>
      <c r="E990" s="11" t="s">
        <v>1083</v>
      </c>
      <c r="F990" s="11" t="s">
        <v>1004</v>
      </c>
      <c r="G990" s="11" t="s">
        <v>158</v>
      </c>
      <c r="H990" s="11">
        <v>2016.0</v>
      </c>
      <c r="I990" s="40">
        <v>452.0</v>
      </c>
      <c r="J990" s="40">
        <v>445.0</v>
      </c>
      <c r="K990" s="11">
        <v>460.0</v>
      </c>
      <c r="L990" s="29" t="s">
        <v>260</v>
      </c>
      <c r="M990" s="30" t="s">
        <v>181</v>
      </c>
      <c r="N990" s="11" t="s">
        <v>191</v>
      </c>
    </row>
    <row r="991">
      <c r="A991" s="11" t="s">
        <v>88</v>
      </c>
      <c r="B991" s="11" t="s">
        <v>20</v>
      </c>
      <c r="C991" s="11" t="s">
        <v>1082</v>
      </c>
      <c r="D991" s="11" t="s">
        <v>179</v>
      </c>
      <c r="E991" s="11" t="s">
        <v>1083</v>
      </c>
      <c r="F991" s="11" t="s">
        <v>1004</v>
      </c>
      <c r="G991" s="11" t="s">
        <v>158</v>
      </c>
      <c r="H991" s="11">
        <v>2017.0</v>
      </c>
      <c r="I991" s="40">
        <v>429.0</v>
      </c>
      <c r="J991" s="40">
        <v>422.0</v>
      </c>
      <c r="K991" s="11">
        <v>434.0</v>
      </c>
      <c r="L991" s="29" t="s">
        <v>260</v>
      </c>
      <c r="M991" s="30" t="s">
        <v>181</v>
      </c>
      <c r="N991" s="11" t="s">
        <v>191</v>
      </c>
    </row>
    <row r="992">
      <c r="A992" s="11" t="s">
        <v>88</v>
      </c>
      <c r="B992" s="11" t="s">
        <v>20</v>
      </c>
      <c r="C992" s="11" t="s">
        <v>1082</v>
      </c>
      <c r="D992" s="11" t="s">
        <v>179</v>
      </c>
      <c r="E992" s="11" t="s">
        <v>1083</v>
      </c>
      <c r="F992" s="11" t="s">
        <v>1004</v>
      </c>
      <c r="G992" s="11" t="s">
        <v>158</v>
      </c>
      <c r="H992" s="11">
        <v>2018.0</v>
      </c>
      <c r="I992" s="40">
        <v>385.0</v>
      </c>
      <c r="J992" s="40">
        <v>379.0</v>
      </c>
      <c r="K992" s="11">
        <v>389.0</v>
      </c>
      <c r="L992" s="29" t="s">
        <v>260</v>
      </c>
      <c r="M992" s="30" t="s">
        <v>181</v>
      </c>
      <c r="N992" s="11" t="s">
        <v>191</v>
      </c>
    </row>
    <row r="993">
      <c r="A993" s="11" t="s">
        <v>88</v>
      </c>
      <c r="B993" s="11" t="s">
        <v>20</v>
      </c>
      <c r="C993" s="11" t="s">
        <v>1082</v>
      </c>
      <c r="D993" s="11" t="s">
        <v>179</v>
      </c>
      <c r="E993" s="11" t="s">
        <v>1083</v>
      </c>
      <c r="F993" s="11" t="s">
        <v>1004</v>
      </c>
      <c r="G993" s="11" t="s">
        <v>158</v>
      </c>
      <c r="H993" s="11">
        <v>2019.0</v>
      </c>
      <c r="I993" s="40">
        <v>366.0</v>
      </c>
      <c r="J993" s="40">
        <v>361.0</v>
      </c>
      <c r="K993" s="11">
        <v>370.0</v>
      </c>
      <c r="L993" s="29" t="s">
        <v>260</v>
      </c>
      <c r="M993" s="30" t="s">
        <v>181</v>
      </c>
      <c r="N993" s="11" t="s">
        <v>191</v>
      </c>
    </row>
    <row r="994">
      <c r="A994" s="11" t="s">
        <v>88</v>
      </c>
      <c r="B994" s="11" t="s">
        <v>20</v>
      </c>
      <c r="C994" s="11" t="s">
        <v>1082</v>
      </c>
      <c r="D994" s="11" t="s">
        <v>179</v>
      </c>
      <c r="E994" s="11" t="s">
        <v>1083</v>
      </c>
      <c r="F994" s="11" t="s">
        <v>1004</v>
      </c>
      <c r="G994" s="11" t="s">
        <v>158</v>
      </c>
      <c r="H994" s="11">
        <v>2020.0</v>
      </c>
      <c r="I994" s="40">
        <v>339.0</v>
      </c>
      <c r="J994" s="40">
        <v>325.0</v>
      </c>
      <c r="K994" s="11">
        <v>349.0</v>
      </c>
      <c r="L994" s="29" t="s">
        <v>260</v>
      </c>
      <c r="M994" s="30" t="s">
        <v>181</v>
      </c>
      <c r="N994" s="11" t="s">
        <v>191</v>
      </c>
    </row>
    <row r="995">
      <c r="A995" s="11" t="s">
        <v>57</v>
      </c>
      <c r="B995" s="11" t="s">
        <v>20</v>
      </c>
      <c r="C995" s="11" t="s">
        <v>1128</v>
      </c>
      <c r="D995" s="11" t="s">
        <v>226</v>
      </c>
      <c r="E995" s="11" t="s">
        <v>1129</v>
      </c>
      <c r="F995" s="11" t="s">
        <v>1130</v>
      </c>
      <c r="G995" s="11" t="s">
        <v>1131</v>
      </c>
      <c r="H995" s="44">
        <v>1957.92560232316</v>
      </c>
      <c r="I995" s="27" t="s">
        <v>188</v>
      </c>
      <c r="J995" s="71" t="s">
        <v>188</v>
      </c>
      <c r="K995" s="42" t="s">
        <v>188</v>
      </c>
      <c r="L995" s="28" t="s">
        <v>81</v>
      </c>
      <c r="M995" s="30" t="s">
        <v>229</v>
      </c>
      <c r="N995" s="11" t="s">
        <v>233</v>
      </c>
    </row>
    <row r="996">
      <c r="A996" s="11" t="s">
        <v>57</v>
      </c>
      <c r="B996" s="11" t="s">
        <v>20</v>
      </c>
      <c r="C996" s="11" t="s">
        <v>1128</v>
      </c>
      <c r="D996" s="11" t="s">
        <v>226</v>
      </c>
      <c r="E996" s="11" t="s">
        <v>1129</v>
      </c>
      <c r="F996" s="11" t="s">
        <v>1130</v>
      </c>
      <c r="G996" s="11" t="s">
        <v>1131</v>
      </c>
      <c r="H996" s="27">
        <v>1959.0</v>
      </c>
      <c r="I996" s="27" t="s">
        <v>188</v>
      </c>
      <c r="J996" s="71" t="s">
        <v>188</v>
      </c>
      <c r="K996" s="42" t="s">
        <v>188</v>
      </c>
      <c r="L996" s="28" t="s">
        <v>81</v>
      </c>
      <c r="M996" s="30" t="s">
        <v>229</v>
      </c>
      <c r="N996" s="11" t="s">
        <v>233</v>
      </c>
    </row>
    <row r="997">
      <c r="A997" s="11" t="s">
        <v>57</v>
      </c>
      <c r="B997" s="11" t="s">
        <v>20</v>
      </c>
      <c r="C997" s="11" t="s">
        <v>1128</v>
      </c>
      <c r="D997" s="11" t="s">
        <v>226</v>
      </c>
      <c r="E997" s="11" t="s">
        <v>1129</v>
      </c>
      <c r="F997" s="11" t="s">
        <v>1130</v>
      </c>
      <c r="G997" s="11" t="s">
        <v>1131</v>
      </c>
      <c r="H997" s="27">
        <v>1960.0</v>
      </c>
      <c r="I997" s="27" t="s">
        <v>188</v>
      </c>
      <c r="J997" s="71" t="s">
        <v>188</v>
      </c>
      <c r="K997" s="42" t="s">
        <v>188</v>
      </c>
      <c r="L997" s="28" t="s">
        <v>81</v>
      </c>
      <c r="M997" s="30" t="s">
        <v>229</v>
      </c>
      <c r="N997" s="11" t="s">
        <v>233</v>
      </c>
    </row>
    <row r="998">
      <c r="A998" s="11" t="s">
        <v>57</v>
      </c>
      <c r="B998" s="11" t="s">
        <v>20</v>
      </c>
      <c r="C998" s="11" t="s">
        <v>1128</v>
      </c>
      <c r="D998" s="11" t="s">
        <v>226</v>
      </c>
      <c r="E998" s="11" t="s">
        <v>1129</v>
      </c>
      <c r="F998" s="11" t="s">
        <v>1130</v>
      </c>
      <c r="G998" s="11" t="s">
        <v>1131</v>
      </c>
      <c r="H998" s="27">
        <v>1961.0</v>
      </c>
      <c r="I998" s="27">
        <v>12.0</v>
      </c>
      <c r="J998" s="71" t="s">
        <v>188</v>
      </c>
      <c r="K998" s="42" t="s">
        <v>188</v>
      </c>
      <c r="L998" s="28" t="s">
        <v>81</v>
      </c>
      <c r="M998" s="30" t="s">
        <v>229</v>
      </c>
      <c r="N998" s="11" t="s">
        <v>233</v>
      </c>
    </row>
    <row r="999">
      <c r="A999" s="11" t="s">
        <v>57</v>
      </c>
      <c r="B999" s="11" t="s">
        <v>20</v>
      </c>
      <c r="C999" s="11" t="s">
        <v>1128</v>
      </c>
      <c r="D999" s="11" t="s">
        <v>226</v>
      </c>
      <c r="E999" s="11" t="s">
        <v>1129</v>
      </c>
      <c r="F999" s="11" t="s">
        <v>1130</v>
      </c>
      <c r="G999" s="11" t="s">
        <v>1131</v>
      </c>
      <c r="H999" s="44">
        <v>1961.97513471765</v>
      </c>
      <c r="I999" s="27">
        <v>23.0</v>
      </c>
      <c r="J999" s="71" t="s">
        <v>188</v>
      </c>
      <c r="K999" s="42" t="s">
        <v>188</v>
      </c>
      <c r="L999" s="28" t="s">
        <v>81</v>
      </c>
      <c r="M999" s="30" t="s">
        <v>229</v>
      </c>
      <c r="N999" s="11" t="s">
        <v>233</v>
      </c>
    </row>
    <row r="1000">
      <c r="A1000" s="11" t="s">
        <v>57</v>
      </c>
      <c r="B1000" s="11" t="s">
        <v>20</v>
      </c>
      <c r="C1000" s="11" t="s">
        <v>1128</v>
      </c>
      <c r="D1000" s="11" t="s">
        <v>226</v>
      </c>
      <c r="E1000" s="11" t="s">
        <v>1129</v>
      </c>
      <c r="F1000" s="11" t="s">
        <v>1130</v>
      </c>
      <c r="G1000" s="11" t="s">
        <v>1131</v>
      </c>
      <c r="H1000" s="44">
        <v>1962.87513243107</v>
      </c>
      <c r="I1000" s="27">
        <v>32.0</v>
      </c>
      <c r="J1000" s="71" t="s">
        <v>188</v>
      </c>
      <c r="K1000" s="42" t="s">
        <v>188</v>
      </c>
      <c r="L1000" s="28" t="s">
        <v>81</v>
      </c>
      <c r="M1000" s="30" t="s">
        <v>229</v>
      </c>
      <c r="N1000" s="11" t="s">
        <v>233</v>
      </c>
    </row>
    <row r="1001">
      <c r="A1001" s="11" t="s">
        <v>57</v>
      </c>
      <c r="B1001" s="11" t="s">
        <v>20</v>
      </c>
      <c r="C1001" s="11" t="s">
        <v>1128</v>
      </c>
      <c r="D1001" s="11" t="s">
        <v>226</v>
      </c>
      <c r="E1001" s="11" t="s">
        <v>1129</v>
      </c>
      <c r="F1001" s="11" t="s">
        <v>1130</v>
      </c>
      <c r="G1001" s="11" t="s">
        <v>1131</v>
      </c>
      <c r="H1001" s="44">
        <v>1963.70013033503</v>
      </c>
      <c r="I1001" s="27">
        <v>60.0</v>
      </c>
      <c r="J1001" s="71" t="s">
        <v>188</v>
      </c>
      <c r="K1001" s="42" t="s">
        <v>188</v>
      </c>
      <c r="L1001" s="28" t="s">
        <v>81</v>
      </c>
      <c r="M1001" s="30" t="s">
        <v>229</v>
      </c>
      <c r="N1001" s="11" t="s">
        <v>233</v>
      </c>
    </row>
    <row r="1002">
      <c r="A1002" s="11" t="s">
        <v>57</v>
      </c>
      <c r="B1002" s="11" t="s">
        <v>20</v>
      </c>
      <c r="C1002" s="11" t="s">
        <v>1128</v>
      </c>
      <c r="D1002" s="11" t="s">
        <v>226</v>
      </c>
      <c r="E1002" s="11" t="s">
        <v>1129</v>
      </c>
      <c r="F1002" s="11" t="s">
        <v>1130</v>
      </c>
      <c r="G1002" s="11" t="s">
        <v>1131</v>
      </c>
      <c r="H1002" s="44">
        <v>1964.90012728626</v>
      </c>
      <c r="I1002" s="27">
        <v>75.0</v>
      </c>
      <c r="J1002" s="71" t="s">
        <v>188</v>
      </c>
      <c r="K1002" s="42" t="s">
        <v>188</v>
      </c>
      <c r="L1002" s="28" t="s">
        <v>81</v>
      </c>
      <c r="M1002" s="30" t="s">
        <v>229</v>
      </c>
      <c r="N1002" s="11" t="s">
        <v>233</v>
      </c>
    </row>
    <row r="1003">
      <c r="A1003" s="11" t="s">
        <v>57</v>
      </c>
      <c r="B1003" s="11" t="s">
        <v>20</v>
      </c>
      <c r="C1003" s="11" t="s">
        <v>1128</v>
      </c>
      <c r="D1003" s="11" t="s">
        <v>226</v>
      </c>
      <c r="E1003" s="11" t="s">
        <v>1129</v>
      </c>
      <c r="F1003" s="11" t="s">
        <v>1130</v>
      </c>
      <c r="G1003" s="11" t="s">
        <v>1131</v>
      </c>
      <c r="H1003" s="44">
        <v>1965.87512480913</v>
      </c>
      <c r="I1003" s="27">
        <v>100.0</v>
      </c>
      <c r="J1003" s="71" t="s">
        <v>188</v>
      </c>
      <c r="K1003" s="42" t="s">
        <v>188</v>
      </c>
      <c r="L1003" s="28" t="s">
        <v>81</v>
      </c>
      <c r="M1003" s="30" t="s">
        <v>229</v>
      </c>
      <c r="N1003" s="11" t="s">
        <v>233</v>
      </c>
    </row>
    <row r="1004">
      <c r="A1004" s="11" t="s">
        <v>57</v>
      </c>
      <c r="B1004" s="11" t="s">
        <v>20</v>
      </c>
      <c r="C1004" s="11" t="s">
        <v>1128</v>
      </c>
      <c r="D1004" s="11" t="s">
        <v>226</v>
      </c>
      <c r="E1004" s="11" t="s">
        <v>1129</v>
      </c>
      <c r="F1004" s="11" t="s">
        <v>1130</v>
      </c>
      <c r="G1004" s="11" t="s">
        <v>1131</v>
      </c>
      <c r="H1004" s="44">
        <v>1966.85012233201</v>
      </c>
      <c r="I1004" s="27">
        <v>143.0</v>
      </c>
      <c r="J1004" s="71" t="s">
        <v>188</v>
      </c>
      <c r="K1004" s="42" t="s">
        <v>188</v>
      </c>
      <c r="L1004" s="28" t="s">
        <v>81</v>
      </c>
      <c r="M1004" s="30" t="s">
        <v>229</v>
      </c>
      <c r="N1004" s="11" t="s">
        <v>233</v>
      </c>
    </row>
    <row r="1005">
      <c r="A1005" s="11" t="s">
        <v>57</v>
      </c>
      <c r="B1005" s="11" t="s">
        <v>20</v>
      </c>
      <c r="C1005" s="11" t="s">
        <v>1128</v>
      </c>
      <c r="D1005" s="11" t="s">
        <v>226</v>
      </c>
      <c r="E1005" s="11" t="s">
        <v>1129</v>
      </c>
      <c r="F1005" s="11" t="s">
        <v>1130</v>
      </c>
      <c r="G1005" s="11" t="s">
        <v>1131</v>
      </c>
      <c r="H1005" s="44">
        <v>1967.82511985488</v>
      </c>
      <c r="I1005" s="27">
        <v>187.0</v>
      </c>
      <c r="J1005" s="71" t="s">
        <v>188</v>
      </c>
      <c r="K1005" s="42" t="s">
        <v>188</v>
      </c>
      <c r="L1005" s="28" t="s">
        <v>81</v>
      </c>
      <c r="M1005" s="30" t="s">
        <v>229</v>
      </c>
      <c r="N1005" s="11" t="s">
        <v>233</v>
      </c>
    </row>
    <row r="1006">
      <c r="A1006" s="11" t="s">
        <v>57</v>
      </c>
      <c r="B1006" s="11" t="s">
        <v>20</v>
      </c>
      <c r="C1006" s="11" t="s">
        <v>1128</v>
      </c>
      <c r="D1006" s="11" t="s">
        <v>226</v>
      </c>
      <c r="E1006" s="11" t="s">
        <v>1129</v>
      </c>
      <c r="F1006" s="11" t="s">
        <v>1130</v>
      </c>
      <c r="G1006" s="11" t="s">
        <v>1131</v>
      </c>
      <c r="H1006" s="44">
        <v>1968.95026943529</v>
      </c>
      <c r="I1006" s="27">
        <v>238.0</v>
      </c>
      <c r="J1006" s="71" t="s">
        <v>188</v>
      </c>
      <c r="K1006" s="42" t="s">
        <v>188</v>
      </c>
      <c r="L1006" s="28" t="s">
        <v>81</v>
      </c>
      <c r="M1006" s="30" t="s">
        <v>229</v>
      </c>
      <c r="N1006" s="11" t="s">
        <v>233</v>
      </c>
    </row>
    <row r="1007">
      <c r="A1007" s="11" t="s">
        <v>57</v>
      </c>
      <c r="B1007" s="11" t="s">
        <v>20</v>
      </c>
      <c r="C1007" s="11" t="s">
        <v>1128</v>
      </c>
      <c r="D1007" s="11" t="s">
        <v>226</v>
      </c>
      <c r="E1007" s="11" t="s">
        <v>1129</v>
      </c>
      <c r="F1007" s="11" t="s">
        <v>1130</v>
      </c>
      <c r="G1007" s="11" t="s">
        <v>1131</v>
      </c>
      <c r="H1007" s="44">
        <v>1969.85030525837</v>
      </c>
      <c r="I1007" s="27">
        <v>307.0</v>
      </c>
      <c r="J1007" s="71" t="s">
        <v>188</v>
      </c>
      <c r="K1007" s="42" t="s">
        <v>188</v>
      </c>
      <c r="L1007" s="28" t="s">
        <v>81</v>
      </c>
      <c r="M1007" s="30" t="s">
        <v>229</v>
      </c>
      <c r="N1007" s="11" t="s">
        <v>233</v>
      </c>
    </row>
    <row r="1008">
      <c r="A1008" s="11" t="s">
        <v>57</v>
      </c>
      <c r="B1008" s="11" t="s">
        <v>20</v>
      </c>
      <c r="C1008" s="11" t="s">
        <v>1128</v>
      </c>
      <c r="D1008" s="11" t="s">
        <v>226</v>
      </c>
      <c r="E1008" s="11" t="s">
        <v>1129</v>
      </c>
      <c r="F1008" s="11" t="s">
        <v>1130</v>
      </c>
      <c r="G1008" s="11" t="s">
        <v>1131</v>
      </c>
      <c r="H1008" s="44">
        <v>1970.97541672912</v>
      </c>
      <c r="I1008" s="27">
        <v>326.0</v>
      </c>
      <c r="J1008" s="71" t="s">
        <v>188</v>
      </c>
      <c r="K1008" s="42" t="s">
        <v>188</v>
      </c>
      <c r="L1008" s="28" t="s">
        <v>81</v>
      </c>
      <c r="M1008" s="30" t="s">
        <v>229</v>
      </c>
      <c r="N1008" s="11" t="s">
        <v>233</v>
      </c>
    </row>
    <row r="1009">
      <c r="A1009" s="11" t="s">
        <v>57</v>
      </c>
      <c r="B1009" s="11" t="s">
        <v>20</v>
      </c>
      <c r="C1009" s="11" t="s">
        <v>1128</v>
      </c>
      <c r="D1009" s="11" t="s">
        <v>226</v>
      </c>
      <c r="E1009" s="11" t="s">
        <v>1129</v>
      </c>
      <c r="F1009" s="11" t="s">
        <v>1130</v>
      </c>
      <c r="G1009" s="11" t="s">
        <v>1131</v>
      </c>
      <c r="H1009" s="44">
        <v>1971.950414252</v>
      </c>
      <c r="I1009" s="27">
        <v>391.0</v>
      </c>
      <c r="J1009" s="71" t="s">
        <v>188</v>
      </c>
      <c r="K1009" s="42" t="s">
        <v>188</v>
      </c>
      <c r="L1009" s="28" t="s">
        <v>81</v>
      </c>
      <c r="M1009" s="30" t="s">
        <v>229</v>
      </c>
      <c r="N1009" s="11" t="s">
        <v>233</v>
      </c>
    </row>
    <row r="1010">
      <c r="A1010" s="11" t="s">
        <v>57</v>
      </c>
      <c r="B1010" s="11" t="s">
        <v>20</v>
      </c>
      <c r="C1010" s="11" t="s">
        <v>1128</v>
      </c>
      <c r="D1010" s="11" t="s">
        <v>226</v>
      </c>
      <c r="E1010" s="11" t="s">
        <v>1129</v>
      </c>
      <c r="F1010" s="11" t="s">
        <v>1130</v>
      </c>
      <c r="G1010" s="11" t="s">
        <v>1131</v>
      </c>
      <c r="H1010" s="44">
        <v>1972.92541177487</v>
      </c>
      <c r="I1010" s="27">
        <v>437.0</v>
      </c>
      <c r="J1010" s="71" t="s">
        <v>188</v>
      </c>
      <c r="K1010" s="42" t="s">
        <v>188</v>
      </c>
      <c r="L1010" s="28" t="s">
        <v>81</v>
      </c>
      <c r="M1010" s="30" t="s">
        <v>229</v>
      </c>
      <c r="N1010" s="11" t="s">
        <v>233</v>
      </c>
    </row>
    <row r="1011">
      <c r="A1011" s="11" t="s">
        <v>57</v>
      </c>
      <c r="B1011" s="11" t="s">
        <v>20</v>
      </c>
      <c r="C1011" s="11" t="s">
        <v>1128</v>
      </c>
      <c r="D1011" s="11" t="s">
        <v>226</v>
      </c>
      <c r="E1011" s="11" t="s">
        <v>1129</v>
      </c>
      <c r="F1011" s="11" t="s">
        <v>1130</v>
      </c>
      <c r="G1011" s="11" t="s">
        <v>1131</v>
      </c>
      <c r="H1011" s="44">
        <v>1973.90056173638</v>
      </c>
      <c r="I1011" s="27">
        <v>512.0</v>
      </c>
      <c r="J1011" s="71" t="s">
        <v>188</v>
      </c>
      <c r="K1011" s="42" t="s">
        <v>188</v>
      </c>
      <c r="L1011" s="28" t="s">
        <v>81</v>
      </c>
      <c r="M1011" s="30" t="s">
        <v>229</v>
      </c>
      <c r="N1011" s="11" t="s">
        <v>233</v>
      </c>
    </row>
    <row r="1012">
      <c r="A1012" s="11" t="s">
        <v>57</v>
      </c>
      <c r="B1012" s="11" t="s">
        <v>20</v>
      </c>
      <c r="C1012" s="11" t="s">
        <v>1128</v>
      </c>
      <c r="D1012" s="11" t="s">
        <v>226</v>
      </c>
      <c r="E1012" s="11" t="s">
        <v>1129</v>
      </c>
      <c r="F1012" s="11" t="s">
        <v>1130</v>
      </c>
      <c r="G1012" s="11" t="s">
        <v>1131</v>
      </c>
      <c r="H1012" s="44">
        <v>1974.8005594498</v>
      </c>
      <c r="I1012" s="27">
        <v>657.0</v>
      </c>
      <c r="J1012" s="71" t="s">
        <v>188</v>
      </c>
      <c r="K1012" s="42" t="s">
        <v>188</v>
      </c>
      <c r="L1012" s="28" t="s">
        <v>81</v>
      </c>
      <c r="M1012" s="30" t="s">
        <v>229</v>
      </c>
      <c r="N1012" s="11" t="s">
        <v>233</v>
      </c>
    </row>
    <row r="1013">
      <c r="A1013" s="11" t="s">
        <v>57</v>
      </c>
      <c r="B1013" s="11" t="s">
        <v>20</v>
      </c>
      <c r="C1013" s="11" t="s">
        <v>1128</v>
      </c>
      <c r="D1013" s="11" t="s">
        <v>226</v>
      </c>
      <c r="E1013" s="11" t="s">
        <v>1129</v>
      </c>
      <c r="F1013" s="11" t="s">
        <v>1130</v>
      </c>
      <c r="G1013" s="11" t="s">
        <v>1131</v>
      </c>
      <c r="H1013" s="44">
        <v>1975.92586146885</v>
      </c>
      <c r="I1013" s="27">
        <v>815.0</v>
      </c>
      <c r="J1013" s="71" t="s">
        <v>188</v>
      </c>
      <c r="K1013" s="42" t="s">
        <v>188</v>
      </c>
      <c r="L1013" s="28" t="s">
        <v>81</v>
      </c>
      <c r="M1013" s="30" t="s">
        <v>229</v>
      </c>
      <c r="N1013" s="11" t="s">
        <v>233</v>
      </c>
    </row>
    <row r="1014">
      <c r="A1014" s="11" t="s">
        <v>57</v>
      </c>
      <c r="B1014" s="11" t="s">
        <v>20</v>
      </c>
      <c r="C1014" s="11" t="s">
        <v>1128</v>
      </c>
      <c r="D1014" s="11" t="s">
        <v>226</v>
      </c>
      <c r="E1014" s="11" t="s">
        <v>1129</v>
      </c>
      <c r="F1014" s="11" t="s">
        <v>1130</v>
      </c>
      <c r="G1014" s="11" t="s">
        <v>1131</v>
      </c>
      <c r="H1014" s="44">
        <v>1976.90116386899</v>
      </c>
      <c r="I1014" s="27">
        <v>995.0</v>
      </c>
      <c r="J1014" s="71" t="s">
        <v>188</v>
      </c>
      <c r="K1014" s="42" t="s">
        <v>188</v>
      </c>
      <c r="L1014" s="28" t="s">
        <v>81</v>
      </c>
      <c r="M1014" s="30" t="s">
        <v>229</v>
      </c>
      <c r="N1014" s="11" t="s">
        <v>233</v>
      </c>
    </row>
    <row r="1015">
      <c r="A1015" s="11" t="s">
        <v>57</v>
      </c>
      <c r="B1015" s="11" t="s">
        <v>20</v>
      </c>
      <c r="C1015" s="11" t="s">
        <v>1128</v>
      </c>
      <c r="D1015" s="11" t="s">
        <v>226</v>
      </c>
      <c r="E1015" s="11" t="s">
        <v>1129</v>
      </c>
      <c r="F1015" s="11" t="s">
        <v>1130</v>
      </c>
      <c r="G1015" s="11" t="s">
        <v>1131</v>
      </c>
      <c r="H1015" s="44">
        <v>1977.95146607859</v>
      </c>
      <c r="I1015" s="27">
        <v>1131.0</v>
      </c>
      <c r="J1015" s="71" t="s">
        <v>188</v>
      </c>
      <c r="K1015" s="42" t="s">
        <v>188</v>
      </c>
      <c r="L1015" s="28" t="s">
        <v>81</v>
      </c>
      <c r="M1015" s="30" t="s">
        <v>229</v>
      </c>
      <c r="N1015" s="11" t="s">
        <v>233</v>
      </c>
    </row>
    <row r="1016">
      <c r="A1016" s="11" t="s">
        <v>57</v>
      </c>
      <c r="B1016" s="11" t="s">
        <v>20</v>
      </c>
      <c r="C1016" s="11" t="s">
        <v>1128</v>
      </c>
      <c r="D1016" s="11" t="s">
        <v>226</v>
      </c>
      <c r="E1016" s="11" t="s">
        <v>1129</v>
      </c>
      <c r="F1016" s="11" t="s">
        <v>1130</v>
      </c>
      <c r="G1016" s="11" t="s">
        <v>1131</v>
      </c>
      <c r="H1016" s="44">
        <v>1978.92676847874</v>
      </c>
      <c r="I1016" s="27">
        <v>1330.0</v>
      </c>
      <c r="J1016" s="71" t="s">
        <v>188</v>
      </c>
      <c r="K1016" s="42" t="s">
        <v>188</v>
      </c>
      <c r="L1016" s="28" t="s">
        <v>81</v>
      </c>
      <c r="M1016" s="30" t="s">
        <v>229</v>
      </c>
      <c r="N1016" s="11" t="s">
        <v>233</v>
      </c>
    </row>
    <row r="1017">
      <c r="A1017" s="11" t="s">
        <v>57</v>
      </c>
      <c r="B1017" s="11" t="s">
        <v>20</v>
      </c>
      <c r="C1017" s="11" t="s">
        <v>1128</v>
      </c>
      <c r="D1017" s="11" t="s">
        <v>226</v>
      </c>
      <c r="E1017" s="11" t="s">
        <v>1129</v>
      </c>
      <c r="F1017" s="11" t="s">
        <v>1130</v>
      </c>
      <c r="G1017" s="11" t="s">
        <v>1131</v>
      </c>
      <c r="H1017" s="44">
        <v>1979.97737556561</v>
      </c>
      <c r="I1017" s="27">
        <v>1600.0</v>
      </c>
      <c r="J1017" s="71" t="s">
        <v>188</v>
      </c>
      <c r="K1017" s="42" t="s">
        <v>188</v>
      </c>
      <c r="L1017" s="28" t="s">
        <v>81</v>
      </c>
      <c r="M1017" s="30" t="s">
        <v>229</v>
      </c>
      <c r="N1017" s="11" t="s">
        <v>233</v>
      </c>
    </row>
    <row r="1018">
      <c r="A1018" s="11" t="s">
        <v>57</v>
      </c>
      <c r="B1018" s="11" t="s">
        <v>20</v>
      </c>
      <c r="C1018" s="11" t="s">
        <v>1128</v>
      </c>
      <c r="D1018" s="11" t="s">
        <v>226</v>
      </c>
      <c r="E1018" s="11" t="s">
        <v>1129</v>
      </c>
      <c r="F1018" s="11" t="s">
        <v>1130</v>
      </c>
      <c r="G1018" s="11" t="s">
        <v>1131</v>
      </c>
      <c r="H1018" s="44">
        <v>1980.95237308848</v>
      </c>
      <c r="I1018" s="27">
        <v>1609.0</v>
      </c>
      <c r="J1018" s="71" t="s">
        <v>188</v>
      </c>
      <c r="K1018" s="42" t="s">
        <v>188</v>
      </c>
      <c r="L1018" s="28" t="s">
        <v>81</v>
      </c>
      <c r="M1018" s="30" t="s">
        <v>229</v>
      </c>
      <c r="N1018" s="11" t="s">
        <v>233</v>
      </c>
    </row>
    <row r="1019">
      <c r="A1019" s="11" t="s">
        <v>57</v>
      </c>
      <c r="B1019" s="11" t="s">
        <v>20</v>
      </c>
      <c r="C1019" s="11" t="s">
        <v>1128</v>
      </c>
      <c r="D1019" s="11" t="s">
        <v>226</v>
      </c>
      <c r="E1019" s="11" t="s">
        <v>1129</v>
      </c>
      <c r="F1019" s="11" t="s">
        <v>1130</v>
      </c>
      <c r="G1019" s="11" t="s">
        <v>1131</v>
      </c>
      <c r="H1019" s="44">
        <v>1981.92782792727</v>
      </c>
      <c r="I1019" s="27">
        <v>1897.0</v>
      </c>
      <c r="J1019" s="71" t="s">
        <v>188</v>
      </c>
      <c r="K1019" s="42" t="s">
        <v>188</v>
      </c>
      <c r="L1019" s="28" t="s">
        <v>81</v>
      </c>
      <c r="M1019" s="30" t="s">
        <v>229</v>
      </c>
      <c r="N1019" s="11" t="s">
        <v>233</v>
      </c>
    </row>
    <row r="1020">
      <c r="A1020" s="11" t="s">
        <v>57</v>
      </c>
      <c r="B1020" s="11" t="s">
        <v>20</v>
      </c>
      <c r="C1020" s="11" t="s">
        <v>1128</v>
      </c>
      <c r="D1020" s="11" t="s">
        <v>226</v>
      </c>
      <c r="E1020" s="11" t="s">
        <v>1129</v>
      </c>
      <c r="F1020" s="11" t="s">
        <v>1130</v>
      </c>
      <c r="G1020" s="11" t="s">
        <v>1131</v>
      </c>
      <c r="H1020" s="44">
        <v>1982.90313032741</v>
      </c>
      <c r="I1020" s="27">
        <v>2123.0</v>
      </c>
      <c r="J1020" s="71" t="s">
        <v>188</v>
      </c>
      <c r="K1020" s="42" t="s">
        <v>188</v>
      </c>
      <c r="L1020" s="28" t="s">
        <v>81</v>
      </c>
      <c r="M1020" s="30" t="s">
        <v>229</v>
      </c>
      <c r="N1020" s="11" t="s">
        <v>233</v>
      </c>
    </row>
    <row r="1021">
      <c r="A1021" s="11" t="s">
        <v>57</v>
      </c>
      <c r="B1021" s="11" t="s">
        <v>20</v>
      </c>
      <c r="C1021" s="11" t="s">
        <v>1128</v>
      </c>
      <c r="D1021" s="11" t="s">
        <v>226</v>
      </c>
      <c r="E1021" s="11" t="s">
        <v>1129</v>
      </c>
      <c r="F1021" s="11" t="s">
        <v>1130</v>
      </c>
      <c r="G1021" s="11" t="s">
        <v>1131</v>
      </c>
      <c r="H1021" s="44">
        <v>1983.95328009837</v>
      </c>
      <c r="I1021" s="27">
        <v>2338.0</v>
      </c>
      <c r="J1021" s="71" t="s">
        <v>188</v>
      </c>
      <c r="K1021" s="42" t="s">
        <v>188</v>
      </c>
      <c r="L1021" s="28" t="s">
        <v>81</v>
      </c>
      <c r="M1021" s="30" t="s">
        <v>229</v>
      </c>
      <c r="N1021" s="11" t="s">
        <v>233</v>
      </c>
    </row>
    <row r="1022">
      <c r="A1022" s="11" t="s">
        <v>57</v>
      </c>
      <c r="B1022" s="11" t="s">
        <v>20</v>
      </c>
      <c r="C1022" s="11" t="s">
        <v>1128</v>
      </c>
      <c r="D1022" s="11" t="s">
        <v>226</v>
      </c>
      <c r="E1022" s="11" t="s">
        <v>1129</v>
      </c>
      <c r="F1022" s="11" t="s">
        <v>1130</v>
      </c>
      <c r="G1022" s="11" t="s">
        <v>1131</v>
      </c>
      <c r="H1022" s="44">
        <v>1985.00282011479</v>
      </c>
      <c r="I1022" s="27">
        <v>1940.0</v>
      </c>
      <c r="J1022" s="71" t="s">
        <v>188</v>
      </c>
      <c r="K1022" s="42" t="s">
        <v>188</v>
      </c>
      <c r="L1022" s="28" t="s">
        <v>81</v>
      </c>
      <c r="M1022" s="30" t="s">
        <v>229</v>
      </c>
      <c r="N1022" s="11" t="s">
        <v>233</v>
      </c>
    </row>
    <row r="1023">
      <c r="A1023" s="11" t="s">
        <v>57</v>
      </c>
      <c r="B1023" s="11" t="s">
        <v>20</v>
      </c>
      <c r="C1023" s="11" t="s">
        <v>1128</v>
      </c>
      <c r="D1023" s="11" t="s">
        <v>226</v>
      </c>
      <c r="E1023" s="11" t="s">
        <v>1129</v>
      </c>
      <c r="F1023" s="11" t="s">
        <v>1130</v>
      </c>
      <c r="G1023" s="11" t="s">
        <v>1131</v>
      </c>
      <c r="H1023" s="44">
        <v>1985.90312270548</v>
      </c>
      <c r="I1023" s="27">
        <v>2183.0</v>
      </c>
      <c r="J1023" s="71" t="s">
        <v>188</v>
      </c>
      <c r="K1023" s="42" t="s">
        <v>188</v>
      </c>
      <c r="L1023" s="28" t="s">
        <v>81</v>
      </c>
      <c r="M1023" s="30" t="s">
        <v>229</v>
      </c>
      <c r="N1023" s="11" t="s">
        <v>233</v>
      </c>
    </row>
    <row r="1024">
      <c r="A1024" s="11" t="s">
        <v>57</v>
      </c>
      <c r="B1024" s="11" t="s">
        <v>20</v>
      </c>
      <c r="C1024" s="11" t="s">
        <v>1128</v>
      </c>
      <c r="D1024" s="11" t="s">
        <v>226</v>
      </c>
      <c r="E1024" s="11" t="s">
        <v>1129</v>
      </c>
      <c r="F1024" s="11" t="s">
        <v>1130</v>
      </c>
      <c r="G1024" s="11" t="s">
        <v>1131</v>
      </c>
      <c r="H1024" s="44">
        <v>1986.87781535108</v>
      </c>
      <c r="I1024" s="27">
        <v>1976.0</v>
      </c>
      <c r="J1024" s="71" t="s">
        <v>188</v>
      </c>
      <c r="K1024" s="42" t="s">
        <v>188</v>
      </c>
      <c r="L1024" s="28" t="s">
        <v>81</v>
      </c>
      <c r="M1024" s="30" t="s">
        <v>229</v>
      </c>
      <c r="N1024" s="11" t="s">
        <v>233</v>
      </c>
    </row>
    <row r="1025">
      <c r="A1025" s="11" t="s">
        <v>57</v>
      </c>
      <c r="B1025" s="11" t="s">
        <v>20</v>
      </c>
      <c r="C1025" s="11" t="s">
        <v>1128</v>
      </c>
      <c r="D1025" s="11" t="s">
        <v>226</v>
      </c>
      <c r="E1025" s="11" t="s">
        <v>1129</v>
      </c>
      <c r="F1025" s="11" t="s">
        <v>1130</v>
      </c>
      <c r="G1025" s="11" t="s">
        <v>1131</v>
      </c>
      <c r="H1025" s="44">
        <v>1987.92826999931</v>
      </c>
      <c r="I1025" s="27">
        <v>2178.0</v>
      </c>
      <c r="J1025" s="71" t="s">
        <v>188</v>
      </c>
      <c r="K1025" s="42" t="s">
        <v>188</v>
      </c>
      <c r="L1025" s="28" t="s">
        <v>81</v>
      </c>
      <c r="M1025" s="30" t="s">
        <v>229</v>
      </c>
      <c r="N1025" s="11" t="s">
        <v>233</v>
      </c>
    </row>
    <row r="1026">
      <c r="A1026" s="11" t="s">
        <v>57</v>
      </c>
      <c r="B1026" s="11" t="s">
        <v>20</v>
      </c>
      <c r="C1026" s="11" t="s">
        <v>1128</v>
      </c>
      <c r="D1026" s="11" t="s">
        <v>226</v>
      </c>
      <c r="E1026" s="11" t="s">
        <v>1129</v>
      </c>
      <c r="F1026" s="11" t="s">
        <v>1130</v>
      </c>
      <c r="G1026" s="11" t="s">
        <v>1131</v>
      </c>
      <c r="H1026" s="44">
        <v>1988.97872464755</v>
      </c>
      <c r="I1026" s="27">
        <v>2396.0</v>
      </c>
      <c r="J1026" s="71" t="s">
        <v>188</v>
      </c>
      <c r="K1026" s="42" t="s">
        <v>188</v>
      </c>
      <c r="L1026" s="28" t="s">
        <v>81</v>
      </c>
      <c r="M1026" s="30" t="s">
        <v>229</v>
      </c>
      <c r="N1026" s="11" t="s">
        <v>233</v>
      </c>
    </row>
    <row r="1027">
      <c r="A1027" s="11" t="s">
        <v>57</v>
      </c>
      <c r="B1027" s="11" t="s">
        <v>20</v>
      </c>
      <c r="C1027" s="11" t="s">
        <v>1128</v>
      </c>
      <c r="D1027" s="11" t="s">
        <v>226</v>
      </c>
      <c r="E1027" s="11" t="s">
        <v>1129</v>
      </c>
      <c r="F1027" s="11" t="s">
        <v>1130</v>
      </c>
      <c r="G1027" s="11" t="s">
        <v>1131</v>
      </c>
      <c r="H1027" s="44">
        <v>1989.87887479961</v>
      </c>
      <c r="I1027" s="27">
        <v>2517.0</v>
      </c>
      <c r="J1027" s="71" t="s">
        <v>188</v>
      </c>
      <c r="K1027" s="42" t="s">
        <v>188</v>
      </c>
      <c r="L1027" s="28" t="s">
        <v>81</v>
      </c>
      <c r="M1027" s="30" t="s">
        <v>229</v>
      </c>
      <c r="N1027" s="11" t="s">
        <v>233</v>
      </c>
    </row>
    <row r="1028">
      <c r="A1028" s="11" t="s">
        <v>57</v>
      </c>
      <c r="B1028" s="11" t="s">
        <v>20</v>
      </c>
      <c r="C1028" s="11" t="s">
        <v>1128</v>
      </c>
      <c r="D1028" s="11" t="s">
        <v>226</v>
      </c>
      <c r="E1028" s="11" t="s">
        <v>1129</v>
      </c>
      <c r="F1028" s="11" t="s">
        <v>1130</v>
      </c>
      <c r="G1028" s="11" t="s">
        <v>1131</v>
      </c>
      <c r="H1028" s="44">
        <v>1990.92932944784</v>
      </c>
      <c r="I1028" s="27">
        <v>2896.0</v>
      </c>
      <c r="J1028" s="71" t="s">
        <v>188</v>
      </c>
      <c r="K1028" s="42" t="s">
        <v>188</v>
      </c>
      <c r="L1028" s="28" t="s">
        <v>81</v>
      </c>
      <c r="M1028" s="30" t="s">
        <v>229</v>
      </c>
      <c r="N1028" s="11" t="s">
        <v>233</v>
      </c>
    </row>
    <row r="1029">
      <c r="A1029" s="11" t="s">
        <v>57</v>
      </c>
      <c r="B1029" s="11" t="s">
        <v>20</v>
      </c>
      <c r="C1029" s="11" t="s">
        <v>1128</v>
      </c>
      <c r="D1029" s="11" t="s">
        <v>226</v>
      </c>
      <c r="E1029" s="11" t="s">
        <v>1129</v>
      </c>
      <c r="F1029" s="11" t="s">
        <v>1130</v>
      </c>
      <c r="G1029" s="11" t="s">
        <v>1131</v>
      </c>
      <c r="H1029" s="44">
        <v>1991.98008897335</v>
      </c>
      <c r="I1029" s="27">
        <v>3224.0</v>
      </c>
      <c r="J1029" s="71" t="s">
        <v>188</v>
      </c>
      <c r="K1029" s="42" t="s">
        <v>188</v>
      </c>
      <c r="L1029" s="28" t="s">
        <v>81</v>
      </c>
      <c r="M1029" s="30" t="s">
        <v>229</v>
      </c>
      <c r="N1029" s="11" t="s">
        <v>233</v>
      </c>
    </row>
    <row r="1030">
      <c r="A1030" s="11" t="s">
        <v>57</v>
      </c>
      <c r="B1030" s="11" t="s">
        <v>20</v>
      </c>
      <c r="C1030" s="11" t="s">
        <v>1128</v>
      </c>
      <c r="D1030" s="11" t="s">
        <v>226</v>
      </c>
      <c r="E1030" s="11" t="s">
        <v>1129</v>
      </c>
      <c r="F1030" s="11" t="s">
        <v>1130</v>
      </c>
      <c r="G1030" s="11" t="s">
        <v>1131</v>
      </c>
      <c r="H1030" s="44">
        <v>1993.02993386704</v>
      </c>
      <c r="I1030" s="27">
        <v>3116.0</v>
      </c>
      <c r="J1030" s="71" t="s">
        <v>188</v>
      </c>
      <c r="K1030" s="42" t="s">
        <v>188</v>
      </c>
      <c r="L1030" s="28" t="s">
        <v>81</v>
      </c>
      <c r="M1030" s="30" t="s">
        <v>229</v>
      </c>
      <c r="N1030" s="11" t="s">
        <v>233</v>
      </c>
    </row>
    <row r="1031">
      <c r="A1031" s="11" t="s">
        <v>57</v>
      </c>
      <c r="B1031" s="11" t="s">
        <v>20</v>
      </c>
      <c r="C1031" s="11" t="s">
        <v>1128</v>
      </c>
      <c r="D1031" s="11" t="s">
        <v>226</v>
      </c>
      <c r="E1031" s="11" t="s">
        <v>1129</v>
      </c>
      <c r="F1031" s="11" t="s">
        <v>1130</v>
      </c>
      <c r="G1031" s="11" t="s">
        <v>1131</v>
      </c>
      <c r="H1031" s="44">
        <v>1993.85569396419</v>
      </c>
      <c r="I1031" s="27">
        <v>3555.0</v>
      </c>
      <c r="J1031" s="71" t="s">
        <v>188</v>
      </c>
      <c r="K1031" s="42" t="s">
        <v>188</v>
      </c>
      <c r="L1031" s="28" t="s">
        <v>81</v>
      </c>
      <c r="M1031" s="30" t="s">
        <v>229</v>
      </c>
      <c r="N1031" s="11" t="s">
        <v>233</v>
      </c>
    </row>
    <row r="1032">
      <c r="A1032" s="11" t="s">
        <v>57</v>
      </c>
      <c r="B1032" s="11" t="s">
        <v>20</v>
      </c>
      <c r="C1032" s="11" t="s">
        <v>1128</v>
      </c>
      <c r="D1032" s="11" t="s">
        <v>226</v>
      </c>
      <c r="E1032" s="11" t="s">
        <v>1129</v>
      </c>
      <c r="F1032" s="11" t="s">
        <v>1130</v>
      </c>
      <c r="G1032" s="11" t="s">
        <v>1131</v>
      </c>
      <c r="H1032" s="44">
        <v>1994.9064534897</v>
      </c>
      <c r="I1032" s="27">
        <v>4062.0</v>
      </c>
      <c r="J1032" s="71" t="s">
        <v>188</v>
      </c>
      <c r="K1032" s="42" t="s">
        <v>188</v>
      </c>
      <c r="L1032" s="28" t="s">
        <v>81</v>
      </c>
      <c r="M1032" s="30" t="s">
        <v>229</v>
      </c>
      <c r="N1032" s="11" t="s">
        <v>233</v>
      </c>
    </row>
    <row r="1033">
      <c r="A1033" s="11" t="s">
        <v>57</v>
      </c>
      <c r="B1033" s="11" t="s">
        <v>20</v>
      </c>
      <c r="C1033" s="11" t="s">
        <v>1128</v>
      </c>
      <c r="D1033" s="11" t="s">
        <v>226</v>
      </c>
      <c r="E1033" s="11" t="s">
        <v>1129</v>
      </c>
      <c r="F1033" s="11" t="s">
        <v>1130</v>
      </c>
      <c r="G1033" s="11" t="s">
        <v>1131</v>
      </c>
      <c r="H1033" s="44">
        <v>1995.8823656444</v>
      </c>
      <c r="I1033" s="27">
        <v>4586.0</v>
      </c>
      <c r="J1033" s="71" t="s">
        <v>188</v>
      </c>
      <c r="K1033" s="42" t="s">
        <v>188</v>
      </c>
      <c r="L1033" s="28" t="s">
        <v>81</v>
      </c>
      <c r="M1033" s="30" t="s">
        <v>229</v>
      </c>
      <c r="N1033" s="11" t="s">
        <v>233</v>
      </c>
    </row>
    <row r="1034">
      <c r="A1034" s="11" t="s">
        <v>57</v>
      </c>
      <c r="B1034" s="11" t="s">
        <v>20</v>
      </c>
      <c r="C1034" s="11" t="s">
        <v>1128</v>
      </c>
      <c r="D1034" s="11" t="s">
        <v>226</v>
      </c>
      <c r="E1034" s="11" t="s">
        <v>1129</v>
      </c>
      <c r="F1034" s="11" t="s">
        <v>1130</v>
      </c>
      <c r="G1034" s="11" t="s">
        <v>1131</v>
      </c>
      <c r="H1034" s="44">
        <v>1996.78282067373</v>
      </c>
      <c r="I1034" s="27">
        <v>5052.0</v>
      </c>
      <c r="J1034" s="71" t="s">
        <v>188</v>
      </c>
      <c r="K1034" s="42" t="s">
        <v>188</v>
      </c>
      <c r="L1034" s="28" t="s">
        <v>81</v>
      </c>
      <c r="M1034" s="30" t="s">
        <v>229</v>
      </c>
      <c r="N1034" s="11" t="s">
        <v>233</v>
      </c>
    </row>
    <row r="1035">
      <c r="A1035" s="11" t="s">
        <v>57</v>
      </c>
      <c r="B1035" s="11" t="s">
        <v>20</v>
      </c>
      <c r="C1035" s="11" t="s">
        <v>1128</v>
      </c>
      <c r="D1035" s="11" t="s">
        <v>226</v>
      </c>
      <c r="E1035" s="11" t="s">
        <v>1129</v>
      </c>
      <c r="F1035" s="11" t="s">
        <v>1130</v>
      </c>
      <c r="G1035" s="11" t="s">
        <v>1131</v>
      </c>
      <c r="H1035" s="44">
        <v>1997.83297044469</v>
      </c>
      <c r="I1035" s="27">
        <v>4978.0</v>
      </c>
      <c r="J1035" s="71" t="s">
        <v>188</v>
      </c>
      <c r="K1035" s="42" t="s">
        <v>188</v>
      </c>
      <c r="L1035" s="28" t="s">
        <v>81</v>
      </c>
      <c r="M1035" s="30" t="s">
        <v>229</v>
      </c>
      <c r="N1035" s="11" t="s">
        <v>233</v>
      </c>
    </row>
    <row r="1036">
      <c r="A1036" s="11" t="s">
        <v>57</v>
      </c>
      <c r="B1036" s="11" t="s">
        <v>20</v>
      </c>
      <c r="C1036" s="11" t="s">
        <v>1128</v>
      </c>
      <c r="D1036" s="11" t="s">
        <v>226</v>
      </c>
      <c r="E1036" s="11" t="s">
        <v>1129</v>
      </c>
      <c r="F1036" s="11" t="s">
        <v>1130</v>
      </c>
      <c r="G1036" s="11" t="s">
        <v>1131</v>
      </c>
      <c r="H1036" s="44">
        <v>1998.88357753156</v>
      </c>
      <c r="I1036" s="27">
        <v>5524.0</v>
      </c>
      <c r="J1036" s="71" t="s">
        <v>188</v>
      </c>
      <c r="K1036" s="42" t="s">
        <v>188</v>
      </c>
      <c r="L1036" s="28" t="s">
        <v>81</v>
      </c>
      <c r="M1036" s="30" t="s">
        <v>229</v>
      </c>
      <c r="N1036" s="11" t="s">
        <v>233</v>
      </c>
    </row>
    <row r="1037">
      <c r="A1037" s="11" t="s">
        <v>57</v>
      </c>
      <c r="B1037" s="11" t="s">
        <v>20</v>
      </c>
      <c r="C1037" s="11" t="s">
        <v>1128</v>
      </c>
      <c r="D1037" s="11" t="s">
        <v>226</v>
      </c>
      <c r="E1037" s="11" t="s">
        <v>1129</v>
      </c>
      <c r="F1037" s="11" t="s">
        <v>1130</v>
      </c>
      <c r="G1037" s="11" t="s">
        <v>1131</v>
      </c>
      <c r="H1037" s="44">
        <v>1999.85811773852</v>
      </c>
      <c r="I1037" s="27">
        <v>5036.0</v>
      </c>
      <c r="J1037" s="71" t="s">
        <v>188</v>
      </c>
      <c r="K1037" s="42" t="s">
        <v>188</v>
      </c>
      <c r="L1037" s="28" t="s">
        <v>81</v>
      </c>
      <c r="M1037" s="30" t="s">
        <v>229</v>
      </c>
      <c r="N1037" s="11" t="s">
        <v>233</v>
      </c>
    </row>
    <row r="1038">
      <c r="A1038" s="11" t="s">
        <v>57</v>
      </c>
      <c r="B1038" s="11" t="s">
        <v>20</v>
      </c>
      <c r="C1038" s="11" t="s">
        <v>1128</v>
      </c>
      <c r="D1038" s="11" t="s">
        <v>226</v>
      </c>
      <c r="E1038" s="11" t="s">
        <v>1129</v>
      </c>
      <c r="F1038" s="11" t="s">
        <v>1130</v>
      </c>
      <c r="G1038" s="11" t="s">
        <v>1131</v>
      </c>
      <c r="H1038" s="44">
        <v>2000.75842032922</v>
      </c>
      <c r="I1038" s="27">
        <v>5238.0</v>
      </c>
      <c r="J1038" s="71" t="s">
        <v>188</v>
      </c>
      <c r="K1038" s="42" t="s">
        <v>188</v>
      </c>
      <c r="L1038" s="28" t="s">
        <v>81</v>
      </c>
      <c r="M1038" s="30" t="s">
        <v>229</v>
      </c>
      <c r="N1038" s="11" t="s">
        <v>233</v>
      </c>
    </row>
    <row r="1039">
      <c r="A1039" s="11" t="s">
        <v>57</v>
      </c>
      <c r="B1039" s="11" t="s">
        <v>20</v>
      </c>
      <c r="C1039" s="11" t="s">
        <v>1128</v>
      </c>
      <c r="D1039" s="11" t="s">
        <v>226</v>
      </c>
      <c r="E1039" s="11" t="s">
        <v>1129</v>
      </c>
      <c r="F1039" s="11" t="s">
        <v>1130</v>
      </c>
      <c r="G1039" s="11" t="s">
        <v>1131</v>
      </c>
      <c r="H1039" s="44">
        <v>2001.95887459636</v>
      </c>
      <c r="I1039" s="27">
        <v>5567.0</v>
      </c>
      <c r="J1039" s="71" t="s">
        <v>188</v>
      </c>
      <c r="K1039" s="42" t="s">
        <v>188</v>
      </c>
      <c r="L1039" s="28" t="s">
        <v>81</v>
      </c>
      <c r="M1039" s="30" t="s">
        <v>229</v>
      </c>
      <c r="N1039" s="11" t="s">
        <v>233</v>
      </c>
    </row>
    <row r="1040">
      <c r="A1040" s="11" t="s">
        <v>57</v>
      </c>
      <c r="B1040" s="11" t="s">
        <v>20</v>
      </c>
      <c r="C1040" s="11" t="s">
        <v>1128</v>
      </c>
      <c r="D1040" s="11" t="s">
        <v>226</v>
      </c>
      <c r="E1040" s="11" t="s">
        <v>1129</v>
      </c>
      <c r="F1040" s="11" t="s">
        <v>1130</v>
      </c>
      <c r="G1040" s="11" t="s">
        <v>1131</v>
      </c>
      <c r="H1040" s="44">
        <v>2002.93493918969</v>
      </c>
      <c r="I1040" s="27">
        <v>6192.0</v>
      </c>
      <c r="J1040" s="71" t="s">
        <v>188</v>
      </c>
      <c r="K1040" s="42" t="s">
        <v>188</v>
      </c>
      <c r="L1040" s="28" t="s">
        <v>81</v>
      </c>
      <c r="M1040" s="30" t="s">
        <v>229</v>
      </c>
      <c r="N1040" s="11" t="s">
        <v>233</v>
      </c>
    </row>
    <row r="1041">
      <c r="A1041" s="11" t="s">
        <v>57</v>
      </c>
      <c r="B1041" s="11" t="s">
        <v>20</v>
      </c>
      <c r="C1041" s="11" t="s">
        <v>1128</v>
      </c>
      <c r="D1041" s="11" t="s">
        <v>226</v>
      </c>
      <c r="E1041" s="11" t="s">
        <v>1129</v>
      </c>
      <c r="F1041" s="11" t="s">
        <v>1130</v>
      </c>
      <c r="G1041" s="11" t="s">
        <v>1131</v>
      </c>
      <c r="H1041" s="44">
        <v>2004.06069852465</v>
      </c>
      <c r="I1041" s="27">
        <v>6662.0</v>
      </c>
      <c r="J1041" s="71" t="s">
        <v>188</v>
      </c>
      <c r="K1041" s="42" t="s">
        <v>188</v>
      </c>
      <c r="L1041" s="28" t="s">
        <v>81</v>
      </c>
      <c r="M1041" s="30" t="s">
        <v>229</v>
      </c>
      <c r="N1041" s="11" t="s">
        <v>233</v>
      </c>
    </row>
    <row r="1042">
      <c r="A1042" s="11" t="s">
        <v>57</v>
      </c>
      <c r="B1042" s="11" t="s">
        <v>20</v>
      </c>
      <c r="C1042" s="11" t="s">
        <v>1128</v>
      </c>
      <c r="D1042" s="11" t="s">
        <v>226</v>
      </c>
      <c r="E1042" s="11" t="s">
        <v>1129</v>
      </c>
      <c r="F1042" s="11" t="s">
        <v>1130</v>
      </c>
      <c r="G1042" s="11" t="s">
        <v>1131</v>
      </c>
      <c r="H1042" s="44">
        <v>2004.96161086989</v>
      </c>
      <c r="I1042" s="27">
        <v>7171.0</v>
      </c>
      <c r="J1042" s="71" t="s">
        <v>188</v>
      </c>
      <c r="K1042" s="42" t="s">
        <v>188</v>
      </c>
      <c r="L1042" s="28" t="s">
        <v>81</v>
      </c>
      <c r="M1042" s="30" t="s">
        <v>229</v>
      </c>
      <c r="N1042" s="11" t="s">
        <v>233</v>
      </c>
    </row>
    <row r="1043">
      <c r="A1043" s="11" t="s">
        <v>57</v>
      </c>
      <c r="B1043" s="11" t="s">
        <v>20</v>
      </c>
      <c r="C1043" s="11" t="s">
        <v>1128</v>
      </c>
      <c r="D1043" s="11" t="s">
        <v>226</v>
      </c>
      <c r="E1043" s="11" t="s">
        <v>1129</v>
      </c>
      <c r="F1043" s="11" t="s">
        <v>1130</v>
      </c>
      <c r="G1043" s="11" t="s">
        <v>1131</v>
      </c>
      <c r="H1043" s="44">
        <v>2005.93706570867</v>
      </c>
      <c r="I1043" s="27">
        <v>7580.0</v>
      </c>
      <c r="J1043" s="71" t="s">
        <v>188</v>
      </c>
      <c r="K1043" s="42" t="s">
        <v>188</v>
      </c>
      <c r="L1043" s="28" t="s">
        <v>81</v>
      </c>
      <c r="M1043" s="30" t="s">
        <v>229</v>
      </c>
      <c r="N1043" s="11" t="s">
        <v>233</v>
      </c>
    </row>
    <row r="1044">
      <c r="A1044" s="11" t="s">
        <v>57</v>
      </c>
      <c r="B1044" s="11" t="s">
        <v>20</v>
      </c>
      <c r="C1044" s="11" t="s">
        <v>1128</v>
      </c>
      <c r="D1044" s="11" t="s">
        <v>226</v>
      </c>
      <c r="E1044" s="11" t="s">
        <v>1129</v>
      </c>
      <c r="F1044" s="11" t="s">
        <v>1130</v>
      </c>
      <c r="G1044" s="11" t="s">
        <v>1131</v>
      </c>
      <c r="H1044" s="44">
        <v>2006.83736829937</v>
      </c>
      <c r="I1044" s="27">
        <v>7673.0</v>
      </c>
      <c r="J1044" s="71" t="s">
        <v>188</v>
      </c>
      <c r="K1044" s="42" t="s">
        <v>188</v>
      </c>
      <c r="L1044" s="28" t="s">
        <v>81</v>
      </c>
      <c r="M1044" s="30" t="s">
        <v>229</v>
      </c>
      <c r="N1044" s="11" t="s">
        <v>233</v>
      </c>
    </row>
    <row r="1045">
      <c r="A1045" s="11" t="s">
        <v>57</v>
      </c>
      <c r="B1045" s="11" t="s">
        <v>20</v>
      </c>
      <c r="C1045" s="11" t="s">
        <v>1128</v>
      </c>
      <c r="D1045" s="11" t="s">
        <v>226</v>
      </c>
      <c r="E1045" s="11" t="s">
        <v>1129</v>
      </c>
      <c r="F1045" s="11" t="s">
        <v>1130</v>
      </c>
      <c r="G1045" s="11" t="s">
        <v>1131</v>
      </c>
      <c r="H1045" s="44">
        <v>2007.88706075442</v>
      </c>
      <c r="I1045" s="27">
        <v>7392.0</v>
      </c>
      <c r="J1045" s="71" t="s">
        <v>188</v>
      </c>
      <c r="K1045" s="42" t="s">
        <v>188</v>
      </c>
      <c r="L1045" s="28" t="s">
        <v>81</v>
      </c>
      <c r="M1045" s="30" t="s">
        <v>229</v>
      </c>
      <c r="N1045" s="11" t="s">
        <v>233</v>
      </c>
    </row>
    <row r="1046">
      <c r="A1046" s="11" t="s">
        <v>57</v>
      </c>
      <c r="B1046" s="11" t="s">
        <v>20</v>
      </c>
      <c r="C1046" s="11" t="s">
        <v>1128</v>
      </c>
      <c r="D1046" s="11" t="s">
        <v>226</v>
      </c>
      <c r="E1046" s="11" t="s">
        <v>1129</v>
      </c>
      <c r="F1046" s="11" t="s">
        <v>1130</v>
      </c>
      <c r="G1046" s="11" t="s">
        <v>1131</v>
      </c>
      <c r="H1046" s="44">
        <v>2009.01114326437</v>
      </c>
      <c r="I1046" s="27">
        <v>7015.0</v>
      </c>
      <c r="J1046" s="71" t="s">
        <v>188</v>
      </c>
      <c r="K1046" s="42" t="s">
        <v>188</v>
      </c>
      <c r="L1046" s="28" t="s">
        <v>81</v>
      </c>
      <c r="M1046" s="30" t="s">
        <v>229</v>
      </c>
      <c r="N1046" s="11" t="s">
        <v>233</v>
      </c>
    </row>
    <row r="1047">
      <c r="A1047" s="11" t="s">
        <v>57</v>
      </c>
      <c r="B1047" s="11" t="s">
        <v>20</v>
      </c>
      <c r="C1047" s="11" t="s">
        <v>1128</v>
      </c>
      <c r="D1047" s="11" t="s">
        <v>226</v>
      </c>
      <c r="E1047" s="11" t="s">
        <v>1129</v>
      </c>
      <c r="F1047" s="11" t="s">
        <v>1130</v>
      </c>
      <c r="G1047" s="11" t="s">
        <v>1131</v>
      </c>
      <c r="H1047" s="44">
        <v>2009.83705580016</v>
      </c>
      <c r="I1047" s="27">
        <v>7540.0</v>
      </c>
      <c r="J1047" s="71" t="s">
        <v>188</v>
      </c>
      <c r="K1047" s="42" t="s">
        <v>188</v>
      </c>
      <c r="L1047" s="28" t="s">
        <v>81</v>
      </c>
      <c r="M1047" s="30" t="s">
        <v>229</v>
      </c>
      <c r="N1047" s="11" t="s">
        <v>233</v>
      </c>
    </row>
    <row r="1048">
      <c r="A1048" s="11" t="s">
        <v>57</v>
      </c>
      <c r="B1048" s="11" t="s">
        <v>20</v>
      </c>
      <c r="C1048" s="11" t="s">
        <v>936</v>
      </c>
      <c r="D1048" s="11" t="s">
        <v>226</v>
      </c>
      <c r="E1048" s="11" t="s">
        <v>1139</v>
      </c>
      <c r="F1048" s="11" t="s">
        <v>1130</v>
      </c>
      <c r="G1048" s="11" t="s">
        <v>1131</v>
      </c>
      <c r="H1048" s="87">
        <v>1958.00029725534</v>
      </c>
      <c r="I1048" s="27">
        <v>84.0</v>
      </c>
      <c r="J1048" s="71" t="s">
        <v>188</v>
      </c>
      <c r="K1048" s="42" t="s">
        <v>188</v>
      </c>
      <c r="L1048" s="28" t="s">
        <v>81</v>
      </c>
      <c r="M1048" s="30" t="s">
        <v>229</v>
      </c>
      <c r="N1048" s="11" t="s">
        <v>233</v>
      </c>
    </row>
    <row r="1049">
      <c r="A1049" s="11" t="s">
        <v>57</v>
      </c>
      <c r="B1049" s="11" t="s">
        <v>20</v>
      </c>
      <c r="C1049" s="11" t="s">
        <v>936</v>
      </c>
      <c r="D1049" s="11" t="s">
        <v>226</v>
      </c>
      <c r="E1049" s="11" t="s">
        <v>1139</v>
      </c>
      <c r="F1049" s="11" t="s">
        <v>1130</v>
      </c>
      <c r="G1049" s="11" t="s">
        <v>1131</v>
      </c>
      <c r="H1049" s="28">
        <v>1959.0</v>
      </c>
      <c r="I1049" s="27" t="s">
        <v>188</v>
      </c>
      <c r="J1049" s="71" t="s">
        <v>188</v>
      </c>
      <c r="K1049" s="42" t="s">
        <v>188</v>
      </c>
      <c r="L1049" s="28" t="s">
        <v>81</v>
      </c>
      <c r="M1049" s="30" t="s">
        <v>229</v>
      </c>
      <c r="N1049" s="11" t="s">
        <v>233</v>
      </c>
    </row>
    <row r="1050">
      <c r="A1050" s="11" t="s">
        <v>57</v>
      </c>
      <c r="B1050" s="11" t="s">
        <v>20</v>
      </c>
      <c r="C1050" s="11" t="s">
        <v>936</v>
      </c>
      <c r="D1050" s="11" t="s">
        <v>226</v>
      </c>
      <c r="E1050" s="11" t="s">
        <v>1139</v>
      </c>
      <c r="F1050" s="11" t="s">
        <v>1130</v>
      </c>
      <c r="G1050" s="11" t="s">
        <v>1131</v>
      </c>
      <c r="H1050" s="28">
        <v>1960.0</v>
      </c>
      <c r="I1050" s="27" t="s">
        <v>188</v>
      </c>
      <c r="J1050" s="71" t="s">
        <v>188</v>
      </c>
      <c r="K1050" s="42" t="s">
        <v>188</v>
      </c>
      <c r="L1050" s="28" t="s">
        <v>81</v>
      </c>
      <c r="M1050" s="30" t="s">
        <v>229</v>
      </c>
      <c r="N1050" s="11" t="s">
        <v>233</v>
      </c>
    </row>
    <row r="1051">
      <c r="A1051" s="11" t="s">
        <v>57</v>
      </c>
      <c r="B1051" s="11" t="s">
        <v>20</v>
      </c>
      <c r="C1051" s="11" t="s">
        <v>936</v>
      </c>
      <c r="D1051" s="11" t="s">
        <v>226</v>
      </c>
      <c r="E1051" s="11" t="s">
        <v>1139</v>
      </c>
      <c r="F1051" s="11" t="s">
        <v>1130</v>
      </c>
      <c r="G1051" s="11" t="s">
        <v>1131</v>
      </c>
      <c r="H1051" s="28">
        <v>1961.0</v>
      </c>
      <c r="I1051" s="27" t="s">
        <v>188</v>
      </c>
      <c r="J1051" s="71" t="s">
        <v>188</v>
      </c>
      <c r="K1051" s="42" t="s">
        <v>188</v>
      </c>
      <c r="L1051" s="28" t="s">
        <v>81</v>
      </c>
      <c r="M1051" s="30" t="s">
        <v>229</v>
      </c>
      <c r="N1051" s="11" t="s">
        <v>233</v>
      </c>
    </row>
    <row r="1052">
      <c r="A1052" s="11" t="s">
        <v>57</v>
      </c>
      <c r="B1052" s="11" t="s">
        <v>20</v>
      </c>
      <c r="C1052" s="11" t="s">
        <v>936</v>
      </c>
      <c r="D1052" s="11" t="s">
        <v>226</v>
      </c>
      <c r="E1052" s="11" t="s">
        <v>1139</v>
      </c>
      <c r="F1052" s="11" t="s">
        <v>1130</v>
      </c>
      <c r="G1052" s="11" t="s">
        <v>1131</v>
      </c>
      <c r="H1052" s="28">
        <v>1962.0</v>
      </c>
      <c r="I1052" s="27" t="s">
        <v>188</v>
      </c>
      <c r="J1052" s="71" t="s">
        <v>188</v>
      </c>
      <c r="K1052" s="42" t="s">
        <v>188</v>
      </c>
      <c r="L1052" s="28" t="s">
        <v>81</v>
      </c>
      <c r="M1052" s="30" t="s">
        <v>229</v>
      </c>
      <c r="N1052" s="11" t="s">
        <v>233</v>
      </c>
    </row>
    <row r="1053">
      <c r="A1053" s="11" t="s">
        <v>57</v>
      </c>
      <c r="B1053" s="11" t="s">
        <v>20</v>
      </c>
      <c r="C1053" s="11" t="s">
        <v>936</v>
      </c>
      <c r="D1053" s="11" t="s">
        <v>226</v>
      </c>
      <c r="E1053" s="11" t="s">
        <v>1139</v>
      </c>
      <c r="F1053" s="11" t="s">
        <v>1130</v>
      </c>
      <c r="G1053" s="11" t="s">
        <v>1131</v>
      </c>
      <c r="H1053" s="28">
        <v>1963.0</v>
      </c>
      <c r="I1053" s="27" t="s">
        <v>188</v>
      </c>
      <c r="J1053" s="71" t="s">
        <v>188</v>
      </c>
      <c r="K1053" s="42" t="s">
        <v>188</v>
      </c>
      <c r="L1053" s="28" t="s">
        <v>81</v>
      </c>
      <c r="M1053" s="30" t="s">
        <v>229</v>
      </c>
      <c r="N1053" s="11" t="s">
        <v>233</v>
      </c>
    </row>
    <row r="1054">
      <c r="A1054" s="11" t="s">
        <v>57</v>
      </c>
      <c r="B1054" s="11" t="s">
        <v>20</v>
      </c>
      <c r="C1054" s="11" t="s">
        <v>936</v>
      </c>
      <c r="D1054" s="11" t="s">
        <v>226</v>
      </c>
      <c r="E1054" s="11" t="s">
        <v>1139</v>
      </c>
      <c r="F1054" s="11" t="s">
        <v>1130</v>
      </c>
      <c r="G1054" s="11" t="s">
        <v>1131</v>
      </c>
      <c r="H1054" s="87">
        <v>1963.85150190167</v>
      </c>
      <c r="I1054" s="27">
        <v>972.0</v>
      </c>
      <c r="J1054" s="71" t="s">
        <v>188</v>
      </c>
      <c r="K1054" s="42" t="s">
        <v>188</v>
      </c>
      <c r="L1054" s="28" t="s">
        <v>81</v>
      </c>
      <c r="M1054" s="30" t="s">
        <v>229</v>
      </c>
      <c r="N1054" s="11" t="s">
        <v>233</v>
      </c>
    </row>
    <row r="1055">
      <c r="A1055" s="11" t="s">
        <v>57</v>
      </c>
      <c r="B1055" s="11" t="s">
        <v>20</v>
      </c>
      <c r="C1055" s="11" t="s">
        <v>936</v>
      </c>
      <c r="D1055" s="11" t="s">
        <v>226</v>
      </c>
      <c r="E1055" s="11" t="s">
        <v>1139</v>
      </c>
      <c r="F1055" s="11" t="s">
        <v>1130</v>
      </c>
      <c r="G1055" s="11" t="s">
        <v>1131</v>
      </c>
      <c r="H1055" s="28">
        <v>1965.0</v>
      </c>
      <c r="I1055" s="27" t="s">
        <v>188</v>
      </c>
      <c r="J1055" s="71" t="s">
        <v>188</v>
      </c>
      <c r="K1055" s="42" t="s">
        <v>188</v>
      </c>
      <c r="L1055" s="28" t="s">
        <v>81</v>
      </c>
      <c r="M1055" s="30" t="s">
        <v>229</v>
      </c>
      <c r="N1055" s="11" t="s">
        <v>233</v>
      </c>
    </row>
    <row r="1056">
      <c r="A1056" s="11" t="s">
        <v>57</v>
      </c>
      <c r="B1056" s="11" t="s">
        <v>20</v>
      </c>
      <c r="C1056" s="11" t="s">
        <v>936</v>
      </c>
      <c r="D1056" s="11" t="s">
        <v>226</v>
      </c>
      <c r="E1056" s="11" t="s">
        <v>1139</v>
      </c>
      <c r="F1056" s="11" t="s">
        <v>1130</v>
      </c>
      <c r="G1056" s="11" t="s">
        <v>1131</v>
      </c>
      <c r="H1056" s="28">
        <v>1966.0</v>
      </c>
      <c r="I1056" s="27" t="s">
        <v>188</v>
      </c>
      <c r="J1056" s="71" t="s">
        <v>188</v>
      </c>
      <c r="K1056" s="42" t="s">
        <v>188</v>
      </c>
      <c r="L1056" s="28" t="s">
        <v>81</v>
      </c>
      <c r="M1056" s="30" t="s">
        <v>229</v>
      </c>
      <c r="N1056" s="11" t="s">
        <v>233</v>
      </c>
    </row>
    <row r="1057">
      <c r="A1057" s="11" t="s">
        <v>57</v>
      </c>
      <c r="B1057" s="11" t="s">
        <v>20</v>
      </c>
      <c r="C1057" s="11" t="s">
        <v>936</v>
      </c>
      <c r="D1057" s="11" t="s">
        <v>226</v>
      </c>
      <c r="E1057" s="11" t="s">
        <v>1139</v>
      </c>
      <c r="F1057" s="11" t="s">
        <v>1130</v>
      </c>
      <c r="G1057" s="11" t="s">
        <v>1131</v>
      </c>
      <c r="H1057" s="28">
        <v>1967.0</v>
      </c>
      <c r="I1057" s="27" t="s">
        <v>188</v>
      </c>
      <c r="J1057" s="71" t="s">
        <v>188</v>
      </c>
      <c r="K1057" s="42" t="s">
        <v>188</v>
      </c>
      <c r="L1057" s="28" t="s">
        <v>81</v>
      </c>
      <c r="M1057" s="30" t="s">
        <v>229</v>
      </c>
      <c r="N1057" s="11" t="s">
        <v>233</v>
      </c>
    </row>
    <row r="1058">
      <c r="A1058" s="11" t="s">
        <v>57</v>
      </c>
      <c r="B1058" s="11" t="s">
        <v>20</v>
      </c>
      <c r="C1058" s="11" t="s">
        <v>936</v>
      </c>
      <c r="D1058" s="11" t="s">
        <v>226</v>
      </c>
      <c r="E1058" s="11" t="s">
        <v>1139</v>
      </c>
      <c r="F1058" s="11" t="s">
        <v>1130</v>
      </c>
      <c r="G1058" s="11" t="s">
        <v>1131</v>
      </c>
      <c r="H1058" s="87">
        <v>1967.97786336925</v>
      </c>
      <c r="I1058" s="27">
        <v>1823.0</v>
      </c>
      <c r="J1058" s="71" t="s">
        <v>188</v>
      </c>
      <c r="K1058" s="42" t="s">
        <v>188</v>
      </c>
      <c r="L1058" s="28" t="s">
        <v>81</v>
      </c>
      <c r="M1058" s="30" t="s">
        <v>229</v>
      </c>
      <c r="N1058" s="11" t="s">
        <v>233</v>
      </c>
    </row>
    <row r="1059">
      <c r="A1059" s="11" t="s">
        <v>57</v>
      </c>
      <c r="B1059" s="11" t="s">
        <v>20</v>
      </c>
      <c r="C1059" s="11" t="s">
        <v>936</v>
      </c>
      <c r="D1059" s="11" t="s">
        <v>226</v>
      </c>
      <c r="E1059" s="11" t="s">
        <v>1139</v>
      </c>
      <c r="F1059" s="11" t="s">
        <v>1130</v>
      </c>
      <c r="G1059" s="11" t="s">
        <v>1131</v>
      </c>
      <c r="H1059" s="28">
        <v>1969.0</v>
      </c>
      <c r="I1059" s="27"/>
      <c r="J1059" s="71" t="s">
        <v>188</v>
      </c>
      <c r="K1059" s="42" t="s">
        <v>188</v>
      </c>
      <c r="L1059" s="28" t="s">
        <v>81</v>
      </c>
      <c r="M1059" s="30" t="s">
        <v>229</v>
      </c>
      <c r="N1059" s="11" t="s">
        <v>233</v>
      </c>
    </row>
    <row r="1060">
      <c r="A1060" s="11" t="s">
        <v>57</v>
      </c>
      <c r="B1060" s="11" t="s">
        <v>20</v>
      </c>
      <c r="C1060" s="11" t="s">
        <v>936</v>
      </c>
      <c r="D1060" s="11" t="s">
        <v>226</v>
      </c>
      <c r="E1060" s="11" t="s">
        <v>1139</v>
      </c>
      <c r="F1060" s="11" t="s">
        <v>1130</v>
      </c>
      <c r="G1060" s="11" t="s">
        <v>1131</v>
      </c>
      <c r="H1060" s="28">
        <v>1970.0</v>
      </c>
      <c r="I1060" s="27"/>
      <c r="J1060" s="71" t="s">
        <v>188</v>
      </c>
      <c r="K1060" s="42" t="s">
        <v>188</v>
      </c>
      <c r="L1060" s="28" t="s">
        <v>81</v>
      </c>
      <c r="M1060" s="30" t="s">
        <v>229</v>
      </c>
      <c r="N1060" s="11" t="s">
        <v>233</v>
      </c>
    </row>
    <row r="1061">
      <c r="A1061" s="11" t="s">
        <v>57</v>
      </c>
      <c r="B1061" s="11" t="s">
        <v>20</v>
      </c>
      <c r="C1061" s="11" t="s">
        <v>936</v>
      </c>
      <c r="D1061" s="11" t="s">
        <v>226</v>
      </c>
      <c r="E1061" s="11" t="s">
        <v>1139</v>
      </c>
      <c r="F1061" s="11" t="s">
        <v>1130</v>
      </c>
      <c r="G1061" s="11" t="s">
        <v>1131</v>
      </c>
      <c r="H1061" s="28">
        <v>1971.0</v>
      </c>
      <c r="I1061" s="27"/>
      <c r="J1061" s="71" t="s">
        <v>188</v>
      </c>
      <c r="K1061" s="42" t="s">
        <v>188</v>
      </c>
      <c r="L1061" s="28" t="s">
        <v>81</v>
      </c>
      <c r="M1061" s="30" t="s">
        <v>229</v>
      </c>
      <c r="N1061" s="11" t="s">
        <v>233</v>
      </c>
    </row>
    <row r="1062">
      <c r="A1062" s="11" t="s">
        <v>57</v>
      </c>
      <c r="B1062" s="11" t="s">
        <v>20</v>
      </c>
      <c r="C1062" s="11" t="s">
        <v>936</v>
      </c>
      <c r="D1062" s="11" t="s">
        <v>226</v>
      </c>
      <c r="E1062" s="11" t="s">
        <v>1139</v>
      </c>
      <c r="F1062" s="11" t="s">
        <v>1130</v>
      </c>
      <c r="G1062" s="11" t="s">
        <v>1131</v>
      </c>
      <c r="H1062" s="87">
        <v>1972.02983478192</v>
      </c>
      <c r="I1062" s="27">
        <v>2938.0</v>
      </c>
      <c r="J1062" s="71" t="s">
        <v>188</v>
      </c>
      <c r="K1062" s="42" t="s">
        <v>188</v>
      </c>
      <c r="L1062" s="28" t="s">
        <v>81</v>
      </c>
      <c r="M1062" s="30" t="s">
        <v>229</v>
      </c>
      <c r="N1062" s="11" t="s">
        <v>233</v>
      </c>
    </row>
    <row r="1063">
      <c r="A1063" s="11" t="s">
        <v>57</v>
      </c>
      <c r="B1063" s="11" t="s">
        <v>20</v>
      </c>
      <c r="C1063" s="11" t="s">
        <v>936</v>
      </c>
      <c r="D1063" s="11" t="s">
        <v>226</v>
      </c>
      <c r="E1063" s="11" t="s">
        <v>1139</v>
      </c>
      <c r="F1063" s="11" t="s">
        <v>1130</v>
      </c>
      <c r="G1063" s="11" t="s">
        <v>1131</v>
      </c>
      <c r="H1063" s="28">
        <v>1973.0</v>
      </c>
      <c r="I1063" s="27" t="s">
        <v>188</v>
      </c>
      <c r="J1063" s="71" t="s">
        <v>188</v>
      </c>
      <c r="K1063" s="42" t="s">
        <v>188</v>
      </c>
      <c r="L1063" s="28" t="s">
        <v>81</v>
      </c>
      <c r="M1063" s="30" t="s">
        <v>229</v>
      </c>
      <c r="N1063" s="11" t="s">
        <v>233</v>
      </c>
    </row>
    <row r="1064">
      <c r="A1064" s="11" t="s">
        <v>57</v>
      </c>
      <c r="B1064" s="11" t="s">
        <v>20</v>
      </c>
      <c r="C1064" s="11" t="s">
        <v>936</v>
      </c>
      <c r="D1064" s="11" t="s">
        <v>226</v>
      </c>
      <c r="E1064" s="11" t="s">
        <v>1139</v>
      </c>
      <c r="F1064" s="11" t="s">
        <v>1130</v>
      </c>
      <c r="G1064" s="11" t="s">
        <v>1131</v>
      </c>
      <c r="H1064" s="28">
        <v>1974.0</v>
      </c>
      <c r="I1064" s="27" t="s">
        <v>188</v>
      </c>
      <c r="J1064" s="71" t="s">
        <v>188</v>
      </c>
      <c r="K1064" s="42" t="s">
        <v>188</v>
      </c>
      <c r="L1064" s="28" t="s">
        <v>81</v>
      </c>
      <c r="M1064" s="30" t="s">
        <v>229</v>
      </c>
      <c r="N1064" s="11" t="s">
        <v>233</v>
      </c>
    </row>
    <row r="1065">
      <c r="A1065" s="11" t="s">
        <v>57</v>
      </c>
      <c r="B1065" s="11" t="s">
        <v>20</v>
      </c>
      <c r="C1065" s="11" t="s">
        <v>936</v>
      </c>
      <c r="D1065" s="11" t="s">
        <v>226</v>
      </c>
      <c r="E1065" s="11" t="s">
        <v>1139</v>
      </c>
      <c r="F1065" s="11" t="s">
        <v>1130</v>
      </c>
      <c r="G1065" s="11" t="s">
        <v>1131</v>
      </c>
      <c r="H1065" s="28">
        <v>1975.0</v>
      </c>
      <c r="I1065" s="27" t="s">
        <v>188</v>
      </c>
      <c r="J1065" s="71" t="s">
        <v>188</v>
      </c>
      <c r="K1065" s="42" t="s">
        <v>188</v>
      </c>
      <c r="L1065" s="28" t="s">
        <v>81</v>
      </c>
      <c r="M1065" s="30" t="s">
        <v>229</v>
      </c>
      <c r="N1065" s="11" t="s">
        <v>233</v>
      </c>
    </row>
    <row r="1066">
      <c r="A1066" s="11" t="s">
        <v>57</v>
      </c>
      <c r="B1066" s="11" t="s">
        <v>20</v>
      </c>
      <c r="C1066" s="11" t="s">
        <v>936</v>
      </c>
      <c r="D1066" s="11" t="s">
        <v>226</v>
      </c>
      <c r="E1066" s="11" t="s">
        <v>1139</v>
      </c>
      <c r="F1066" s="11" t="s">
        <v>1130</v>
      </c>
      <c r="G1066" s="11" t="s">
        <v>1131</v>
      </c>
      <c r="H1066" s="28">
        <v>1976.0</v>
      </c>
      <c r="I1066" s="27" t="s">
        <v>188</v>
      </c>
      <c r="J1066" s="71" t="s">
        <v>188</v>
      </c>
      <c r="K1066" s="42" t="s">
        <v>188</v>
      </c>
      <c r="L1066" s="28" t="s">
        <v>81</v>
      </c>
      <c r="M1066" s="30" t="s">
        <v>229</v>
      </c>
      <c r="N1066" s="11" t="s">
        <v>233</v>
      </c>
    </row>
    <row r="1067">
      <c r="A1067" s="11" t="s">
        <v>57</v>
      </c>
      <c r="B1067" s="11" t="s">
        <v>20</v>
      </c>
      <c r="C1067" s="11" t="s">
        <v>936</v>
      </c>
      <c r="D1067" s="11" t="s">
        <v>226</v>
      </c>
      <c r="E1067" s="11" t="s">
        <v>1139</v>
      </c>
      <c r="F1067" s="11" t="s">
        <v>1130</v>
      </c>
      <c r="G1067" s="11" t="s">
        <v>1131</v>
      </c>
      <c r="H1067" s="87">
        <v>1976.90909067812</v>
      </c>
      <c r="I1067" s="27">
        <v>5528.0</v>
      </c>
      <c r="J1067" s="71" t="s">
        <v>188</v>
      </c>
      <c r="K1067" s="42" t="s">
        <v>188</v>
      </c>
      <c r="L1067" s="28" t="s">
        <v>81</v>
      </c>
      <c r="M1067" s="30" t="s">
        <v>229</v>
      </c>
      <c r="N1067" s="11" t="s">
        <v>233</v>
      </c>
    </row>
    <row r="1068">
      <c r="A1068" s="11" t="s">
        <v>57</v>
      </c>
      <c r="B1068" s="11" t="s">
        <v>20</v>
      </c>
      <c r="C1068" s="11" t="s">
        <v>936</v>
      </c>
      <c r="D1068" s="11" t="s">
        <v>226</v>
      </c>
      <c r="E1068" s="11" t="s">
        <v>1139</v>
      </c>
      <c r="F1068" s="11" t="s">
        <v>1130</v>
      </c>
      <c r="G1068" s="11" t="s">
        <v>1131</v>
      </c>
      <c r="H1068" s="28">
        <v>1978.0</v>
      </c>
      <c r="I1068" s="27" t="s">
        <v>188</v>
      </c>
      <c r="J1068" s="71" t="s">
        <v>188</v>
      </c>
      <c r="K1068" s="42" t="s">
        <v>188</v>
      </c>
      <c r="L1068" s="28" t="s">
        <v>81</v>
      </c>
      <c r="M1068" s="30" t="s">
        <v>229</v>
      </c>
      <c r="N1068" s="11" t="s">
        <v>233</v>
      </c>
    </row>
    <row r="1069">
      <c r="A1069" s="11" t="s">
        <v>57</v>
      </c>
      <c r="B1069" s="11" t="s">
        <v>20</v>
      </c>
      <c r="C1069" s="11" t="s">
        <v>936</v>
      </c>
      <c r="D1069" s="11" t="s">
        <v>226</v>
      </c>
      <c r="E1069" s="11" t="s">
        <v>1139</v>
      </c>
      <c r="F1069" s="11" t="s">
        <v>1130</v>
      </c>
      <c r="G1069" s="11" t="s">
        <v>1131</v>
      </c>
      <c r="H1069" s="28">
        <v>1979.0</v>
      </c>
      <c r="I1069" s="27" t="s">
        <v>188</v>
      </c>
      <c r="J1069" s="71" t="s">
        <v>188</v>
      </c>
      <c r="K1069" s="42" t="s">
        <v>188</v>
      </c>
      <c r="L1069" s="28" t="s">
        <v>81</v>
      </c>
      <c r="M1069" s="30" t="s">
        <v>229</v>
      </c>
      <c r="N1069" s="11" t="s">
        <v>233</v>
      </c>
    </row>
    <row r="1070">
      <c r="A1070" s="11" t="s">
        <v>57</v>
      </c>
      <c r="B1070" s="11" t="s">
        <v>20</v>
      </c>
      <c r="C1070" s="11" t="s">
        <v>936</v>
      </c>
      <c r="D1070" s="25" t="s">
        <v>226</v>
      </c>
      <c r="E1070" s="25" t="s">
        <v>1139</v>
      </c>
      <c r="F1070" s="11" t="s">
        <v>1130</v>
      </c>
      <c r="G1070" s="11" t="s">
        <v>1131</v>
      </c>
      <c r="H1070" s="87">
        <v>1979.9875889543</v>
      </c>
      <c r="I1070" s="27">
        <v>7762.0</v>
      </c>
      <c r="J1070" s="71" t="s">
        <v>188</v>
      </c>
      <c r="K1070" s="42" t="s">
        <v>188</v>
      </c>
      <c r="L1070" s="28" t="s">
        <v>81</v>
      </c>
      <c r="M1070" s="30" t="s">
        <v>229</v>
      </c>
      <c r="N1070" s="11" t="s">
        <v>233</v>
      </c>
    </row>
    <row r="1071">
      <c r="A1071" s="11" t="s">
        <v>57</v>
      </c>
      <c r="B1071" s="11" t="s">
        <v>20</v>
      </c>
      <c r="C1071" s="11" t="s">
        <v>936</v>
      </c>
      <c r="D1071" s="25" t="s">
        <v>226</v>
      </c>
      <c r="E1071" s="25" t="s">
        <v>1139</v>
      </c>
      <c r="F1071" s="11" t="s">
        <v>1130</v>
      </c>
      <c r="G1071" s="11" t="s">
        <v>1131</v>
      </c>
      <c r="H1071" s="87">
        <v>1981.0395679889</v>
      </c>
      <c r="I1071" s="27">
        <v>8818.0</v>
      </c>
      <c r="J1071" s="71" t="s">
        <v>188</v>
      </c>
      <c r="K1071" s="42" t="s">
        <v>188</v>
      </c>
      <c r="L1071" s="28" t="s">
        <v>81</v>
      </c>
      <c r="M1071" s="30" t="s">
        <v>229</v>
      </c>
      <c r="N1071" s="11" t="s">
        <v>233</v>
      </c>
    </row>
    <row r="1072">
      <c r="A1072" s="11" t="s">
        <v>57</v>
      </c>
      <c r="B1072" s="11" t="s">
        <v>20</v>
      </c>
      <c r="C1072" s="11" t="s">
        <v>936</v>
      </c>
      <c r="D1072" s="25" t="s">
        <v>226</v>
      </c>
      <c r="E1072" s="25" t="s">
        <v>1139</v>
      </c>
      <c r="F1072" s="11" t="s">
        <v>1130</v>
      </c>
      <c r="G1072" s="11" t="s">
        <v>1131</v>
      </c>
      <c r="H1072" s="87">
        <v>1982.01624233678</v>
      </c>
      <c r="I1072" s="27">
        <v>9692.0</v>
      </c>
      <c r="J1072" s="71" t="s">
        <v>188</v>
      </c>
      <c r="K1072" s="42" t="s">
        <v>188</v>
      </c>
      <c r="L1072" s="28" t="s">
        <v>81</v>
      </c>
      <c r="M1072" s="30" t="s">
        <v>229</v>
      </c>
      <c r="N1072" s="11" t="s">
        <v>233</v>
      </c>
    </row>
    <row r="1073">
      <c r="A1073" s="11" t="s">
        <v>57</v>
      </c>
      <c r="B1073" s="11" t="s">
        <v>20</v>
      </c>
      <c r="C1073" s="11" t="s">
        <v>936</v>
      </c>
      <c r="D1073" s="25" t="s">
        <v>226</v>
      </c>
      <c r="E1073" s="25" t="s">
        <v>1139</v>
      </c>
      <c r="F1073" s="11" t="s">
        <v>1130</v>
      </c>
      <c r="G1073" s="11" t="s">
        <v>1131</v>
      </c>
      <c r="H1073" s="87">
        <v>1982.91700224339</v>
      </c>
      <c r="I1073" s="27">
        <v>10332.0</v>
      </c>
      <c r="J1073" s="71" t="s">
        <v>188</v>
      </c>
      <c r="K1073" s="42" t="s">
        <v>188</v>
      </c>
      <c r="L1073" s="28" t="s">
        <v>81</v>
      </c>
      <c r="M1073" s="30" t="s">
        <v>229</v>
      </c>
      <c r="N1073" s="11" t="s">
        <v>233</v>
      </c>
    </row>
    <row r="1074">
      <c r="A1074" s="11" t="s">
        <v>57</v>
      </c>
      <c r="B1074" s="11" t="s">
        <v>20</v>
      </c>
      <c r="C1074" s="11" t="s">
        <v>936</v>
      </c>
      <c r="D1074" s="25" t="s">
        <v>226</v>
      </c>
      <c r="E1074" s="25" t="s">
        <v>1139</v>
      </c>
      <c r="F1074" s="11" t="s">
        <v>1130</v>
      </c>
      <c r="G1074" s="11" t="s">
        <v>1131</v>
      </c>
      <c r="H1074" s="87">
        <v>1983.89398146854</v>
      </c>
      <c r="I1074" s="27">
        <v>11499.0</v>
      </c>
      <c r="J1074" s="71" t="s">
        <v>188</v>
      </c>
      <c r="K1074" s="42" t="s">
        <v>188</v>
      </c>
      <c r="L1074" s="28" t="s">
        <v>81</v>
      </c>
      <c r="M1074" s="30" t="s">
        <v>229</v>
      </c>
      <c r="N1074" s="11" t="s">
        <v>233</v>
      </c>
    </row>
    <row r="1075">
      <c r="A1075" s="11" t="s">
        <v>57</v>
      </c>
      <c r="B1075" s="11" t="s">
        <v>20</v>
      </c>
      <c r="C1075" s="11" t="s">
        <v>936</v>
      </c>
      <c r="D1075" s="25" t="s">
        <v>226</v>
      </c>
      <c r="E1075" s="25" t="s">
        <v>1139</v>
      </c>
      <c r="F1075" s="11" t="s">
        <v>1130</v>
      </c>
      <c r="G1075" s="11" t="s">
        <v>1131</v>
      </c>
      <c r="H1075" s="87">
        <v>1985.02202738306</v>
      </c>
      <c r="I1075" s="27">
        <v>13139.0</v>
      </c>
      <c r="J1075" s="71" t="s">
        <v>188</v>
      </c>
      <c r="K1075" s="42" t="s">
        <v>188</v>
      </c>
      <c r="L1075" s="28" t="s">
        <v>81</v>
      </c>
      <c r="M1075" s="30" t="s">
        <v>229</v>
      </c>
      <c r="N1075" s="11" t="s">
        <v>233</v>
      </c>
    </row>
    <row r="1076">
      <c r="A1076" s="11" t="s">
        <v>57</v>
      </c>
      <c r="B1076" s="11" t="s">
        <v>20</v>
      </c>
      <c r="C1076" s="11" t="s">
        <v>936</v>
      </c>
      <c r="D1076" s="25" t="s">
        <v>226</v>
      </c>
      <c r="E1076" s="25" t="s">
        <v>1139</v>
      </c>
      <c r="F1076" s="11" t="s">
        <v>1130</v>
      </c>
      <c r="G1076" s="11" t="s">
        <v>1131</v>
      </c>
      <c r="H1076" s="87">
        <v>1985.92080558738</v>
      </c>
      <c r="I1076" s="27">
        <v>12507.0</v>
      </c>
      <c r="J1076" s="71" t="s">
        <v>188</v>
      </c>
      <c r="K1076" s="42" t="s">
        <v>188</v>
      </c>
      <c r="L1076" s="28" t="s">
        <v>81</v>
      </c>
      <c r="M1076" s="30" t="s">
        <v>229</v>
      </c>
      <c r="N1076" s="11" t="s">
        <v>233</v>
      </c>
    </row>
    <row r="1077">
      <c r="A1077" s="11" t="s">
        <v>57</v>
      </c>
      <c r="B1077" s="11" t="s">
        <v>20</v>
      </c>
      <c r="C1077" s="11" t="s">
        <v>936</v>
      </c>
      <c r="D1077" s="25" t="s">
        <v>226</v>
      </c>
      <c r="E1077" s="25" t="s">
        <v>1139</v>
      </c>
      <c r="F1077" s="11" t="s">
        <v>1130</v>
      </c>
      <c r="G1077" s="11" t="s">
        <v>1131</v>
      </c>
      <c r="H1077" s="87">
        <v>1986.89656530344</v>
      </c>
      <c r="I1077" s="27">
        <v>13033.0</v>
      </c>
      <c r="J1077" s="71" t="s">
        <v>188</v>
      </c>
      <c r="K1077" s="42" t="s">
        <v>188</v>
      </c>
      <c r="L1077" s="28" t="s">
        <v>81</v>
      </c>
      <c r="M1077" s="30" t="s">
        <v>229</v>
      </c>
      <c r="N1077" s="11" t="s">
        <v>233</v>
      </c>
    </row>
    <row r="1078">
      <c r="A1078" s="11" t="s">
        <v>57</v>
      </c>
      <c r="B1078" s="11" t="s">
        <v>20</v>
      </c>
      <c r="C1078" s="11" t="s">
        <v>936</v>
      </c>
      <c r="D1078" s="25" t="s">
        <v>226</v>
      </c>
      <c r="E1078" s="25" t="s">
        <v>1139</v>
      </c>
      <c r="F1078" s="11" t="s">
        <v>1130</v>
      </c>
      <c r="G1078" s="11" t="s">
        <v>1131</v>
      </c>
      <c r="H1078" s="87">
        <v>1988.02430634069</v>
      </c>
      <c r="I1078" s="27">
        <v>14724.0</v>
      </c>
      <c r="J1078" s="71" t="s">
        <v>188</v>
      </c>
      <c r="K1078" s="42" t="s">
        <v>188</v>
      </c>
      <c r="L1078" s="28" t="s">
        <v>81</v>
      </c>
      <c r="M1078" s="30" t="s">
        <v>229</v>
      </c>
      <c r="N1078" s="11" t="s">
        <v>233</v>
      </c>
    </row>
    <row r="1079">
      <c r="A1079" s="11" t="s">
        <v>57</v>
      </c>
      <c r="B1079" s="11" t="s">
        <v>20</v>
      </c>
      <c r="C1079" s="11" t="s">
        <v>936</v>
      </c>
      <c r="D1079" s="25" t="s">
        <v>226</v>
      </c>
      <c r="E1079" s="25" t="s">
        <v>1139</v>
      </c>
      <c r="F1079" s="11" t="s">
        <v>1130</v>
      </c>
      <c r="G1079" s="11" t="s">
        <v>1131</v>
      </c>
      <c r="H1079" s="87">
        <v>1989.00296239085</v>
      </c>
      <c r="I1079" s="27">
        <v>16833.0</v>
      </c>
      <c r="J1079" s="71" t="s">
        <v>188</v>
      </c>
      <c r="K1079" s="42" t="s">
        <v>188</v>
      </c>
      <c r="L1079" s="28" t="s">
        <v>81</v>
      </c>
      <c r="M1079" s="30" t="s">
        <v>229</v>
      </c>
      <c r="N1079" s="11" t="s">
        <v>233</v>
      </c>
    </row>
    <row r="1080">
      <c r="A1080" s="11" t="s">
        <v>57</v>
      </c>
      <c r="B1080" s="11" t="s">
        <v>20</v>
      </c>
      <c r="C1080" s="11" t="s">
        <v>936</v>
      </c>
      <c r="D1080" s="25" t="s">
        <v>226</v>
      </c>
      <c r="E1080" s="25" t="s">
        <v>1139</v>
      </c>
      <c r="F1080" s="11" t="s">
        <v>1130</v>
      </c>
      <c r="G1080" s="11" t="s">
        <v>1131</v>
      </c>
      <c r="H1080" s="87">
        <v>1989.90356985882</v>
      </c>
      <c r="I1080" s="27">
        <v>17287.0</v>
      </c>
      <c r="J1080" s="71" t="s">
        <v>188</v>
      </c>
      <c r="K1080" s="42" t="s">
        <v>188</v>
      </c>
      <c r="L1080" s="28" t="s">
        <v>81</v>
      </c>
      <c r="M1080" s="30" t="s">
        <v>229</v>
      </c>
      <c r="N1080" s="11" t="s">
        <v>233</v>
      </c>
    </row>
    <row r="1081">
      <c r="A1081" s="11" t="s">
        <v>57</v>
      </c>
      <c r="B1081" s="11" t="s">
        <v>20</v>
      </c>
      <c r="C1081" s="11" t="s">
        <v>936</v>
      </c>
      <c r="D1081" s="25" t="s">
        <v>226</v>
      </c>
      <c r="E1081" s="25" t="s">
        <v>1139</v>
      </c>
      <c r="F1081" s="11" t="s">
        <v>1130</v>
      </c>
      <c r="G1081" s="11" t="s">
        <v>1131</v>
      </c>
      <c r="H1081" s="87">
        <v>1991.03085358015</v>
      </c>
      <c r="I1081" s="27">
        <v>18511.0</v>
      </c>
      <c r="J1081" s="71" t="s">
        <v>188</v>
      </c>
      <c r="K1081" s="42" t="s">
        <v>188</v>
      </c>
      <c r="L1081" s="28" t="s">
        <v>81</v>
      </c>
      <c r="M1081" s="30" t="s">
        <v>229</v>
      </c>
      <c r="N1081" s="11" t="s">
        <v>233</v>
      </c>
    </row>
    <row r="1082">
      <c r="A1082" s="11" t="s">
        <v>57</v>
      </c>
      <c r="B1082" s="11" t="s">
        <v>20</v>
      </c>
      <c r="C1082" s="11" t="s">
        <v>936</v>
      </c>
      <c r="D1082" s="25" t="s">
        <v>226</v>
      </c>
      <c r="E1082" s="25" t="s">
        <v>1139</v>
      </c>
      <c r="F1082" s="11" t="s">
        <v>1130</v>
      </c>
      <c r="G1082" s="11" t="s">
        <v>1131</v>
      </c>
      <c r="H1082" s="87">
        <v>1992.00813768258</v>
      </c>
      <c r="I1082" s="27">
        <v>19833.0</v>
      </c>
      <c r="J1082" s="71" t="s">
        <v>188</v>
      </c>
      <c r="K1082" s="42" t="s">
        <v>188</v>
      </c>
      <c r="L1082" s="28" t="s">
        <v>81</v>
      </c>
      <c r="M1082" s="30" t="s">
        <v>229</v>
      </c>
      <c r="N1082" s="11" t="s">
        <v>233</v>
      </c>
    </row>
    <row r="1083">
      <c r="A1083" s="11" t="s">
        <v>57</v>
      </c>
      <c r="B1083" s="11" t="s">
        <v>20</v>
      </c>
      <c r="C1083" s="11" t="s">
        <v>936</v>
      </c>
      <c r="D1083" s="25" t="s">
        <v>226</v>
      </c>
      <c r="E1083" s="25" t="s">
        <v>1139</v>
      </c>
      <c r="F1083" s="11" t="s">
        <v>1130</v>
      </c>
      <c r="G1083" s="11" t="s">
        <v>1131</v>
      </c>
      <c r="H1083" s="87">
        <v>1992.98313520545</v>
      </c>
      <c r="I1083" s="27">
        <v>19938.0</v>
      </c>
      <c r="J1083" s="71" t="s">
        <v>188</v>
      </c>
      <c r="K1083" s="42" t="s">
        <v>188</v>
      </c>
      <c r="L1083" s="28" t="s">
        <v>81</v>
      </c>
      <c r="M1083" s="30" t="s">
        <v>229</v>
      </c>
      <c r="N1083" s="11" t="s">
        <v>233</v>
      </c>
    </row>
    <row r="1084">
      <c r="A1084" s="11" t="s">
        <v>57</v>
      </c>
      <c r="B1084" s="11" t="s">
        <v>20</v>
      </c>
      <c r="C1084" s="11" t="s">
        <v>936</v>
      </c>
      <c r="D1084" s="25" t="s">
        <v>226</v>
      </c>
      <c r="E1084" s="25" t="s">
        <v>1139</v>
      </c>
      <c r="F1084" s="11" t="s">
        <v>1130</v>
      </c>
      <c r="G1084" s="11" t="s">
        <v>1131</v>
      </c>
      <c r="H1084" s="87">
        <v>1994.03633374915</v>
      </c>
      <c r="I1084" s="27">
        <v>21777.0</v>
      </c>
      <c r="J1084" s="71" t="s">
        <v>188</v>
      </c>
      <c r="K1084" s="42" t="s">
        <v>188</v>
      </c>
      <c r="L1084" s="28" t="s">
        <v>81</v>
      </c>
      <c r="M1084" s="30" t="s">
        <v>229</v>
      </c>
      <c r="N1084" s="11" t="s">
        <v>233</v>
      </c>
    </row>
    <row r="1085">
      <c r="A1085" s="11" t="s">
        <v>57</v>
      </c>
      <c r="B1085" s="11" t="s">
        <v>20</v>
      </c>
      <c r="C1085" s="11" t="s">
        <v>936</v>
      </c>
      <c r="D1085" s="25" t="s">
        <v>226</v>
      </c>
      <c r="E1085" s="25" t="s">
        <v>1139</v>
      </c>
      <c r="F1085" s="11" t="s">
        <v>1130</v>
      </c>
      <c r="G1085" s="11" t="s">
        <v>1131</v>
      </c>
      <c r="H1085" s="87">
        <v>1995.01133127202</v>
      </c>
      <c r="I1085" s="27">
        <v>21833.0</v>
      </c>
      <c r="J1085" s="71" t="s">
        <v>188</v>
      </c>
      <c r="K1085" s="42" t="s">
        <v>188</v>
      </c>
      <c r="L1085" s="28" t="s">
        <v>81</v>
      </c>
      <c r="M1085" s="30" t="s">
        <v>229</v>
      </c>
      <c r="N1085" s="11" t="s">
        <v>233</v>
      </c>
    </row>
    <row r="1086">
      <c r="A1086" s="11" t="s">
        <v>57</v>
      </c>
      <c r="B1086" s="11" t="s">
        <v>20</v>
      </c>
      <c r="C1086" s="11" t="s">
        <v>936</v>
      </c>
      <c r="D1086" s="25" t="s">
        <v>226</v>
      </c>
      <c r="E1086" s="25" t="s">
        <v>1139</v>
      </c>
      <c r="F1086" s="11" t="s">
        <v>1130</v>
      </c>
      <c r="G1086" s="11" t="s">
        <v>1131</v>
      </c>
      <c r="H1086" s="87">
        <v>1995.98541416307</v>
      </c>
      <c r="I1086" s="27">
        <v>21337.0</v>
      </c>
      <c r="J1086" s="71" t="s">
        <v>188</v>
      </c>
      <c r="K1086" s="42" t="s">
        <v>188</v>
      </c>
      <c r="L1086" s="28" t="s">
        <v>81</v>
      </c>
      <c r="M1086" s="30" t="s">
        <v>229</v>
      </c>
      <c r="N1086" s="11" t="s">
        <v>233</v>
      </c>
    </row>
    <row r="1087">
      <c r="A1087" s="11" t="s">
        <v>57</v>
      </c>
      <c r="B1087" s="11" t="s">
        <v>20</v>
      </c>
      <c r="C1087" s="11" t="s">
        <v>936</v>
      </c>
      <c r="D1087" s="25" t="s">
        <v>226</v>
      </c>
      <c r="E1087" s="25" t="s">
        <v>1139</v>
      </c>
      <c r="F1087" s="11" t="s">
        <v>1130</v>
      </c>
      <c r="G1087" s="11" t="s">
        <v>1131</v>
      </c>
      <c r="H1087" s="28">
        <v>1997.0</v>
      </c>
      <c r="I1087" s="27" t="s">
        <v>188</v>
      </c>
      <c r="J1087" s="71" t="s">
        <v>188</v>
      </c>
      <c r="K1087" s="42" t="s">
        <v>188</v>
      </c>
      <c r="L1087" s="28" t="s">
        <v>81</v>
      </c>
      <c r="M1087" s="30" t="s">
        <v>229</v>
      </c>
      <c r="N1087" s="11" t="s">
        <v>233</v>
      </c>
    </row>
    <row r="1088">
      <c r="A1088" s="11" t="s">
        <v>57</v>
      </c>
      <c r="B1088" s="11" t="s">
        <v>20</v>
      </c>
      <c r="C1088" s="11" t="s">
        <v>936</v>
      </c>
      <c r="D1088" s="25" t="s">
        <v>226</v>
      </c>
      <c r="E1088" s="25" t="s">
        <v>1139</v>
      </c>
      <c r="F1088" s="11" t="s">
        <v>1130</v>
      </c>
      <c r="G1088" s="11" t="s">
        <v>1131</v>
      </c>
      <c r="H1088" s="87">
        <v>1998.01254315919</v>
      </c>
      <c r="I1088" s="27">
        <v>22631.0</v>
      </c>
      <c r="J1088" s="71" t="s">
        <v>188</v>
      </c>
      <c r="K1088" s="42" t="s">
        <v>188</v>
      </c>
      <c r="L1088" s="28" t="s">
        <v>81</v>
      </c>
      <c r="M1088" s="30" t="s">
        <v>229</v>
      </c>
      <c r="N1088" s="11" t="s">
        <v>233</v>
      </c>
    </row>
    <row r="1089">
      <c r="A1089" s="11" t="s">
        <v>57</v>
      </c>
      <c r="B1089" s="11" t="s">
        <v>20</v>
      </c>
      <c r="C1089" s="11" t="s">
        <v>936</v>
      </c>
      <c r="D1089" s="25" t="s">
        <v>226</v>
      </c>
      <c r="E1089" s="25" t="s">
        <v>1139</v>
      </c>
      <c r="F1089" s="11" t="s">
        <v>1130</v>
      </c>
      <c r="G1089" s="11" t="s">
        <v>1131</v>
      </c>
      <c r="H1089" s="28">
        <v>1999.0</v>
      </c>
      <c r="I1089" s="27" t="s">
        <v>188</v>
      </c>
      <c r="J1089" s="71" t="s">
        <v>188</v>
      </c>
      <c r="K1089" s="42" t="s">
        <v>188</v>
      </c>
      <c r="L1089" s="28" t="s">
        <v>81</v>
      </c>
      <c r="M1089" s="30" t="s">
        <v>229</v>
      </c>
      <c r="N1089" s="11" t="s">
        <v>233</v>
      </c>
    </row>
    <row r="1090">
      <c r="A1090" s="11" t="s">
        <v>57</v>
      </c>
      <c r="B1090" s="11" t="s">
        <v>20</v>
      </c>
      <c r="C1090" s="11" t="s">
        <v>936</v>
      </c>
      <c r="D1090" s="25" t="s">
        <v>226</v>
      </c>
      <c r="E1090" s="25" t="s">
        <v>1139</v>
      </c>
      <c r="F1090" s="11" t="s">
        <v>1130</v>
      </c>
      <c r="G1090" s="11" t="s">
        <v>1131</v>
      </c>
      <c r="H1090" s="87">
        <v>1999.96512966176</v>
      </c>
      <c r="I1090" s="27">
        <v>24160.0</v>
      </c>
      <c r="J1090" s="71" t="s">
        <v>188</v>
      </c>
      <c r="K1090" s="42" t="s">
        <v>188</v>
      </c>
      <c r="L1090" s="28" t="s">
        <v>81</v>
      </c>
      <c r="M1090" s="30" t="s">
        <v>229</v>
      </c>
      <c r="N1090" s="11" t="s">
        <v>233</v>
      </c>
    </row>
    <row r="1091">
      <c r="A1091" s="11" t="s">
        <v>57</v>
      </c>
      <c r="B1091" s="11" t="s">
        <v>20</v>
      </c>
      <c r="C1091" s="11" t="s">
        <v>936</v>
      </c>
      <c r="D1091" s="25" t="s">
        <v>226</v>
      </c>
      <c r="E1091" s="25" t="s">
        <v>1139</v>
      </c>
      <c r="F1091" s="11" t="s">
        <v>1130</v>
      </c>
      <c r="G1091" s="11" t="s">
        <v>1131</v>
      </c>
      <c r="H1091" s="87">
        <v>2001.01558431</v>
      </c>
      <c r="I1091" s="27">
        <v>24410.0</v>
      </c>
      <c r="J1091" s="71" t="s">
        <v>188</v>
      </c>
      <c r="K1091" s="42" t="s">
        <v>188</v>
      </c>
      <c r="L1091" s="28" t="s">
        <v>81</v>
      </c>
      <c r="M1091" s="30" t="s">
        <v>229</v>
      </c>
      <c r="N1091" s="11" t="s">
        <v>233</v>
      </c>
    </row>
    <row r="1092">
      <c r="A1092" s="11" t="s">
        <v>57</v>
      </c>
      <c r="B1092" s="11" t="s">
        <v>20</v>
      </c>
      <c r="C1092" s="11" t="s">
        <v>936</v>
      </c>
      <c r="D1092" s="25" t="s">
        <v>226</v>
      </c>
      <c r="E1092" s="25" t="s">
        <v>1139</v>
      </c>
      <c r="F1092" s="11" t="s">
        <v>1130</v>
      </c>
      <c r="G1092" s="11" t="s">
        <v>1131</v>
      </c>
      <c r="H1092" s="28">
        <v>2002.0</v>
      </c>
      <c r="I1092" s="27" t="s">
        <v>188</v>
      </c>
      <c r="J1092" s="71" t="s">
        <v>188</v>
      </c>
      <c r="K1092" s="42" t="s">
        <v>188</v>
      </c>
      <c r="L1092" s="28" t="s">
        <v>81</v>
      </c>
      <c r="M1092" s="30" t="s">
        <v>229</v>
      </c>
      <c r="N1092" s="11" t="s">
        <v>233</v>
      </c>
    </row>
    <row r="1093">
      <c r="A1093" s="11" t="s">
        <v>57</v>
      </c>
      <c r="B1093" s="11" t="s">
        <v>20</v>
      </c>
      <c r="C1093" s="11" t="s">
        <v>936</v>
      </c>
      <c r="D1093" s="25" t="s">
        <v>226</v>
      </c>
      <c r="E1093" s="25" t="s">
        <v>1139</v>
      </c>
      <c r="F1093" s="11" t="s">
        <v>1130</v>
      </c>
      <c r="G1093" s="11" t="s">
        <v>1131</v>
      </c>
      <c r="H1093" s="28">
        <v>2003.0</v>
      </c>
      <c r="I1093" s="27" t="s">
        <v>188</v>
      </c>
      <c r="J1093" s="71" t="s">
        <v>188</v>
      </c>
      <c r="K1093" s="42" t="s">
        <v>188</v>
      </c>
      <c r="L1093" s="28" t="s">
        <v>81</v>
      </c>
      <c r="M1093" s="30" t="s">
        <v>229</v>
      </c>
      <c r="N1093" s="11" t="s">
        <v>233</v>
      </c>
    </row>
    <row r="1094">
      <c r="A1094" s="11" t="s">
        <v>57</v>
      </c>
      <c r="B1094" s="11" t="s">
        <v>20</v>
      </c>
      <c r="C1094" s="11" t="s">
        <v>936</v>
      </c>
      <c r="D1094" s="25" t="s">
        <v>226</v>
      </c>
      <c r="E1094" s="25" t="s">
        <v>1139</v>
      </c>
      <c r="F1094" s="11" t="s">
        <v>1130</v>
      </c>
      <c r="G1094" s="11" t="s">
        <v>1131</v>
      </c>
      <c r="H1094" s="28">
        <v>2004.0</v>
      </c>
      <c r="I1094" s="27" t="s">
        <v>188</v>
      </c>
      <c r="J1094" s="71" t="s">
        <v>188</v>
      </c>
      <c r="K1094" s="42" t="s">
        <v>188</v>
      </c>
      <c r="L1094" s="28" t="s">
        <v>81</v>
      </c>
      <c r="M1094" s="30" t="s">
        <v>229</v>
      </c>
      <c r="N1094" s="11" t="s">
        <v>233</v>
      </c>
    </row>
    <row r="1095">
      <c r="A1095" s="11" t="s">
        <v>57</v>
      </c>
      <c r="B1095" s="11" t="s">
        <v>20</v>
      </c>
      <c r="C1095" s="11" t="s">
        <v>936</v>
      </c>
      <c r="D1095" s="25" t="s">
        <v>226</v>
      </c>
      <c r="E1095" s="25" t="s">
        <v>1139</v>
      </c>
      <c r="F1095" s="11" t="s">
        <v>1130</v>
      </c>
      <c r="G1095" s="11" t="s">
        <v>1131</v>
      </c>
      <c r="H1095" s="87">
        <v>2005.07533009317</v>
      </c>
      <c r="I1095" s="27">
        <v>30207.0</v>
      </c>
      <c r="J1095" s="71" t="s">
        <v>188</v>
      </c>
      <c r="K1095" s="42" t="s">
        <v>188</v>
      </c>
      <c r="L1095" s="28" t="s">
        <v>81</v>
      </c>
      <c r="M1095" s="30" t="s">
        <v>229</v>
      </c>
      <c r="N1095" s="11" t="s">
        <v>233</v>
      </c>
    </row>
    <row r="1096">
      <c r="A1096" s="11" t="s">
        <v>57</v>
      </c>
      <c r="B1096" s="11" t="s">
        <v>20</v>
      </c>
      <c r="C1096" s="11" t="s">
        <v>936</v>
      </c>
      <c r="D1096" s="25" t="s">
        <v>226</v>
      </c>
      <c r="E1096" s="25" t="s">
        <v>1139</v>
      </c>
      <c r="F1096" s="11" t="s">
        <v>1130</v>
      </c>
      <c r="G1096" s="11" t="s">
        <v>1131</v>
      </c>
      <c r="H1096" s="28">
        <v>2006.0</v>
      </c>
      <c r="I1096" s="27" t="s">
        <v>188</v>
      </c>
      <c r="J1096" s="71" t="s">
        <v>188</v>
      </c>
      <c r="K1096" s="42" t="s">
        <v>188</v>
      </c>
      <c r="L1096" s="28" t="s">
        <v>81</v>
      </c>
      <c r="M1096" s="30" t="s">
        <v>229</v>
      </c>
      <c r="N1096" s="11" t="s">
        <v>233</v>
      </c>
    </row>
    <row r="1097">
      <c r="A1097" s="11" t="s">
        <v>57</v>
      </c>
      <c r="B1097" s="11" t="s">
        <v>20</v>
      </c>
      <c r="C1097" s="11" t="s">
        <v>936</v>
      </c>
      <c r="D1097" s="25" t="s">
        <v>226</v>
      </c>
      <c r="E1097" s="25" t="s">
        <v>1139</v>
      </c>
      <c r="F1097" s="11" t="s">
        <v>1130</v>
      </c>
      <c r="G1097" s="11" t="s">
        <v>1131</v>
      </c>
      <c r="H1097" s="28">
        <v>2007.0</v>
      </c>
      <c r="I1097" s="27" t="s">
        <v>188</v>
      </c>
      <c r="J1097" s="71" t="s">
        <v>188</v>
      </c>
      <c r="K1097" s="42" t="s">
        <v>188</v>
      </c>
      <c r="L1097" s="28" t="s">
        <v>81</v>
      </c>
      <c r="M1097" s="30" t="s">
        <v>229</v>
      </c>
      <c r="N1097" s="11" t="s">
        <v>233</v>
      </c>
    </row>
    <row r="1098">
      <c r="A1098" s="11" t="s">
        <v>57</v>
      </c>
      <c r="B1098" s="11" t="s">
        <v>20</v>
      </c>
      <c r="C1098" s="11" t="s">
        <v>936</v>
      </c>
      <c r="D1098" s="25" t="s">
        <v>226</v>
      </c>
      <c r="E1098" s="25" t="s">
        <v>1139</v>
      </c>
      <c r="F1098" s="11" t="s">
        <v>1130</v>
      </c>
      <c r="G1098" s="11" t="s">
        <v>1131</v>
      </c>
      <c r="H1098" s="28">
        <v>2008.0</v>
      </c>
      <c r="I1098" s="27" t="s">
        <v>188</v>
      </c>
      <c r="J1098" s="71" t="s">
        <v>188</v>
      </c>
      <c r="K1098" s="42" t="s">
        <v>188</v>
      </c>
      <c r="L1098" s="28" t="s">
        <v>81</v>
      </c>
      <c r="M1098" s="30" t="s">
        <v>229</v>
      </c>
      <c r="N1098" s="11" t="s">
        <v>233</v>
      </c>
    </row>
    <row r="1099">
      <c r="A1099" s="11" t="s">
        <v>57</v>
      </c>
      <c r="B1099" s="11" t="s">
        <v>20</v>
      </c>
      <c r="C1099" s="11" t="s">
        <v>936</v>
      </c>
      <c r="D1099" s="25" t="s">
        <v>226</v>
      </c>
      <c r="E1099" s="25" t="s">
        <v>1139</v>
      </c>
      <c r="F1099" s="11" t="s">
        <v>1130</v>
      </c>
      <c r="G1099" s="11" t="s">
        <v>1131</v>
      </c>
      <c r="H1099" s="28">
        <v>2009.0</v>
      </c>
      <c r="I1099" s="27" t="s">
        <v>188</v>
      </c>
      <c r="J1099" s="71" t="s">
        <v>188</v>
      </c>
      <c r="K1099" s="42" t="s">
        <v>188</v>
      </c>
      <c r="L1099" s="28" t="s">
        <v>81</v>
      </c>
      <c r="M1099" s="30" t="s">
        <v>229</v>
      </c>
      <c r="N1099" s="11" t="s">
        <v>233</v>
      </c>
    </row>
    <row r="1100">
      <c r="A1100" s="11" t="s">
        <v>57</v>
      </c>
      <c r="B1100" s="11" t="s">
        <v>20</v>
      </c>
      <c r="C1100" s="11" t="s">
        <v>936</v>
      </c>
      <c r="D1100" s="25" t="s">
        <v>226</v>
      </c>
      <c r="E1100" s="25" t="s">
        <v>1139</v>
      </c>
      <c r="F1100" s="11" t="s">
        <v>1130</v>
      </c>
      <c r="G1100" s="11" t="s">
        <v>1131</v>
      </c>
      <c r="H1100" s="87">
        <v>2010.03004311473</v>
      </c>
      <c r="I1100" s="27">
        <v>33144.0</v>
      </c>
      <c r="J1100" s="71" t="s">
        <v>188</v>
      </c>
      <c r="K1100" s="42" t="s">
        <v>188</v>
      </c>
      <c r="L1100" s="28" t="s">
        <v>81</v>
      </c>
      <c r="M1100" s="30" t="s">
        <v>229</v>
      </c>
      <c r="N1100" s="11" t="s">
        <v>233</v>
      </c>
    </row>
    <row r="1101">
      <c r="A1101" s="11" t="s">
        <v>57</v>
      </c>
      <c r="B1101" s="11" t="s">
        <v>20</v>
      </c>
      <c r="C1101" s="11" t="s">
        <v>1144</v>
      </c>
      <c r="D1101" s="25" t="s">
        <v>226</v>
      </c>
      <c r="E1101" s="11" t="s">
        <v>1145</v>
      </c>
      <c r="F1101" s="11" t="s">
        <v>1130</v>
      </c>
      <c r="G1101" s="11" t="s">
        <v>1131</v>
      </c>
      <c r="H1101" s="28">
        <v>1958.0</v>
      </c>
      <c r="I1101" s="27">
        <v>132.0</v>
      </c>
      <c r="J1101" s="71" t="s">
        <v>188</v>
      </c>
      <c r="K1101" s="42" t="s">
        <v>188</v>
      </c>
      <c r="L1101" s="28" t="s">
        <v>81</v>
      </c>
      <c r="M1101" s="30" t="s">
        <v>229</v>
      </c>
      <c r="N1101" s="11" t="s">
        <v>233</v>
      </c>
      <c r="O1101" s="11" t="s">
        <v>1146</v>
      </c>
    </row>
    <row r="1102">
      <c r="A1102" s="11" t="s">
        <v>57</v>
      </c>
      <c r="B1102" s="11" t="s">
        <v>20</v>
      </c>
      <c r="C1102" s="11" t="s">
        <v>1144</v>
      </c>
      <c r="D1102" s="25" t="s">
        <v>226</v>
      </c>
      <c r="E1102" s="11" t="s">
        <v>1145</v>
      </c>
      <c r="F1102" s="11" t="s">
        <v>1130</v>
      </c>
      <c r="G1102" s="11" t="s">
        <v>1131</v>
      </c>
      <c r="H1102" s="28">
        <v>1964.0</v>
      </c>
      <c r="I1102" s="27">
        <v>1032.0</v>
      </c>
      <c r="J1102" s="71" t="s">
        <v>188</v>
      </c>
      <c r="K1102" s="42" t="s">
        <v>188</v>
      </c>
      <c r="L1102" s="28" t="s">
        <v>81</v>
      </c>
      <c r="M1102" s="30" t="s">
        <v>229</v>
      </c>
      <c r="N1102" s="11" t="s">
        <v>233</v>
      </c>
      <c r="O1102" s="11" t="s">
        <v>1146</v>
      </c>
    </row>
    <row r="1103">
      <c r="A1103" s="11" t="s">
        <v>57</v>
      </c>
      <c r="B1103" s="11" t="s">
        <v>20</v>
      </c>
      <c r="C1103" s="11" t="s">
        <v>1144</v>
      </c>
      <c r="D1103" s="25" t="s">
        <v>226</v>
      </c>
      <c r="E1103" s="11" t="s">
        <v>1145</v>
      </c>
      <c r="F1103" s="11" t="s">
        <v>1130</v>
      </c>
      <c r="G1103" s="11" t="s">
        <v>1131</v>
      </c>
      <c r="H1103" s="28">
        <v>1968.0</v>
      </c>
      <c r="I1103" s="27">
        <v>2010.0</v>
      </c>
      <c r="J1103" s="71" t="s">
        <v>188</v>
      </c>
      <c r="K1103" s="42" t="s">
        <v>188</v>
      </c>
      <c r="L1103" s="28" t="s">
        <v>81</v>
      </c>
      <c r="M1103" s="30" t="s">
        <v>229</v>
      </c>
      <c r="N1103" s="11" t="s">
        <v>233</v>
      </c>
      <c r="O1103" s="11" t="s">
        <v>1146</v>
      </c>
    </row>
    <row r="1104">
      <c r="A1104" s="11" t="s">
        <v>57</v>
      </c>
      <c r="B1104" s="11" t="s">
        <v>20</v>
      </c>
      <c r="C1104" s="11" t="s">
        <v>1144</v>
      </c>
      <c r="D1104" s="25" t="s">
        <v>226</v>
      </c>
      <c r="E1104" s="11" t="s">
        <v>1145</v>
      </c>
      <c r="F1104" s="11" t="s">
        <v>1130</v>
      </c>
      <c r="G1104" s="11" t="s">
        <v>1131</v>
      </c>
      <c r="H1104" s="87">
        <v>1971.95559716566</v>
      </c>
      <c r="I1104" s="27">
        <v>3329.0</v>
      </c>
      <c r="J1104" s="71" t="s">
        <v>188</v>
      </c>
      <c r="K1104" s="42" t="s">
        <v>188</v>
      </c>
      <c r="L1104" s="28" t="s">
        <v>81</v>
      </c>
      <c r="M1104" s="30" t="s">
        <v>229</v>
      </c>
      <c r="N1104" s="11" t="s">
        <v>233</v>
      </c>
      <c r="O1104" s="11" t="s">
        <v>1146</v>
      </c>
    </row>
    <row r="1105">
      <c r="A1105" s="11" t="s">
        <v>57</v>
      </c>
      <c r="B1105" s="11" t="s">
        <v>20</v>
      </c>
      <c r="C1105" s="11" t="s">
        <v>1144</v>
      </c>
      <c r="D1105" s="25" t="s">
        <v>226</v>
      </c>
      <c r="E1105" s="11" t="s">
        <v>1145</v>
      </c>
      <c r="F1105" s="11" t="s">
        <v>1130</v>
      </c>
      <c r="G1105" s="11" t="s">
        <v>1131</v>
      </c>
      <c r="H1105" s="87">
        <v>1976.91076750313</v>
      </c>
      <c r="I1105" s="27">
        <v>6523.0</v>
      </c>
      <c r="J1105" s="71" t="s">
        <v>188</v>
      </c>
      <c r="K1105" s="42" t="s">
        <v>188</v>
      </c>
      <c r="L1105" s="28" t="s">
        <v>81</v>
      </c>
      <c r="M1105" s="30" t="s">
        <v>229</v>
      </c>
      <c r="N1105" s="11" t="s">
        <v>233</v>
      </c>
      <c r="O1105" s="11" t="s">
        <v>1146</v>
      </c>
    </row>
    <row r="1106">
      <c r="A1106" s="11" t="s">
        <v>57</v>
      </c>
      <c r="B1106" s="11" t="s">
        <v>20</v>
      </c>
      <c r="C1106" s="11" t="s">
        <v>1144</v>
      </c>
      <c r="D1106" s="11" t="s">
        <v>226</v>
      </c>
      <c r="E1106" s="11" t="s">
        <v>1145</v>
      </c>
      <c r="F1106" s="11" t="s">
        <v>1130</v>
      </c>
      <c r="G1106" s="11" t="s">
        <v>1131</v>
      </c>
      <c r="H1106" s="87">
        <v>1979.91548547895</v>
      </c>
      <c r="I1106" s="27">
        <v>9262.0</v>
      </c>
      <c r="J1106" s="71" t="s">
        <v>188</v>
      </c>
      <c r="K1106" s="42" t="s">
        <v>188</v>
      </c>
      <c r="L1106" s="28" t="s">
        <v>81</v>
      </c>
      <c r="M1106" s="30" t="s">
        <v>229</v>
      </c>
      <c r="N1106" s="11" t="s">
        <v>233</v>
      </c>
      <c r="O1106" s="11" t="s">
        <v>1146</v>
      </c>
    </row>
    <row r="1107">
      <c r="A1107" s="11" t="s">
        <v>57</v>
      </c>
      <c r="B1107" s="11" t="s">
        <v>20</v>
      </c>
      <c r="C1107" s="11" t="s">
        <v>1144</v>
      </c>
      <c r="D1107" s="11" t="s">
        <v>226</v>
      </c>
      <c r="E1107" s="11" t="s">
        <v>1145</v>
      </c>
      <c r="F1107" s="11" t="s">
        <v>1130</v>
      </c>
      <c r="G1107" s="11" t="s">
        <v>1131</v>
      </c>
      <c r="H1107" s="87">
        <v>1980.96731207492</v>
      </c>
      <c r="I1107" s="27">
        <v>10427.0</v>
      </c>
      <c r="J1107" s="71" t="s">
        <v>188</v>
      </c>
      <c r="K1107" s="42" t="s">
        <v>188</v>
      </c>
      <c r="L1107" s="28" t="s">
        <v>81</v>
      </c>
      <c r="M1107" s="30" t="s">
        <v>229</v>
      </c>
      <c r="N1107" s="11" t="s">
        <v>233</v>
      </c>
      <c r="O1107" s="11" t="s">
        <v>1146</v>
      </c>
    </row>
    <row r="1108">
      <c r="A1108" s="11" t="s">
        <v>57</v>
      </c>
      <c r="B1108" s="11" t="s">
        <v>20</v>
      </c>
      <c r="C1108" s="11" t="s">
        <v>1144</v>
      </c>
      <c r="D1108" s="11" t="s">
        <v>226</v>
      </c>
      <c r="E1108" s="11" t="s">
        <v>1145</v>
      </c>
      <c r="F1108" s="11" t="s">
        <v>1130</v>
      </c>
      <c r="G1108" s="11" t="s">
        <v>1131</v>
      </c>
      <c r="H1108" s="87">
        <v>1982.01929110952</v>
      </c>
      <c r="I1108" s="27">
        <v>11589.0</v>
      </c>
      <c r="J1108" s="71" t="s">
        <v>188</v>
      </c>
      <c r="K1108" s="42" t="s">
        <v>188</v>
      </c>
      <c r="L1108" s="28" t="s">
        <v>81</v>
      </c>
      <c r="M1108" s="30" t="s">
        <v>229</v>
      </c>
      <c r="N1108" s="11" t="s">
        <v>233</v>
      </c>
      <c r="O1108" s="11" t="s">
        <v>1146</v>
      </c>
    </row>
    <row r="1109">
      <c r="A1109" s="11" t="s">
        <v>57</v>
      </c>
      <c r="B1109" s="11" t="s">
        <v>20</v>
      </c>
      <c r="C1109" s="11" t="s">
        <v>1144</v>
      </c>
      <c r="D1109" s="11" t="s">
        <v>226</v>
      </c>
      <c r="E1109" s="11" t="s">
        <v>1145</v>
      </c>
      <c r="F1109" s="11" t="s">
        <v>1130</v>
      </c>
      <c r="G1109" s="11" t="s">
        <v>1131</v>
      </c>
      <c r="H1109" s="87">
        <v>1982.92050833204</v>
      </c>
      <c r="I1109" s="27">
        <v>12355.0</v>
      </c>
      <c r="J1109" s="71" t="s">
        <v>188</v>
      </c>
      <c r="K1109" s="42" t="s">
        <v>188</v>
      </c>
      <c r="L1109" s="28" t="s">
        <v>81</v>
      </c>
      <c r="M1109" s="30" t="s">
        <v>229</v>
      </c>
      <c r="N1109" s="11" t="s">
        <v>233</v>
      </c>
      <c r="O1109" s="11" t="s">
        <v>1146</v>
      </c>
    </row>
    <row r="1110">
      <c r="A1110" s="11" t="s">
        <v>57</v>
      </c>
      <c r="B1110" s="11" t="s">
        <v>20</v>
      </c>
      <c r="C1110" s="11" t="s">
        <v>1144</v>
      </c>
      <c r="D1110" s="11" t="s">
        <v>226</v>
      </c>
      <c r="E1110" s="11" t="s">
        <v>1145</v>
      </c>
      <c r="F1110" s="11" t="s">
        <v>1130</v>
      </c>
      <c r="G1110" s="11" t="s">
        <v>1131</v>
      </c>
      <c r="H1110" s="87">
        <v>1983.89809731174</v>
      </c>
      <c r="I1110" s="27">
        <v>13837.0</v>
      </c>
      <c r="J1110" s="71" t="s">
        <v>188</v>
      </c>
      <c r="K1110" s="42" t="s">
        <v>188</v>
      </c>
      <c r="L1110" s="28" t="s">
        <v>81</v>
      </c>
      <c r="M1110" s="30" t="s">
        <v>229</v>
      </c>
      <c r="N1110" s="11" t="s">
        <v>233</v>
      </c>
      <c r="O1110" s="11" t="s">
        <v>1146</v>
      </c>
    </row>
    <row r="1111">
      <c r="A1111" s="11" t="s">
        <v>57</v>
      </c>
      <c r="B1111" s="11" t="s">
        <v>20</v>
      </c>
      <c r="C1111" s="11" t="s">
        <v>1144</v>
      </c>
      <c r="D1111" s="11" t="s">
        <v>226</v>
      </c>
      <c r="E1111" s="11" t="s">
        <v>1145</v>
      </c>
      <c r="F1111" s="11" t="s">
        <v>1130</v>
      </c>
      <c r="G1111" s="11" t="s">
        <v>1131</v>
      </c>
      <c r="H1111" s="87">
        <v>1984.95007634635</v>
      </c>
      <c r="I1111" s="27">
        <v>15079.0</v>
      </c>
      <c r="J1111" s="71" t="s">
        <v>188</v>
      </c>
      <c r="K1111" s="42" t="s">
        <v>188</v>
      </c>
      <c r="L1111" s="28" t="s">
        <v>81</v>
      </c>
      <c r="M1111" s="30" t="s">
        <v>229</v>
      </c>
      <c r="N1111" s="11" t="s">
        <v>233</v>
      </c>
      <c r="O1111" s="11" t="s">
        <v>1146</v>
      </c>
    </row>
    <row r="1112">
      <c r="A1112" s="11" t="s">
        <v>57</v>
      </c>
      <c r="B1112" s="11" t="s">
        <v>20</v>
      </c>
      <c r="C1112" s="11" t="s">
        <v>1144</v>
      </c>
      <c r="D1112" s="11" t="s">
        <v>226</v>
      </c>
      <c r="E1112" s="11" t="s">
        <v>1145</v>
      </c>
      <c r="F1112" s="11" t="s">
        <v>1130</v>
      </c>
      <c r="G1112" s="11" t="s">
        <v>1131</v>
      </c>
      <c r="H1112" s="87">
        <v>1985.92461655331</v>
      </c>
      <c r="I1112" s="27">
        <v>14690.0</v>
      </c>
      <c r="J1112" s="71" t="s">
        <v>188</v>
      </c>
      <c r="K1112" s="42" t="s">
        <v>188</v>
      </c>
      <c r="L1112" s="28" t="s">
        <v>81</v>
      </c>
      <c r="M1112" s="30" t="s">
        <v>229</v>
      </c>
      <c r="N1112" s="11" t="s">
        <v>233</v>
      </c>
      <c r="O1112" s="11" t="s">
        <v>1146</v>
      </c>
    </row>
    <row r="1113">
      <c r="A1113" s="11" t="s">
        <v>57</v>
      </c>
      <c r="B1113" s="11" t="s">
        <v>20</v>
      </c>
      <c r="C1113" s="11" t="s">
        <v>1144</v>
      </c>
      <c r="D1113" s="11" t="s">
        <v>226</v>
      </c>
      <c r="E1113" s="11" t="s">
        <v>1145</v>
      </c>
      <c r="F1113" s="11" t="s">
        <v>1130</v>
      </c>
      <c r="G1113" s="11" t="s">
        <v>1131</v>
      </c>
      <c r="H1113" s="87">
        <v>1986.97491876291</v>
      </c>
      <c r="I1113" s="27">
        <v>15009.0</v>
      </c>
      <c r="J1113" s="71" t="s">
        <v>188</v>
      </c>
      <c r="K1113" s="42" t="s">
        <v>188</v>
      </c>
      <c r="L1113" s="28" t="s">
        <v>81</v>
      </c>
      <c r="M1113" s="30" t="s">
        <v>229</v>
      </c>
      <c r="N1113" s="11" t="s">
        <v>233</v>
      </c>
      <c r="O1113" s="11" t="s">
        <v>1146</v>
      </c>
    </row>
    <row r="1114">
      <c r="A1114" s="11" t="s">
        <v>57</v>
      </c>
      <c r="B1114" s="11" t="s">
        <v>20</v>
      </c>
      <c r="C1114" s="11" t="s">
        <v>1144</v>
      </c>
      <c r="D1114" s="11" t="s">
        <v>226</v>
      </c>
      <c r="E1114" s="11" t="s">
        <v>1145</v>
      </c>
      <c r="F1114" s="11" t="s">
        <v>1130</v>
      </c>
      <c r="G1114" s="11" t="s">
        <v>1131</v>
      </c>
      <c r="H1114" s="87">
        <v>1987.95311749716</v>
      </c>
      <c r="I1114" s="27">
        <v>16902.0</v>
      </c>
      <c r="J1114" s="71" t="s">
        <v>188</v>
      </c>
      <c r="K1114" s="42" t="s">
        <v>188</v>
      </c>
      <c r="L1114" s="28" t="s">
        <v>81</v>
      </c>
      <c r="M1114" s="30" t="s">
        <v>229</v>
      </c>
      <c r="N1114" s="11" t="s">
        <v>233</v>
      </c>
      <c r="O1114" s="11" t="s">
        <v>1146</v>
      </c>
    </row>
    <row r="1115">
      <c r="A1115" s="11" t="s">
        <v>57</v>
      </c>
      <c r="B1115" s="11" t="s">
        <v>20</v>
      </c>
      <c r="C1115" s="11" t="s">
        <v>1144</v>
      </c>
      <c r="D1115" s="11" t="s">
        <v>226</v>
      </c>
      <c r="E1115" s="11" t="s">
        <v>1145</v>
      </c>
      <c r="F1115" s="11" t="s">
        <v>1130</v>
      </c>
      <c r="G1115" s="11" t="s">
        <v>1131</v>
      </c>
      <c r="H1115" s="87">
        <v>1989.00707823405</v>
      </c>
      <c r="I1115" s="27">
        <v>19229.0</v>
      </c>
      <c r="J1115" s="71" t="s">
        <v>188</v>
      </c>
      <c r="K1115" s="42" t="s">
        <v>188</v>
      </c>
      <c r="L1115" s="28" t="s">
        <v>81</v>
      </c>
      <c r="M1115" s="30" t="s">
        <v>229</v>
      </c>
      <c r="N1115" s="11" t="s">
        <v>233</v>
      </c>
      <c r="O1115" s="11" t="s">
        <v>1146</v>
      </c>
    </row>
    <row r="1116">
      <c r="A1116" s="11" t="s">
        <v>57</v>
      </c>
      <c r="B1116" s="11" t="s">
        <v>20</v>
      </c>
      <c r="C1116" s="11" t="s">
        <v>1144</v>
      </c>
      <c r="D1116" s="11" t="s">
        <v>226</v>
      </c>
      <c r="E1116" s="11" t="s">
        <v>1145</v>
      </c>
      <c r="F1116" s="11" t="s">
        <v>1130</v>
      </c>
      <c r="G1116" s="11" t="s">
        <v>1131</v>
      </c>
      <c r="H1116" s="87">
        <v>1989.90799057929</v>
      </c>
      <c r="I1116" s="27">
        <v>19804.0</v>
      </c>
      <c r="J1116" s="71" t="s">
        <v>188</v>
      </c>
      <c r="K1116" s="42" t="s">
        <v>188</v>
      </c>
      <c r="L1116" s="28" t="s">
        <v>81</v>
      </c>
      <c r="M1116" s="30" t="s">
        <v>229</v>
      </c>
      <c r="N1116" s="11" t="s">
        <v>233</v>
      </c>
      <c r="O1116" s="11" t="s">
        <v>1146</v>
      </c>
    </row>
    <row r="1117">
      <c r="A1117" s="11" t="s">
        <v>57</v>
      </c>
      <c r="B1117" s="11" t="s">
        <v>20</v>
      </c>
      <c r="C1117" s="11" t="s">
        <v>1144</v>
      </c>
      <c r="D1117" s="11" t="s">
        <v>226</v>
      </c>
      <c r="E1117" s="11" t="s">
        <v>1145</v>
      </c>
      <c r="F1117" s="11" t="s">
        <v>1130</v>
      </c>
      <c r="G1117" s="11" t="s">
        <v>1131</v>
      </c>
      <c r="H1117" s="87">
        <v>1991.0355791779</v>
      </c>
      <c r="I1117" s="27">
        <v>21407.0</v>
      </c>
      <c r="J1117" s="71" t="s">
        <v>188</v>
      </c>
      <c r="K1117" s="42" t="s">
        <v>188</v>
      </c>
      <c r="L1117" s="28" t="s">
        <v>81</v>
      </c>
      <c r="M1117" s="30" t="s">
        <v>229</v>
      </c>
      <c r="N1117" s="11" t="s">
        <v>233</v>
      </c>
      <c r="O1117" s="11" t="s">
        <v>1146</v>
      </c>
    </row>
    <row r="1118">
      <c r="A1118" s="11" t="s">
        <v>57</v>
      </c>
      <c r="B1118" s="11" t="s">
        <v>20</v>
      </c>
      <c r="C1118" s="11" t="s">
        <v>1144</v>
      </c>
      <c r="D1118" s="11" t="s">
        <v>226</v>
      </c>
      <c r="E1118" s="11" t="s">
        <v>1145</v>
      </c>
      <c r="F1118" s="11" t="s">
        <v>1130</v>
      </c>
      <c r="G1118" s="11" t="s">
        <v>1131</v>
      </c>
      <c r="H1118" s="87">
        <v>1991.93847322542</v>
      </c>
      <c r="I1118" s="27">
        <v>23057.0</v>
      </c>
      <c r="J1118" s="71" t="s">
        <v>188</v>
      </c>
      <c r="K1118" s="42" t="s">
        <v>188</v>
      </c>
      <c r="L1118" s="28" t="s">
        <v>81</v>
      </c>
      <c r="M1118" s="30" t="s">
        <v>229</v>
      </c>
      <c r="N1118" s="11" t="s">
        <v>233</v>
      </c>
      <c r="O1118" s="11" t="s">
        <v>1146</v>
      </c>
    </row>
    <row r="1119">
      <c r="A1119" s="11" t="s">
        <v>57</v>
      </c>
      <c r="B1119" s="11" t="s">
        <v>20</v>
      </c>
      <c r="C1119" s="11" t="s">
        <v>1144</v>
      </c>
      <c r="D1119" s="11" t="s">
        <v>226</v>
      </c>
      <c r="E1119" s="11" t="s">
        <v>1145</v>
      </c>
      <c r="F1119" s="11" t="s">
        <v>1130</v>
      </c>
      <c r="G1119" s="11" t="s">
        <v>1131</v>
      </c>
      <c r="H1119" s="87">
        <v>1992.98847055775</v>
      </c>
      <c r="I1119" s="27">
        <v>23054.0</v>
      </c>
      <c r="J1119" s="71" t="s">
        <v>188</v>
      </c>
      <c r="K1119" s="42" t="s">
        <v>188</v>
      </c>
      <c r="L1119" s="28" t="s">
        <v>81</v>
      </c>
      <c r="M1119" s="30" t="s">
        <v>229</v>
      </c>
      <c r="N1119" s="11" t="s">
        <v>233</v>
      </c>
      <c r="O1119" s="11" t="s">
        <v>1146</v>
      </c>
    </row>
    <row r="1120">
      <c r="A1120" s="11" t="s">
        <v>57</v>
      </c>
      <c r="B1120" s="11" t="s">
        <v>20</v>
      </c>
      <c r="C1120" s="11" t="s">
        <v>1144</v>
      </c>
      <c r="D1120" s="11" t="s">
        <v>226</v>
      </c>
      <c r="E1120" s="11" t="s">
        <v>1145</v>
      </c>
      <c r="F1120" s="11" t="s">
        <v>1130</v>
      </c>
      <c r="G1120" s="11" t="s">
        <v>1131</v>
      </c>
      <c r="H1120" s="87">
        <v>1993.96697416927</v>
      </c>
      <c r="I1120" s="27">
        <v>25332.0</v>
      </c>
      <c r="J1120" s="71" t="s">
        <v>188</v>
      </c>
      <c r="K1120" s="42" t="s">
        <v>188</v>
      </c>
      <c r="L1120" s="28" t="s">
        <v>81</v>
      </c>
      <c r="M1120" s="30" t="s">
        <v>229</v>
      </c>
      <c r="N1120" s="11" t="s">
        <v>233</v>
      </c>
      <c r="O1120" s="11" t="s">
        <v>1146</v>
      </c>
    </row>
    <row r="1121">
      <c r="A1121" s="11" t="s">
        <v>57</v>
      </c>
      <c r="B1121" s="11" t="s">
        <v>20</v>
      </c>
      <c r="C1121" s="11" t="s">
        <v>1144</v>
      </c>
      <c r="D1121" s="11" t="s">
        <v>226</v>
      </c>
      <c r="E1121" s="11" t="s">
        <v>1145</v>
      </c>
      <c r="F1121" s="11" t="s">
        <v>1130</v>
      </c>
      <c r="G1121" s="11" t="s">
        <v>1131</v>
      </c>
      <c r="H1121" s="87">
        <v>1995.01803857206</v>
      </c>
      <c r="I1121" s="27">
        <v>25895.0</v>
      </c>
      <c r="J1121" s="71" t="s">
        <v>188</v>
      </c>
      <c r="K1121" s="42" t="s">
        <v>188</v>
      </c>
      <c r="L1121" s="28" t="s">
        <v>81</v>
      </c>
      <c r="M1121" s="30" t="s">
        <v>229</v>
      </c>
      <c r="N1121" s="11" t="s">
        <v>233</v>
      </c>
      <c r="O1121" s="11" t="s">
        <v>1146</v>
      </c>
    </row>
    <row r="1122">
      <c r="A1122" s="11" t="s">
        <v>57</v>
      </c>
      <c r="B1122" s="11" t="s">
        <v>20</v>
      </c>
      <c r="C1122" s="11" t="s">
        <v>1144</v>
      </c>
      <c r="D1122" s="11" t="s">
        <v>226</v>
      </c>
      <c r="E1122" s="11" t="s">
        <v>1145</v>
      </c>
      <c r="F1122" s="11" t="s">
        <v>1130</v>
      </c>
      <c r="G1122" s="11" t="s">
        <v>1131</v>
      </c>
      <c r="H1122" s="87">
        <v>1995.99318853357</v>
      </c>
      <c r="I1122" s="27">
        <v>25923.0</v>
      </c>
      <c r="J1122" s="71" t="s">
        <v>188</v>
      </c>
      <c r="K1122" s="42" t="s">
        <v>188</v>
      </c>
      <c r="L1122" s="28" t="s">
        <v>81</v>
      </c>
      <c r="M1122" s="30" t="s">
        <v>229</v>
      </c>
      <c r="N1122" s="11" t="s">
        <v>233</v>
      </c>
      <c r="O1122" s="11" t="s">
        <v>1146</v>
      </c>
    </row>
    <row r="1123">
      <c r="A1123" s="11" t="s">
        <v>57</v>
      </c>
      <c r="B1123" s="11" t="s">
        <v>20</v>
      </c>
      <c r="C1123" s="11" t="s">
        <v>1144</v>
      </c>
      <c r="D1123" s="11" t="s">
        <v>226</v>
      </c>
      <c r="E1123" s="11" t="s">
        <v>1145</v>
      </c>
      <c r="F1123" s="11" t="s">
        <v>1130</v>
      </c>
      <c r="G1123" s="11" t="s">
        <v>1131</v>
      </c>
      <c r="H1123" s="87">
        <v>1998.02107972287</v>
      </c>
      <c r="I1123" s="27">
        <v>27609.0</v>
      </c>
      <c r="J1123" s="71" t="s">
        <v>188</v>
      </c>
      <c r="K1123" s="42" t="s">
        <v>188</v>
      </c>
      <c r="L1123" s="28" t="s">
        <v>81</v>
      </c>
      <c r="M1123" s="30" t="s">
        <v>229</v>
      </c>
      <c r="N1123" s="11" t="s">
        <v>233</v>
      </c>
      <c r="O1123" s="11" t="s">
        <v>1146</v>
      </c>
    </row>
    <row r="1124">
      <c r="A1124" s="11" t="s">
        <v>57</v>
      </c>
      <c r="B1124" s="11" t="s">
        <v>20</v>
      </c>
      <c r="C1124" s="11" t="s">
        <v>1144</v>
      </c>
      <c r="D1124" s="11" t="s">
        <v>226</v>
      </c>
      <c r="E1124" s="11" t="s">
        <v>1145</v>
      </c>
      <c r="F1124" s="11" t="s">
        <v>1130</v>
      </c>
      <c r="G1124" s="11" t="s">
        <v>1131</v>
      </c>
      <c r="H1124" s="87">
        <v>2000.04866603489</v>
      </c>
      <c r="I1124" s="27">
        <v>29196.0</v>
      </c>
      <c r="J1124" s="71" t="s">
        <v>188</v>
      </c>
      <c r="K1124" s="42" t="s">
        <v>188</v>
      </c>
      <c r="L1124" s="28" t="s">
        <v>81</v>
      </c>
      <c r="M1124" s="30" t="s">
        <v>229</v>
      </c>
      <c r="N1124" s="11" t="s">
        <v>233</v>
      </c>
      <c r="O1124" s="11" t="s">
        <v>1146</v>
      </c>
    </row>
    <row r="1125">
      <c r="A1125" s="11" t="s">
        <v>57</v>
      </c>
      <c r="B1125" s="11" t="s">
        <v>20</v>
      </c>
      <c r="C1125" s="11" t="s">
        <v>1144</v>
      </c>
      <c r="D1125" s="11" t="s">
        <v>226</v>
      </c>
      <c r="E1125" s="11" t="s">
        <v>1145</v>
      </c>
      <c r="F1125" s="11" t="s">
        <v>1130</v>
      </c>
      <c r="G1125" s="11" t="s">
        <v>1131</v>
      </c>
      <c r="H1125" s="87">
        <v>2000.9494259415</v>
      </c>
      <c r="I1125" s="27">
        <v>29648.0</v>
      </c>
      <c r="J1125" s="71" t="s">
        <v>188</v>
      </c>
      <c r="K1125" s="42" t="s">
        <v>188</v>
      </c>
      <c r="L1125" s="28" t="s">
        <v>81</v>
      </c>
      <c r="M1125" s="30" t="s">
        <v>229</v>
      </c>
      <c r="N1125" s="11" t="s">
        <v>233</v>
      </c>
      <c r="O1125" s="11" t="s">
        <v>1146</v>
      </c>
    </row>
    <row r="1126">
      <c r="A1126" s="11" t="s">
        <v>57</v>
      </c>
      <c r="B1126" s="11" t="s">
        <v>20</v>
      </c>
      <c r="C1126" s="11" t="s">
        <v>1144</v>
      </c>
      <c r="D1126" s="11" t="s">
        <v>226</v>
      </c>
      <c r="E1126" s="11" t="s">
        <v>1145</v>
      </c>
      <c r="F1126" s="11" t="s">
        <v>1130</v>
      </c>
      <c r="G1126" s="11" t="s">
        <v>1131</v>
      </c>
      <c r="H1126" s="87">
        <v>2005.01222049741</v>
      </c>
      <c r="I1126" s="27">
        <v>37378.0</v>
      </c>
      <c r="J1126" s="71" t="s">
        <v>188</v>
      </c>
      <c r="K1126" s="42" t="s">
        <v>188</v>
      </c>
      <c r="L1126" s="28" t="s">
        <v>81</v>
      </c>
      <c r="M1126" s="30" t="s">
        <v>229</v>
      </c>
      <c r="N1126" s="11" t="s">
        <v>233</v>
      </c>
      <c r="O1126" s="11" t="s">
        <v>1146</v>
      </c>
    </row>
    <row r="1127">
      <c r="A1127" s="11" t="s">
        <v>57</v>
      </c>
      <c r="B1127" s="11" t="s">
        <v>20</v>
      </c>
      <c r="C1127" s="11" t="s">
        <v>1144</v>
      </c>
      <c r="D1127" s="11" t="s">
        <v>226</v>
      </c>
      <c r="E1127" s="11" t="s">
        <v>1145</v>
      </c>
      <c r="F1127" s="11" t="s">
        <v>1130</v>
      </c>
      <c r="G1127" s="11" t="s">
        <v>1131</v>
      </c>
      <c r="H1127" s="87">
        <v>2009.96784815079</v>
      </c>
      <c r="I1127" s="27">
        <v>40684.0</v>
      </c>
      <c r="J1127" s="71" t="s">
        <v>188</v>
      </c>
      <c r="K1127" s="42" t="s">
        <v>188</v>
      </c>
      <c r="L1127" s="28" t="s">
        <v>81</v>
      </c>
      <c r="M1127" s="30" t="s">
        <v>229</v>
      </c>
      <c r="N1127" s="11" t="s">
        <v>233</v>
      </c>
      <c r="O1127" s="11" t="s">
        <v>1146</v>
      </c>
    </row>
    <row r="1128">
      <c r="A1128" s="11" t="s">
        <v>57</v>
      </c>
      <c r="B1128" s="11" t="s">
        <v>20</v>
      </c>
      <c r="C1128" s="11" t="s">
        <v>1151</v>
      </c>
      <c r="D1128" s="11" t="s">
        <v>235</v>
      </c>
      <c r="E1128" s="25" t="s">
        <v>1152</v>
      </c>
      <c r="F1128" s="11" t="s">
        <v>1153</v>
      </c>
      <c r="G1128" s="11" t="s">
        <v>555</v>
      </c>
      <c r="H1128" s="11">
        <v>1980.0</v>
      </c>
      <c r="I1128" s="40">
        <v>0.0</v>
      </c>
      <c r="J1128" s="40" t="s">
        <v>188</v>
      </c>
      <c r="K1128" s="11" t="s">
        <v>188</v>
      </c>
      <c r="L1128" s="29" t="s">
        <v>260</v>
      </c>
      <c r="M1128" s="30" t="s">
        <v>237</v>
      </c>
      <c r="N1128" s="11" t="s">
        <v>239</v>
      </c>
      <c r="O1128" s="11" t="s">
        <v>1154</v>
      </c>
    </row>
    <row r="1129">
      <c r="A1129" s="11" t="s">
        <v>57</v>
      </c>
      <c r="B1129" s="11" t="s">
        <v>20</v>
      </c>
      <c r="C1129" s="11" t="s">
        <v>1151</v>
      </c>
      <c r="D1129" s="11" t="s">
        <v>235</v>
      </c>
      <c r="E1129" s="25" t="s">
        <v>1152</v>
      </c>
      <c r="F1129" s="11" t="s">
        <v>1153</v>
      </c>
      <c r="G1129" s="11" t="s">
        <v>555</v>
      </c>
      <c r="H1129" s="11">
        <v>1982.0</v>
      </c>
      <c r="I1129" s="40">
        <v>0.0</v>
      </c>
      <c r="J1129" s="40" t="s">
        <v>188</v>
      </c>
      <c r="K1129" s="11" t="s">
        <v>188</v>
      </c>
      <c r="L1129" s="29" t="s">
        <v>260</v>
      </c>
      <c r="M1129" s="30" t="s">
        <v>237</v>
      </c>
      <c r="N1129" s="11" t="s">
        <v>239</v>
      </c>
    </row>
    <row r="1130">
      <c r="A1130" s="11" t="s">
        <v>57</v>
      </c>
      <c r="B1130" s="11" t="s">
        <v>20</v>
      </c>
      <c r="C1130" s="11" t="s">
        <v>1151</v>
      </c>
      <c r="D1130" s="11" t="s">
        <v>235</v>
      </c>
      <c r="E1130" s="25" t="s">
        <v>1152</v>
      </c>
      <c r="F1130" s="11" t="s">
        <v>1153</v>
      </c>
      <c r="G1130" s="11" t="s">
        <v>555</v>
      </c>
      <c r="H1130" s="11">
        <v>1983.0</v>
      </c>
      <c r="I1130" s="40">
        <v>0.0</v>
      </c>
      <c r="J1130" s="40" t="s">
        <v>188</v>
      </c>
      <c r="K1130" s="11" t="s">
        <v>188</v>
      </c>
      <c r="L1130" s="29" t="s">
        <v>260</v>
      </c>
      <c r="M1130" s="30" t="s">
        <v>237</v>
      </c>
      <c r="N1130" s="11" t="s">
        <v>239</v>
      </c>
    </row>
    <row r="1131">
      <c r="A1131" s="11" t="s">
        <v>57</v>
      </c>
      <c r="B1131" s="11" t="s">
        <v>20</v>
      </c>
      <c r="C1131" s="11" t="s">
        <v>1151</v>
      </c>
      <c r="D1131" s="11" t="s">
        <v>235</v>
      </c>
      <c r="E1131" s="25" t="s">
        <v>1152</v>
      </c>
      <c r="F1131" s="11" t="s">
        <v>1153</v>
      </c>
      <c r="G1131" s="11" t="s">
        <v>555</v>
      </c>
      <c r="H1131" s="11">
        <v>1984.0</v>
      </c>
      <c r="I1131" s="40">
        <v>0.0</v>
      </c>
      <c r="J1131" s="40" t="s">
        <v>188</v>
      </c>
      <c r="K1131" s="11" t="s">
        <v>188</v>
      </c>
      <c r="L1131" s="29" t="s">
        <v>260</v>
      </c>
      <c r="M1131" s="30" t="s">
        <v>237</v>
      </c>
      <c r="N1131" s="11" t="s">
        <v>239</v>
      </c>
    </row>
    <row r="1132">
      <c r="A1132" s="11" t="s">
        <v>57</v>
      </c>
      <c r="B1132" s="11" t="s">
        <v>20</v>
      </c>
      <c r="C1132" s="11" t="s">
        <v>1151</v>
      </c>
      <c r="D1132" s="11" t="s">
        <v>235</v>
      </c>
      <c r="E1132" s="25" t="s">
        <v>1152</v>
      </c>
      <c r="F1132" s="11" t="s">
        <v>1153</v>
      </c>
      <c r="G1132" s="11" t="s">
        <v>555</v>
      </c>
      <c r="H1132" s="11">
        <v>1985.0</v>
      </c>
      <c r="I1132" s="40">
        <v>0.0</v>
      </c>
      <c r="J1132" s="40" t="s">
        <v>188</v>
      </c>
      <c r="K1132" s="11" t="s">
        <v>188</v>
      </c>
      <c r="L1132" s="29" t="s">
        <v>260</v>
      </c>
      <c r="M1132" s="30" t="s">
        <v>237</v>
      </c>
      <c r="N1132" s="11" t="s">
        <v>239</v>
      </c>
    </row>
    <row r="1133">
      <c r="A1133" s="11" t="s">
        <v>57</v>
      </c>
      <c r="B1133" s="11" t="s">
        <v>20</v>
      </c>
      <c r="C1133" s="11" t="s">
        <v>1151</v>
      </c>
      <c r="D1133" s="11" t="s">
        <v>235</v>
      </c>
      <c r="E1133" s="25" t="s">
        <v>1152</v>
      </c>
      <c r="F1133" s="11" t="s">
        <v>1153</v>
      </c>
      <c r="G1133" s="11" t="s">
        <v>555</v>
      </c>
      <c r="H1133" s="11">
        <v>1988.0</v>
      </c>
      <c r="I1133" s="40">
        <v>0.0</v>
      </c>
      <c r="J1133" s="40" t="s">
        <v>188</v>
      </c>
      <c r="K1133" s="11" t="s">
        <v>188</v>
      </c>
      <c r="L1133" s="29" t="s">
        <v>260</v>
      </c>
      <c r="M1133" s="30" t="s">
        <v>237</v>
      </c>
      <c r="N1133" s="11" t="s">
        <v>239</v>
      </c>
    </row>
    <row r="1134">
      <c r="A1134" s="11" t="s">
        <v>57</v>
      </c>
      <c r="B1134" s="11" t="s">
        <v>20</v>
      </c>
      <c r="C1134" s="11" t="s">
        <v>1151</v>
      </c>
      <c r="D1134" s="11" t="s">
        <v>235</v>
      </c>
      <c r="E1134" s="25" t="s">
        <v>1152</v>
      </c>
      <c r="F1134" s="11" t="s">
        <v>1153</v>
      </c>
      <c r="G1134" s="11" t="s">
        <v>555</v>
      </c>
      <c r="H1134" s="11">
        <v>1989.0</v>
      </c>
      <c r="I1134" s="40">
        <v>0.0</v>
      </c>
      <c r="J1134" s="40" t="s">
        <v>188</v>
      </c>
      <c r="K1134" s="11" t="s">
        <v>188</v>
      </c>
      <c r="L1134" s="29" t="s">
        <v>260</v>
      </c>
      <c r="M1134" s="30" t="s">
        <v>237</v>
      </c>
      <c r="N1134" s="11" t="s">
        <v>239</v>
      </c>
    </row>
    <row r="1135">
      <c r="A1135" s="11" t="s">
        <v>57</v>
      </c>
      <c r="B1135" s="11" t="s">
        <v>20</v>
      </c>
      <c r="C1135" s="11" t="s">
        <v>1151</v>
      </c>
      <c r="D1135" s="11" t="s">
        <v>235</v>
      </c>
      <c r="E1135" s="25" t="s">
        <v>1152</v>
      </c>
      <c r="F1135" s="11" t="s">
        <v>1153</v>
      </c>
      <c r="G1135" s="11" t="s">
        <v>555</v>
      </c>
      <c r="H1135" s="11">
        <v>1990.0</v>
      </c>
      <c r="I1135" s="40">
        <v>0.0</v>
      </c>
      <c r="J1135" s="40" t="s">
        <v>188</v>
      </c>
      <c r="K1135" s="11" t="s">
        <v>188</v>
      </c>
      <c r="L1135" s="29" t="s">
        <v>260</v>
      </c>
      <c r="M1135" s="30" t="s">
        <v>237</v>
      </c>
      <c r="N1135" s="11" t="s">
        <v>239</v>
      </c>
    </row>
    <row r="1136">
      <c r="A1136" s="11" t="s">
        <v>57</v>
      </c>
      <c r="B1136" s="11" t="s">
        <v>20</v>
      </c>
      <c r="C1136" s="11" t="s">
        <v>1151</v>
      </c>
      <c r="D1136" s="11" t="s">
        <v>235</v>
      </c>
      <c r="E1136" s="25" t="s">
        <v>1152</v>
      </c>
      <c r="F1136" s="11" t="s">
        <v>1153</v>
      </c>
      <c r="G1136" s="11" t="s">
        <v>555</v>
      </c>
      <c r="H1136" s="11">
        <v>1991.0</v>
      </c>
      <c r="I1136" s="40">
        <v>0.0</v>
      </c>
      <c r="J1136" s="40" t="s">
        <v>188</v>
      </c>
      <c r="K1136" s="11" t="s">
        <v>188</v>
      </c>
      <c r="L1136" s="29" t="s">
        <v>260</v>
      </c>
      <c r="M1136" s="30" t="s">
        <v>237</v>
      </c>
      <c r="N1136" s="11" t="s">
        <v>239</v>
      </c>
    </row>
    <row r="1137">
      <c r="A1137" s="11" t="s">
        <v>57</v>
      </c>
      <c r="B1137" s="11" t="s">
        <v>20</v>
      </c>
      <c r="C1137" s="11" t="s">
        <v>1151</v>
      </c>
      <c r="D1137" s="11" t="s">
        <v>235</v>
      </c>
      <c r="E1137" s="25" t="s">
        <v>1152</v>
      </c>
      <c r="F1137" s="11" t="s">
        <v>1153</v>
      </c>
      <c r="G1137" s="11" t="s">
        <v>555</v>
      </c>
      <c r="H1137" s="11">
        <v>1993.0</v>
      </c>
      <c r="I1137" s="40">
        <v>1000.0</v>
      </c>
      <c r="J1137" s="40" t="s">
        <v>188</v>
      </c>
      <c r="K1137" s="11" t="s">
        <v>188</v>
      </c>
      <c r="L1137" s="29" t="s">
        <v>260</v>
      </c>
      <c r="M1137" s="30" t="s">
        <v>237</v>
      </c>
      <c r="N1137" s="11" t="s">
        <v>239</v>
      </c>
    </row>
    <row r="1138">
      <c r="A1138" s="11" t="s">
        <v>57</v>
      </c>
      <c r="B1138" s="11" t="s">
        <v>20</v>
      </c>
      <c r="C1138" s="11" t="s">
        <v>1151</v>
      </c>
      <c r="D1138" s="11" t="s">
        <v>235</v>
      </c>
      <c r="E1138" s="25" t="s">
        <v>1152</v>
      </c>
      <c r="F1138" s="11" t="s">
        <v>1153</v>
      </c>
      <c r="G1138" s="11" t="s">
        <v>555</v>
      </c>
      <c r="H1138" s="11">
        <v>1994.0</v>
      </c>
      <c r="I1138" s="40">
        <v>1472.0</v>
      </c>
      <c r="J1138" s="40" t="s">
        <v>188</v>
      </c>
      <c r="K1138" s="11" t="s">
        <v>188</v>
      </c>
      <c r="L1138" s="29" t="s">
        <v>81</v>
      </c>
      <c r="M1138" s="30" t="s">
        <v>237</v>
      </c>
      <c r="N1138" s="11" t="s">
        <v>239</v>
      </c>
    </row>
    <row r="1139">
      <c r="A1139" s="11" t="s">
        <v>57</v>
      </c>
      <c r="B1139" s="11" t="s">
        <v>20</v>
      </c>
      <c r="C1139" s="11" t="s">
        <v>1151</v>
      </c>
      <c r="D1139" s="11" t="s">
        <v>235</v>
      </c>
      <c r="E1139" s="25" t="s">
        <v>1152</v>
      </c>
      <c r="F1139" s="11" t="s">
        <v>1153</v>
      </c>
      <c r="G1139" s="11" t="s">
        <v>555</v>
      </c>
      <c r="H1139" s="11">
        <v>1995.0</v>
      </c>
      <c r="I1139" s="40">
        <v>1272.0</v>
      </c>
      <c r="J1139" s="40" t="s">
        <v>188</v>
      </c>
      <c r="K1139" s="11" t="s">
        <v>188</v>
      </c>
      <c r="L1139" s="29" t="s">
        <v>81</v>
      </c>
      <c r="M1139" s="30" t="s">
        <v>237</v>
      </c>
      <c r="N1139" s="11" t="s">
        <v>239</v>
      </c>
    </row>
    <row r="1140">
      <c r="A1140" s="11" t="s">
        <v>57</v>
      </c>
      <c r="B1140" s="11" t="s">
        <v>20</v>
      </c>
      <c r="C1140" s="11" t="s">
        <v>1151</v>
      </c>
      <c r="D1140" s="11" t="s">
        <v>235</v>
      </c>
      <c r="E1140" s="25" t="s">
        <v>1152</v>
      </c>
      <c r="F1140" s="11" t="s">
        <v>1153</v>
      </c>
      <c r="G1140" s="11" t="s">
        <v>555</v>
      </c>
      <c r="H1140" s="11">
        <v>1997.0</v>
      </c>
      <c r="I1140" s="40">
        <v>5096.0</v>
      </c>
      <c r="J1140" s="40" t="s">
        <v>188</v>
      </c>
      <c r="K1140" s="11" t="s">
        <v>188</v>
      </c>
      <c r="L1140" s="29" t="s">
        <v>81</v>
      </c>
      <c r="M1140" s="30" t="s">
        <v>237</v>
      </c>
      <c r="N1140" s="11" t="s">
        <v>239</v>
      </c>
    </row>
    <row r="1141">
      <c r="A1141" s="11" t="s">
        <v>57</v>
      </c>
      <c r="B1141" s="11" t="s">
        <v>20</v>
      </c>
      <c r="C1141" s="11" t="s">
        <v>1151</v>
      </c>
      <c r="D1141" s="11" t="s">
        <v>235</v>
      </c>
      <c r="E1141" s="25" t="s">
        <v>1152</v>
      </c>
      <c r="F1141" s="11" t="s">
        <v>1153</v>
      </c>
      <c r="G1141" s="11" t="s">
        <v>555</v>
      </c>
      <c r="H1141" s="11">
        <v>2005.0</v>
      </c>
      <c r="I1141" s="40">
        <v>12631.0</v>
      </c>
      <c r="J1141" s="40">
        <v>12000.0</v>
      </c>
      <c r="K1141" s="11">
        <v>14000.0</v>
      </c>
      <c r="L1141" s="29" t="s">
        <v>81</v>
      </c>
      <c r="M1141" s="30" t="s">
        <v>237</v>
      </c>
      <c r="N1141" s="11" t="s">
        <v>239</v>
      </c>
    </row>
    <row r="1142">
      <c r="A1142" s="11" t="s">
        <v>57</v>
      </c>
      <c r="B1142" s="11" t="s">
        <v>20</v>
      </c>
      <c r="C1142" s="11" t="s">
        <v>1151</v>
      </c>
      <c r="D1142" s="11" t="s">
        <v>235</v>
      </c>
      <c r="E1142" s="25" t="s">
        <v>1152</v>
      </c>
      <c r="F1142" s="11" t="s">
        <v>1153</v>
      </c>
      <c r="G1142" s="11" t="s">
        <v>555</v>
      </c>
      <c r="H1142" s="11">
        <v>2007.0</v>
      </c>
      <c r="I1142" s="40">
        <v>17574.0</v>
      </c>
      <c r="J1142" s="40">
        <v>15000.0</v>
      </c>
      <c r="K1142" s="11">
        <v>20000.0</v>
      </c>
      <c r="L1142" s="29" t="s">
        <v>81</v>
      </c>
      <c r="M1142" s="30" t="s">
        <v>237</v>
      </c>
      <c r="N1142" s="11" t="s">
        <v>239</v>
      </c>
    </row>
    <row r="1143">
      <c r="A1143" s="11" t="s">
        <v>57</v>
      </c>
      <c r="B1143" s="11" t="s">
        <v>20</v>
      </c>
      <c r="C1143" s="11" t="s">
        <v>1151</v>
      </c>
      <c r="D1143" s="11" t="s">
        <v>235</v>
      </c>
      <c r="E1143" s="25" t="s">
        <v>1152</v>
      </c>
      <c r="F1143" s="11" t="s">
        <v>1153</v>
      </c>
      <c r="G1143" s="11" t="s">
        <v>555</v>
      </c>
      <c r="H1143" s="11">
        <v>2011.0</v>
      </c>
      <c r="I1143" s="40">
        <v>22905.0</v>
      </c>
      <c r="J1143" s="40">
        <v>21000.0</v>
      </c>
      <c r="K1143" s="11">
        <v>25000.0</v>
      </c>
      <c r="L1143" s="29" t="s">
        <v>81</v>
      </c>
      <c r="M1143" s="30" t="s">
        <v>237</v>
      </c>
      <c r="N1143" s="11" t="s">
        <v>239</v>
      </c>
    </row>
    <row r="1144">
      <c r="A1144" s="11" t="s">
        <v>57</v>
      </c>
      <c r="B1144" s="11" t="s">
        <v>20</v>
      </c>
      <c r="C1144" s="11" t="s">
        <v>1151</v>
      </c>
      <c r="D1144" s="11" t="s">
        <v>235</v>
      </c>
      <c r="E1144" s="25" t="s">
        <v>1152</v>
      </c>
      <c r="F1144" s="11" t="s">
        <v>1153</v>
      </c>
      <c r="G1144" s="11" t="s">
        <v>555</v>
      </c>
      <c r="H1144" s="11">
        <v>2015.0</v>
      </c>
      <c r="I1144" s="40">
        <v>27750.0</v>
      </c>
      <c r="J1144" s="40">
        <v>27000.0</v>
      </c>
      <c r="K1144" s="11">
        <v>28000.0</v>
      </c>
      <c r="L1144" s="29" t="s">
        <v>81</v>
      </c>
      <c r="M1144" s="30" t="s">
        <v>237</v>
      </c>
      <c r="N1144" s="11" t="s">
        <v>239</v>
      </c>
    </row>
    <row r="1145">
      <c r="A1145" s="11" t="s">
        <v>57</v>
      </c>
      <c r="B1145" s="11" t="s">
        <v>20</v>
      </c>
      <c r="C1145" s="11" t="s">
        <v>1151</v>
      </c>
      <c r="D1145" s="11" t="s">
        <v>235</v>
      </c>
      <c r="E1145" s="25" t="s">
        <v>1152</v>
      </c>
      <c r="F1145" s="11" t="s">
        <v>1153</v>
      </c>
      <c r="G1145" s="11" t="s">
        <v>555</v>
      </c>
      <c r="H1145" s="11">
        <v>2019.0</v>
      </c>
      <c r="I1145" s="40">
        <v>36015.0</v>
      </c>
      <c r="J1145" s="40">
        <v>33000.0</v>
      </c>
      <c r="K1145" s="11">
        <v>39000.0</v>
      </c>
      <c r="L1145" s="29" t="s">
        <v>81</v>
      </c>
      <c r="M1145" s="30" t="s">
        <v>237</v>
      </c>
      <c r="N1145" s="11" t="s">
        <v>239</v>
      </c>
    </row>
    <row r="1146">
      <c r="A1146" s="11" t="s">
        <v>57</v>
      </c>
      <c r="B1146" s="11" t="s">
        <v>20</v>
      </c>
      <c r="C1146" s="11" t="s">
        <v>1156</v>
      </c>
      <c r="D1146" s="11" t="s">
        <v>235</v>
      </c>
      <c r="E1146" s="25" t="s">
        <v>1157</v>
      </c>
      <c r="F1146" s="11" t="s">
        <v>1153</v>
      </c>
      <c r="G1146" s="11" t="s">
        <v>555</v>
      </c>
      <c r="H1146" s="87">
        <v>1981.02047244095</v>
      </c>
      <c r="I1146" s="27">
        <v>38000.0</v>
      </c>
      <c r="J1146" s="27">
        <v>34000.0</v>
      </c>
      <c r="K1146" s="28">
        <v>42000.0</v>
      </c>
      <c r="L1146" s="29" t="s">
        <v>260</v>
      </c>
      <c r="M1146" s="30" t="s">
        <v>237</v>
      </c>
      <c r="N1146" s="11" t="s">
        <v>239</v>
      </c>
    </row>
    <row r="1147">
      <c r="A1147" s="11" t="s">
        <v>57</v>
      </c>
      <c r="B1147" s="11" t="s">
        <v>20</v>
      </c>
      <c r="C1147" s="11" t="s">
        <v>1156</v>
      </c>
      <c r="D1147" s="11" t="s">
        <v>235</v>
      </c>
      <c r="E1147" s="25" t="s">
        <v>1157</v>
      </c>
      <c r="F1147" s="11" t="s">
        <v>1153</v>
      </c>
      <c r="G1147" s="11" t="s">
        <v>555</v>
      </c>
      <c r="H1147" s="87">
        <v>1983.06141732283</v>
      </c>
      <c r="I1147" s="27">
        <v>31000.0</v>
      </c>
      <c r="J1147" s="27">
        <v>24000.0</v>
      </c>
      <c r="K1147" s="28">
        <v>39000.0</v>
      </c>
      <c r="L1147" s="29" t="s">
        <v>260</v>
      </c>
      <c r="M1147" s="30" t="s">
        <v>237</v>
      </c>
      <c r="N1147" s="11" t="s">
        <v>239</v>
      </c>
    </row>
    <row r="1148">
      <c r="A1148" s="11" t="s">
        <v>57</v>
      </c>
      <c r="B1148" s="11" t="s">
        <v>20</v>
      </c>
      <c r="C1148" s="11" t="s">
        <v>1156</v>
      </c>
      <c r="D1148" s="11" t="s">
        <v>235</v>
      </c>
      <c r="E1148" s="25" t="s">
        <v>1157</v>
      </c>
      <c r="F1148" s="11" t="s">
        <v>1153</v>
      </c>
      <c r="G1148" s="11" t="s">
        <v>555</v>
      </c>
      <c r="H1148" s="87">
        <v>1985.04566929134</v>
      </c>
      <c r="I1148" s="27">
        <v>29000.0</v>
      </c>
      <c r="J1148" s="27">
        <v>23000.0</v>
      </c>
      <c r="K1148" s="28">
        <v>35000.0</v>
      </c>
      <c r="L1148" s="29" t="s">
        <v>260</v>
      </c>
      <c r="M1148" s="30" t="s">
        <v>237</v>
      </c>
      <c r="N1148" s="11" t="s">
        <v>239</v>
      </c>
    </row>
    <row r="1149">
      <c r="A1149" s="11" t="s">
        <v>57</v>
      </c>
      <c r="B1149" s="11" t="s">
        <v>20</v>
      </c>
      <c r="C1149" s="11" t="s">
        <v>1156</v>
      </c>
      <c r="D1149" s="11" t="s">
        <v>235</v>
      </c>
      <c r="E1149" s="25" t="s">
        <v>1157</v>
      </c>
      <c r="F1149" s="11" t="s">
        <v>1153</v>
      </c>
      <c r="G1149" s="11" t="s">
        <v>555</v>
      </c>
      <c r="H1149" s="87">
        <v>1988.05039370079</v>
      </c>
      <c r="I1149" s="27">
        <v>25000.0</v>
      </c>
      <c r="J1149" s="27">
        <v>23000.0</v>
      </c>
      <c r="K1149" s="28">
        <v>27000.0</v>
      </c>
      <c r="L1149" s="29" t="s">
        <v>260</v>
      </c>
      <c r="M1149" s="30" t="s">
        <v>237</v>
      </c>
      <c r="N1149" s="11" t="s">
        <v>239</v>
      </c>
    </row>
    <row r="1150">
      <c r="A1150" s="11" t="s">
        <v>57</v>
      </c>
      <c r="B1150" s="11" t="s">
        <v>20</v>
      </c>
      <c r="C1150" s="11" t="s">
        <v>1156</v>
      </c>
      <c r="D1150" s="11" t="s">
        <v>235</v>
      </c>
      <c r="E1150" s="25" t="s">
        <v>1157</v>
      </c>
      <c r="F1150" s="11" t="s">
        <v>1153</v>
      </c>
      <c r="G1150" s="11" t="s">
        <v>555</v>
      </c>
      <c r="H1150" s="87">
        <v>1989.97795275591</v>
      </c>
      <c r="I1150" s="27">
        <v>23000.0</v>
      </c>
      <c r="J1150" s="27">
        <v>19000.0</v>
      </c>
      <c r="K1150" s="28">
        <v>28000.0</v>
      </c>
      <c r="L1150" s="29" t="s">
        <v>260</v>
      </c>
      <c r="M1150" s="30" t="s">
        <v>237</v>
      </c>
      <c r="N1150" s="11" t="s">
        <v>239</v>
      </c>
    </row>
    <row r="1151">
      <c r="A1151" s="11" t="s">
        <v>57</v>
      </c>
      <c r="B1151" s="11" t="s">
        <v>20</v>
      </c>
      <c r="C1151" s="11" t="s">
        <v>1156</v>
      </c>
      <c r="D1151" s="11" t="s">
        <v>235</v>
      </c>
      <c r="E1151" s="25" t="s">
        <v>1157</v>
      </c>
      <c r="F1151" s="11" t="s">
        <v>1153</v>
      </c>
      <c r="G1151" s="11" t="s">
        <v>555</v>
      </c>
      <c r="H1151" s="87">
        <v>1992.07559055118</v>
      </c>
      <c r="I1151" s="27">
        <v>25000.0</v>
      </c>
      <c r="J1151" s="27">
        <v>23000.0</v>
      </c>
      <c r="K1151" s="28">
        <v>27000.0</v>
      </c>
      <c r="L1151" s="29" t="s">
        <v>260</v>
      </c>
      <c r="M1151" s="30" t="s">
        <v>237</v>
      </c>
      <c r="N1151" s="11" t="s">
        <v>239</v>
      </c>
    </row>
    <row r="1152">
      <c r="A1152" s="11" t="s">
        <v>57</v>
      </c>
      <c r="B1152" s="11" t="s">
        <v>20</v>
      </c>
      <c r="C1152" s="11" t="s">
        <v>1156</v>
      </c>
      <c r="D1152" s="11" t="s">
        <v>235</v>
      </c>
      <c r="E1152" s="25" t="s">
        <v>1157</v>
      </c>
      <c r="F1152" s="11" t="s">
        <v>1153</v>
      </c>
      <c r="G1152" s="11" t="s">
        <v>555</v>
      </c>
      <c r="H1152" s="87">
        <v>1994.05984251969</v>
      </c>
      <c r="I1152" s="27">
        <v>22244.0</v>
      </c>
      <c r="J1152" s="27">
        <v>21000.0</v>
      </c>
      <c r="K1152" s="28">
        <v>23000.0</v>
      </c>
      <c r="L1152" s="29" t="s">
        <v>81</v>
      </c>
      <c r="M1152" s="30" t="s">
        <v>237</v>
      </c>
      <c r="N1152" s="11" t="s">
        <v>239</v>
      </c>
    </row>
    <row r="1153">
      <c r="A1153" s="11" t="s">
        <v>57</v>
      </c>
      <c r="B1153" s="11" t="s">
        <v>20</v>
      </c>
      <c r="C1153" s="11" t="s">
        <v>1156</v>
      </c>
      <c r="D1153" s="11" t="s">
        <v>235</v>
      </c>
      <c r="E1153" s="25" t="s">
        <v>1157</v>
      </c>
      <c r="F1153" s="11" t="s">
        <v>1153</v>
      </c>
      <c r="G1153" s="11" t="s">
        <v>555</v>
      </c>
      <c r="H1153" s="87">
        <v>1996.04409448819</v>
      </c>
      <c r="I1153" s="27">
        <v>27385.0</v>
      </c>
      <c r="J1153" s="27">
        <v>27000.0</v>
      </c>
      <c r="K1153" s="28">
        <v>28000.0</v>
      </c>
      <c r="L1153" s="29" t="s">
        <v>81</v>
      </c>
      <c r="M1153" s="30" t="s">
        <v>237</v>
      </c>
      <c r="N1153" s="11" t="s">
        <v>239</v>
      </c>
    </row>
    <row r="1154">
      <c r="A1154" s="11" t="s">
        <v>57</v>
      </c>
      <c r="B1154" s="11" t="s">
        <v>20</v>
      </c>
      <c r="C1154" s="11" t="s">
        <v>1156</v>
      </c>
      <c r="D1154" s="11" t="s">
        <v>235</v>
      </c>
      <c r="E1154" s="25" t="s">
        <v>1157</v>
      </c>
      <c r="F1154" s="11" t="s">
        <v>1153</v>
      </c>
      <c r="G1154" s="11" t="s">
        <v>555</v>
      </c>
      <c r="H1154" s="87">
        <v>1998.02834645669</v>
      </c>
      <c r="I1154" s="27">
        <v>22090.0</v>
      </c>
      <c r="J1154" s="27">
        <v>21000.0</v>
      </c>
      <c r="K1154" s="28">
        <v>23000.0</v>
      </c>
      <c r="L1154" s="29" t="s">
        <v>81</v>
      </c>
      <c r="M1154" s="30" t="s">
        <v>237</v>
      </c>
      <c r="N1154" s="11" t="s">
        <v>239</v>
      </c>
    </row>
    <row r="1155">
      <c r="A1155" s="11" t="s">
        <v>57</v>
      </c>
      <c r="B1155" s="11" t="s">
        <v>20</v>
      </c>
      <c r="C1155" s="11" t="s">
        <v>1156</v>
      </c>
      <c r="D1155" s="11" t="s">
        <v>235</v>
      </c>
      <c r="E1155" s="25" t="s">
        <v>1157</v>
      </c>
      <c r="F1155" s="11" t="s">
        <v>1153</v>
      </c>
      <c r="G1155" s="11" t="s">
        <v>555</v>
      </c>
      <c r="H1155" s="87">
        <v>2000.0125984252</v>
      </c>
      <c r="I1155" s="27">
        <v>20176.0</v>
      </c>
      <c r="J1155" s="27">
        <v>20000.0</v>
      </c>
      <c r="K1155" s="28">
        <v>21000.0</v>
      </c>
      <c r="L1155" s="29" t="s">
        <v>81</v>
      </c>
      <c r="M1155" s="30" t="s">
        <v>237</v>
      </c>
      <c r="N1155" s="11" t="s">
        <v>239</v>
      </c>
    </row>
    <row r="1156">
      <c r="A1156" s="11" t="s">
        <v>57</v>
      </c>
      <c r="B1156" s="11" t="s">
        <v>20</v>
      </c>
      <c r="C1156" s="11" t="s">
        <v>1156</v>
      </c>
      <c r="D1156" s="11" t="s">
        <v>235</v>
      </c>
      <c r="E1156" s="25" t="s">
        <v>1157</v>
      </c>
      <c r="F1156" s="11" t="s">
        <v>1153</v>
      </c>
      <c r="G1156" s="11" t="s">
        <v>555</v>
      </c>
      <c r="H1156" s="87">
        <v>2001.9968503937</v>
      </c>
      <c r="I1156" s="27">
        <v>17593.0</v>
      </c>
      <c r="J1156" s="27">
        <v>16000.0</v>
      </c>
      <c r="K1156" s="28">
        <v>19000.0</v>
      </c>
      <c r="L1156" s="29" t="s">
        <v>81</v>
      </c>
      <c r="M1156" s="30" t="s">
        <v>237</v>
      </c>
      <c r="N1156" s="11" t="s">
        <v>239</v>
      </c>
    </row>
    <row r="1157">
      <c r="A1157" s="11" t="s">
        <v>57</v>
      </c>
      <c r="B1157" s="11" t="s">
        <v>20</v>
      </c>
      <c r="C1157" s="11" t="s">
        <v>1156</v>
      </c>
      <c r="D1157" s="11" t="s">
        <v>235</v>
      </c>
      <c r="E1157" s="25" t="s">
        <v>1157</v>
      </c>
      <c r="F1157" s="11" t="s">
        <v>1153</v>
      </c>
      <c r="G1157" s="11" t="s">
        <v>555</v>
      </c>
      <c r="H1157" s="87">
        <v>2004.09448818898</v>
      </c>
      <c r="I1157" s="27">
        <v>16876.0</v>
      </c>
      <c r="J1157" s="27">
        <v>16000.0</v>
      </c>
      <c r="K1157" s="28">
        <v>18000.0</v>
      </c>
      <c r="L1157" s="29" t="s">
        <v>81</v>
      </c>
      <c r="M1157" s="30" t="s">
        <v>237</v>
      </c>
      <c r="N1157" s="11" t="s">
        <v>239</v>
      </c>
    </row>
    <row r="1158">
      <c r="A1158" s="11" t="s">
        <v>57</v>
      </c>
      <c r="B1158" s="11" t="s">
        <v>20</v>
      </c>
      <c r="C1158" s="11" t="s">
        <v>1156</v>
      </c>
      <c r="D1158" s="11" t="s">
        <v>235</v>
      </c>
      <c r="E1158" s="25" t="s">
        <v>1157</v>
      </c>
      <c r="F1158" s="11" t="s">
        <v>1153</v>
      </c>
      <c r="G1158" s="11" t="s">
        <v>555</v>
      </c>
      <c r="H1158" s="87">
        <v>2006.07874015748</v>
      </c>
      <c r="I1158" s="27">
        <v>17072.0</v>
      </c>
      <c r="J1158" s="27">
        <v>16000.0</v>
      </c>
      <c r="K1158" s="28">
        <v>18000.0</v>
      </c>
      <c r="L1158" s="29" t="s">
        <v>81</v>
      </c>
      <c r="M1158" s="30" t="s">
        <v>237</v>
      </c>
      <c r="N1158" s="11" t="s">
        <v>239</v>
      </c>
    </row>
    <row r="1159">
      <c r="A1159" s="11" t="s">
        <v>57</v>
      </c>
      <c r="B1159" s="11" t="s">
        <v>20</v>
      </c>
      <c r="C1159" s="11" t="s">
        <v>1156</v>
      </c>
      <c r="D1159" s="11" t="s">
        <v>235</v>
      </c>
      <c r="E1159" s="25" t="s">
        <v>1157</v>
      </c>
      <c r="F1159" s="11" t="s">
        <v>1153</v>
      </c>
      <c r="G1159" s="11" t="s">
        <v>555</v>
      </c>
      <c r="H1159" s="87">
        <v>2008.0062992126</v>
      </c>
      <c r="I1159" s="27">
        <v>18160.0</v>
      </c>
      <c r="J1159" s="27">
        <v>17000.0</v>
      </c>
      <c r="K1159" s="28">
        <v>19000.0</v>
      </c>
      <c r="L1159" s="29" t="s">
        <v>81</v>
      </c>
      <c r="M1159" s="30" t="s">
        <v>237</v>
      </c>
      <c r="N1159" s="11" t="s">
        <v>239</v>
      </c>
    </row>
    <row r="1160">
      <c r="A1160" s="11" t="s">
        <v>57</v>
      </c>
      <c r="B1160" s="11" t="s">
        <v>20</v>
      </c>
      <c r="C1160" s="11" t="s">
        <v>1156</v>
      </c>
      <c r="D1160" s="11" t="s">
        <v>235</v>
      </c>
      <c r="E1160" s="25" t="s">
        <v>1157</v>
      </c>
      <c r="F1160" s="11" t="s">
        <v>1153</v>
      </c>
      <c r="G1160" s="11" t="s">
        <v>555</v>
      </c>
      <c r="H1160" s="87">
        <v>2009.9905511811</v>
      </c>
      <c r="I1160" s="27">
        <v>17973.0</v>
      </c>
      <c r="J1160" s="27">
        <v>17000.0</v>
      </c>
      <c r="K1160" s="28">
        <v>19000.0</v>
      </c>
      <c r="L1160" s="29" t="s">
        <v>81</v>
      </c>
      <c r="M1160" s="30" t="s">
        <v>237</v>
      </c>
      <c r="N1160" s="11" t="s">
        <v>239</v>
      </c>
    </row>
    <row r="1161">
      <c r="A1161" s="11" t="s">
        <v>57</v>
      </c>
      <c r="B1161" s="11" t="s">
        <v>20</v>
      </c>
      <c r="C1161" s="11" t="s">
        <v>1156</v>
      </c>
      <c r="D1161" s="11" t="s">
        <v>235</v>
      </c>
      <c r="E1161" s="25" t="s">
        <v>1157</v>
      </c>
      <c r="F1161" s="11" t="s">
        <v>1153</v>
      </c>
      <c r="G1161" s="11" t="s">
        <v>555</v>
      </c>
      <c r="H1161" s="87">
        <v>2011.97480314961</v>
      </c>
      <c r="I1161" s="27">
        <v>16184.0</v>
      </c>
      <c r="J1161" s="27">
        <v>16000.0</v>
      </c>
      <c r="K1161" s="28">
        <v>17000.0</v>
      </c>
      <c r="L1161" s="29" t="s">
        <v>81</v>
      </c>
      <c r="M1161" s="30" t="s">
        <v>237</v>
      </c>
      <c r="N1161" s="11" t="s">
        <v>239</v>
      </c>
    </row>
    <row r="1162">
      <c r="A1162" s="11" t="s">
        <v>57</v>
      </c>
      <c r="B1162" s="11" t="s">
        <v>20</v>
      </c>
      <c r="C1162" s="11" t="s">
        <v>1156</v>
      </c>
      <c r="D1162" s="11" t="s">
        <v>235</v>
      </c>
      <c r="E1162" s="25" t="s">
        <v>1157</v>
      </c>
      <c r="F1162" s="11" t="s">
        <v>1153</v>
      </c>
      <c r="G1162" s="11" t="s">
        <v>555</v>
      </c>
      <c r="H1162" s="87">
        <v>2013.95905511811</v>
      </c>
      <c r="I1162" s="27">
        <v>18937.0</v>
      </c>
      <c r="J1162" s="27">
        <v>18000.0</v>
      </c>
      <c r="K1162" s="28">
        <v>20000.0</v>
      </c>
      <c r="L1162" s="29" t="s">
        <v>81</v>
      </c>
      <c r="M1162" s="30" t="s">
        <v>237</v>
      </c>
      <c r="N1162" s="11" t="s">
        <v>239</v>
      </c>
    </row>
    <row r="1163">
      <c r="A1163" s="11" t="s">
        <v>57</v>
      </c>
      <c r="B1163" s="11" t="s">
        <v>20</v>
      </c>
      <c r="C1163" s="11" t="s">
        <v>1156</v>
      </c>
      <c r="D1163" s="11" t="s">
        <v>235</v>
      </c>
      <c r="E1163" s="25" t="s">
        <v>1157</v>
      </c>
      <c r="F1163" s="11" t="s">
        <v>1153</v>
      </c>
      <c r="G1163" s="11" t="s">
        <v>555</v>
      </c>
      <c r="H1163" s="87">
        <v>2015.94330708661</v>
      </c>
      <c r="I1163" s="27">
        <v>20490.0</v>
      </c>
      <c r="J1163" s="27">
        <v>19000.0</v>
      </c>
      <c r="K1163" s="28">
        <v>22000.0</v>
      </c>
      <c r="L1163" s="29" t="s">
        <v>81</v>
      </c>
      <c r="M1163" s="30" t="s">
        <v>237</v>
      </c>
      <c r="N1163" s="11" t="s">
        <v>239</v>
      </c>
    </row>
    <row r="1164">
      <c r="A1164" s="11" t="s">
        <v>57</v>
      </c>
      <c r="B1164" s="11" t="s">
        <v>20</v>
      </c>
      <c r="C1164" s="11" t="s">
        <v>1156</v>
      </c>
      <c r="D1164" s="11" t="s">
        <v>235</v>
      </c>
      <c r="E1164" s="25" t="s">
        <v>1157</v>
      </c>
      <c r="F1164" s="11" t="s">
        <v>1153</v>
      </c>
      <c r="G1164" s="11" t="s">
        <v>555</v>
      </c>
      <c r="H1164" s="87">
        <v>2017.9842519685</v>
      </c>
      <c r="I1164" s="27">
        <v>21625.0</v>
      </c>
      <c r="J1164" s="27">
        <v>21000.0</v>
      </c>
      <c r="K1164" s="28">
        <v>22000.0</v>
      </c>
      <c r="L1164" s="29" t="s">
        <v>81</v>
      </c>
      <c r="M1164" s="30" t="s">
        <v>237</v>
      </c>
      <c r="N1164" s="11" t="s">
        <v>239</v>
      </c>
    </row>
    <row r="1165">
      <c r="A1165" s="11" t="s">
        <v>57</v>
      </c>
      <c r="B1165" s="11" t="s">
        <v>20</v>
      </c>
      <c r="C1165" s="11" t="s">
        <v>1169</v>
      </c>
      <c r="D1165" s="11" t="s">
        <v>235</v>
      </c>
      <c r="E1165" s="25" t="s">
        <v>1170</v>
      </c>
      <c r="F1165" s="11" t="s">
        <v>1153</v>
      </c>
      <c r="G1165" s="11" t="s">
        <v>555</v>
      </c>
      <c r="H1165" s="87">
        <v>1980.05084048886</v>
      </c>
      <c r="I1165" s="27">
        <v>200000.0</v>
      </c>
      <c r="J1165" s="27">
        <v>163000.0</v>
      </c>
      <c r="K1165" s="28">
        <v>237000.0</v>
      </c>
      <c r="L1165" s="29" t="s">
        <v>81</v>
      </c>
      <c r="M1165" s="30" t="s">
        <v>237</v>
      </c>
      <c r="N1165" s="11" t="s">
        <v>239</v>
      </c>
    </row>
    <row r="1166">
      <c r="A1166" s="11" t="s">
        <v>57</v>
      </c>
      <c r="B1166" s="11" t="s">
        <v>20</v>
      </c>
      <c r="C1166" s="11" t="s">
        <v>1169</v>
      </c>
      <c r="D1166" s="11" t="s">
        <v>235</v>
      </c>
      <c r="E1166" s="25" t="s">
        <v>1170</v>
      </c>
      <c r="F1166" s="11" t="s">
        <v>1153</v>
      </c>
      <c r="G1166" s="11" t="s">
        <v>555</v>
      </c>
      <c r="H1166" s="87">
        <v>1981.13500855088</v>
      </c>
      <c r="I1166" s="27">
        <v>179000.0</v>
      </c>
      <c r="J1166" s="27">
        <v>159000.0</v>
      </c>
      <c r="K1166" s="28">
        <v>200000.0</v>
      </c>
      <c r="L1166" s="29" t="s">
        <v>81</v>
      </c>
      <c r="M1166" s="30" t="s">
        <v>237</v>
      </c>
      <c r="N1166" s="11" t="s">
        <v>239</v>
      </c>
    </row>
    <row r="1167">
      <c r="A1167" s="11" t="s">
        <v>57</v>
      </c>
      <c r="B1167" s="11" t="s">
        <v>20</v>
      </c>
      <c r="C1167" s="11" t="s">
        <v>1169</v>
      </c>
      <c r="D1167" s="11" t="s">
        <v>235</v>
      </c>
      <c r="E1167" s="25" t="s">
        <v>1170</v>
      </c>
      <c r="F1167" s="11" t="s">
        <v>1153</v>
      </c>
      <c r="G1167" s="11" t="s">
        <v>555</v>
      </c>
      <c r="H1167" s="87">
        <v>1982.05550027113</v>
      </c>
      <c r="I1167" s="27">
        <v>203000.0</v>
      </c>
      <c r="J1167" s="27">
        <v>194000.0</v>
      </c>
      <c r="K1167" s="28">
        <v>214000.0</v>
      </c>
      <c r="L1167" s="29" t="s">
        <v>81</v>
      </c>
      <c r="M1167" s="30" t="s">
        <v>237</v>
      </c>
      <c r="N1167" s="11" t="s">
        <v>239</v>
      </c>
    </row>
    <row r="1168">
      <c r="A1168" s="11" t="s">
        <v>57</v>
      </c>
      <c r="B1168" s="11" t="s">
        <v>20</v>
      </c>
      <c r="C1168" s="11" t="s">
        <v>1169</v>
      </c>
      <c r="D1168" s="11" t="s">
        <v>235</v>
      </c>
      <c r="E1168" s="25" t="s">
        <v>1170</v>
      </c>
      <c r="F1168" s="11" t="s">
        <v>1153</v>
      </c>
      <c r="G1168" s="11" t="s">
        <v>555</v>
      </c>
      <c r="H1168" s="87">
        <v>1983.01160178526</v>
      </c>
      <c r="I1168" s="27">
        <v>166000.0</v>
      </c>
      <c r="J1168" s="27">
        <v>146000.0</v>
      </c>
      <c r="K1168" s="28">
        <v>185000.0</v>
      </c>
      <c r="L1168" s="29" t="s">
        <v>81</v>
      </c>
      <c r="M1168" s="30" t="s">
        <v>237</v>
      </c>
      <c r="N1168" s="11" t="s">
        <v>239</v>
      </c>
    </row>
    <row r="1169">
      <c r="A1169" s="11" t="s">
        <v>57</v>
      </c>
      <c r="B1169" s="11" t="s">
        <v>20</v>
      </c>
      <c r="C1169" s="11" t="s">
        <v>1169</v>
      </c>
      <c r="D1169" s="11" t="s">
        <v>235</v>
      </c>
      <c r="E1169" s="25" t="s">
        <v>1170</v>
      </c>
      <c r="F1169" s="11" t="s">
        <v>1153</v>
      </c>
      <c r="G1169" s="11" t="s">
        <v>555</v>
      </c>
      <c r="H1169" s="87">
        <v>1984.04643097623</v>
      </c>
      <c r="I1169" s="27">
        <v>173000.0</v>
      </c>
      <c r="J1169" s="27">
        <v>150000.0</v>
      </c>
      <c r="K1169" s="28">
        <v>196000.0</v>
      </c>
      <c r="L1169" s="29" t="s">
        <v>81</v>
      </c>
      <c r="M1169" s="30" t="s">
        <v>237</v>
      </c>
      <c r="N1169" s="11" t="s">
        <v>239</v>
      </c>
    </row>
    <row r="1170">
      <c r="A1170" s="11" t="s">
        <v>57</v>
      </c>
      <c r="B1170" s="11" t="s">
        <v>20</v>
      </c>
      <c r="C1170" s="11" t="s">
        <v>1169</v>
      </c>
      <c r="D1170" s="11" t="s">
        <v>235</v>
      </c>
      <c r="E1170" s="25" t="s">
        <v>1170</v>
      </c>
      <c r="F1170" s="11" t="s">
        <v>1153</v>
      </c>
      <c r="G1170" s="11" t="s">
        <v>555</v>
      </c>
      <c r="H1170" s="87">
        <v>1985.08233275136</v>
      </c>
      <c r="I1170" s="27">
        <v>182000.0</v>
      </c>
      <c r="J1170" s="27">
        <v>163000.0</v>
      </c>
      <c r="K1170" s="28">
        <v>202000.0</v>
      </c>
      <c r="L1170" s="29" t="s">
        <v>81</v>
      </c>
      <c r="M1170" s="30" t="s">
        <v>237</v>
      </c>
      <c r="N1170" s="11" t="s">
        <v>239</v>
      </c>
    </row>
    <row r="1171">
      <c r="A1171" s="11" t="s">
        <v>57</v>
      </c>
      <c r="B1171" s="11" t="s">
        <v>20</v>
      </c>
      <c r="C1171" s="11" t="s">
        <v>1169</v>
      </c>
      <c r="D1171" s="11" t="s">
        <v>235</v>
      </c>
      <c r="E1171" s="25" t="s">
        <v>1170</v>
      </c>
      <c r="F1171" s="11" t="s">
        <v>1153</v>
      </c>
      <c r="G1171" s="11" t="s">
        <v>555</v>
      </c>
      <c r="H1171" s="87">
        <v>1986.10879578594</v>
      </c>
      <c r="I1171" s="27">
        <v>168000.0</v>
      </c>
      <c r="J1171" s="27">
        <v>151000.0</v>
      </c>
      <c r="K1171" s="28">
        <v>184000.0</v>
      </c>
      <c r="L1171" s="29" t="s">
        <v>81</v>
      </c>
      <c r="M1171" s="30" t="s">
        <v>237</v>
      </c>
      <c r="N1171" s="11" t="s">
        <v>239</v>
      </c>
    </row>
    <row r="1172">
      <c r="A1172" s="11" t="s">
        <v>57</v>
      </c>
      <c r="B1172" s="11" t="s">
        <v>20</v>
      </c>
      <c r="C1172" s="11" t="s">
        <v>1169</v>
      </c>
      <c r="D1172" s="11" t="s">
        <v>235</v>
      </c>
      <c r="E1172" s="25" t="s">
        <v>1170</v>
      </c>
      <c r="F1172" s="11" t="s">
        <v>1153</v>
      </c>
      <c r="G1172" s="11" t="s">
        <v>555</v>
      </c>
      <c r="H1172" s="87">
        <v>1987.14233787593</v>
      </c>
      <c r="I1172" s="27">
        <v>172000.0</v>
      </c>
      <c r="J1172" s="27">
        <v>164000.0</v>
      </c>
      <c r="K1172" s="28">
        <v>178000.0</v>
      </c>
      <c r="L1172" s="29" t="s">
        <v>81</v>
      </c>
      <c r="M1172" s="30" t="s">
        <v>237</v>
      </c>
      <c r="N1172" s="11" t="s">
        <v>239</v>
      </c>
    </row>
    <row r="1173">
      <c r="A1173" s="11" t="s">
        <v>57</v>
      </c>
      <c r="B1173" s="11" t="s">
        <v>20</v>
      </c>
      <c r="C1173" s="11" t="s">
        <v>1169</v>
      </c>
      <c r="D1173" s="11" t="s">
        <v>235</v>
      </c>
      <c r="E1173" s="25" t="s">
        <v>1170</v>
      </c>
      <c r="F1173" s="11" t="s">
        <v>1153</v>
      </c>
      <c r="G1173" s="11" t="s">
        <v>555</v>
      </c>
      <c r="H1173" s="87">
        <v>1988.00469553507</v>
      </c>
      <c r="I1173" s="27">
        <v>203000.0</v>
      </c>
      <c r="J1173" s="27">
        <v>189000.0</v>
      </c>
      <c r="K1173" s="28">
        <v>214000.0</v>
      </c>
      <c r="L1173" s="29" t="s">
        <v>81</v>
      </c>
      <c r="M1173" s="30" t="s">
        <v>237</v>
      </c>
      <c r="N1173" s="11" t="s">
        <v>239</v>
      </c>
    </row>
    <row r="1174">
      <c r="A1174" s="11" t="s">
        <v>57</v>
      </c>
      <c r="B1174" s="11" t="s">
        <v>20</v>
      </c>
      <c r="C1174" s="11" t="s">
        <v>1169</v>
      </c>
      <c r="D1174" s="11" t="s">
        <v>235</v>
      </c>
      <c r="E1174" s="25" t="s">
        <v>1170</v>
      </c>
      <c r="F1174" s="11" t="s">
        <v>1153</v>
      </c>
      <c r="G1174" s="11" t="s">
        <v>555</v>
      </c>
      <c r="H1174" s="87">
        <v>1989.0245085479</v>
      </c>
      <c r="I1174" s="27">
        <v>173000.0</v>
      </c>
      <c r="J1174" s="27">
        <v>89000.0</v>
      </c>
      <c r="K1174" s="28">
        <v>253000.0</v>
      </c>
      <c r="L1174" s="29" t="s">
        <v>81</v>
      </c>
      <c r="M1174" s="30" t="s">
        <v>237</v>
      </c>
      <c r="N1174" s="11" t="s">
        <v>239</v>
      </c>
    </row>
    <row r="1175">
      <c r="A1175" s="11" t="s">
        <v>57</v>
      </c>
      <c r="B1175" s="11" t="s">
        <v>20</v>
      </c>
      <c r="C1175" s="11" t="s">
        <v>1169</v>
      </c>
      <c r="D1175" s="11" t="s">
        <v>235</v>
      </c>
      <c r="E1175" s="25" t="s">
        <v>1170</v>
      </c>
      <c r="F1175" s="11" t="s">
        <v>1153</v>
      </c>
      <c r="G1175" s="11" t="s">
        <v>555</v>
      </c>
      <c r="H1175" s="87">
        <v>1990.12905570883</v>
      </c>
      <c r="I1175" s="27">
        <v>202000.0</v>
      </c>
      <c r="J1175" s="27">
        <v>193000.0</v>
      </c>
      <c r="K1175" s="28">
        <v>209000.0</v>
      </c>
      <c r="L1175" s="29" t="s">
        <v>81</v>
      </c>
      <c r="M1175" s="30" t="s">
        <v>237</v>
      </c>
      <c r="N1175" s="11" t="s">
        <v>239</v>
      </c>
    </row>
    <row r="1176">
      <c r="A1176" s="11" t="s">
        <v>57</v>
      </c>
      <c r="B1176" s="11" t="s">
        <v>20</v>
      </c>
      <c r="C1176" s="11" t="s">
        <v>1169</v>
      </c>
      <c r="D1176" s="11" t="s">
        <v>235</v>
      </c>
      <c r="E1176" s="25" t="s">
        <v>1170</v>
      </c>
      <c r="F1176" s="11" t="s">
        <v>1153</v>
      </c>
      <c r="G1176" s="11" t="s">
        <v>555</v>
      </c>
      <c r="H1176" s="87">
        <v>1992.06421203797</v>
      </c>
      <c r="I1176" s="27">
        <v>183000.0</v>
      </c>
      <c r="J1176" s="27">
        <v>164000.0</v>
      </c>
      <c r="K1176" s="28">
        <v>201000.0</v>
      </c>
      <c r="L1176" s="29" t="s">
        <v>81</v>
      </c>
      <c r="M1176" s="30" t="s">
        <v>237</v>
      </c>
      <c r="N1176" s="11" t="s">
        <v>239</v>
      </c>
    </row>
    <row r="1177">
      <c r="A1177" s="11" t="s">
        <v>57</v>
      </c>
      <c r="B1177" s="11" t="s">
        <v>20</v>
      </c>
      <c r="C1177" s="11" t="s">
        <v>1169</v>
      </c>
      <c r="D1177" s="11" t="s">
        <v>235</v>
      </c>
      <c r="E1177" s="25" t="s">
        <v>1170</v>
      </c>
      <c r="F1177" s="11" t="s">
        <v>1153</v>
      </c>
      <c r="G1177" s="11" t="s">
        <v>555</v>
      </c>
      <c r="H1177" s="87">
        <v>1994.07123150537</v>
      </c>
      <c r="I1177" s="27">
        <v>192104.0</v>
      </c>
      <c r="J1177" s="27">
        <v>187000.0</v>
      </c>
      <c r="K1177" s="28">
        <v>196000.0</v>
      </c>
      <c r="L1177" s="29" t="s">
        <v>81</v>
      </c>
      <c r="M1177" s="30" t="s">
        <v>237</v>
      </c>
      <c r="N1177" s="11" t="s">
        <v>239</v>
      </c>
    </row>
    <row r="1178">
      <c r="A1178" s="11" t="s">
        <v>57</v>
      </c>
      <c r="B1178" s="11" t="s">
        <v>20</v>
      </c>
      <c r="C1178" s="11" t="s">
        <v>1169</v>
      </c>
      <c r="D1178" s="11" t="s">
        <v>235</v>
      </c>
      <c r="E1178" s="25" t="s">
        <v>1170</v>
      </c>
      <c r="F1178" s="11" t="s">
        <v>1153</v>
      </c>
      <c r="G1178" s="11" t="s">
        <v>555</v>
      </c>
      <c r="H1178" s="87">
        <v>1996.0658089966</v>
      </c>
      <c r="I1178" s="27">
        <v>170125.0</v>
      </c>
      <c r="J1178" s="27">
        <v>117000.0</v>
      </c>
      <c r="K1178" s="28">
        <v>222000.0</v>
      </c>
      <c r="L1178" s="29" t="s">
        <v>81</v>
      </c>
      <c r="M1178" s="30" t="s">
        <v>237</v>
      </c>
      <c r="N1178" s="11" t="s">
        <v>239</v>
      </c>
    </row>
    <row r="1179">
      <c r="A1179" s="11" t="s">
        <v>57</v>
      </c>
      <c r="B1179" s="11" t="s">
        <v>20</v>
      </c>
      <c r="C1179" s="11" t="s">
        <v>1169</v>
      </c>
      <c r="D1179" s="11" t="s">
        <v>235</v>
      </c>
      <c r="E1179" s="25" t="s">
        <v>1170</v>
      </c>
      <c r="F1179" s="11" t="s">
        <v>1153</v>
      </c>
      <c r="G1179" s="11" t="s">
        <v>555</v>
      </c>
      <c r="H1179" s="87">
        <v>1998.07261394717</v>
      </c>
      <c r="I1179" s="27">
        <v>179149.0</v>
      </c>
      <c r="J1179" s="27">
        <v>165000.0</v>
      </c>
      <c r="K1179" s="28">
        <v>193000.0</v>
      </c>
      <c r="L1179" s="29" t="s">
        <v>81</v>
      </c>
      <c r="M1179" s="30" t="s">
        <v>237</v>
      </c>
      <c r="N1179" s="11" t="s">
        <v>239</v>
      </c>
    </row>
    <row r="1180">
      <c r="A1180" s="11" t="s">
        <v>57</v>
      </c>
      <c r="B1180" s="11" t="s">
        <v>20</v>
      </c>
      <c r="C1180" s="11" t="s">
        <v>1169</v>
      </c>
      <c r="D1180" s="11" t="s">
        <v>235</v>
      </c>
      <c r="E1180" s="25" t="s">
        <v>1170</v>
      </c>
      <c r="F1180" s="11" t="s">
        <v>1153</v>
      </c>
      <c r="G1180" s="11" t="s">
        <v>555</v>
      </c>
      <c r="H1180" s="87">
        <v>2000.06783498889</v>
      </c>
      <c r="I1180" s="27">
        <v>158736.0</v>
      </c>
      <c r="J1180" s="27">
        <v>116000.0</v>
      </c>
      <c r="K1180" s="28">
        <v>201000.0</v>
      </c>
      <c r="L1180" s="29" t="s">
        <v>81</v>
      </c>
      <c r="M1180" s="30" t="s">
        <v>237</v>
      </c>
      <c r="N1180" s="11" t="s">
        <v>239</v>
      </c>
    </row>
    <row r="1181">
      <c r="A1181" s="11" t="s">
        <v>57</v>
      </c>
      <c r="B1181" s="11" t="s">
        <v>20</v>
      </c>
      <c r="C1181" s="11" t="s">
        <v>1169</v>
      </c>
      <c r="D1181" s="11" t="s">
        <v>235</v>
      </c>
      <c r="E1181" s="25" t="s">
        <v>1170</v>
      </c>
      <c r="F1181" s="11" t="s">
        <v>1153</v>
      </c>
      <c r="G1181" s="11" t="s">
        <v>555</v>
      </c>
      <c r="H1181" s="87">
        <v>2002.0658447494</v>
      </c>
      <c r="I1181" s="27">
        <v>145716.0</v>
      </c>
      <c r="J1181" s="27">
        <v>141000.0</v>
      </c>
      <c r="K1181" s="28">
        <v>149000.0</v>
      </c>
      <c r="L1181" s="29" t="s">
        <v>81</v>
      </c>
      <c r="M1181" s="30" t="s">
        <v>237</v>
      </c>
      <c r="N1181" s="11" t="s">
        <v>239</v>
      </c>
    </row>
    <row r="1182">
      <c r="A1182" s="11" t="s">
        <v>57</v>
      </c>
      <c r="B1182" s="11" t="s">
        <v>20</v>
      </c>
      <c r="C1182" s="11" t="s">
        <v>1169</v>
      </c>
      <c r="D1182" s="11" t="s">
        <v>235</v>
      </c>
      <c r="E1182" s="25" t="s">
        <v>1170</v>
      </c>
      <c r="F1182" s="11" t="s">
        <v>1153</v>
      </c>
      <c r="G1182" s="11" t="s">
        <v>555</v>
      </c>
      <c r="H1182" s="87">
        <v>2004.12048695321</v>
      </c>
      <c r="I1182" s="27">
        <v>122825.0</v>
      </c>
      <c r="J1182" s="27">
        <v>119000.0</v>
      </c>
      <c r="K1182" s="28">
        <v>125000.0</v>
      </c>
      <c r="L1182" s="29" t="s">
        <v>81</v>
      </c>
      <c r="M1182" s="30" t="s">
        <v>237</v>
      </c>
      <c r="N1182" s="11" t="s">
        <v>239</v>
      </c>
    </row>
    <row r="1183">
      <c r="A1183" s="11" t="s">
        <v>57</v>
      </c>
      <c r="B1183" s="11" t="s">
        <v>20</v>
      </c>
      <c r="C1183" s="11" t="s">
        <v>1169</v>
      </c>
      <c r="D1183" s="11" t="s">
        <v>235</v>
      </c>
      <c r="E1183" s="25" t="s">
        <v>1170</v>
      </c>
      <c r="F1183" s="11" t="s">
        <v>1153</v>
      </c>
      <c r="G1183" s="11" t="s">
        <v>555</v>
      </c>
      <c r="H1183" s="87">
        <v>2006.11892574738</v>
      </c>
      <c r="I1183" s="27">
        <v>109961.0</v>
      </c>
      <c r="J1183" s="27">
        <v>106000.0</v>
      </c>
      <c r="K1183" s="28">
        <v>113000.0</v>
      </c>
      <c r="L1183" s="29" t="s">
        <v>81</v>
      </c>
      <c r="M1183" s="30" t="s">
        <v>237</v>
      </c>
      <c r="N1183" s="11" t="s">
        <v>239</v>
      </c>
    </row>
    <row r="1184">
      <c r="A1184" s="11" t="s">
        <v>57</v>
      </c>
      <c r="B1184" s="11" t="s">
        <v>20</v>
      </c>
      <c r="C1184" s="11" t="s">
        <v>1169</v>
      </c>
      <c r="D1184" s="11" t="s">
        <v>235</v>
      </c>
      <c r="E1184" s="25" t="s">
        <v>1170</v>
      </c>
      <c r="F1184" s="11" t="s">
        <v>1153</v>
      </c>
      <c r="G1184" s="11" t="s">
        <v>555</v>
      </c>
      <c r="H1184" s="87">
        <v>2008.05837241314</v>
      </c>
      <c r="I1184" s="27">
        <v>102674.0</v>
      </c>
      <c r="J1184" s="27">
        <v>99000.0</v>
      </c>
      <c r="K1184" s="28">
        <v>105000.0</v>
      </c>
      <c r="L1184" s="29" t="s">
        <v>81</v>
      </c>
      <c r="M1184" s="30" t="s">
        <v>237</v>
      </c>
      <c r="N1184" s="11" t="s">
        <v>239</v>
      </c>
    </row>
    <row r="1185">
      <c r="A1185" s="11" t="s">
        <v>57</v>
      </c>
      <c r="B1185" s="11" t="s">
        <v>20</v>
      </c>
      <c r="C1185" s="11" t="s">
        <v>1169</v>
      </c>
      <c r="D1185" s="11" t="s">
        <v>235</v>
      </c>
      <c r="E1185" s="25" t="s">
        <v>1170</v>
      </c>
      <c r="F1185" s="11" t="s">
        <v>1153</v>
      </c>
      <c r="G1185" s="11" t="s">
        <v>555</v>
      </c>
      <c r="H1185" s="87">
        <v>2010.05831282513</v>
      </c>
      <c r="I1185" s="27">
        <v>94502.0</v>
      </c>
      <c r="J1185" s="27">
        <v>91000.0</v>
      </c>
      <c r="K1185" s="28">
        <v>97000.0</v>
      </c>
      <c r="L1185" s="29" t="s">
        <v>81</v>
      </c>
      <c r="M1185" s="30" t="s">
        <v>237</v>
      </c>
      <c r="N1185" s="11" t="s">
        <v>239</v>
      </c>
    </row>
    <row r="1186">
      <c r="A1186" s="11" t="s">
        <v>57</v>
      </c>
      <c r="B1186" s="11" t="s">
        <v>20</v>
      </c>
      <c r="C1186" s="11" t="s">
        <v>1169</v>
      </c>
      <c r="D1186" s="11" t="s">
        <v>235</v>
      </c>
      <c r="E1186" s="25" t="s">
        <v>1170</v>
      </c>
      <c r="F1186" s="11" t="s">
        <v>1153</v>
      </c>
      <c r="G1186" s="11" t="s">
        <v>555</v>
      </c>
      <c r="H1186" s="87">
        <v>2012.1841746167</v>
      </c>
      <c r="I1186" s="27">
        <v>96828.0</v>
      </c>
      <c r="J1186" s="27">
        <v>94000.0</v>
      </c>
      <c r="K1186" s="28">
        <v>99000.0</v>
      </c>
      <c r="L1186" s="29" t="s">
        <v>81</v>
      </c>
      <c r="M1186" s="30" t="s">
        <v>237</v>
      </c>
      <c r="N1186" s="11" t="s">
        <v>239</v>
      </c>
    </row>
    <row r="1187">
      <c r="A1187" s="11" t="s">
        <v>57</v>
      </c>
      <c r="B1187" s="11" t="s">
        <v>20</v>
      </c>
      <c r="C1187" s="11" t="s">
        <v>1169</v>
      </c>
      <c r="D1187" s="11" t="s">
        <v>235</v>
      </c>
      <c r="E1187" s="25" t="s">
        <v>1170</v>
      </c>
      <c r="F1187" s="11" t="s">
        <v>1153</v>
      </c>
      <c r="G1187" s="11" t="s">
        <v>555</v>
      </c>
      <c r="H1187" s="87">
        <v>2014.06420012037</v>
      </c>
      <c r="I1187" s="27">
        <v>91737.0</v>
      </c>
      <c r="J1187" s="27">
        <v>89000.0</v>
      </c>
      <c r="K1187" s="28">
        <v>93000.0</v>
      </c>
      <c r="L1187" s="29" t="s">
        <v>81</v>
      </c>
      <c r="M1187" s="30" t="s">
        <v>237</v>
      </c>
      <c r="N1187" s="11" t="s">
        <v>239</v>
      </c>
    </row>
    <row r="1188">
      <c r="A1188" s="11" t="s">
        <v>57</v>
      </c>
      <c r="B1188" s="11" t="s">
        <v>20</v>
      </c>
      <c r="C1188" s="11" t="s">
        <v>1169</v>
      </c>
      <c r="D1188" s="11" t="s">
        <v>235</v>
      </c>
      <c r="E1188" s="25" t="s">
        <v>1170</v>
      </c>
      <c r="F1188" s="11" t="s">
        <v>1153</v>
      </c>
      <c r="G1188" s="11" t="s">
        <v>555</v>
      </c>
      <c r="H1188" s="87">
        <v>2016.06328246504</v>
      </c>
      <c r="I1188" s="27">
        <v>80641.0</v>
      </c>
      <c r="J1188" s="27">
        <v>79000.0</v>
      </c>
      <c r="K1188" s="28">
        <v>82000.0</v>
      </c>
      <c r="L1188" s="29" t="s">
        <v>81</v>
      </c>
      <c r="M1188" s="30" t="s">
        <v>237</v>
      </c>
      <c r="N1188" s="11" t="s">
        <v>239</v>
      </c>
    </row>
    <row r="1189">
      <c r="A1189" s="11" t="s">
        <v>57</v>
      </c>
      <c r="B1189" s="11" t="s">
        <v>20</v>
      </c>
      <c r="C1189" s="11" t="s">
        <v>1169</v>
      </c>
      <c r="D1189" s="11" t="s">
        <v>235</v>
      </c>
      <c r="E1189" s="25" t="s">
        <v>1170</v>
      </c>
      <c r="F1189" s="11" t="s">
        <v>1153</v>
      </c>
      <c r="G1189" s="11" t="s">
        <v>555</v>
      </c>
      <c r="H1189" s="87">
        <v>2018.06450997801</v>
      </c>
      <c r="I1189" s="27">
        <v>75719.0</v>
      </c>
      <c r="J1189" s="27">
        <v>74000.0</v>
      </c>
      <c r="K1189" s="28">
        <v>78000.0</v>
      </c>
      <c r="L1189" s="29" t="s">
        <v>81</v>
      </c>
      <c r="M1189" s="30" t="s">
        <v>237</v>
      </c>
      <c r="N1189" s="11" t="s">
        <v>239</v>
      </c>
    </row>
    <row r="1190">
      <c r="A1190" s="11" t="s">
        <v>57</v>
      </c>
      <c r="B1190" s="11" t="s">
        <v>20</v>
      </c>
      <c r="C1190" s="11" t="s">
        <v>1216</v>
      </c>
      <c r="D1190" s="11" t="s">
        <v>235</v>
      </c>
      <c r="E1190" s="25" t="s">
        <v>1217</v>
      </c>
      <c r="F1190" s="11" t="s">
        <v>1153</v>
      </c>
      <c r="G1190" s="11" t="s">
        <v>555</v>
      </c>
      <c r="H1190" s="87">
        <v>1990.0</v>
      </c>
      <c r="I1190" s="27">
        <v>238000.0</v>
      </c>
      <c r="J1190" s="27">
        <v>231000.0</v>
      </c>
      <c r="K1190" s="28">
        <v>243000.0</v>
      </c>
      <c r="L1190" s="29" t="s">
        <v>260</v>
      </c>
      <c r="M1190" s="30" t="s">
        <v>237</v>
      </c>
      <c r="N1190" s="11" t="s">
        <v>239</v>
      </c>
    </row>
    <row r="1191">
      <c r="A1191" s="11" t="s">
        <v>57</v>
      </c>
      <c r="B1191" s="11" t="s">
        <v>20</v>
      </c>
      <c r="C1191" s="11" t="s">
        <v>1216</v>
      </c>
      <c r="D1191" s="11" t="s">
        <v>235</v>
      </c>
      <c r="E1191" s="25" t="s">
        <v>1217</v>
      </c>
      <c r="F1191" s="11" t="s">
        <v>1153</v>
      </c>
      <c r="G1191" s="11" t="s">
        <v>555</v>
      </c>
      <c r="H1191" s="87">
        <v>1990.99290780142</v>
      </c>
      <c r="I1191" s="27">
        <v>233000.0</v>
      </c>
      <c r="J1191" s="27">
        <v>224000.0</v>
      </c>
      <c r="K1191" s="28">
        <v>243000.0</v>
      </c>
      <c r="L1191" s="29" t="s">
        <v>260</v>
      </c>
      <c r="M1191" s="30" t="s">
        <v>237</v>
      </c>
      <c r="N1191" s="11" t="s">
        <v>239</v>
      </c>
    </row>
    <row r="1192">
      <c r="A1192" s="11" t="s">
        <v>57</v>
      </c>
      <c r="B1192" s="11" t="s">
        <v>20</v>
      </c>
      <c r="C1192" s="11" t="s">
        <v>1216</v>
      </c>
      <c r="D1192" s="11" t="s">
        <v>235</v>
      </c>
      <c r="E1192" s="25" t="s">
        <v>1217</v>
      </c>
      <c r="F1192" s="11" t="s">
        <v>1153</v>
      </c>
      <c r="G1192" s="11" t="s">
        <v>555</v>
      </c>
      <c r="H1192" s="87">
        <v>1992.02127659574</v>
      </c>
      <c r="I1192" s="27">
        <v>224000.0</v>
      </c>
      <c r="J1192" s="27">
        <v>217000.0</v>
      </c>
      <c r="K1192" s="28">
        <v>229000.0</v>
      </c>
      <c r="L1192" s="29" t="s">
        <v>260</v>
      </c>
      <c r="M1192" s="30" t="s">
        <v>237</v>
      </c>
      <c r="N1192" s="11" t="s">
        <v>239</v>
      </c>
    </row>
    <row r="1193">
      <c r="A1193" s="11" t="s">
        <v>57</v>
      </c>
      <c r="B1193" s="11" t="s">
        <v>20</v>
      </c>
      <c r="C1193" s="11" t="s">
        <v>1216</v>
      </c>
      <c r="D1193" s="11" t="s">
        <v>235</v>
      </c>
      <c r="E1193" s="25" t="s">
        <v>1217</v>
      </c>
      <c r="F1193" s="11" t="s">
        <v>1153</v>
      </c>
      <c r="G1193" s="11" t="s">
        <v>555</v>
      </c>
      <c r="H1193" s="87">
        <v>1993.01418439716</v>
      </c>
      <c r="I1193" s="27">
        <v>225000.0</v>
      </c>
      <c r="J1193" s="27">
        <v>217000.0</v>
      </c>
      <c r="K1193" s="28">
        <v>234000.0</v>
      </c>
      <c r="L1193" s="29" t="s">
        <v>260</v>
      </c>
      <c r="M1193" s="30" t="s">
        <v>237</v>
      </c>
      <c r="N1193" s="11" t="s">
        <v>239</v>
      </c>
    </row>
    <row r="1194">
      <c r="A1194" s="11" t="s">
        <v>57</v>
      </c>
      <c r="B1194" s="11" t="s">
        <v>20</v>
      </c>
      <c r="C1194" s="11" t="s">
        <v>1216</v>
      </c>
      <c r="D1194" s="11" t="s">
        <v>235</v>
      </c>
      <c r="E1194" s="25" t="s">
        <v>1217</v>
      </c>
      <c r="F1194" s="11" t="s">
        <v>1153</v>
      </c>
      <c r="G1194" s="11" t="s">
        <v>555</v>
      </c>
      <c r="H1194" s="87">
        <v>1994.00709219858</v>
      </c>
      <c r="I1194" s="27">
        <v>228771.0</v>
      </c>
      <c r="J1194" s="27">
        <v>222000.0</v>
      </c>
      <c r="K1194" s="28">
        <v>230000.0</v>
      </c>
      <c r="L1194" s="29" t="s">
        <v>81</v>
      </c>
      <c r="M1194" s="30" t="s">
        <v>237</v>
      </c>
      <c r="N1194" s="11" t="s">
        <v>239</v>
      </c>
    </row>
    <row r="1195">
      <c r="A1195" s="11" t="s">
        <v>57</v>
      </c>
      <c r="B1195" s="11" t="s">
        <v>20</v>
      </c>
      <c r="C1195" s="11" t="s">
        <v>1216</v>
      </c>
      <c r="D1195" s="11" t="s">
        <v>235</v>
      </c>
      <c r="E1195" s="25" t="s">
        <v>1217</v>
      </c>
      <c r="F1195" s="11" t="s">
        <v>1153</v>
      </c>
      <c r="G1195" s="11" t="s">
        <v>555</v>
      </c>
      <c r="H1195" s="87">
        <v>1995.03546099291</v>
      </c>
      <c r="I1195" s="27">
        <v>229511.0</v>
      </c>
      <c r="J1195" s="27">
        <v>210000.0</v>
      </c>
      <c r="K1195" s="28">
        <v>227000.0</v>
      </c>
      <c r="L1195" s="29" t="s">
        <v>81</v>
      </c>
      <c r="M1195" s="30" t="s">
        <v>237</v>
      </c>
      <c r="N1195" s="11" t="s">
        <v>239</v>
      </c>
    </row>
    <row r="1196">
      <c r="A1196" s="11" t="s">
        <v>57</v>
      </c>
      <c r="B1196" s="11" t="s">
        <v>20</v>
      </c>
      <c r="C1196" s="11" t="s">
        <v>1216</v>
      </c>
      <c r="D1196" s="11" t="s">
        <v>235</v>
      </c>
      <c r="E1196" s="25" t="s">
        <v>1217</v>
      </c>
      <c r="F1196" s="11" t="s">
        <v>1153</v>
      </c>
      <c r="G1196" s="11" t="s">
        <v>555</v>
      </c>
      <c r="H1196" s="87">
        <v>1996.02836879433</v>
      </c>
      <c r="I1196" s="27">
        <v>211673.0</v>
      </c>
      <c r="J1196" s="27">
        <v>210000.0</v>
      </c>
      <c r="K1196" s="28">
        <v>224000.0</v>
      </c>
      <c r="L1196" s="29" t="s">
        <v>81</v>
      </c>
      <c r="M1196" s="30" t="s">
        <v>237</v>
      </c>
      <c r="N1196" s="11" t="s">
        <v>239</v>
      </c>
    </row>
    <row r="1197">
      <c r="A1197" s="11" t="s">
        <v>57</v>
      </c>
      <c r="B1197" s="11" t="s">
        <v>20</v>
      </c>
      <c r="C1197" s="11" t="s">
        <v>1216</v>
      </c>
      <c r="D1197" s="11" t="s">
        <v>235</v>
      </c>
      <c r="E1197" s="25" t="s">
        <v>1217</v>
      </c>
      <c r="F1197" s="11" t="s">
        <v>1153</v>
      </c>
      <c r="G1197" s="11" t="s">
        <v>555</v>
      </c>
      <c r="H1197" s="87">
        <v>1997.02127659574</v>
      </c>
      <c r="I1197" s="27">
        <v>215497.0</v>
      </c>
      <c r="J1197" s="27">
        <v>203000.0</v>
      </c>
      <c r="K1197" s="28">
        <v>218000.0</v>
      </c>
      <c r="L1197" s="29" t="s">
        <v>81</v>
      </c>
      <c r="M1197" s="30" t="s">
        <v>237</v>
      </c>
      <c r="N1197" s="11" t="s">
        <v>239</v>
      </c>
    </row>
    <row r="1198">
      <c r="A1198" s="11" t="s">
        <v>57</v>
      </c>
      <c r="B1198" s="11" t="s">
        <v>20</v>
      </c>
      <c r="C1198" s="11" t="s">
        <v>1216</v>
      </c>
      <c r="D1198" s="11" t="s">
        <v>235</v>
      </c>
      <c r="E1198" s="25" t="s">
        <v>1217</v>
      </c>
      <c r="F1198" s="11" t="s">
        <v>1153</v>
      </c>
      <c r="G1198" s="11" t="s">
        <v>555</v>
      </c>
      <c r="H1198" s="87">
        <v>1998.04964539007</v>
      </c>
      <c r="I1198" s="27">
        <v>219226.0</v>
      </c>
      <c r="J1198" s="27">
        <v>198000.0</v>
      </c>
      <c r="K1198" s="28">
        <v>215000.0</v>
      </c>
      <c r="L1198" s="29" t="s">
        <v>81</v>
      </c>
      <c r="M1198" s="30" t="s">
        <v>237</v>
      </c>
      <c r="N1198" s="11" t="s">
        <v>239</v>
      </c>
    </row>
    <row r="1199">
      <c r="A1199" s="11" t="s">
        <v>57</v>
      </c>
      <c r="B1199" s="11" t="s">
        <v>20</v>
      </c>
      <c r="C1199" s="11" t="s">
        <v>1216</v>
      </c>
      <c r="D1199" s="11" t="s">
        <v>235</v>
      </c>
      <c r="E1199" s="25" t="s">
        <v>1217</v>
      </c>
      <c r="F1199" s="11" t="s">
        <v>1153</v>
      </c>
      <c r="G1199" s="11" t="s">
        <v>555</v>
      </c>
      <c r="H1199" s="87">
        <v>2000.03546099291</v>
      </c>
      <c r="I1199" s="27">
        <v>196899.0</v>
      </c>
      <c r="J1199" s="27">
        <v>188000.0</v>
      </c>
      <c r="K1199" s="28">
        <v>208000.0</v>
      </c>
      <c r="L1199" s="29" t="s">
        <v>81</v>
      </c>
      <c r="M1199" s="30" t="s">
        <v>237</v>
      </c>
      <c r="N1199" s="11" t="s">
        <v>239</v>
      </c>
    </row>
    <row r="1200">
      <c r="A1200" s="11" t="s">
        <v>57</v>
      </c>
      <c r="B1200" s="11" t="s">
        <v>20</v>
      </c>
      <c r="C1200" s="11" t="s">
        <v>1216</v>
      </c>
      <c r="D1200" s="11" t="s">
        <v>235</v>
      </c>
      <c r="E1200" s="25" t="s">
        <v>1217</v>
      </c>
      <c r="F1200" s="11" t="s">
        <v>1153</v>
      </c>
      <c r="G1200" s="11" t="s">
        <v>555</v>
      </c>
      <c r="H1200" s="87">
        <v>2002.02127659574</v>
      </c>
      <c r="I1200" s="27">
        <v>176667.0</v>
      </c>
      <c r="J1200" s="27">
        <v>173000.0</v>
      </c>
      <c r="K1200" s="28">
        <v>193000.0</v>
      </c>
      <c r="L1200" s="29" t="s">
        <v>81</v>
      </c>
      <c r="M1200" s="30" t="s">
        <v>237</v>
      </c>
      <c r="N1200" s="11" t="s">
        <v>239</v>
      </c>
    </row>
    <row r="1201">
      <c r="A1201" s="11" t="s">
        <v>57</v>
      </c>
      <c r="B1201" s="11" t="s">
        <v>20</v>
      </c>
      <c r="C1201" s="11" t="s">
        <v>1216</v>
      </c>
      <c r="D1201" s="11" t="s">
        <v>235</v>
      </c>
      <c r="E1201" s="25" t="s">
        <v>1217</v>
      </c>
      <c r="F1201" s="11" t="s">
        <v>1153</v>
      </c>
      <c r="G1201" s="11" t="s">
        <v>555</v>
      </c>
      <c r="H1201" s="87">
        <v>2004.04255319149</v>
      </c>
      <c r="I1201" s="27">
        <v>153059.0</v>
      </c>
      <c r="J1201" s="27">
        <v>152000.0</v>
      </c>
      <c r="K1201" s="28">
        <v>170000.0</v>
      </c>
      <c r="L1201" s="29" t="s">
        <v>81</v>
      </c>
      <c r="M1201" s="30" t="s">
        <v>237</v>
      </c>
      <c r="N1201" s="11" t="s">
        <v>239</v>
      </c>
    </row>
    <row r="1202">
      <c r="A1202" s="11" t="s">
        <v>57</v>
      </c>
      <c r="B1202" s="11" t="s">
        <v>20</v>
      </c>
      <c r="C1202" s="11" t="s">
        <v>1216</v>
      </c>
      <c r="D1202" s="11" t="s">
        <v>235</v>
      </c>
      <c r="E1202" s="25" t="s">
        <v>1217</v>
      </c>
      <c r="F1202" s="11" t="s">
        <v>1153</v>
      </c>
      <c r="G1202" s="11" t="s">
        <v>555</v>
      </c>
      <c r="H1202" s="87">
        <v>2005.0</v>
      </c>
      <c r="I1202" s="27">
        <v>160594.0</v>
      </c>
      <c r="J1202" s="27">
        <v>151000.0</v>
      </c>
      <c r="K1202" s="28">
        <v>160000.0</v>
      </c>
      <c r="L1202" s="29" t="s">
        <v>81</v>
      </c>
      <c r="M1202" s="30" t="s">
        <v>237</v>
      </c>
      <c r="N1202" s="11" t="s">
        <v>239</v>
      </c>
    </row>
    <row r="1203">
      <c r="A1203" s="11" t="s">
        <v>57</v>
      </c>
      <c r="B1203" s="11" t="s">
        <v>20</v>
      </c>
      <c r="C1203" s="11" t="s">
        <v>1216</v>
      </c>
      <c r="D1203" s="11" t="s">
        <v>235</v>
      </c>
      <c r="E1203" s="25" t="s">
        <v>1217</v>
      </c>
      <c r="F1203" s="11" t="s">
        <v>1153</v>
      </c>
      <c r="G1203" s="11" t="s">
        <v>555</v>
      </c>
      <c r="H1203" s="87">
        <v>2006.02836879433</v>
      </c>
      <c r="I1203" s="27">
        <v>147900.0</v>
      </c>
      <c r="J1203" s="27">
        <v>142000.0</v>
      </c>
      <c r="K1203" s="28">
        <v>160000.0</v>
      </c>
      <c r="L1203" s="29" t="s">
        <v>81</v>
      </c>
      <c r="M1203" s="30" t="s">
        <v>237</v>
      </c>
      <c r="N1203" s="11" t="s">
        <v>239</v>
      </c>
    </row>
    <row r="1204">
      <c r="A1204" s="11" t="s">
        <v>57</v>
      </c>
      <c r="B1204" s="11" t="s">
        <v>20</v>
      </c>
      <c r="C1204" s="11" t="s">
        <v>1216</v>
      </c>
      <c r="D1204" s="11" t="s">
        <v>235</v>
      </c>
      <c r="E1204" s="25" t="s">
        <v>1217</v>
      </c>
      <c r="F1204" s="11" t="s">
        <v>1153</v>
      </c>
      <c r="G1204" s="11" t="s">
        <v>555</v>
      </c>
      <c r="H1204" s="87">
        <v>2007.02127659574</v>
      </c>
      <c r="I1204" s="27">
        <v>152867.0</v>
      </c>
      <c r="J1204" s="27">
        <v>145000.0</v>
      </c>
      <c r="K1204" s="28">
        <v>155000.0</v>
      </c>
      <c r="L1204" s="29" t="s">
        <v>81</v>
      </c>
      <c r="M1204" s="30" t="s">
        <v>237</v>
      </c>
      <c r="N1204" s="11" t="s">
        <v>239</v>
      </c>
    </row>
    <row r="1205">
      <c r="A1205" s="11" t="s">
        <v>57</v>
      </c>
      <c r="B1205" s="11" t="s">
        <v>20</v>
      </c>
      <c r="C1205" s="11" t="s">
        <v>1216</v>
      </c>
      <c r="D1205" s="11" t="s">
        <v>235</v>
      </c>
      <c r="E1205" s="25" t="s">
        <v>1217</v>
      </c>
      <c r="F1205" s="11" t="s">
        <v>1153</v>
      </c>
      <c r="G1205" s="11" t="s">
        <v>555</v>
      </c>
      <c r="H1205" s="87">
        <v>2008.04964539007</v>
      </c>
      <c r="I1205" s="27">
        <v>145149.0</v>
      </c>
      <c r="J1205" s="27">
        <v>135000.0</v>
      </c>
      <c r="K1205" s="28">
        <v>162000.0</v>
      </c>
      <c r="L1205" s="29" t="s">
        <v>81</v>
      </c>
      <c r="M1205" s="30" t="s">
        <v>237</v>
      </c>
      <c r="N1205" s="11" t="s">
        <v>239</v>
      </c>
    </row>
    <row r="1206">
      <c r="A1206" s="11" t="s">
        <v>57</v>
      </c>
      <c r="B1206" s="11" t="s">
        <v>20</v>
      </c>
      <c r="C1206" s="11" t="s">
        <v>1216</v>
      </c>
      <c r="D1206" s="11" t="s">
        <v>235</v>
      </c>
      <c r="E1206" s="25" t="s">
        <v>1217</v>
      </c>
      <c r="F1206" s="11" t="s">
        <v>1153</v>
      </c>
      <c r="G1206" s="11" t="s">
        <v>555</v>
      </c>
      <c r="H1206" s="87">
        <v>2010.03546099291</v>
      </c>
      <c r="I1206" s="27">
        <v>136790.0</v>
      </c>
      <c r="J1206" s="27">
        <v>127000.0</v>
      </c>
      <c r="K1206" s="28">
        <v>159000.0</v>
      </c>
      <c r="L1206" s="29" t="s">
        <v>81</v>
      </c>
      <c r="M1206" s="30" t="s">
        <v>237</v>
      </c>
      <c r="N1206" s="11" t="s">
        <v>239</v>
      </c>
    </row>
    <row r="1207">
      <c r="A1207" s="11" t="s">
        <v>57</v>
      </c>
      <c r="B1207" s="11" t="s">
        <v>20</v>
      </c>
      <c r="C1207" s="11" t="s">
        <v>1216</v>
      </c>
      <c r="D1207" s="11" t="s">
        <v>235</v>
      </c>
      <c r="E1207" s="25" t="s">
        <v>1217</v>
      </c>
      <c r="F1207" s="11" t="s">
        <v>1153</v>
      </c>
      <c r="G1207" s="11" t="s">
        <v>555</v>
      </c>
      <c r="H1207" s="87">
        <v>2011.02836879433</v>
      </c>
      <c r="I1207" s="27">
        <v>142121.0</v>
      </c>
      <c r="J1207" s="27">
        <v>138000.0</v>
      </c>
      <c r="K1207" s="28">
        <v>146000.0</v>
      </c>
      <c r="L1207" s="29" t="s">
        <v>81</v>
      </c>
      <c r="M1207" s="30" t="s">
        <v>237</v>
      </c>
      <c r="N1207" s="11" t="s">
        <v>239</v>
      </c>
    </row>
    <row r="1208">
      <c r="A1208" s="11" t="s">
        <v>57</v>
      </c>
      <c r="B1208" s="11" t="s">
        <v>20</v>
      </c>
      <c r="C1208" s="11" t="s">
        <v>1216</v>
      </c>
      <c r="D1208" s="11" t="s">
        <v>235</v>
      </c>
      <c r="E1208" s="25" t="s">
        <v>1217</v>
      </c>
      <c r="F1208" s="11" t="s">
        <v>1153</v>
      </c>
      <c r="G1208" s="11" t="s">
        <v>555</v>
      </c>
      <c r="H1208" s="87">
        <v>2012.02127659574</v>
      </c>
      <c r="I1208" s="27">
        <v>142658.0</v>
      </c>
      <c r="J1208" s="27">
        <v>127000.0</v>
      </c>
      <c r="K1208" s="28">
        <v>163000.0</v>
      </c>
      <c r="L1208" s="29" t="s">
        <v>81</v>
      </c>
      <c r="M1208" s="30" t="s">
        <v>237</v>
      </c>
      <c r="N1208" s="11" t="s">
        <v>239</v>
      </c>
    </row>
    <row r="1209">
      <c r="A1209" s="11" t="s">
        <v>57</v>
      </c>
      <c r="B1209" s="11" t="s">
        <v>20</v>
      </c>
      <c r="C1209" s="11" t="s">
        <v>1216</v>
      </c>
      <c r="D1209" s="11" t="s">
        <v>235</v>
      </c>
      <c r="E1209" s="25" t="s">
        <v>1217</v>
      </c>
      <c r="F1209" s="11" t="s">
        <v>1153</v>
      </c>
      <c r="G1209" s="11" t="s">
        <v>555</v>
      </c>
      <c r="H1209" s="87">
        <v>2014.0780141844</v>
      </c>
      <c r="I1209" s="27">
        <v>138829.0</v>
      </c>
      <c r="J1209" s="27">
        <v>127000.0</v>
      </c>
      <c r="K1209" s="28">
        <v>165000.0</v>
      </c>
      <c r="L1209" s="29" t="s">
        <v>81</v>
      </c>
      <c r="M1209" s="30" t="s">
        <v>237</v>
      </c>
      <c r="N1209" s="11" t="s">
        <v>239</v>
      </c>
    </row>
    <row r="1210">
      <c r="A1210" s="11" t="s">
        <v>57</v>
      </c>
      <c r="B1210" s="11" t="s">
        <v>20</v>
      </c>
      <c r="C1210" s="11" t="s">
        <v>1216</v>
      </c>
      <c r="D1210" s="11" t="s">
        <v>235</v>
      </c>
      <c r="E1210" s="25" t="s">
        <v>1217</v>
      </c>
      <c r="F1210" s="11" t="s">
        <v>1153</v>
      </c>
      <c r="G1210" s="11" t="s">
        <v>555</v>
      </c>
      <c r="H1210" s="87">
        <v>2015.03546099291</v>
      </c>
      <c r="I1210" s="27">
        <v>143674.0</v>
      </c>
      <c r="J1210" s="27">
        <v>135000.0</v>
      </c>
      <c r="K1210" s="28">
        <v>142000.0</v>
      </c>
      <c r="L1210" s="29" t="s">
        <v>81</v>
      </c>
      <c r="M1210" s="30" t="s">
        <v>237</v>
      </c>
      <c r="N1210" s="11" t="s">
        <v>239</v>
      </c>
    </row>
    <row r="1211">
      <c r="A1211" s="11" t="s">
        <v>57</v>
      </c>
      <c r="B1211" s="11" t="s">
        <v>20</v>
      </c>
      <c r="C1211" s="11" t="s">
        <v>1216</v>
      </c>
      <c r="D1211" s="11" t="s">
        <v>235</v>
      </c>
      <c r="E1211" s="25" t="s">
        <v>1217</v>
      </c>
      <c r="F1211" s="11" t="s">
        <v>1153</v>
      </c>
      <c r="G1211" s="11" t="s">
        <v>555</v>
      </c>
      <c r="H1211" s="87">
        <v>2016.06382978723</v>
      </c>
      <c r="I1211" s="27">
        <v>134131.0</v>
      </c>
      <c r="J1211" s="27">
        <v>119000.0</v>
      </c>
      <c r="K1211" s="28">
        <v>162000.0</v>
      </c>
      <c r="L1211" s="29" t="s">
        <v>81</v>
      </c>
      <c r="M1211" s="30" t="s">
        <v>237</v>
      </c>
      <c r="N1211" s="11" t="s">
        <v>239</v>
      </c>
    </row>
    <row r="1212">
      <c r="A1212" s="11" t="s">
        <v>57</v>
      </c>
      <c r="B1212" s="11" t="s">
        <v>20</v>
      </c>
      <c r="C1212" s="11" t="s">
        <v>1216</v>
      </c>
      <c r="D1212" s="11" t="s">
        <v>235</v>
      </c>
      <c r="E1212" s="25" t="s">
        <v>1217</v>
      </c>
      <c r="F1212" s="11" t="s">
        <v>1153</v>
      </c>
      <c r="G1212" s="11" t="s">
        <v>555</v>
      </c>
      <c r="H1212" s="87">
        <v>2018.04964539007</v>
      </c>
      <c r="I1212" s="27">
        <v>130344.0</v>
      </c>
      <c r="J1212" s="27">
        <v>115000.0</v>
      </c>
      <c r="K1212" s="28">
        <v>168000.0</v>
      </c>
      <c r="L1212" s="29" t="s">
        <v>81</v>
      </c>
      <c r="M1212" s="30" t="s">
        <v>237</v>
      </c>
      <c r="N1212" s="11" t="s">
        <v>239</v>
      </c>
    </row>
    <row r="1213">
      <c r="A1213" s="11" t="s">
        <v>57</v>
      </c>
      <c r="B1213" s="11" t="s">
        <v>20</v>
      </c>
      <c r="C1213" s="11" t="s">
        <v>1216</v>
      </c>
      <c r="D1213" s="11" t="s">
        <v>235</v>
      </c>
      <c r="E1213" s="25" t="s">
        <v>1217</v>
      </c>
      <c r="F1213" s="11" t="s">
        <v>1153</v>
      </c>
      <c r="G1213" s="11" t="s">
        <v>555</v>
      </c>
      <c r="H1213" s="87">
        <v>2019.0780141844</v>
      </c>
      <c r="I1213" s="27">
        <v>138609.0</v>
      </c>
      <c r="J1213" s="27">
        <v>131000.0</v>
      </c>
      <c r="K1213" s="28">
        <v>141000.0</v>
      </c>
      <c r="L1213" s="29" t="s">
        <v>81</v>
      </c>
      <c r="M1213" s="30" t="s">
        <v>237</v>
      </c>
      <c r="N1213" s="11" t="s">
        <v>239</v>
      </c>
    </row>
    <row r="1214">
      <c r="A1214" s="45" t="s">
        <v>57</v>
      </c>
      <c r="B1214" s="45" t="s">
        <v>20</v>
      </c>
      <c r="C1214" s="45" t="s">
        <v>1229</v>
      </c>
      <c r="D1214" s="45" t="s">
        <v>1230</v>
      </c>
      <c r="E1214" s="11" t="s">
        <v>1231</v>
      </c>
      <c r="F1214" s="25" t="s">
        <v>257</v>
      </c>
      <c r="G1214" s="45" t="s">
        <v>1053</v>
      </c>
      <c r="H1214" s="127">
        <v>1991.0</v>
      </c>
      <c r="I1214" s="116">
        <v>4578.0</v>
      </c>
      <c r="J1214" s="116">
        <v>950.0</v>
      </c>
      <c r="K1214" s="128">
        <v>13195.0</v>
      </c>
      <c r="L1214" s="29" t="s">
        <v>939</v>
      </c>
      <c r="M1214" s="110" t="s">
        <v>1232</v>
      </c>
      <c r="N1214" s="52"/>
      <c r="O1214" s="25" t="s">
        <v>1233</v>
      </c>
      <c r="P1214" s="51"/>
      <c r="Q1214" s="51"/>
      <c r="R1214" s="51"/>
      <c r="S1214" s="51"/>
      <c r="T1214" s="51"/>
      <c r="U1214" s="51"/>
      <c r="V1214" s="51"/>
      <c r="W1214" s="51"/>
      <c r="X1214" s="51"/>
      <c r="Y1214" s="51"/>
      <c r="Z1214" s="51"/>
      <c r="AA1214" s="51"/>
      <c r="AB1214" s="51"/>
      <c r="AC1214" s="51"/>
      <c r="AD1214" s="51"/>
      <c r="AE1214" s="51"/>
      <c r="AF1214" s="51"/>
      <c r="AG1214" s="51"/>
      <c r="AH1214" s="51"/>
    </row>
    <row r="1215">
      <c r="A1215" s="45" t="s">
        <v>57</v>
      </c>
      <c r="B1215" s="45" t="s">
        <v>20</v>
      </c>
      <c r="C1215" s="45" t="s">
        <v>1229</v>
      </c>
      <c r="D1215" s="45" t="s">
        <v>1230</v>
      </c>
      <c r="E1215" s="11" t="s">
        <v>1231</v>
      </c>
      <c r="F1215" s="25" t="s">
        <v>257</v>
      </c>
      <c r="G1215" s="45" t="s">
        <v>1053</v>
      </c>
      <c r="H1215" s="127">
        <v>1993.0</v>
      </c>
      <c r="I1215" s="116">
        <v>5110.0</v>
      </c>
      <c r="J1215" s="116">
        <v>1937.0</v>
      </c>
      <c r="K1215" s="128">
        <v>16450.0</v>
      </c>
      <c r="L1215" s="29" t="s">
        <v>939</v>
      </c>
      <c r="M1215" s="110" t="s">
        <v>1232</v>
      </c>
      <c r="N1215" s="52"/>
      <c r="O1215" s="25" t="s">
        <v>1233</v>
      </c>
      <c r="P1215" s="51"/>
      <c r="Q1215" s="51"/>
      <c r="R1215" s="51"/>
      <c r="S1215" s="51"/>
      <c r="T1215" s="51"/>
      <c r="U1215" s="51"/>
      <c r="V1215" s="51"/>
      <c r="W1215" s="51"/>
      <c r="X1215" s="51"/>
      <c r="Y1215" s="51"/>
      <c r="Z1215" s="51"/>
      <c r="AA1215" s="51"/>
      <c r="AB1215" s="51"/>
      <c r="AC1215" s="51"/>
      <c r="AD1215" s="51"/>
      <c r="AE1215" s="51"/>
      <c r="AF1215" s="51"/>
      <c r="AG1215" s="51"/>
      <c r="AH1215" s="51"/>
    </row>
    <row r="1216">
      <c r="A1216" s="45" t="s">
        <v>57</v>
      </c>
      <c r="B1216" s="45" t="s">
        <v>20</v>
      </c>
      <c r="C1216" s="45" t="s">
        <v>1229</v>
      </c>
      <c r="D1216" s="45" t="s">
        <v>1230</v>
      </c>
      <c r="E1216" s="11" t="s">
        <v>1231</v>
      </c>
      <c r="F1216" s="25" t="s">
        <v>257</v>
      </c>
      <c r="G1216" s="45" t="s">
        <v>1053</v>
      </c>
      <c r="H1216" s="127">
        <v>1996.0</v>
      </c>
      <c r="I1216" s="116">
        <v>28811.0</v>
      </c>
      <c r="J1216" s="116">
        <v>12485.0</v>
      </c>
      <c r="K1216" s="128">
        <v>65092.0</v>
      </c>
      <c r="L1216" s="29" t="s">
        <v>939</v>
      </c>
      <c r="M1216" s="110" t="s">
        <v>1232</v>
      </c>
      <c r="N1216" s="52"/>
      <c r="O1216" s="25"/>
      <c r="P1216" s="51"/>
      <c r="Q1216" s="51"/>
      <c r="R1216" s="51"/>
      <c r="S1216" s="51"/>
      <c r="T1216" s="51"/>
      <c r="U1216" s="51"/>
      <c r="V1216" s="51"/>
      <c r="W1216" s="51"/>
      <c r="X1216" s="51"/>
      <c r="Y1216" s="51"/>
      <c r="Z1216" s="51"/>
      <c r="AA1216" s="51"/>
      <c r="AB1216" s="51"/>
      <c r="AC1216" s="51"/>
      <c r="AD1216" s="51"/>
      <c r="AE1216" s="51"/>
      <c r="AF1216" s="51"/>
      <c r="AG1216" s="51"/>
      <c r="AH1216" s="51"/>
    </row>
    <row r="1217">
      <c r="A1217" s="45" t="s">
        <v>57</v>
      </c>
      <c r="B1217" s="45" t="s">
        <v>20</v>
      </c>
      <c r="C1217" s="45" t="s">
        <v>1229</v>
      </c>
      <c r="D1217" s="45" t="s">
        <v>1230</v>
      </c>
      <c r="E1217" s="11" t="s">
        <v>1231</v>
      </c>
      <c r="F1217" s="25" t="s">
        <v>257</v>
      </c>
      <c r="G1217" s="45" t="s">
        <v>1053</v>
      </c>
      <c r="H1217" s="127">
        <v>2001.0</v>
      </c>
      <c r="I1217" s="116">
        <v>18124.0</v>
      </c>
      <c r="J1217" s="116">
        <v>9507.0</v>
      </c>
      <c r="K1217" s="128">
        <v>33545.0</v>
      </c>
      <c r="L1217" s="29" t="s">
        <v>939</v>
      </c>
      <c r="M1217" s="110" t="s">
        <v>1232</v>
      </c>
      <c r="N1217" s="52"/>
      <c r="O1217" s="25"/>
      <c r="P1217" s="51"/>
      <c r="Q1217" s="51"/>
      <c r="R1217" s="51"/>
      <c r="S1217" s="51"/>
      <c r="T1217" s="51"/>
      <c r="U1217" s="51"/>
      <c r="V1217" s="51"/>
      <c r="W1217" s="51"/>
      <c r="X1217" s="51"/>
      <c r="Y1217" s="51"/>
      <c r="Z1217" s="51"/>
      <c r="AA1217" s="51"/>
      <c r="AB1217" s="51"/>
      <c r="AC1217" s="51"/>
      <c r="AD1217" s="51"/>
      <c r="AE1217" s="51"/>
      <c r="AF1217" s="51"/>
      <c r="AG1217" s="51"/>
      <c r="AH1217" s="51"/>
    </row>
    <row r="1218">
      <c r="A1218" s="45" t="s">
        <v>57</v>
      </c>
      <c r="B1218" s="45" t="s">
        <v>20</v>
      </c>
      <c r="C1218" s="45" t="s">
        <v>1229</v>
      </c>
      <c r="D1218" s="45" t="s">
        <v>1230</v>
      </c>
      <c r="E1218" s="11" t="s">
        <v>1231</v>
      </c>
      <c r="F1218" s="25" t="s">
        <v>257</v>
      </c>
      <c r="G1218" s="45" t="s">
        <v>1053</v>
      </c>
      <c r="H1218" s="127">
        <v>2005.0</v>
      </c>
      <c r="I1218" s="116">
        <v>42317.0</v>
      </c>
      <c r="J1218" s="116">
        <v>12840.0</v>
      </c>
      <c r="K1218" s="128">
        <v>136649.0</v>
      </c>
      <c r="L1218" s="29" t="s">
        <v>939</v>
      </c>
      <c r="M1218" s="110" t="s">
        <v>1232</v>
      </c>
      <c r="N1218" s="52"/>
      <c r="O1218" s="25"/>
      <c r="P1218" s="51"/>
      <c r="Q1218" s="51"/>
      <c r="R1218" s="51"/>
      <c r="S1218" s="51"/>
      <c r="T1218" s="51"/>
      <c r="U1218" s="51"/>
      <c r="V1218" s="51"/>
      <c r="W1218" s="51"/>
      <c r="X1218" s="51"/>
      <c r="Y1218" s="51"/>
      <c r="Z1218" s="51"/>
      <c r="AA1218" s="51"/>
      <c r="AB1218" s="51"/>
      <c r="AC1218" s="51"/>
      <c r="AD1218" s="51"/>
      <c r="AE1218" s="51"/>
      <c r="AF1218" s="51"/>
      <c r="AG1218" s="51"/>
      <c r="AH1218" s="51"/>
    </row>
    <row r="1219">
      <c r="A1219" s="45" t="s">
        <v>57</v>
      </c>
      <c r="B1219" s="45" t="s">
        <v>20</v>
      </c>
      <c r="C1219" s="45" t="s">
        <v>1229</v>
      </c>
      <c r="D1219" s="45" t="s">
        <v>1230</v>
      </c>
      <c r="E1219" s="11" t="s">
        <v>1231</v>
      </c>
      <c r="F1219" s="25" t="s">
        <v>257</v>
      </c>
      <c r="G1219" s="45" t="s">
        <v>1053</v>
      </c>
      <c r="H1219" s="127">
        <v>2008.0</v>
      </c>
      <c r="I1219" s="116">
        <v>12958.0</v>
      </c>
      <c r="J1219" s="116">
        <v>5248.0</v>
      </c>
      <c r="K1219" s="128">
        <v>32006.0</v>
      </c>
      <c r="L1219" s="29" t="s">
        <v>939</v>
      </c>
      <c r="M1219" s="110" t="s">
        <v>1232</v>
      </c>
      <c r="N1219" s="52"/>
      <c r="O1219" s="25"/>
      <c r="P1219" s="51"/>
      <c r="Q1219" s="51"/>
      <c r="R1219" s="51"/>
      <c r="S1219" s="51"/>
      <c r="T1219" s="51"/>
      <c r="U1219" s="51"/>
      <c r="V1219" s="51"/>
      <c r="W1219" s="51"/>
      <c r="X1219" s="51"/>
      <c r="Y1219" s="51"/>
      <c r="Z1219" s="51"/>
      <c r="AA1219" s="51"/>
      <c r="AB1219" s="51"/>
      <c r="AC1219" s="51"/>
      <c r="AD1219" s="51"/>
      <c r="AE1219" s="51"/>
      <c r="AF1219" s="51"/>
      <c r="AG1219" s="51"/>
      <c r="AH1219" s="51"/>
    </row>
    <row r="1220">
      <c r="A1220" s="45" t="s">
        <v>57</v>
      </c>
      <c r="B1220" s="45" t="s">
        <v>20</v>
      </c>
      <c r="C1220" s="45" t="s">
        <v>1229</v>
      </c>
      <c r="D1220" s="45" t="s">
        <v>1230</v>
      </c>
      <c r="E1220" s="11" t="s">
        <v>1231</v>
      </c>
      <c r="F1220" s="25" t="s">
        <v>257</v>
      </c>
      <c r="G1220" s="45" t="s">
        <v>1053</v>
      </c>
      <c r="H1220" s="127">
        <v>2014.0</v>
      </c>
      <c r="I1220" s="116">
        <v>55370.0</v>
      </c>
      <c r="J1220" s="116">
        <v>14102.0</v>
      </c>
      <c r="K1220" s="128">
        <v>220905.0</v>
      </c>
      <c r="L1220" s="29" t="s">
        <v>939</v>
      </c>
      <c r="M1220" s="110" t="s">
        <v>1232</v>
      </c>
      <c r="N1220" s="52"/>
      <c r="O1220" s="25"/>
      <c r="P1220" s="51"/>
      <c r="Q1220" s="51"/>
      <c r="R1220" s="51"/>
      <c r="S1220" s="51"/>
      <c r="T1220" s="51"/>
      <c r="U1220" s="51"/>
      <c r="V1220" s="51"/>
      <c r="W1220" s="51"/>
      <c r="X1220" s="51"/>
      <c r="Y1220" s="51"/>
      <c r="Z1220" s="51"/>
      <c r="AA1220" s="51"/>
      <c r="AB1220" s="51"/>
      <c r="AC1220" s="51"/>
      <c r="AD1220" s="51"/>
      <c r="AE1220" s="51"/>
      <c r="AF1220" s="51"/>
      <c r="AG1220" s="51"/>
      <c r="AH1220" s="51"/>
    </row>
    <row r="1221">
      <c r="A1221" s="45" t="s">
        <v>57</v>
      </c>
      <c r="B1221" s="11" t="s">
        <v>20</v>
      </c>
      <c r="C1221" s="45" t="s">
        <v>1229</v>
      </c>
      <c r="D1221" s="11" t="s">
        <v>1230</v>
      </c>
      <c r="E1221" s="11" t="s">
        <v>1231</v>
      </c>
      <c r="F1221" s="11" t="s">
        <v>157</v>
      </c>
      <c r="G1221" s="11" t="s">
        <v>158</v>
      </c>
      <c r="H1221" s="11">
        <v>1996.0</v>
      </c>
      <c r="I1221" s="40">
        <v>33893.0</v>
      </c>
      <c r="J1221" s="40">
        <v>9481.0</v>
      </c>
      <c r="K1221" s="41">
        <v>121158.0</v>
      </c>
      <c r="L1221" s="42" t="s">
        <v>160</v>
      </c>
      <c r="M1221" s="110" t="s">
        <v>1232</v>
      </c>
    </row>
    <row r="1222">
      <c r="A1222" s="45" t="s">
        <v>57</v>
      </c>
      <c r="B1222" s="11" t="s">
        <v>20</v>
      </c>
      <c r="C1222" s="45" t="s">
        <v>1229</v>
      </c>
      <c r="D1222" s="11" t="s">
        <v>1230</v>
      </c>
      <c r="E1222" s="11" t="s">
        <v>1231</v>
      </c>
      <c r="F1222" s="11" t="s">
        <v>157</v>
      </c>
      <c r="G1222" s="11" t="s">
        <v>158</v>
      </c>
      <c r="H1222" s="11">
        <v>2001.0</v>
      </c>
      <c r="I1222" s="40">
        <v>39697.0</v>
      </c>
      <c r="J1222" s="40">
        <v>10012.0</v>
      </c>
      <c r="K1222" s="41">
        <v>157397.0</v>
      </c>
      <c r="L1222" s="42" t="s">
        <v>160</v>
      </c>
      <c r="M1222" s="110" t="s">
        <v>1232</v>
      </c>
    </row>
    <row r="1223">
      <c r="A1223" s="45" t="s">
        <v>57</v>
      </c>
      <c r="B1223" s="11" t="s">
        <v>20</v>
      </c>
      <c r="C1223" s="45" t="s">
        <v>1229</v>
      </c>
      <c r="D1223" s="11" t="s">
        <v>1230</v>
      </c>
      <c r="E1223" s="11" t="s">
        <v>1231</v>
      </c>
      <c r="F1223" s="11" t="s">
        <v>157</v>
      </c>
      <c r="G1223" s="11" t="s">
        <v>158</v>
      </c>
      <c r="H1223" s="11">
        <v>2005.0</v>
      </c>
      <c r="I1223" s="40">
        <v>27370.0</v>
      </c>
      <c r="J1223" s="40">
        <v>11314.0</v>
      </c>
      <c r="K1223" s="41">
        <v>66211.0</v>
      </c>
      <c r="L1223" s="42" t="s">
        <v>160</v>
      </c>
      <c r="M1223" s="110" t="s">
        <v>1232</v>
      </c>
    </row>
    <row r="1224">
      <c r="A1224" s="45" t="s">
        <v>57</v>
      </c>
      <c r="B1224" s="11" t="s">
        <v>20</v>
      </c>
      <c r="C1224" s="45" t="s">
        <v>1229</v>
      </c>
      <c r="D1224" s="11" t="s">
        <v>1230</v>
      </c>
      <c r="E1224" s="11" t="s">
        <v>1231</v>
      </c>
      <c r="F1224" s="11" t="s">
        <v>157</v>
      </c>
      <c r="G1224" s="11" t="s">
        <v>158</v>
      </c>
      <c r="H1224" s="11">
        <v>2008.0</v>
      </c>
      <c r="I1224" s="40">
        <v>42767.0</v>
      </c>
      <c r="J1224" s="40">
        <v>12750.0</v>
      </c>
      <c r="K1224" s="41">
        <v>143454.0</v>
      </c>
      <c r="L1224" s="42" t="s">
        <v>160</v>
      </c>
      <c r="M1224" s="110" t="s">
        <v>1232</v>
      </c>
    </row>
    <row r="1225">
      <c r="A1225" s="45" t="s">
        <v>57</v>
      </c>
      <c r="B1225" s="11" t="s">
        <v>20</v>
      </c>
      <c r="C1225" s="45" t="s">
        <v>1229</v>
      </c>
      <c r="D1225" s="11" t="s">
        <v>1230</v>
      </c>
      <c r="E1225" s="11" t="s">
        <v>1231</v>
      </c>
      <c r="F1225" s="11" t="s">
        <v>157</v>
      </c>
      <c r="G1225" s="11" t="s">
        <v>158</v>
      </c>
      <c r="H1225" s="11">
        <v>2014.0</v>
      </c>
      <c r="I1225" s="40">
        <v>18031.0</v>
      </c>
      <c r="J1225" s="40">
        <v>6489.0</v>
      </c>
      <c r="K1225" s="41">
        <v>50099.0</v>
      </c>
      <c r="L1225" s="42" t="s">
        <v>160</v>
      </c>
      <c r="M1225" s="110" t="s">
        <v>1232</v>
      </c>
    </row>
    <row r="1226">
      <c r="A1226" s="45" t="s">
        <v>57</v>
      </c>
      <c r="B1226" s="11" t="s">
        <v>20</v>
      </c>
      <c r="C1226" s="45" t="s">
        <v>1229</v>
      </c>
      <c r="D1226" s="11" t="s">
        <v>1230</v>
      </c>
      <c r="E1226" s="11" t="s">
        <v>1231</v>
      </c>
      <c r="F1226" s="11" t="s">
        <v>157</v>
      </c>
      <c r="G1226" s="11" t="s">
        <v>158</v>
      </c>
      <c r="H1226" s="11">
        <v>2018.0</v>
      </c>
      <c r="I1226" s="40">
        <v>29285.0</v>
      </c>
      <c r="J1226" s="40">
        <v>8284.0</v>
      </c>
      <c r="K1226" s="41">
        <v>103521.0</v>
      </c>
      <c r="L1226" s="42" t="s">
        <v>160</v>
      </c>
      <c r="M1226" s="110" t="s">
        <v>1232</v>
      </c>
    </row>
    <row r="1227">
      <c r="A1227" s="59" t="s">
        <v>1234</v>
      </c>
      <c r="B1227" s="59" t="s">
        <v>20</v>
      </c>
      <c r="C1227" s="59" t="s">
        <v>1235</v>
      </c>
      <c r="D1227" s="59" t="s">
        <v>1236</v>
      </c>
      <c r="E1227" s="11" t="s">
        <v>1237</v>
      </c>
      <c r="F1227" s="59" t="s">
        <v>313</v>
      </c>
      <c r="G1227" s="59" t="s">
        <v>74</v>
      </c>
      <c r="H1227" s="105">
        <v>1989.0</v>
      </c>
      <c r="I1227" s="89">
        <v>195.0</v>
      </c>
      <c r="J1227" s="76" t="s">
        <v>188</v>
      </c>
      <c r="K1227" s="81" t="s">
        <v>188</v>
      </c>
      <c r="L1227" s="106" t="s">
        <v>939</v>
      </c>
      <c r="M1227" s="107" t="s">
        <v>1238</v>
      </c>
      <c r="N1227" s="54"/>
      <c r="O1227" s="54"/>
      <c r="P1227" s="54"/>
      <c r="Q1227" s="54"/>
      <c r="R1227" s="54"/>
      <c r="S1227" s="54"/>
      <c r="T1227" s="54"/>
      <c r="U1227" s="54"/>
      <c r="V1227" s="54"/>
      <c r="W1227" s="54"/>
      <c r="X1227" s="54"/>
      <c r="Y1227" s="54"/>
      <c r="Z1227" s="54"/>
      <c r="AA1227" s="54"/>
      <c r="AB1227" s="54"/>
      <c r="AC1227" s="54"/>
      <c r="AD1227" s="54"/>
      <c r="AE1227" s="54"/>
      <c r="AF1227" s="54"/>
      <c r="AG1227" s="54"/>
      <c r="AH1227" s="54"/>
    </row>
    <row r="1228">
      <c r="A1228" s="59" t="s">
        <v>1234</v>
      </c>
      <c r="B1228" s="59" t="s">
        <v>20</v>
      </c>
      <c r="C1228" s="59" t="s">
        <v>1235</v>
      </c>
      <c r="D1228" s="59" t="s">
        <v>1236</v>
      </c>
      <c r="E1228" s="11" t="s">
        <v>1237</v>
      </c>
      <c r="F1228" s="59" t="s">
        <v>313</v>
      </c>
      <c r="G1228" s="59" t="s">
        <v>74</v>
      </c>
      <c r="H1228" s="105">
        <v>1990.0</v>
      </c>
      <c r="I1228" s="89">
        <v>188.0</v>
      </c>
      <c r="J1228" s="76" t="s">
        <v>188</v>
      </c>
      <c r="K1228" s="81" t="s">
        <v>188</v>
      </c>
      <c r="L1228" s="106" t="s">
        <v>939</v>
      </c>
      <c r="M1228" s="107" t="s">
        <v>1238</v>
      </c>
      <c r="N1228" s="54"/>
      <c r="O1228" s="54"/>
      <c r="P1228" s="54"/>
      <c r="Q1228" s="54"/>
      <c r="R1228" s="54"/>
      <c r="S1228" s="54"/>
      <c r="T1228" s="54"/>
      <c r="U1228" s="54"/>
      <c r="V1228" s="54"/>
      <c r="W1228" s="54"/>
      <c r="X1228" s="54"/>
      <c r="Y1228" s="54"/>
      <c r="Z1228" s="54"/>
      <c r="AA1228" s="54"/>
      <c r="AB1228" s="54"/>
      <c r="AC1228" s="54"/>
      <c r="AD1228" s="54"/>
      <c r="AE1228" s="54"/>
      <c r="AF1228" s="54"/>
      <c r="AG1228" s="54"/>
      <c r="AH1228" s="54"/>
    </row>
    <row r="1229">
      <c r="A1229" s="59" t="s">
        <v>1234</v>
      </c>
      <c r="B1229" s="59" t="s">
        <v>20</v>
      </c>
      <c r="C1229" s="59" t="s">
        <v>1235</v>
      </c>
      <c r="D1229" s="59" t="s">
        <v>1236</v>
      </c>
      <c r="E1229" s="11" t="s">
        <v>1237</v>
      </c>
      <c r="F1229" s="59" t="s">
        <v>313</v>
      </c>
      <c r="G1229" s="59" t="s">
        <v>74</v>
      </c>
      <c r="H1229" s="105">
        <v>1991.0</v>
      </c>
      <c r="I1229" s="89">
        <v>262.0</v>
      </c>
      <c r="J1229" s="76" t="s">
        <v>188</v>
      </c>
      <c r="K1229" s="81" t="s">
        <v>188</v>
      </c>
      <c r="L1229" s="106" t="s">
        <v>939</v>
      </c>
      <c r="M1229" s="107" t="s">
        <v>1238</v>
      </c>
      <c r="N1229" s="54"/>
      <c r="O1229" s="54"/>
      <c r="P1229" s="54"/>
      <c r="Q1229" s="54"/>
      <c r="R1229" s="54"/>
      <c r="S1229" s="54"/>
      <c r="T1229" s="54"/>
      <c r="U1229" s="54"/>
      <c r="V1229" s="54"/>
      <c r="W1229" s="54"/>
      <c r="X1229" s="54"/>
      <c r="Y1229" s="54"/>
      <c r="Z1229" s="54"/>
      <c r="AA1229" s="54"/>
      <c r="AB1229" s="54"/>
      <c r="AC1229" s="54"/>
      <c r="AD1229" s="54"/>
      <c r="AE1229" s="54"/>
      <c r="AF1229" s="54"/>
      <c r="AG1229" s="54"/>
      <c r="AH1229" s="54"/>
    </row>
    <row r="1230">
      <c r="A1230" s="59" t="s">
        <v>1234</v>
      </c>
      <c r="B1230" s="59" t="s">
        <v>20</v>
      </c>
      <c r="C1230" s="59" t="s">
        <v>1235</v>
      </c>
      <c r="D1230" s="59" t="s">
        <v>1236</v>
      </c>
      <c r="E1230" s="11" t="s">
        <v>1237</v>
      </c>
      <c r="F1230" s="59" t="s">
        <v>313</v>
      </c>
      <c r="G1230" s="59" t="s">
        <v>74</v>
      </c>
      <c r="H1230" s="105">
        <v>1992.0</v>
      </c>
      <c r="I1230" s="89">
        <v>296.0</v>
      </c>
      <c r="J1230" s="76" t="s">
        <v>188</v>
      </c>
      <c r="K1230" s="81" t="s">
        <v>188</v>
      </c>
      <c r="L1230" s="106" t="s">
        <v>939</v>
      </c>
      <c r="M1230" s="107" t="s">
        <v>1238</v>
      </c>
      <c r="N1230" s="54"/>
      <c r="O1230" s="54"/>
      <c r="P1230" s="54"/>
      <c r="Q1230" s="54"/>
      <c r="R1230" s="54"/>
      <c r="S1230" s="54"/>
      <c r="T1230" s="54"/>
      <c r="U1230" s="54"/>
      <c r="V1230" s="54"/>
      <c r="W1230" s="54"/>
      <c r="X1230" s="54"/>
      <c r="Y1230" s="54"/>
      <c r="Z1230" s="54"/>
      <c r="AA1230" s="54"/>
      <c r="AB1230" s="54"/>
      <c r="AC1230" s="54"/>
      <c r="AD1230" s="54"/>
      <c r="AE1230" s="54"/>
      <c r="AF1230" s="54"/>
      <c r="AG1230" s="54"/>
      <c r="AH1230" s="54"/>
    </row>
    <row r="1231">
      <c r="A1231" s="59" t="s">
        <v>1234</v>
      </c>
      <c r="B1231" s="59" t="s">
        <v>20</v>
      </c>
      <c r="C1231" s="59" t="s">
        <v>1235</v>
      </c>
      <c r="D1231" s="59" t="s">
        <v>1236</v>
      </c>
      <c r="E1231" s="11" t="s">
        <v>1237</v>
      </c>
      <c r="F1231" s="59" t="s">
        <v>313</v>
      </c>
      <c r="G1231" s="59" t="s">
        <v>74</v>
      </c>
      <c r="H1231" s="105">
        <v>1993.0</v>
      </c>
      <c r="I1231" s="89">
        <v>289.0</v>
      </c>
      <c r="J1231" s="76" t="s">
        <v>188</v>
      </c>
      <c r="K1231" s="81" t="s">
        <v>188</v>
      </c>
      <c r="L1231" s="106" t="s">
        <v>939</v>
      </c>
      <c r="M1231" s="107" t="s">
        <v>1238</v>
      </c>
      <c r="N1231" s="54"/>
      <c r="O1231" s="54"/>
      <c r="P1231" s="54"/>
      <c r="Q1231" s="54"/>
      <c r="R1231" s="54"/>
      <c r="S1231" s="54"/>
      <c r="T1231" s="54"/>
      <c r="U1231" s="54"/>
      <c r="V1231" s="54"/>
      <c r="W1231" s="54"/>
      <c r="X1231" s="54"/>
      <c r="Y1231" s="54"/>
      <c r="Z1231" s="54"/>
      <c r="AA1231" s="54"/>
      <c r="AB1231" s="54"/>
      <c r="AC1231" s="54"/>
      <c r="AD1231" s="54"/>
      <c r="AE1231" s="54"/>
      <c r="AF1231" s="54"/>
      <c r="AG1231" s="54"/>
      <c r="AH1231" s="54"/>
    </row>
    <row r="1232">
      <c r="A1232" s="59" t="s">
        <v>1234</v>
      </c>
      <c r="B1232" s="59" t="s">
        <v>20</v>
      </c>
      <c r="C1232" s="59" t="s">
        <v>1235</v>
      </c>
      <c r="D1232" s="59" t="s">
        <v>1236</v>
      </c>
      <c r="E1232" s="11" t="s">
        <v>1237</v>
      </c>
      <c r="F1232" s="59" t="s">
        <v>313</v>
      </c>
      <c r="G1232" s="59" t="s">
        <v>74</v>
      </c>
      <c r="H1232" s="105">
        <v>1994.0</v>
      </c>
      <c r="I1232" s="89">
        <v>336.0</v>
      </c>
      <c r="J1232" s="76" t="s">
        <v>188</v>
      </c>
      <c r="K1232" s="81" t="s">
        <v>188</v>
      </c>
      <c r="L1232" s="106" t="s">
        <v>939</v>
      </c>
      <c r="M1232" s="107" t="s">
        <v>1238</v>
      </c>
      <c r="N1232" s="54"/>
      <c r="O1232" s="54"/>
      <c r="P1232" s="54"/>
      <c r="Q1232" s="54"/>
      <c r="R1232" s="54"/>
      <c r="S1232" s="54"/>
      <c r="T1232" s="54"/>
      <c r="U1232" s="54"/>
      <c r="V1232" s="54"/>
      <c r="W1232" s="54"/>
      <c r="X1232" s="54"/>
      <c r="Y1232" s="54"/>
      <c r="Z1232" s="54"/>
      <c r="AA1232" s="54"/>
      <c r="AB1232" s="54"/>
      <c r="AC1232" s="54"/>
      <c r="AD1232" s="54"/>
      <c r="AE1232" s="54"/>
      <c r="AF1232" s="54"/>
      <c r="AG1232" s="54"/>
      <c r="AH1232" s="54"/>
    </row>
    <row r="1233">
      <c r="A1233" s="59" t="s">
        <v>1234</v>
      </c>
      <c r="B1233" s="59" t="s">
        <v>20</v>
      </c>
      <c r="C1233" s="59" t="s">
        <v>1235</v>
      </c>
      <c r="D1233" s="59" t="s">
        <v>1236</v>
      </c>
      <c r="E1233" s="11" t="s">
        <v>1237</v>
      </c>
      <c r="F1233" s="59" t="s">
        <v>313</v>
      </c>
      <c r="G1233" s="59" t="s">
        <v>74</v>
      </c>
      <c r="H1233" s="105">
        <v>1995.0</v>
      </c>
      <c r="I1233" s="89">
        <v>376.0</v>
      </c>
      <c r="J1233" s="76" t="s">
        <v>188</v>
      </c>
      <c r="K1233" s="81" t="s">
        <v>188</v>
      </c>
      <c r="L1233" s="106" t="s">
        <v>939</v>
      </c>
      <c r="M1233" s="107" t="s">
        <v>1238</v>
      </c>
      <c r="N1233" s="54"/>
      <c r="O1233" s="54"/>
      <c r="P1233" s="54"/>
      <c r="Q1233" s="54"/>
      <c r="R1233" s="54"/>
      <c r="S1233" s="54"/>
      <c r="T1233" s="54"/>
      <c r="U1233" s="54"/>
      <c r="V1233" s="54"/>
      <c r="W1233" s="54"/>
      <c r="X1233" s="54"/>
      <c r="Y1233" s="54"/>
      <c r="Z1233" s="54"/>
      <c r="AA1233" s="54"/>
      <c r="AB1233" s="54"/>
      <c r="AC1233" s="54"/>
      <c r="AD1233" s="54"/>
      <c r="AE1233" s="54"/>
      <c r="AF1233" s="54"/>
      <c r="AG1233" s="54"/>
      <c r="AH1233" s="54"/>
    </row>
    <row r="1234">
      <c r="A1234" s="59" t="s">
        <v>1234</v>
      </c>
      <c r="B1234" s="59" t="s">
        <v>20</v>
      </c>
      <c r="C1234" s="59" t="s">
        <v>1235</v>
      </c>
      <c r="D1234" s="59" t="s">
        <v>1236</v>
      </c>
      <c r="E1234" s="11" t="s">
        <v>1237</v>
      </c>
      <c r="F1234" s="59" t="s">
        <v>313</v>
      </c>
      <c r="G1234" s="59" t="s">
        <v>74</v>
      </c>
      <c r="H1234" s="105">
        <v>1996.0</v>
      </c>
      <c r="I1234" s="89">
        <v>410.0</v>
      </c>
      <c r="J1234" s="76" t="s">
        <v>188</v>
      </c>
      <c r="K1234" s="81" t="s">
        <v>188</v>
      </c>
      <c r="L1234" s="106" t="s">
        <v>939</v>
      </c>
      <c r="M1234" s="107" t="s">
        <v>1238</v>
      </c>
      <c r="N1234" s="54"/>
      <c r="O1234" s="54"/>
      <c r="P1234" s="54"/>
      <c r="Q1234" s="54"/>
      <c r="R1234" s="54"/>
      <c r="S1234" s="54"/>
      <c r="T1234" s="54"/>
      <c r="U1234" s="54"/>
      <c r="V1234" s="54"/>
      <c r="W1234" s="54"/>
      <c r="X1234" s="54"/>
      <c r="Y1234" s="54"/>
      <c r="Z1234" s="54"/>
      <c r="AA1234" s="54"/>
      <c r="AB1234" s="54"/>
      <c r="AC1234" s="54"/>
      <c r="AD1234" s="54"/>
      <c r="AE1234" s="54"/>
      <c r="AF1234" s="54"/>
      <c r="AG1234" s="54"/>
      <c r="AH1234" s="54"/>
    </row>
    <row r="1235">
      <c r="A1235" s="59" t="s">
        <v>1234</v>
      </c>
      <c r="B1235" s="59" t="s">
        <v>20</v>
      </c>
      <c r="C1235" s="59" t="s">
        <v>1235</v>
      </c>
      <c r="D1235" s="59" t="s">
        <v>1236</v>
      </c>
      <c r="E1235" s="11" t="s">
        <v>1237</v>
      </c>
      <c r="F1235" s="59" t="s">
        <v>313</v>
      </c>
      <c r="G1235" s="59" t="s">
        <v>74</v>
      </c>
      <c r="H1235" s="105">
        <v>1997.0</v>
      </c>
      <c r="I1235" s="89">
        <v>484.0</v>
      </c>
      <c r="J1235" s="76" t="s">
        <v>188</v>
      </c>
      <c r="K1235" s="81" t="s">
        <v>188</v>
      </c>
      <c r="L1235" s="106" t="s">
        <v>939</v>
      </c>
      <c r="M1235" s="107" t="s">
        <v>1238</v>
      </c>
      <c r="N1235" s="54"/>
      <c r="O1235" s="54"/>
      <c r="P1235" s="54"/>
      <c r="Q1235" s="54"/>
      <c r="R1235" s="54"/>
      <c r="S1235" s="54"/>
      <c r="T1235" s="54"/>
      <c r="U1235" s="54"/>
      <c r="V1235" s="54"/>
      <c r="W1235" s="54"/>
      <c r="X1235" s="54"/>
      <c r="Y1235" s="54"/>
      <c r="Z1235" s="54"/>
      <c r="AA1235" s="54"/>
      <c r="AB1235" s="54"/>
      <c r="AC1235" s="54"/>
      <c r="AD1235" s="54"/>
      <c r="AE1235" s="54"/>
      <c r="AF1235" s="54"/>
      <c r="AG1235" s="54"/>
      <c r="AH1235" s="54"/>
    </row>
    <row r="1236">
      <c r="A1236" s="59" t="s">
        <v>1234</v>
      </c>
      <c r="B1236" s="59" t="s">
        <v>20</v>
      </c>
      <c r="C1236" s="59" t="s">
        <v>1235</v>
      </c>
      <c r="D1236" s="59" t="s">
        <v>1236</v>
      </c>
      <c r="E1236" s="11" t="s">
        <v>1237</v>
      </c>
      <c r="F1236" s="59" t="s">
        <v>313</v>
      </c>
      <c r="G1236" s="59" t="s">
        <v>74</v>
      </c>
      <c r="H1236" s="105">
        <v>1998.0</v>
      </c>
      <c r="I1236" s="89">
        <v>424.0</v>
      </c>
      <c r="J1236" s="76" t="s">
        <v>188</v>
      </c>
      <c r="K1236" s="81" t="s">
        <v>188</v>
      </c>
      <c r="L1236" s="106" t="s">
        <v>939</v>
      </c>
      <c r="M1236" s="107" t="s">
        <v>1238</v>
      </c>
      <c r="N1236" s="54"/>
      <c r="O1236" s="54"/>
      <c r="P1236" s="54"/>
      <c r="Q1236" s="54"/>
      <c r="R1236" s="54"/>
      <c r="S1236" s="54"/>
      <c r="T1236" s="54"/>
      <c r="U1236" s="54"/>
      <c r="V1236" s="54"/>
      <c r="W1236" s="54"/>
      <c r="X1236" s="54"/>
      <c r="Y1236" s="54"/>
      <c r="Z1236" s="54"/>
      <c r="AA1236" s="54"/>
      <c r="AB1236" s="54"/>
      <c r="AC1236" s="54"/>
      <c r="AD1236" s="54"/>
      <c r="AE1236" s="54"/>
      <c r="AF1236" s="54"/>
      <c r="AG1236" s="54"/>
      <c r="AH1236" s="54"/>
    </row>
    <row r="1237">
      <c r="A1237" s="59" t="s">
        <v>1234</v>
      </c>
      <c r="B1237" s="59" t="s">
        <v>20</v>
      </c>
      <c r="C1237" s="59" t="s">
        <v>1235</v>
      </c>
      <c r="D1237" s="59" t="s">
        <v>1236</v>
      </c>
      <c r="E1237" s="11" t="s">
        <v>1237</v>
      </c>
      <c r="F1237" s="59" t="s">
        <v>313</v>
      </c>
      <c r="G1237" s="59" t="s">
        <v>74</v>
      </c>
      <c r="H1237" s="105">
        <v>1999.0</v>
      </c>
      <c r="I1237" s="89">
        <v>591.0</v>
      </c>
      <c r="J1237" s="76" t="s">
        <v>188</v>
      </c>
      <c r="K1237" s="81" t="s">
        <v>188</v>
      </c>
      <c r="L1237" s="106" t="s">
        <v>939</v>
      </c>
      <c r="M1237" s="107" t="s">
        <v>1238</v>
      </c>
      <c r="N1237" s="54"/>
      <c r="O1237" s="54"/>
      <c r="P1237" s="54"/>
      <c r="Q1237" s="54"/>
      <c r="R1237" s="54"/>
      <c r="S1237" s="54"/>
      <c r="T1237" s="54"/>
      <c r="U1237" s="54"/>
      <c r="V1237" s="54"/>
      <c r="W1237" s="54"/>
      <c r="X1237" s="54"/>
      <c r="Y1237" s="54"/>
      <c r="Z1237" s="54"/>
      <c r="AA1237" s="54"/>
      <c r="AB1237" s="54"/>
      <c r="AC1237" s="54"/>
      <c r="AD1237" s="54"/>
      <c r="AE1237" s="54"/>
      <c r="AF1237" s="54"/>
      <c r="AG1237" s="54"/>
      <c r="AH1237" s="54"/>
    </row>
    <row r="1238">
      <c r="A1238" s="59" t="s">
        <v>1234</v>
      </c>
      <c r="B1238" s="59" t="s">
        <v>20</v>
      </c>
      <c r="C1238" s="59" t="s">
        <v>1235</v>
      </c>
      <c r="D1238" s="59" t="s">
        <v>1236</v>
      </c>
      <c r="E1238" s="11" t="s">
        <v>1237</v>
      </c>
      <c r="F1238" s="59" t="s">
        <v>313</v>
      </c>
      <c r="G1238" s="59" t="s">
        <v>74</v>
      </c>
      <c r="H1238" s="105">
        <v>2000.0</v>
      </c>
      <c r="I1238" s="89">
        <v>491.0</v>
      </c>
      <c r="J1238" s="76" t="s">
        <v>188</v>
      </c>
      <c r="K1238" s="81" t="s">
        <v>188</v>
      </c>
      <c r="L1238" s="106" t="s">
        <v>939</v>
      </c>
      <c r="M1238" s="107" t="s">
        <v>1238</v>
      </c>
      <c r="N1238" s="54"/>
      <c r="O1238" s="54"/>
      <c r="P1238" s="54"/>
      <c r="Q1238" s="54"/>
      <c r="R1238" s="54"/>
      <c r="S1238" s="54"/>
      <c r="T1238" s="54"/>
      <c r="U1238" s="54"/>
      <c r="V1238" s="54"/>
      <c r="W1238" s="54"/>
      <c r="X1238" s="54"/>
      <c r="Y1238" s="54"/>
      <c r="Z1238" s="54"/>
      <c r="AA1238" s="54"/>
      <c r="AB1238" s="54"/>
      <c r="AC1238" s="54"/>
      <c r="AD1238" s="54"/>
      <c r="AE1238" s="54"/>
      <c r="AF1238" s="54"/>
      <c r="AG1238" s="54"/>
      <c r="AH1238" s="54"/>
    </row>
    <row r="1239">
      <c r="A1239" s="59" t="s">
        <v>1234</v>
      </c>
      <c r="B1239" s="59" t="s">
        <v>20</v>
      </c>
      <c r="C1239" s="59" t="s">
        <v>1235</v>
      </c>
      <c r="D1239" s="59" t="s">
        <v>1236</v>
      </c>
      <c r="E1239" s="11" t="s">
        <v>1237</v>
      </c>
      <c r="F1239" s="59" t="s">
        <v>313</v>
      </c>
      <c r="G1239" s="59" t="s">
        <v>74</v>
      </c>
      <c r="H1239" s="105">
        <v>2001.0</v>
      </c>
      <c r="I1239" s="89">
        <v>538.0</v>
      </c>
      <c r="J1239" s="76" t="s">
        <v>188</v>
      </c>
      <c r="K1239" s="81" t="s">
        <v>188</v>
      </c>
      <c r="L1239" s="106" t="s">
        <v>939</v>
      </c>
      <c r="M1239" s="107" t="s">
        <v>1238</v>
      </c>
      <c r="N1239" s="54"/>
      <c r="O1239" s="54"/>
      <c r="P1239" s="54"/>
      <c r="Q1239" s="54"/>
      <c r="R1239" s="54"/>
      <c r="S1239" s="54"/>
      <c r="T1239" s="54"/>
      <c r="U1239" s="54"/>
      <c r="V1239" s="54"/>
      <c r="W1239" s="54"/>
      <c r="X1239" s="54"/>
      <c r="Y1239" s="54"/>
      <c r="Z1239" s="54"/>
      <c r="AA1239" s="54"/>
      <c r="AB1239" s="54"/>
      <c r="AC1239" s="54"/>
      <c r="AD1239" s="54"/>
      <c r="AE1239" s="54"/>
      <c r="AF1239" s="54"/>
      <c r="AG1239" s="54"/>
      <c r="AH1239" s="54"/>
    </row>
    <row r="1240">
      <c r="A1240" s="59" t="s">
        <v>1234</v>
      </c>
      <c r="B1240" s="59" t="s">
        <v>20</v>
      </c>
      <c r="C1240" s="59" t="s">
        <v>1235</v>
      </c>
      <c r="D1240" s="59" t="s">
        <v>1236</v>
      </c>
      <c r="E1240" s="11" t="s">
        <v>1237</v>
      </c>
      <c r="F1240" s="59" t="s">
        <v>313</v>
      </c>
      <c r="G1240" s="59" t="s">
        <v>74</v>
      </c>
      <c r="H1240" s="105">
        <v>2002.0</v>
      </c>
      <c r="I1240" s="89">
        <v>532.0</v>
      </c>
      <c r="J1240" s="76" t="s">
        <v>188</v>
      </c>
      <c r="K1240" s="81" t="s">
        <v>188</v>
      </c>
      <c r="L1240" s="106" t="s">
        <v>939</v>
      </c>
      <c r="M1240" s="107" t="s">
        <v>1238</v>
      </c>
      <c r="N1240" s="54"/>
      <c r="O1240" s="54"/>
      <c r="P1240" s="54"/>
      <c r="Q1240" s="54"/>
      <c r="R1240" s="54"/>
      <c r="S1240" s="54"/>
      <c r="T1240" s="54"/>
      <c r="U1240" s="54"/>
      <c r="V1240" s="54"/>
      <c r="W1240" s="54"/>
      <c r="X1240" s="54"/>
      <c r="Y1240" s="54"/>
      <c r="Z1240" s="54"/>
      <c r="AA1240" s="54"/>
      <c r="AB1240" s="54"/>
      <c r="AC1240" s="54"/>
      <c r="AD1240" s="54"/>
      <c r="AE1240" s="54"/>
      <c r="AF1240" s="54"/>
      <c r="AG1240" s="54"/>
      <c r="AH1240" s="54"/>
    </row>
    <row r="1241">
      <c r="A1241" s="59" t="s">
        <v>1234</v>
      </c>
      <c r="B1241" s="59" t="s">
        <v>20</v>
      </c>
      <c r="C1241" s="59" t="s">
        <v>1235</v>
      </c>
      <c r="D1241" s="59" t="s">
        <v>1236</v>
      </c>
      <c r="E1241" s="11" t="s">
        <v>1237</v>
      </c>
      <c r="F1241" s="59" t="s">
        <v>313</v>
      </c>
      <c r="G1241" s="59" t="s">
        <v>74</v>
      </c>
      <c r="H1241" s="105">
        <v>2003.0</v>
      </c>
      <c r="I1241" s="89">
        <v>666.0</v>
      </c>
      <c r="J1241" s="76" t="s">
        <v>188</v>
      </c>
      <c r="K1241" s="81" t="s">
        <v>188</v>
      </c>
      <c r="L1241" s="106" t="s">
        <v>939</v>
      </c>
      <c r="M1241" s="107" t="s">
        <v>1238</v>
      </c>
      <c r="N1241" s="54"/>
      <c r="O1241" s="54"/>
      <c r="P1241" s="54"/>
      <c r="Q1241" s="54"/>
      <c r="R1241" s="54"/>
      <c r="S1241" s="54"/>
      <c r="T1241" s="54"/>
      <c r="U1241" s="54"/>
      <c r="V1241" s="54"/>
      <c r="W1241" s="54"/>
      <c r="X1241" s="54"/>
      <c r="Y1241" s="54"/>
      <c r="Z1241" s="54"/>
      <c r="AA1241" s="54"/>
      <c r="AB1241" s="54"/>
      <c r="AC1241" s="54"/>
      <c r="AD1241" s="54"/>
      <c r="AE1241" s="54"/>
      <c r="AF1241" s="54"/>
      <c r="AG1241" s="54"/>
      <c r="AH1241" s="54"/>
    </row>
    <row r="1242">
      <c r="A1242" s="59" t="s">
        <v>1234</v>
      </c>
      <c r="B1242" s="59" t="s">
        <v>20</v>
      </c>
      <c r="C1242" s="59" t="s">
        <v>1235</v>
      </c>
      <c r="D1242" s="59" t="s">
        <v>1236</v>
      </c>
      <c r="E1242" s="11" t="s">
        <v>1237</v>
      </c>
      <c r="F1242" s="59" t="s">
        <v>313</v>
      </c>
      <c r="G1242" s="59" t="s">
        <v>74</v>
      </c>
      <c r="H1242" s="105">
        <v>2004.0</v>
      </c>
      <c r="I1242" s="89">
        <v>719.0</v>
      </c>
      <c r="J1242" s="76" t="s">
        <v>188</v>
      </c>
      <c r="K1242" s="81" t="s">
        <v>188</v>
      </c>
      <c r="L1242" s="106" t="s">
        <v>939</v>
      </c>
      <c r="M1242" s="107" t="s">
        <v>1238</v>
      </c>
      <c r="N1242" s="54"/>
      <c r="O1242" s="54"/>
      <c r="P1242" s="54"/>
      <c r="Q1242" s="54"/>
      <c r="R1242" s="54"/>
      <c r="S1242" s="54"/>
      <c r="T1242" s="54"/>
      <c r="U1242" s="54"/>
      <c r="V1242" s="54"/>
      <c r="W1242" s="54"/>
      <c r="X1242" s="54"/>
      <c r="Y1242" s="54"/>
      <c r="Z1242" s="54"/>
      <c r="AA1242" s="54"/>
      <c r="AB1242" s="54"/>
      <c r="AC1242" s="54"/>
      <c r="AD1242" s="54"/>
      <c r="AE1242" s="54"/>
      <c r="AF1242" s="54"/>
      <c r="AG1242" s="54"/>
      <c r="AH1242" s="54"/>
    </row>
    <row r="1243">
      <c r="A1243" s="59" t="s">
        <v>1234</v>
      </c>
      <c r="B1243" s="59" t="s">
        <v>20</v>
      </c>
      <c r="C1243" s="59" t="s">
        <v>1235</v>
      </c>
      <c r="D1243" s="59" t="s">
        <v>1236</v>
      </c>
      <c r="E1243" s="11" t="s">
        <v>1237</v>
      </c>
      <c r="F1243" s="59" t="s">
        <v>313</v>
      </c>
      <c r="G1243" s="59" t="s">
        <v>74</v>
      </c>
      <c r="H1243" s="105">
        <v>2005.0</v>
      </c>
      <c r="I1243" s="89">
        <v>800.0</v>
      </c>
      <c r="J1243" s="76" t="s">
        <v>188</v>
      </c>
      <c r="K1243" s="81" t="s">
        <v>188</v>
      </c>
      <c r="L1243" s="106" t="s">
        <v>939</v>
      </c>
      <c r="M1243" s="107" t="s">
        <v>1238</v>
      </c>
      <c r="N1243" s="54"/>
      <c r="O1243" s="54"/>
      <c r="P1243" s="54"/>
      <c r="Q1243" s="54"/>
      <c r="R1243" s="54"/>
      <c r="S1243" s="54"/>
      <c r="T1243" s="54"/>
      <c r="U1243" s="54"/>
      <c r="V1243" s="54"/>
      <c r="W1243" s="54"/>
      <c r="X1243" s="54"/>
      <c r="Y1243" s="54"/>
      <c r="Z1243" s="54"/>
      <c r="AA1243" s="54"/>
      <c r="AB1243" s="54"/>
      <c r="AC1243" s="54"/>
      <c r="AD1243" s="54"/>
      <c r="AE1243" s="54"/>
      <c r="AF1243" s="54"/>
      <c r="AG1243" s="54"/>
      <c r="AH1243" s="54"/>
    </row>
    <row r="1244">
      <c r="A1244" s="59" t="s">
        <v>1234</v>
      </c>
      <c r="B1244" s="59" t="s">
        <v>20</v>
      </c>
      <c r="C1244" s="59" t="s">
        <v>1235</v>
      </c>
      <c r="D1244" s="59" t="s">
        <v>1236</v>
      </c>
      <c r="E1244" s="11" t="s">
        <v>1237</v>
      </c>
      <c r="F1244" s="59" t="s">
        <v>313</v>
      </c>
      <c r="G1244" s="59" t="s">
        <v>74</v>
      </c>
      <c r="H1244" s="105">
        <v>2006.0</v>
      </c>
      <c r="I1244" s="89">
        <v>773.0</v>
      </c>
      <c r="J1244" s="76" t="s">
        <v>188</v>
      </c>
      <c r="K1244" s="81" t="s">
        <v>188</v>
      </c>
      <c r="L1244" s="106" t="s">
        <v>939</v>
      </c>
      <c r="M1244" s="107" t="s">
        <v>1238</v>
      </c>
      <c r="N1244" s="54"/>
      <c r="O1244" s="54"/>
      <c r="P1244" s="54"/>
      <c r="Q1244" s="54"/>
      <c r="R1244" s="54"/>
      <c r="S1244" s="54"/>
      <c r="T1244" s="54"/>
      <c r="U1244" s="54"/>
      <c r="V1244" s="54"/>
      <c r="W1244" s="54"/>
      <c r="X1244" s="54"/>
      <c r="Y1244" s="54"/>
      <c r="Z1244" s="54"/>
      <c r="AA1244" s="54"/>
      <c r="AB1244" s="54"/>
      <c r="AC1244" s="54"/>
      <c r="AD1244" s="54"/>
      <c r="AE1244" s="54"/>
      <c r="AF1244" s="54"/>
      <c r="AG1244" s="54"/>
      <c r="AH1244" s="54"/>
    </row>
    <row r="1245">
      <c r="A1245" s="59" t="s">
        <v>1234</v>
      </c>
      <c r="B1245" s="59" t="s">
        <v>20</v>
      </c>
      <c r="C1245" s="59" t="s">
        <v>1235</v>
      </c>
      <c r="D1245" s="59" t="s">
        <v>1236</v>
      </c>
      <c r="E1245" s="11" t="s">
        <v>1237</v>
      </c>
      <c r="F1245" s="59" t="s">
        <v>313</v>
      </c>
      <c r="G1245" s="59" t="s">
        <v>74</v>
      </c>
      <c r="H1245" s="105">
        <v>2007.0</v>
      </c>
      <c r="I1245" s="89">
        <v>1115.0</v>
      </c>
      <c r="J1245" s="76" t="s">
        <v>188</v>
      </c>
      <c r="K1245" s="81" t="s">
        <v>188</v>
      </c>
      <c r="L1245" s="106" t="s">
        <v>939</v>
      </c>
      <c r="M1245" s="107" t="s">
        <v>1238</v>
      </c>
      <c r="N1245" s="54"/>
      <c r="O1245" s="54"/>
      <c r="P1245" s="54"/>
      <c r="Q1245" s="54"/>
      <c r="R1245" s="54"/>
      <c r="S1245" s="54"/>
      <c r="T1245" s="54"/>
      <c r="U1245" s="54"/>
      <c r="V1245" s="54"/>
      <c r="W1245" s="54"/>
      <c r="X1245" s="54"/>
      <c r="Y1245" s="54"/>
      <c r="Z1245" s="54"/>
      <c r="AA1245" s="54"/>
      <c r="AB1245" s="54"/>
      <c r="AC1245" s="54"/>
      <c r="AD1245" s="54"/>
      <c r="AE1245" s="54"/>
      <c r="AF1245" s="54"/>
      <c r="AG1245" s="54"/>
      <c r="AH1245" s="54"/>
    </row>
    <row r="1246">
      <c r="A1246" s="59" t="s">
        <v>1234</v>
      </c>
      <c r="B1246" s="59" t="s">
        <v>20</v>
      </c>
      <c r="C1246" s="59" t="s">
        <v>1235</v>
      </c>
      <c r="D1246" s="59" t="s">
        <v>1236</v>
      </c>
      <c r="E1246" s="11" t="s">
        <v>1237</v>
      </c>
      <c r="F1246" s="59" t="s">
        <v>313</v>
      </c>
      <c r="G1246" s="59" t="s">
        <v>74</v>
      </c>
      <c r="H1246" s="105">
        <v>2008.0</v>
      </c>
      <c r="I1246" s="89">
        <v>1061.0</v>
      </c>
      <c r="J1246" s="76" t="s">
        <v>188</v>
      </c>
      <c r="K1246" s="81" t="s">
        <v>188</v>
      </c>
      <c r="L1246" s="106" t="s">
        <v>939</v>
      </c>
      <c r="M1246" s="107" t="s">
        <v>1238</v>
      </c>
      <c r="N1246" s="54"/>
      <c r="O1246" s="54"/>
      <c r="P1246" s="54"/>
      <c r="Q1246" s="54"/>
      <c r="R1246" s="54"/>
      <c r="S1246" s="54"/>
      <c r="T1246" s="54"/>
      <c r="U1246" s="54"/>
      <c r="V1246" s="54"/>
      <c r="W1246" s="54"/>
      <c r="X1246" s="54"/>
      <c r="Y1246" s="54"/>
      <c r="Z1246" s="54"/>
      <c r="AA1246" s="54"/>
      <c r="AB1246" s="54"/>
      <c r="AC1246" s="54"/>
      <c r="AD1246" s="54"/>
      <c r="AE1246" s="54"/>
      <c r="AF1246" s="54"/>
      <c r="AG1246" s="54"/>
      <c r="AH1246" s="54"/>
    </row>
    <row r="1247">
      <c r="A1247" s="59" t="s">
        <v>1234</v>
      </c>
      <c r="B1247" s="59" t="s">
        <v>20</v>
      </c>
      <c r="C1247" s="59" t="s">
        <v>1235</v>
      </c>
      <c r="D1247" s="59" t="s">
        <v>1236</v>
      </c>
      <c r="E1247" s="11" t="s">
        <v>1237</v>
      </c>
      <c r="F1247" s="59" t="s">
        <v>313</v>
      </c>
      <c r="G1247" s="59" t="s">
        <v>74</v>
      </c>
      <c r="H1247" s="105">
        <v>2009.0</v>
      </c>
      <c r="I1247" s="89">
        <v>1028.0</v>
      </c>
      <c r="J1247" s="76" t="s">
        <v>188</v>
      </c>
      <c r="K1247" s="81" t="s">
        <v>188</v>
      </c>
      <c r="L1247" s="106" t="s">
        <v>939</v>
      </c>
      <c r="M1247" s="107" t="s">
        <v>1238</v>
      </c>
      <c r="N1247" s="54"/>
      <c r="O1247" s="54"/>
      <c r="P1247" s="54"/>
      <c r="Q1247" s="54"/>
      <c r="R1247" s="54"/>
      <c r="S1247" s="54"/>
      <c r="T1247" s="54"/>
      <c r="U1247" s="54"/>
      <c r="V1247" s="54"/>
      <c r="W1247" s="54"/>
      <c r="X1247" s="54"/>
      <c r="Y1247" s="54"/>
      <c r="Z1247" s="54"/>
      <c r="AA1247" s="54"/>
      <c r="AB1247" s="54"/>
      <c r="AC1247" s="54"/>
      <c r="AD1247" s="54"/>
      <c r="AE1247" s="54"/>
      <c r="AF1247" s="54"/>
      <c r="AG1247" s="54"/>
      <c r="AH1247" s="54"/>
    </row>
    <row r="1248">
      <c r="A1248" s="59" t="s">
        <v>1234</v>
      </c>
      <c r="B1248" s="59" t="s">
        <v>20</v>
      </c>
      <c r="C1248" s="59" t="s">
        <v>1235</v>
      </c>
      <c r="D1248" s="59" t="s">
        <v>1236</v>
      </c>
      <c r="E1248" s="11" t="s">
        <v>1237</v>
      </c>
      <c r="F1248" s="59" t="s">
        <v>313</v>
      </c>
      <c r="G1248" s="59" t="s">
        <v>74</v>
      </c>
      <c r="H1248" s="105">
        <v>2010.0</v>
      </c>
      <c r="I1248" s="89">
        <v>988.0</v>
      </c>
      <c r="J1248" s="76" t="s">
        <v>188</v>
      </c>
      <c r="K1248" s="81" t="s">
        <v>188</v>
      </c>
      <c r="L1248" s="106" t="s">
        <v>939</v>
      </c>
      <c r="M1248" s="107" t="s">
        <v>1238</v>
      </c>
      <c r="N1248" s="54"/>
      <c r="O1248" s="54"/>
      <c r="P1248" s="54"/>
      <c r="Q1248" s="54"/>
      <c r="R1248" s="54"/>
      <c r="S1248" s="54"/>
      <c r="T1248" s="54"/>
      <c r="U1248" s="54"/>
      <c r="V1248" s="54"/>
      <c r="W1248" s="54"/>
      <c r="X1248" s="54"/>
      <c r="Y1248" s="54"/>
      <c r="Z1248" s="54"/>
      <c r="AA1248" s="54"/>
      <c r="AB1248" s="54"/>
      <c r="AC1248" s="54"/>
      <c r="AD1248" s="54"/>
      <c r="AE1248" s="54"/>
      <c r="AF1248" s="54"/>
      <c r="AG1248" s="54"/>
      <c r="AH1248" s="54"/>
    </row>
    <row r="1249">
      <c r="A1249" s="59" t="s">
        <v>1234</v>
      </c>
      <c r="B1249" s="59" t="s">
        <v>20</v>
      </c>
      <c r="C1249" s="59" t="s">
        <v>1235</v>
      </c>
      <c r="D1249" s="59" t="s">
        <v>1236</v>
      </c>
      <c r="E1249" s="11" t="s">
        <v>1237</v>
      </c>
      <c r="F1249" s="59" t="s">
        <v>313</v>
      </c>
      <c r="G1249" s="59" t="s">
        <v>74</v>
      </c>
      <c r="H1249" s="105">
        <v>2011.0</v>
      </c>
      <c r="I1249" s="89">
        <v>1142.0</v>
      </c>
      <c r="J1249" s="76" t="s">
        <v>188</v>
      </c>
      <c r="K1249" s="81" t="s">
        <v>188</v>
      </c>
      <c r="L1249" s="106" t="s">
        <v>939</v>
      </c>
      <c r="M1249" s="107" t="s">
        <v>1238</v>
      </c>
      <c r="N1249" s="54"/>
      <c r="O1249" s="54"/>
      <c r="P1249" s="54"/>
      <c r="Q1249" s="54"/>
      <c r="R1249" s="54"/>
      <c r="S1249" s="54"/>
      <c r="T1249" s="54"/>
      <c r="U1249" s="54"/>
      <c r="V1249" s="54"/>
      <c r="W1249" s="54"/>
      <c r="X1249" s="54"/>
      <c r="Y1249" s="54"/>
      <c r="Z1249" s="54"/>
      <c r="AA1249" s="54"/>
      <c r="AB1249" s="54"/>
      <c r="AC1249" s="54"/>
      <c r="AD1249" s="54"/>
      <c r="AE1249" s="54"/>
      <c r="AF1249" s="54"/>
      <c r="AG1249" s="54"/>
      <c r="AH1249" s="54"/>
    </row>
    <row r="1250">
      <c r="A1250" s="59" t="s">
        <v>1234</v>
      </c>
      <c r="B1250" s="59" t="s">
        <v>20</v>
      </c>
      <c r="C1250" s="59" t="s">
        <v>1235</v>
      </c>
      <c r="D1250" s="59" t="s">
        <v>1236</v>
      </c>
      <c r="E1250" s="11" t="s">
        <v>1237</v>
      </c>
      <c r="F1250" s="59" t="s">
        <v>313</v>
      </c>
      <c r="G1250" s="59" t="s">
        <v>74</v>
      </c>
      <c r="H1250" s="105">
        <v>2012.0</v>
      </c>
      <c r="I1250" s="89">
        <v>1089.0</v>
      </c>
      <c r="J1250" s="76" t="s">
        <v>188</v>
      </c>
      <c r="K1250" s="81" t="s">
        <v>188</v>
      </c>
      <c r="L1250" s="106" t="s">
        <v>939</v>
      </c>
      <c r="M1250" s="107" t="s">
        <v>1238</v>
      </c>
      <c r="N1250" s="54"/>
      <c r="O1250" s="54"/>
      <c r="P1250" s="54"/>
      <c r="Q1250" s="54"/>
      <c r="R1250" s="54"/>
      <c r="S1250" s="54"/>
      <c r="T1250" s="54"/>
      <c r="U1250" s="54"/>
      <c r="V1250" s="54"/>
      <c r="W1250" s="54"/>
      <c r="X1250" s="54"/>
      <c r="Y1250" s="54"/>
      <c r="Z1250" s="54"/>
      <c r="AA1250" s="54"/>
      <c r="AB1250" s="54"/>
      <c r="AC1250" s="54"/>
      <c r="AD1250" s="54"/>
      <c r="AE1250" s="54"/>
      <c r="AF1250" s="54"/>
      <c r="AG1250" s="54"/>
      <c r="AH1250" s="54"/>
    </row>
    <row r="1251">
      <c r="A1251" s="59" t="s">
        <v>1234</v>
      </c>
      <c r="B1251" s="59" t="s">
        <v>20</v>
      </c>
      <c r="C1251" s="59" t="s">
        <v>1235</v>
      </c>
      <c r="D1251" s="59" t="s">
        <v>1236</v>
      </c>
      <c r="E1251" s="11" t="s">
        <v>1237</v>
      </c>
      <c r="F1251" s="59" t="s">
        <v>313</v>
      </c>
      <c r="G1251" s="59" t="s">
        <v>74</v>
      </c>
      <c r="H1251" s="105">
        <v>2013.0</v>
      </c>
      <c r="I1251" s="89">
        <v>1256.0</v>
      </c>
      <c r="J1251" s="76" t="s">
        <v>188</v>
      </c>
      <c r="K1251" s="81" t="s">
        <v>188</v>
      </c>
      <c r="L1251" s="106" t="s">
        <v>939</v>
      </c>
      <c r="M1251" s="107" t="s">
        <v>1238</v>
      </c>
      <c r="N1251" s="54"/>
      <c r="O1251" s="54"/>
      <c r="P1251" s="54"/>
      <c r="Q1251" s="54"/>
      <c r="R1251" s="54"/>
      <c r="S1251" s="54"/>
      <c r="T1251" s="54"/>
      <c r="U1251" s="54"/>
      <c r="V1251" s="54"/>
      <c r="W1251" s="54"/>
      <c r="X1251" s="54"/>
      <c r="Y1251" s="54"/>
      <c r="Z1251" s="54"/>
      <c r="AA1251" s="54"/>
      <c r="AB1251" s="54"/>
      <c r="AC1251" s="54"/>
      <c r="AD1251" s="54"/>
      <c r="AE1251" s="54"/>
      <c r="AF1251" s="54"/>
      <c r="AG1251" s="54"/>
      <c r="AH1251" s="54"/>
    </row>
    <row r="1252">
      <c r="A1252" s="59" t="s">
        <v>1234</v>
      </c>
      <c r="B1252" s="59" t="s">
        <v>20</v>
      </c>
      <c r="C1252" s="59" t="s">
        <v>1235</v>
      </c>
      <c r="D1252" s="59" t="s">
        <v>1236</v>
      </c>
      <c r="E1252" s="11" t="s">
        <v>1237</v>
      </c>
      <c r="F1252" s="59" t="s">
        <v>313</v>
      </c>
      <c r="G1252" s="59" t="s">
        <v>74</v>
      </c>
      <c r="H1252" s="105">
        <v>2014.0</v>
      </c>
      <c r="I1252" s="89">
        <v>1564.0</v>
      </c>
      <c r="J1252" s="76" t="s">
        <v>188</v>
      </c>
      <c r="K1252" s="81" t="s">
        <v>188</v>
      </c>
      <c r="L1252" s="106" t="s">
        <v>939</v>
      </c>
      <c r="M1252" s="107" t="s">
        <v>1238</v>
      </c>
      <c r="N1252" s="54"/>
      <c r="O1252" s="54"/>
      <c r="P1252" s="54"/>
      <c r="Q1252" s="54"/>
      <c r="R1252" s="54"/>
      <c r="S1252" s="54"/>
      <c r="T1252" s="54"/>
      <c r="U1252" s="54"/>
      <c r="V1252" s="54"/>
      <c r="W1252" s="54"/>
      <c r="X1252" s="54"/>
      <c r="Y1252" s="54"/>
      <c r="Z1252" s="54"/>
      <c r="AA1252" s="54"/>
      <c r="AB1252" s="54"/>
      <c r="AC1252" s="54"/>
      <c r="AD1252" s="54"/>
      <c r="AE1252" s="54"/>
      <c r="AF1252" s="54"/>
      <c r="AG1252" s="54"/>
      <c r="AH1252" s="54"/>
    </row>
    <row r="1253">
      <c r="A1253" s="59" t="s">
        <v>1234</v>
      </c>
      <c r="B1253" s="59" t="s">
        <v>20</v>
      </c>
      <c r="C1253" s="59" t="s">
        <v>1235</v>
      </c>
      <c r="D1253" s="59" t="s">
        <v>1236</v>
      </c>
      <c r="E1253" s="11" t="s">
        <v>1237</v>
      </c>
      <c r="F1253" s="59" t="s">
        <v>313</v>
      </c>
      <c r="G1253" s="59" t="s">
        <v>74</v>
      </c>
      <c r="H1253" s="105">
        <v>2015.0</v>
      </c>
      <c r="I1253" s="89">
        <v>1384.0</v>
      </c>
      <c r="J1253" s="76" t="s">
        <v>188</v>
      </c>
      <c r="K1253" s="81" t="s">
        <v>188</v>
      </c>
      <c r="L1253" s="106" t="s">
        <v>939</v>
      </c>
      <c r="M1253" s="107" t="s">
        <v>1238</v>
      </c>
      <c r="N1253" s="54"/>
      <c r="O1253" s="54"/>
      <c r="P1253" s="54"/>
      <c r="Q1253" s="54"/>
      <c r="R1253" s="54"/>
      <c r="S1253" s="54"/>
      <c r="T1253" s="54"/>
      <c r="U1253" s="54"/>
      <c r="V1253" s="54"/>
      <c r="W1253" s="54"/>
      <c r="X1253" s="54"/>
      <c r="Y1253" s="54"/>
      <c r="Z1253" s="54"/>
      <c r="AA1253" s="54"/>
      <c r="AB1253" s="54"/>
      <c r="AC1253" s="54"/>
      <c r="AD1253" s="54"/>
      <c r="AE1253" s="54"/>
      <c r="AF1253" s="54"/>
      <c r="AG1253" s="54"/>
      <c r="AH1253" s="54"/>
    </row>
    <row r="1254">
      <c r="A1254" s="59" t="s">
        <v>1234</v>
      </c>
      <c r="B1254" s="59" t="s">
        <v>20</v>
      </c>
      <c r="C1254" s="59" t="s">
        <v>1235</v>
      </c>
      <c r="D1254" s="59" t="s">
        <v>1236</v>
      </c>
      <c r="E1254" s="11" t="s">
        <v>1237</v>
      </c>
      <c r="F1254" s="59" t="s">
        <v>313</v>
      </c>
      <c r="G1254" s="59" t="s">
        <v>74</v>
      </c>
      <c r="H1254" s="105">
        <v>2016.0</v>
      </c>
      <c r="I1254" s="89">
        <v>1799.0</v>
      </c>
      <c r="J1254" s="76" t="s">
        <v>188</v>
      </c>
      <c r="K1254" s="81" t="s">
        <v>188</v>
      </c>
      <c r="L1254" s="106" t="s">
        <v>939</v>
      </c>
      <c r="M1254" s="107" t="s">
        <v>1238</v>
      </c>
      <c r="N1254" s="54"/>
      <c r="O1254" s="54"/>
      <c r="P1254" s="54"/>
      <c r="Q1254" s="54"/>
      <c r="R1254" s="54"/>
      <c r="S1254" s="54"/>
      <c r="T1254" s="54"/>
      <c r="U1254" s="54"/>
      <c r="V1254" s="54"/>
      <c r="W1254" s="54"/>
      <c r="X1254" s="54"/>
      <c r="Y1254" s="54"/>
      <c r="Z1254" s="54"/>
      <c r="AA1254" s="54"/>
      <c r="AB1254" s="54"/>
      <c r="AC1254" s="54"/>
      <c r="AD1254" s="54"/>
      <c r="AE1254" s="54"/>
      <c r="AF1254" s="54"/>
      <c r="AG1254" s="54"/>
      <c r="AH1254" s="54"/>
    </row>
    <row r="1255">
      <c r="A1255" s="45" t="s">
        <v>1241</v>
      </c>
      <c r="B1255" s="45" t="s">
        <v>20</v>
      </c>
      <c r="C1255" s="45" t="s">
        <v>1229</v>
      </c>
      <c r="D1255" s="45" t="s">
        <v>597</v>
      </c>
      <c r="E1255" s="11" t="s">
        <v>1242</v>
      </c>
      <c r="F1255" s="25" t="s">
        <v>257</v>
      </c>
      <c r="G1255" s="45" t="s">
        <v>1053</v>
      </c>
      <c r="H1255" s="47">
        <v>1991.0</v>
      </c>
      <c r="I1255" s="48">
        <v>4852.0</v>
      </c>
      <c r="J1255" s="48">
        <v>1617.0</v>
      </c>
      <c r="K1255" s="29">
        <v>11321.0</v>
      </c>
      <c r="L1255" s="29" t="s">
        <v>939</v>
      </c>
      <c r="M1255" s="110" t="s">
        <v>1243</v>
      </c>
      <c r="N1255" s="52"/>
      <c r="O1255" s="25" t="s">
        <v>1233</v>
      </c>
      <c r="P1255" s="51"/>
      <c r="Q1255" s="51"/>
      <c r="R1255" s="51"/>
      <c r="S1255" s="51"/>
      <c r="T1255" s="51"/>
      <c r="U1255" s="51"/>
      <c r="V1255" s="51"/>
      <c r="W1255" s="51"/>
      <c r="X1255" s="51"/>
      <c r="Y1255" s="51"/>
      <c r="Z1255" s="51"/>
      <c r="AA1255" s="51"/>
      <c r="AB1255" s="51"/>
      <c r="AC1255" s="51"/>
      <c r="AD1255" s="51"/>
      <c r="AE1255" s="51"/>
      <c r="AF1255" s="51"/>
      <c r="AG1255" s="51"/>
      <c r="AH1255" s="51"/>
    </row>
    <row r="1256">
      <c r="A1256" s="45" t="s">
        <v>1241</v>
      </c>
      <c r="B1256" s="45" t="s">
        <v>20</v>
      </c>
      <c r="C1256" s="45" t="s">
        <v>1229</v>
      </c>
      <c r="D1256" s="45" t="s">
        <v>597</v>
      </c>
      <c r="E1256" s="11" t="s">
        <v>1242</v>
      </c>
      <c r="F1256" s="25" t="s">
        <v>257</v>
      </c>
      <c r="G1256" s="45" t="s">
        <v>1053</v>
      </c>
      <c r="H1256" s="47">
        <v>1993.0</v>
      </c>
      <c r="I1256" s="48">
        <v>5256.0</v>
      </c>
      <c r="J1256" s="48">
        <v>2022.0</v>
      </c>
      <c r="K1256" s="29">
        <v>10108.0</v>
      </c>
      <c r="L1256" s="29" t="s">
        <v>939</v>
      </c>
      <c r="M1256" s="110" t="s">
        <v>1243</v>
      </c>
      <c r="N1256" s="52"/>
      <c r="O1256" s="25" t="s">
        <v>1233</v>
      </c>
      <c r="P1256" s="51"/>
      <c r="Q1256" s="51"/>
      <c r="R1256" s="51"/>
      <c r="S1256" s="51"/>
      <c r="T1256" s="51"/>
      <c r="U1256" s="51"/>
      <c r="V1256" s="51"/>
      <c r="W1256" s="51"/>
      <c r="X1256" s="51"/>
      <c r="Y1256" s="51"/>
      <c r="Z1256" s="51"/>
      <c r="AA1256" s="51"/>
      <c r="AB1256" s="51"/>
      <c r="AC1256" s="51"/>
      <c r="AD1256" s="51"/>
      <c r="AE1256" s="51"/>
      <c r="AF1256" s="51"/>
      <c r="AG1256" s="51"/>
      <c r="AH1256" s="51"/>
    </row>
    <row r="1257">
      <c r="A1257" s="45" t="s">
        <v>1241</v>
      </c>
      <c r="B1257" s="45" t="s">
        <v>20</v>
      </c>
      <c r="C1257" s="45" t="s">
        <v>1229</v>
      </c>
      <c r="D1257" s="45" t="s">
        <v>597</v>
      </c>
      <c r="E1257" s="11" t="s">
        <v>1242</v>
      </c>
      <c r="F1257" s="25" t="s">
        <v>257</v>
      </c>
      <c r="G1257" s="45" t="s">
        <v>1053</v>
      </c>
      <c r="H1257" s="47">
        <v>1996.0</v>
      </c>
      <c r="I1257" s="48">
        <v>58625.0</v>
      </c>
      <c r="J1257" s="48">
        <v>20620.0</v>
      </c>
      <c r="K1257" s="29">
        <v>167385.0</v>
      </c>
      <c r="L1257" s="29" t="s">
        <v>939</v>
      </c>
      <c r="M1257" s="110" t="s">
        <v>1243</v>
      </c>
      <c r="N1257" s="52"/>
      <c r="O1257" s="25"/>
      <c r="P1257" s="51"/>
      <c r="Q1257" s="51"/>
      <c r="R1257" s="51"/>
      <c r="S1257" s="51"/>
      <c r="T1257" s="51"/>
      <c r="U1257" s="51"/>
      <c r="V1257" s="51"/>
      <c r="W1257" s="51"/>
      <c r="X1257" s="51"/>
      <c r="Y1257" s="51"/>
      <c r="Z1257" s="51"/>
      <c r="AA1257" s="51"/>
      <c r="AB1257" s="51"/>
      <c r="AC1257" s="51"/>
      <c r="AD1257" s="51"/>
      <c r="AE1257" s="51"/>
      <c r="AF1257" s="51"/>
      <c r="AG1257" s="51"/>
      <c r="AH1257" s="51"/>
    </row>
    <row r="1258">
      <c r="A1258" s="45" t="s">
        <v>1241</v>
      </c>
      <c r="B1258" s="45" t="s">
        <v>20</v>
      </c>
      <c r="C1258" s="45" t="s">
        <v>1229</v>
      </c>
      <c r="D1258" s="45" t="s">
        <v>597</v>
      </c>
      <c r="E1258" s="11" t="s">
        <v>1242</v>
      </c>
      <c r="F1258" s="25" t="s">
        <v>257</v>
      </c>
      <c r="G1258" s="45" t="s">
        <v>1053</v>
      </c>
      <c r="H1258" s="47">
        <v>2001.0</v>
      </c>
      <c r="I1258" s="48">
        <v>15768.0</v>
      </c>
      <c r="J1258" s="48">
        <v>6873.0</v>
      </c>
      <c r="K1258" s="29">
        <v>40027.0</v>
      </c>
      <c r="L1258" s="29" t="s">
        <v>939</v>
      </c>
      <c r="M1258" s="110" t="s">
        <v>1243</v>
      </c>
      <c r="N1258" s="52"/>
      <c r="O1258" s="25"/>
      <c r="P1258" s="51"/>
      <c r="Q1258" s="51"/>
      <c r="R1258" s="51"/>
      <c r="S1258" s="51"/>
      <c r="T1258" s="51"/>
      <c r="U1258" s="51"/>
      <c r="V1258" s="51"/>
      <c r="W1258" s="51"/>
      <c r="X1258" s="51"/>
      <c r="Y1258" s="51"/>
      <c r="Z1258" s="51"/>
      <c r="AA1258" s="51"/>
      <c r="AB1258" s="51"/>
      <c r="AC1258" s="51"/>
      <c r="AD1258" s="51"/>
      <c r="AE1258" s="51"/>
      <c r="AF1258" s="51"/>
      <c r="AG1258" s="51"/>
      <c r="AH1258" s="51"/>
    </row>
    <row r="1259">
      <c r="A1259" s="45" t="s">
        <v>1241</v>
      </c>
      <c r="B1259" s="45" t="s">
        <v>20</v>
      </c>
      <c r="C1259" s="45" t="s">
        <v>1229</v>
      </c>
      <c r="D1259" s="45" t="s">
        <v>597</v>
      </c>
      <c r="E1259" s="11" t="s">
        <v>1242</v>
      </c>
      <c r="F1259" s="25" t="s">
        <v>257</v>
      </c>
      <c r="G1259" s="45" t="s">
        <v>1053</v>
      </c>
      <c r="H1259" s="47">
        <v>2005.0</v>
      </c>
      <c r="I1259" s="48">
        <v>17790.0</v>
      </c>
      <c r="J1259" s="48">
        <v>6469.0</v>
      </c>
      <c r="K1259" s="29">
        <v>49326.0</v>
      </c>
      <c r="L1259" s="29" t="s">
        <v>939</v>
      </c>
      <c r="M1259" s="110" t="s">
        <v>1243</v>
      </c>
      <c r="N1259" s="52"/>
      <c r="O1259" s="25"/>
      <c r="P1259" s="51"/>
      <c r="Q1259" s="51"/>
      <c r="R1259" s="51"/>
      <c r="S1259" s="51"/>
      <c r="T1259" s="51"/>
      <c r="U1259" s="51"/>
      <c r="V1259" s="51"/>
      <c r="W1259" s="51"/>
      <c r="X1259" s="51"/>
      <c r="Y1259" s="51"/>
      <c r="Z1259" s="51"/>
      <c r="AA1259" s="51"/>
      <c r="AB1259" s="51"/>
      <c r="AC1259" s="51"/>
      <c r="AD1259" s="51"/>
      <c r="AE1259" s="51"/>
      <c r="AF1259" s="51"/>
      <c r="AG1259" s="51"/>
      <c r="AH1259" s="51"/>
    </row>
    <row r="1260">
      <c r="A1260" s="45" t="s">
        <v>1241</v>
      </c>
      <c r="B1260" s="45" t="s">
        <v>20</v>
      </c>
      <c r="C1260" s="45" t="s">
        <v>1229</v>
      </c>
      <c r="D1260" s="45" t="s">
        <v>597</v>
      </c>
      <c r="E1260" s="11" t="s">
        <v>1242</v>
      </c>
      <c r="F1260" s="25" t="s">
        <v>257</v>
      </c>
      <c r="G1260" s="45" t="s">
        <v>1053</v>
      </c>
      <c r="H1260" s="47">
        <v>2008.0</v>
      </c>
      <c r="I1260" s="48">
        <v>29515.0</v>
      </c>
      <c r="J1260" s="48">
        <v>14960.0</v>
      </c>
      <c r="K1260" s="29">
        <v>59838.0</v>
      </c>
      <c r="L1260" s="29" t="s">
        <v>939</v>
      </c>
      <c r="M1260" s="110" t="s">
        <v>1243</v>
      </c>
      <c r="N1260" s="52"/>
      <c r="O1260" s="25"/>
      <c r="P1260" s="51"/>
      <c r="Q1260" s="51"/>
      <c r="R1260" s="51"/>
      <c r="S1260" s="51"/>
      <c r="T1260" s="51"/>
      <c r="U1260" s="51"/>
      <c r="V1260" s="51"/>
      <c r="W1260" s="51"/>
      <c r="X1260" s="51"/>
      <c r="Y1260" s="51"/>
      <c r="Z1260" s="51"/>
      <c r="AA1260" s="51"/>
      <c r="AB1260" s="51"/>
      <c r="AC1260" s="51"/>
      <c r="AD1260" s="51"/>
      <c r="AE1260" s="51"/>
      <c r="AF1260" s="51"/>
      <c r="AG1260" s="51"/>
      <c r="AH1260" s="51"/>
    </row>
    <row r="1261">
      <c r="A1261" s="45" t="s">
        <v>1241</v>
      </c>
      <c r="B1261" s="45" t="s">
        <v>20</v>
      </c>
      <c r="C1261" s="45" t="s">
        <v>1229</v>
      </c>
      <c r="D1261" s="45" t="s">
        <v>597</v>
      </c>
      <c r="E1261" s="11" t="s">
        <v>1242</v>
      </c>
      <c r="F1261" s="25" t="s">
        <v>257</v>
      </c>
      <c r="G1261" s="45" t="s">
        <v>1053</v>
      </c>
      <c r="H1261" s="47">
        <v>2014.0</v>
      </c>
      <c r="I1261" s="48">
        <v>23854.0</v>
      </c>
      <c r="J1261" s="48">
        <v>10512.0</v>
      </c>
      <c r="K1261" s="29">
        <v>55795.0</v>
      </c>
      <c r="L1261" s="29" t="s">
        <v>939</v>
      </c>
      <c r="M1261" s="110" t="s">
        <v>1243</v>
      </c>
      <c r="N1261" s="52"/>
      <c r="O1261" s="25"/>
      <c r="P1261" s="51"/>
      <c r="Q1261" s="51"/>
      <c r="R1261" s="51"/>
      <c r="S1261" s="51"/>
      <c r="T1261" s="51"/>
      <c r="U1261" s="51"/>
      <c r="V1261" s="51"/>
      <c r="W1261" s="51"/>
      <c r="X1261" s="51"/>
      <c r="Y1261" s="51"/>
      <c r="Z1261" s="51"/>
      <c r="AA1261" s="51"/>
      <c r="AB1261" s="51"/>
      <c r="AC1261" s="51"/>
      <c r="AD1261" s="51"/>
      <c r="AE1261" s="51"/>
      <c r="AF1261" s="51"/>
      <c r="AG1261" s="51"/>
      <c r="AH1261" s="51"/>
    </row>
    <row r="1262">
      <c r="A1262" s="45" t="s">
        <v>1241</v>
      </c>
      <c r="B1262" s="11" t="s">
        <v>20</v>
      </c>
      <c r="C1262" s="45" t="s">
        <v>1229</v>
      </c>
      <c r="D1262" s="11" t="s">
        <v>597</v>
      </c>
      <c r="E1262" s="11" t="s">
        <v>1242</v>
      </c>
      <c r="F1262" s="11" t="s">
        <v>157</v>
      </c>
      <c r="G1262" s="11" t="s">
        <v>158</v>
      </c>
      <c r="H1262" s="11">
        <v>1996.0</v>
      </c>
      <c r="I1262" s="40">
        <v>37147.0</v>
      </c>
      <c r="J1262" s="40">
        <v>21558.0</v>
      </c>
      <c r="K1262" s="41">
        <v>64010.0</v>
      </c>
      <c r="L1262" s="42" t="s">
        <v>160</v>
      </c>
      <c r="M1262" s="110" t="s">
        <v>1243</v>
      </c>
      <c r="N1262" s="11"/>
    </row>
    <row r="1263">
      <c r="A1263" s="45" t="s">
        <v>1241</v>
      </c>
      <c r="B1263" s="11" t="s">
        <v>20</v>
      </c>
      <c r="C1263" s="45" t="s">
        <v>1229</v>
      </c>
      <c r="D1263" s="11" t="s">
        <v>597</v>
      </c>
      <c r="E1263" s="11" t="s">
        <v>1242</v>
      </c>
      <c r="F1263" s="11" t="s">
        <v>157</v>
      </c>
      <c r="G1263" s="11" t="s">
        <v>158</v>
      </c>
      <c r="H1263" s="11">
        <v>2001.0</v>
      </c>
      <c r="I1263" s="40">
        <v>38533.0</v>
      </c>
      <c r="J1263" s="40">
        <v>22194.0</v>
      </c>
      <c r="K1263" s="41">
        <v>66900.0</v>
      </c>
      <c r="L1263" s="42" t="s">
        <v>160</v>
      </c>
      <c r="M1263" s="110" t="s">
        <v>1243</v>
      </c>
    </row>
    <row r="1264">
      <c r="A1264" s="45" t="s">
        <v>1241</v>
      </c>
      <c r="B1264" s="11" t="s">
        <v>20</v>
      </c>
      <c r="C1264" s="45" t="s">
        <v>1229</v>
      </c>
      <c r="D1264" s="11" t="s">
        <v>597</v>
      </c>
      <c r="E1264" s="11" t="s">
        <v>1242</v>
      </c>
      <c r="F1264" s="11" t="s">
        <v>157</v>
      </c>
      <c r="G1264" s="11" t="s">
        <v>158</v>
      </c>
      <c r="H1264" s="11">
        <v>2005.0</v>
      </c>
      <c r="I1264" s="40">
        <v>39008.0</v>
      </c>
      <c r="J1264" s="40">
        <v>14657.0</v>
      </c>
      <c r="K1264" s="41">
        <v>103814.0</v>
      </c>
      <c r="L1264" s="42" t="s">
        <v>160</v>
      </c>
      <c r="M1264" s="110" t="s">
        <v>1243</v>
      </c>
    </row>
    <row r="1265">
      <c r="A1265" s="45" t="s">
        <v>1241</v>
      </c>
      <c r="B1265" s="11" t="s">
        <v>20</v>
      </c>
      <c r="C1265" s="45" t="s">
        <v>1229</v>
      </c>
      <c r="D1265" s="11" t="s">
        <v>597</v>
      </c>
      <c r="E1265" s="11" t="s">
        <v>1242</v>
      </c>
      <c r="F1265" s="11" t="s">
        <v>157</v>
      </c>
      <c r="G1265" s="11" t="s">
        <v>158</v>
      </c>
      <c r="H1265" s="11">
        <v>2008.0</v>
      </c>
      <c r="I1265" s="40">
        <v>37369.0</v>
      </c>
      <c r="J1265" s="40">
        <v>18761.0</v>
      </c>
      <c r="K1265" s="41">
        <v>74432.0</v>
      </c>
      <c r="L1265" s="42" t="s">
        <v>160</v>
      </c>
      <c r="M1265" s="110" t="s">
        <v>1243</v>
      </c>
    </row>
    <row r="1266">
      <c r="A1266" s="45" t="s">
        <v>1241</v>
      </c>
      <c r="B1266" s="11" t="s">
        <v>20</v>
      </c>
      <c r="C1266" s="45" t="s">
        <v>1229</v>
      </c>
      <c r="D1266" s="11" t="s">
        <v>597</v>
      </c>
      <c r="E1266" s="11" t="s">
        <v>1242</v>
      </c>
      <c r="F1266" s="11" t="s">
        <v>157</v>
      </c>
      <c r="G1266" s="11" t="s">
        <v>158</v>
      </c>
      <c r="H1266" s="11">
        <v>2014.0</v>
      </c>
      <c r="I1266" s="40">
        <v>28901.0</v>
      </c>
      <c r="J1266" s="40">
        <v>15240.0</v>
      </c>
      <c r="K1266" s="41">
        <v>54807.0</v>
      </c>
      <c r="L1266" s="42" t="s">
        <v>160</v>
      </c>
      <c r="M1266" s="110" t="s">
        <v>1243</v>
      </c>
    </row>
    <row r="1267">
      <c r="A1267" s="45" t="s">
        <v>1241</v>
      </c>
      <c r="B1267" s="11" t="s">
        <v>20</v>
      </c>
      <c r="C1267" s="45" t="s">
        <v>1229</v>
      </c>
      <c r="D1267" s="11" t="s">
        <v>597</v>
      </c>
      <c r="E1267" s="11" t="s">
        <v>1242</v>
      </c>
      <c r="F1267" s="11" t="s">
        <v>157</v>
      </c>
      <c r="G1267" s="11" t="s">
        <v>158</v>
      </c>
      <c r="H1267" s="11">
        <v>2018.0</v>
      </c>
      <c r="I1267" s="40">
        <v>34999.0</v>
      </c>
      <c r="J1267" s="40">
        <v>22756.0</v>
      </c>
      <c r="K1267" s="41">
        <v>53829.0</v>
      </c>
      <c r="L1267" s="42" t="s">
        <v>160</v>
      </c>
      <c r="M1267" s="110" t="s">
        <v>1243</v>
      </c>
    </row>
    <row r="1268">
      <c r="A1268" s="45" t="s">
        <v>121</v>
      </c>
      <c r="B1268" s="45" t="s">
        <v>20</v>
      </c>
      <c r="C1268" s="45" t="s">
        <v>1245</v>
      </c>
      <c r="D1268" s="45" t="s">
        <v>595</v>
      </c>
      <c r="E1268" s="11" t="s">
        <v>1246</v>
      </c>
      <c r="F1268" s="25" t="s">
        <v>257</v>
      </c>
      <c r="G1268" s="45" t="s">
        <v>1053</v>
      </c>
      <c r="H1268" s="47">
        <v>2002.0</v>
      </c>
      <c r="I1268" s="48">
        <v>4003.0</v>
      </c>
      <c r="J1268" s="48">
        <v>1279.0</v>
      </c>
      <c r="K1268" s="29">
        <v>12528.0</v>
      </c>
      <c r="L1268" s="29" t="s">
        <v>81</v>
      </c>
      <c r="M1268" s="110" t="s">
        <v>1247</v>
      </c>
      <c r="N1268" s="52"/>
      <c r="O1268" s="25"/>
      <c r="P1268" s="51"/>
      <c r="Q1268" s="51"/>
      <c r="R1268" s="51"/>
      <c r="S1268" s="51"/>
      <c r="T1268" s="51"/>
      <c r="U1268" s="51"/>
      <c r="V1268" s="51"/>
      <c r="W1268" s="51"/>
      <c r="X1268" s="51"/>
      <c r="Y1268" s="51"/>
      <c r="Z1268" s="51"/>
      <c r="AA1268" s="51"/>
      <c r="AB1268" s="51"/>
      <c r="AC1268" s="51"/>
      <c r="AD1268" s="51"/>
      <c r="AE1268" s="51"/>
      <c r="AF1268" s="51"/>
      <c r="AG1268" s="51"/>
      <c r="AH1268" s="51"/>
    </row>
    <row r="1269">
      <c r="A1269" s="45" t="s">
        <v>121</v>
      </c>
      <c r="B1269" s="45" t="s">
        <v>20</v>
      </c>
      <c r="C1269" s="45" t="s">
        <v>1245</v>
      </c>
      <c r="D1269" s="45" t="s">
        <v>595</v>
      </c>
      <c r="E1269" s="11" t="s">
        <v>1246</v>
      </c>
      <c r="F1269" s="25" t="s">
        <v>257</v>
      </c>
      <c r="G1269" s="45" t="s">
        <v>1053</v>
      </c>
      <c r="H1269" s="47">
        <v>2010.0</v>
      </c>
      <c r="I1269" s="48">
        <v>10957.0</v>
      </c>
      <c r="J1269" s="48">
        <v>4879.0</v>
      </c>
      <c r="K1269" s="29">
        <v>24609.0</v>
      </c>
      <c r="L1269" s="29" t="s">
        <v>81</v>
      </c>
      <c r="M1269" s="110" t="s">
        <v>1247</v>
      </c>
      <c r="N1269" s="52"/>
      <c r="O1269" s="25"/>
      <c r="P1269" s="51"/>
      <c r="Q1269" s="51"/>
      <c r="R1269" s="51"/>
      <c r="S1269" s="51"/>
      <c r="T1269" s="51"/>
      <c r="U1269" s="51"/>
      <c r="V1269" s="51"/>
      <c r="W1269" s="51"/>
      <c r="X1269" s="51"/>
      <c r="Y1269" s="51"/>
      <c r="Z1269" s="51"/>
      <c r="AA1269" s="51"/>
      <c r="AB1269" s="51"/>
      <c r="AC1269" s="51"/>
      <c r="AD1269" s="51"/>
      <c r="AE1269" s="51"/>
      <c r="AF1269" s="51"/>
      <c r="AG1269" s="51"/>
      <c r="AH1269" s="51"/>
    </row>
    <row r="1270">
      <c r="A1270" s="45" t="s">
        <v>121</v>
      </c>
      <c r="B1270" s="45" t="s">
        <v>20</v>
      </c>
      <c r="C1270" s="45" t="s">
        <v>1245</v>
      </c>
      <c r="D1270" s="45" t="s">
        <v>595</v>
      </c>
      <c r="E1270" s="11" t="s">
        <v>1246</v>
      </c>
      <c r="F1270" s="25" t="s">
        <v>257</v>
      </c>
      <c r="G1270" s="45" t="s">
        <v>1053</v>
      </c>
      <c r="H1270" s="47">
        <v>2017.0</v>
      </c>
      <c r="I1270" s="48">
        <v>6245.0</v>
      </c>
      <c r="J1270" s="48">
        <v>2481.0</v>
      </c>
      <c r="K1270" s="29">
        <v>15718.0</v>
      </c>
      <c r="L1270" s="29" t="s">
        <v>81</v>
      </c>
      <c r="M1270" s="110" t="s">
        <v>1247</v>
      </c>
      <c r="N1270" s="52"/>
      <c r="O1270" s="25"/>
      <c r="P1270" s="51"/>
      <c r="Q1270" s="51"/>
      <c r="R1270" s="51"/>
      <c r="S1270" s="51"/>
      <c r="T1270" s="51"/>
      <c r="U1270" s="51"/>
      <c r="V1270" s="51"/>
      <c r="W1270" s="51"/>
      <c r="X1270" s="51"/>
      <c r="Y1270" s="51"/>
      <c r="Z1270" s="51"/>
      <c r="AA1270" s="51"/>
      <c r="AB1270" s="51"/>
      <c r="AC1270" s="51"/>
      <c r="AD1270" s="51"/>
      <c r="AE1270" s="51"/>
      <c r="AF1270" s="51"/>
      <c r="AG1270" s="51"/>
      <c r="AH1270" s="51"/>
    </row>
    <row r="1271">
      <c r="A1271" s="45" t="s">
        <v>121</v>
      </c>
      <c r="B1271" s="45" t="s">
        <v>20</v>
      </c>
      <c r="C1271" s="45" t="s">
        <v>1245</v>
      </c>
      <c r="D1271" s="45" t="s">
        <v>595</v>
      </c>
      <c r="E1271" s="11" t="s">
        <v>1246</v>
      </c>
      <c r="F1271" s="25" t="s">
        <v>436</v>
      </c>
      <c r="G1271" s="45" t="s">
        <v>1053</v>
      </c>
      <c r="H1271" s="47">
        <v>2002.0</v>
      </c>
      <c r="I1271" s="48">
        <v>6916.0</v>
      </c>
      <c r="J1271" s="48">
        <v>4623.0</v>
      </c>
      <c r="K1271" s="29">
        <v>10346.0</v>
      </c>
      <c r="L1271" s="29" t="s">
        <v>81</v>
      </c>
      <c r="M1271" s="110" t="s">
        <v>1247</v>
      </c>
      <c r="N1271" s="52"/>
      <c r="O1271" s="25"/>
      <c r="P1271" s="51"/>
      <c r="Q1271" s="51"/>
      <c r="R1271" s="51"/>
      <c r="S1271" s="51"/>
      <c r="T1271" s="51"/>
      <c r="U1271" s="51"/>
      <c r="V1271" s="51"/>
      <c r="W1271" s="51"/>
      <c r="X1271" s="51"/>
      <c r="Y1271" s="51"/>
      <c r="Z1271" s="51"/>
      <c r="AA1271" s="51"/>
      <c r="AB1271" s="51"/>
      <c r="AC1271" s="51"/>
      <c r="AD1271" s="51"/>
      <c r="AE1271" s="51"/>
      <c r="AF1271" s="51"/>
      <c r="AG1271" s="51"/>
      <c r="AH1271" s="51"/>
    </row>
    <row r="1272">
      <c r="A1272" s="45" t="s">
        <v>121</v>
      </c>
      <c r="B1272" s="45" t="s">
        <v>20</v>
      </c>
      <c r="C1272" s="45" t="s">
        <v>1245</v>
      </c>
      <c r="D1272" s="45" t="s">
        <v>595</v>
      </c>
      <c r="E1272" s="11" t="s">
        <v>1246</v>
      </c>
      <c r="F1272" s="25" t="s">
        <v>436</v>
      </c>
      <c r="G1272" s="45" t="s">
        <v>1053</v>
      </c>
      <c r="H1272" s="47">
        <v>2010.0</v>
      </c>
      <c r="I1272" s="48">
        <v>6174.0</v>
      </c>
      <c r="J1272" s="48">
        <v>4159.0</v>
      </c>
      <c r="K1272" s="29">
        <v>8165.0</v>
      </c>
      <c r="L1272" s="29" t="s">
        <v>81</v>
      </c>
      <c r="M1272" s="110" t="s">
        <v>1247</v>
      </c>
      <c r="N1272" s="52"/>
      <c r="O1272" s="25"/>
      <c r="P1272" s="51"/>
      <c r="Q1272" s="51"/>
      <c r="R1272" s="51"/>
      <c r="S1272" s="51"/>
      <c r="T1272" s="51"/>
      <c r="U1272" s="51"/>
      <c r="V1272" s="51"/>
      <c r="W1272" s="51"/>
      <c r="X1272" s="51"/>
      <c r="Y1272" s="51"/>
      <c r="Z1272" s="51"/>
      <c r="AA1272" s="51"/>
      <c r="AB1272" s="51"/>
      <c r="AC1272" s="51"/>
      <c r="AD1272" s="51"/>
      <c r="AE1272" s="51"/>
      <c r="AF1272" s="51"/>
      <c r="AG1272" s="51"/>
      <c r="AH1272" s="51"/>
    </row>
    <row r="1273">
      <c r="A1273" s="45" t="s">
        <v>121</v>
      </c>
      <c r="B1273" s="45" t="s">
        <v>20</v>
      </c>
      <c r="C1273" s="45" t="s">
        <v>1245</v>
      </c>
      <c r="D1273" s="45" t="s">
        <v>595</v>
      </c>
      <c r="E1273" s="11" t="s">
        <v>1246</v>
      </c>
      <c r="F1273" s="25" t="s">
        <v>436</v>
      </c>
      <c r="G1273" s="45" t="s">
        <v>1053</v>
      </c>
      <c r="H1273" s="47">
        <v>2017.0</v>
      </c>
      <c r="I1273" s="48">
        <v>7385.0</v>
      </c>
      <c r="J1273" s="48">
        <v>4817.0</v>
      </c>
      <c r="K1273" s="29">
        <v>11322.0</v>
      </c>
      <c r="L1273" s="29" t="s">
        <v>81</v>
      </c>
      <c r="M1273" s="110" t="s">
        <v>1247</v>
      </c>
      <c r="N1273" s="52"/>
      <c r="O1273" s="25"/>
      <c r="P1273" s="51"/>
      <c r="Q1273" s="51"/>
      <c r="R1273" s="51"/>
      <c r="S1273" s="51"/>
      <c r="T1273" s="51"/>
      <c r="U1273" s="51"/>
      <c r="V1273" s="51"/>
      <c r="W1273" s="51"/>
      <c r="X1273" s="51"/>
      <c r="Y1273" s="51"/>
      <c r="Z1273" s="51"/>
      <c r="AA1273" s="51"/>
      <c r="AB1273" s="51"/>
      <c r="AC1273" s="51"/>
      <c r="AD1273" s="51"/>
      <c r="AE1273" s="51"/>
      <c r="AF1273" s="51"/>
      <c r="AG1273" s="51"/>
      <c r="AH1273" s="51"/>
    </row>
    <row r="1274">
      <c r="A1274" s="45" t="s">
        <v>57</v>
      </c>
      <c r="B1274" s="45" t="s">
        <v>20</v>
      </c>
      <c r="C1274" s="45" t="s">
        <v>1229</v>
      </c>
      <c r="D1274" s="45" t="s">
        <v>1259</v>
      </c>
      <c r="E1274" s="11" t="s">
        <v>1261</v>
      </c>
      <c r="F1274" s="25" t="s">
        <v>257</v>
      </c>
      <c r="G1274" s="45" t="s">
        <v>1053</v>
      </c>
      <c r="H1274" s="47">
        <v>1991.0</v>
      </c>
      <c r="I1274" s="48">
        <v>320220.0</v>
      </c>
      <c r="J1274" s="48">
        <v>193148.0</v>
      </c>
      <c r="K1274" s="29">
        <v>535689.0</v>
      </c>
      <c r="L1274" s="29" t="s">
        <v>939</v>
      </c>
      <c r="M1274" s="110" t="s">
        <v>1262</v>
      </c>
      <c r="N1274" s="52"/>
      <c r="O1274" s="25" t="s">
        <v>1233</v>
      </c>
      <c r="P1274" s="51"/>
      <c r="Q1274" s="51"/>
      <c r="R1274" s="51"/>
      <c r="S1274" s="51"/>
      <c r="T1274" s="51"/>
      <c r="U1274" s="51"/>
      <c r="V1274" s="51"/>
      <c r="W1274" s="51"/>
      <c r="X1274" s="51"/>
      <c r="Y1274" s="51"/>
      <c r="Z1274" s="51"/>
      <c r="AA1274" s="51"/>
      <c r="AB1274" s="51"/>
      <c r="AC1274" s="51"/>
      <c r="AD1274" s="51"/>
      <c r="AE1274" s="51"/>
      <c r="AF1274" s="51"/>
      <c r="AG1274" s="51"/>
      <c r="AH1274" s="51"/>
    </row>
    <row r="1275">
      <c r="A1275" s="45" t="s">
        <v>57</v>
      </c>
      <c r="B1275" s="45" t="s">
        <v>20</v>
      </c>
      <c r="C1275" s="45" t="s">
        <v>1229</v>
      </c>
      <c r="D1275" s="45" t="s">
        <v>1259</v>
      </c>
      <c r="E1275" s="11" t="s">
        <v>1261</v>
      </c>
      <c r="F1275" s="25" t="s">
        <v>257</v>
      </c>
      <c r="G1275" s="45" t="s">
        <v>1053</v>
      </c>
      <c r="H1275" s="47">
        <v>1993.0</v>
      </c>
      <c r="I1275" s="48">
        <v>590530.0</v>
      </c>
      <c r="J1275" s="48">
        <v>347436.0</v>
      </c>
      <c r="K1275" s="29">
        <v>1038044.0</v>
      </c>
      <c r="L1275" s="29" t="s">
        <v>939</v>
      </c>
      <c r="M1275" s="110" t="s">
        <v>1262</v>
      </c>
      <c r="N1275" s="52"/>
      <c r="O1275" s="25" t="s">
        <v>1233</v>
      </c>
      <c r="P1275" s="51"/>
      <c r="Q1275" s="51"/>
      <c r="R1275" s="51"/>
      <c r="S1275" s="51"/>
      <c r="T1275" s="51"/>
      <c r="U1275" s="51"/>
      <c r="V1275" s="51"/>
      <c r="W1275" s="51"/>
      <c r="X1275" s="51"/>
      <c r="Y1275" s="51"/>
      <c r="Z1275" s="51"/>
      <c r="AA1275" s="51"/>
      <c r="AB1275" s="51"/>
      <c r="AC1275" s="51"/>
      <c r="AD1275" s="51"/>
      <c r="AE1275" s="51"/>
      <c r="AF1275" s="51"/>
      <c r="AG1275" s="51"/>
      <c r="AH1275" s="51"/>
    </row>
    <row r="1276">
      <c r="A1276" s="45" t="s">
        <v>57</v>
      </c>
      <c r="B1276" s="45" t="s">
        <v>20</v>
      </c>
      <c r="C1276" s="45" t="s">
        <v>1229</v>
      </c>
      <c r="D1276" s="45" t="s">
        <v>1259</v>
      </c>
      <c r="E1276" s="11" t="s">
        <v>1261</v>
      </c>
      <c r="F1276" s="25" t="s">
        <v>257</v>
      </c>
      <c r="G1276" s="45" t="s">
        <v>1053</v>
      </c>
      <c r="H1276" s="47">
        <v>1996.0</v>
      </c>
      <c r="I1276" s="48">
        <v>462846.0</v>
      </c>
      <c r="J1276" s="48">
        <v>297100.0</v>
      </c>
      <c r="K1276" s="29">
        <v>733564.0</v>
      </c>
      <c r="L1276" s="29" t="s">
        <v>939</v>
      </c>
      <c r="M1276" s="110" t="s">
        <v>1262</v>
      </c>
      <c r="N1276" s="52"/>
      <c r="O1276" s="25"/>
      <c r="P1276" s="51"/>
      <c r="Q1276" s="51"/>
      <c r="R1276" s="51"/>
      <c r="S1276" s="51"/>
      <c r="T1276" s="51"/>
      <c r="U1276" s="51"/>
      <c r="V1276" s="51"/>
      <c r="W1276" s="51"/>
      <c r="X1276" s="51"/>
      <c r="Y1276" s="51"/>
      <c r="Z1276" s="51"/>
      <c r="AA1276" s="51"/>
      <c r="AB1276" s="51"/>
      <c r="AC1276" s="51"/>
      <c r="AD1276" s="51"/>
      <c r="AE1276" s="51"/>
      <c r="AF1276" s="51"/>
      <c r="AG1276" s="51"/>
      <c r="AH1276" s="51"/>
    </row>
    <row r="1277">
      <c r="A1277" s="45" t="s">
        <v>57</v>
      </c>
      <c r="B1277" s="45" t="s">
        <v>20</v>
      </c>
      <c r="C1277" s="45" t="s">
        <v>1229</v>
      </c>
      <c r="D1277" s="45" t="s">
        <v>1259</v>
      </c>
      <c r="E1277" s="11" t="s">
        <v>1261</v>
      </c>
      <c r="F1277" s="25" t="s">
        <v>257</v>
      </c>
      <c r="G1277" s="45" t="s">
        <v>1053</v>
      </c>
      <c r="H1277" s="47">
        <v>2001.0</v>
      </c>
      <c r="I1277" s="48">
        <v>555749.0</v>
      </c>
      <c r="J1277" s="48">
        <v>285022.0</v>
      </c>
      <c r="K1277" s="29">
        <v>1097176.0</v>
      </c>
      <c r="L1277" s="29" t="s">
        <v>939</v>
      </c>
      <c r="M1277" s="110" t="s">
        <v>1262</v>
      </c>
      <c r="N1277" s="52"/>
      <c r="O1277" s="25"/>
      <c r="P1277" s="51"/>
      <c r="Q1277" s="51"/>
      <c r="R1277" s="51"/>
      <c r="S1277" s="51"/>
      <c r="T1277" s="51"/>
      <c r="U1277" s="51"/>
      <c r="V1277" s="51"/>
      <c r="W1277" s="51"/>
      <c r="X1277" s="51"/>
      <c r="Y1277" s="51"/>
      <c r="Z1277" s="51"/>
      <c r="AA1277" s="51"/>
      <c r="AB1277" s="51"/>
      <c r="AC1277" s="51"/>
      <c r="AD1277" s="51"/>
      <c r="AE1277" s="51"/>
      <c r="AF1277" s="51"/>
      <c r="AG1277" s="51"/>
      <c r="AH1277" s="51"/>
    </row>
    <row r="1278">
      <c r="A1278" s="45" t="s">
        <v>57</v>
      </c>
      <c r="B1278" s="45" t="s">
        <v>20</v>
      </c>
      <c r="C1278" s="45" t="s">
        <v>1229</v>
      </c>
      <c r="D1278" s="45" t="s">
        <v>1259</v>
      </c>
      <c r="E1278" s="11" t="s">
        <v>1261</v>
      </c>
      <c r="F1278" s="25" t="s">
        <v>257</v>
      </c>
      <c r="G1278" s="45" t="s">
        <v>1053</v>
      </c>
      <c r="H1278" s="47">
        <v>2005.0</v>
      </c>
      <c r="I1278" s="48">
        <v>693046.0</v>
      </c>
      <c r="J1278" s="48">
        <v>427852.0</v>
      </c>
      <c r="K1278" s="29">
        <v>1112935.0</v>
      </c>
      <c r="L1278" s="29" t="s">
        <v>939</v>
      </c>
      <c r="M1278" s="110" t="s">
        <v>1262</v>
      </c>
      <c r="N1278" s="52"/>
      <c r="O1278" s="25"/>
      <c r="P1278" s="51"/>
      <c r="Q1278" s="51"/>
      <c r="R1278" s="51"/>
      <c r="S1278" s="51"/>
      <c r="T1278" s="51"/>
      <c r="U1278" s="51"/>
      <c r="V1278" s="51"/>
      <c r="W1278" s="51"/>
      <c r="X1278" s="51"/>
      <c r="Y1278" s="51"/>
      <c r="Z1278" s="51"/>
      <c r="AA1278" s="51"/>
      <c r="AB1278" s="51"/>
      <c r="AC1278" s="51"/>
      <c r="AD1278" s="51"/>
      <c r="AE1278" s="51"/>
      <c r="AF1278" s="51"/>
      <c r="AG1278" s="51"/>
      <c r="AH1278" s="51"/>
    </row>
    <row r="1279">
      <c r="A1279" s="45" t="s">
        <v>57</v>
      </c>
      <c r="B1279" s="45" t="s">
        <v>20</v>
      </c>
      <c r="C1279" s="45" t="s">
        <v>1229</v>
      </c>
      <c r="D1279" s="45" t="s">
        <v>1259</v>
      </c>
      <c r="E1279" s="11" t="s">
        <v>1261</v>
      </c>
      <c r="F1279" s="25" t="s">
        <v>257</v>
      </c>
      <c r="G1279" s="45" t="s">
        <v>1053</v>
      </c>
      <c r="H1279" s="47">
        <v>2008.0</v>
      </c>
      <c r="I1279" s="48">
        <v>659285.0</v>
      </c>
      <c r="J1279" s="48">
        <v>416191.0</v>
      </c>
      <c r="K1279" s="29">
        <v>1034975.0</v>
      </c>
      <c r="L1279" s="29" t="s">
        <v>939</v>
      </c>
      <c r="M1279" s="110" t="s">
        <v>1262</v>
      </c>
      <c r="N1279" s="52"/>
      <c r="O1279" s="25"/>
      <c r="P1279" s="51"/>
      <c r="Q1279" s="51"/>
      <c r="R1279" s="51"/>
      <c r="S1279" s="51"/>
      <c r="T1279" s="51"/>
      <c r="U1279" s="51"/>
      <c r="V1279" s="51"/>
      <c r="W1279" s="51"/>
      <c r="X1279" s="51"/>
      <c r="Y1279" s="51"/>
      <c r="Z1279" s="51"/>
      <c r="AA1279" s="51"/>
      <c r="AB1279" s="51"/>
      <c r="AC1279" s="51"/>
      <c r="AD1279" s="51"/>
      <c r="AE1279" s="51"/>
      <c r="AF1279" s="51"/>
      <c r="AG1279" s="51"/>
      <c r="AH1279" s="51"/>
    </row>
    <row r="1280">
      <c r="A1280" s="45" t="s">
        <v>57</v>
      </c>
      <c r="B1280" s="45" t="s">
        <v>20</v>
      </c>
      <c r="C1280" s="45" t="s">
        <v>1229</v>
      </c>
      <c r="D1280" s="45" t="s">
        <v>1259</v>
      </c>
      <c r="E1280" s="11" t="s">
        <v>1261</v>
      </c>
      <c r="F1280" s="25" t="s">
        <v>257</v>
      </c>
      <c r="G1280" s="45" t="s">
        <v>1053</v>
      </c>
      <c r="H1280" s="47">
        <v>2014.0</v>
      </c>
      <c r="I1280" s="48">
        <v>1426008.0</v>
      </c>
      <c r="J1280" s="48">
        <v>878046.0</v>
      </c>
      <c r="K1280" s="29">
        <v>2304461.0</v>
      </c>
      <c r="L1280" s="29" t="s">
        <v>939</v>
      </c>
      <c r="M1280" s="110" t="s">
        <v>1262</v>
      </c>
      <c r="N1280" s="52"/>
      <c r="O1280" s="25"/>
      <c r="P1280" s="51"/>
      <c r="Q1280" s="51"/>
      <c r="R1280" s="51"/>
      <c r="S1280" s="51"/>
      <c r="T1280" s="51"/>
      <c r="U1280" s="51"/>
      <c r="V1280" s="51"/>
      <c r="W1280" s="51"/>
      <c r="X1280" s="51"/>
      <c r="Y1280" s="51"/>
      <c r="Z1280" s="51"/>
      <c r="AA1280" s="51"/>
      <c r="AB1280" s="51"/>
      <c r="AC1280" s="51"/>
      <c r="AD1280" s="51"/>
      <c r="AE1280" s="51"/>
      <c r="AF1280" s="51"/>
      <c r="AG1280" s="51"/>
      <c r="AH1280" s="51"/>
    </row>
    <row r="1281">
      <c r="A1281" s="45" t="s">
        <v>57</v>
      </c>
      <c r="B1281" s="11" t="s">
        <v>20</v>
      </c>
      <c r="C1281" s="45" t="s">
        <v>1229</v>
      </c>
      <c r="D1281" s="11" t="s">
        <v>1259</v>
      </c>
      <c r="E1281" s="11" t="s">
        <v>1261</v>
      </c>
      <c r="F1281" s="11" t="s">
        <v>157</v>
      </c>
      <c r="G1281" s="11" t="s">
        <v>158</v>
      </c>
      <c r="H1281" s="11">
        <v>1996.0</v>
      </c>
      <c r="I1281" s="41">
        <v>328134.0</v>
      </c>
      <c r="J1281" s="41">
        <v>214423.0</v>
      </c>
      <c r="K1281" s="41">
        <v>502146.0</v>
      </c>
      <c r="L1281" s="42" t="s">
        <v>160</v>
      </c>
      <c r="M1281" s="110" t="s">
        <v>1262</v>
      </c>
      <c r="N1281" s="11"/>
    </row>
    <row r="1282">
      <c r="A1282" s="45" t="s">
        <v>57</v>
      </c>
      <c r="B1282" s="11" t="s">
        <v>20</v>
      </c>
      <c r="C1282" s="45" t="s">
        <v>1229</v>
      </c>
      <c r="D1282" s="11" t="s">
        <v>1259</v>
      </c>
      <c r="E1282" s="11" t="s">
        <v>1261</v>
      </c>
      <c r="F1282" s="11" t="s">
        <v>157</v>
      </c>
      <c r="G1282" s="11" t="s">
        <v>158</v>
      </c>
      <c r="H1282" s="11">
        <v>2001.0</v>
      </c>
      <c r="I1282" s="41">
        <v>391356.0</v>
      </c>
      <c r="J1282" s="41">
        <v>238750.0</v>
      </c>
      <c r="K1282" s="41">
        <v>641507.0</v>
      </c>
      <c r="L1282" s="42" t="s">
        <v>160</v>
      </c>
      <c r="M1282" s="110" t="s">
        <v>1262</v>
      </c>
    </row>
    <row r="1283">
      <c r="A1283" s="45" t="s">
        <v>57</v>
      </c>
      <c r="B1283" s="11" t="s">
        <v>20</v>
      </c>
      <c r="C1283" s="45" t="s">
        <v>1229</v>
      </c>
      <c r="D1283" s="11" t="s">
        <v>1259</v>
      </c>
      <c r="E1283" s="11" t="s">
        <v>1261</v>
      </c>
      <c r="F1283" s="11" t="s">
        <v>157</v>
      </c>
      <c r="G1283" s="11" t="s">
        <v>158</v>
      </c>
      <c r="H1283" s="11">
        <v>2005.0</v>
      </c>
      <c r="I1283" s="41">
        <v>394610.0</v>
      </c>
      <c r="J1283" s="41">
        <v>259781.0</v>
      </c>
      <c r="K1283" s="41">
        <v>599417.0</v>
      </c>
      <c r="L1283" s="42" t="s">
        <v>160</v>
      </c>
      <c r="M1283" s="110" t="s">
        <v>1262</v>
      </c>
    </row>
    <row r="1284">
      <c r="A1284" s="45" t="s">
        <v>57</v>
      </c>
      <c r="B1284" s="11" t="s">
        <v>20</v>
      </c>
      <c r="C1284" s="45" t="s">
        <v>1229</v>
      </c>
      <c r="D1284" s="11" t="s">
        <v>1259</v>
      </c>
      <c r="E1284" s="11" t="s">
        <v>1261</v>
      </c>
      <c r="F1284" s="11" t="s">
        <v>157</v>
      </c>
      <c r="G1284" s="11" t="s">
        <v>158</v>
      </c>
      <c r="H1284" s="11">
        <v>2008.0</v>
      </c>
      <c r="I1284" s="40">
        <v>433628.0</v>
      </c>
      <c r="J1284" s="40">
        <v>276866.0</v>
      </c>
      <c r="K1284" s="41">
        <v>679148.0</v>
      </c>
      <c r="L1284" s="42" t="s">
        <v>160</v>
      </c>
      <c r="M1284" s="110" t="s">
        <v>1262</v>
      </c>
    </row>
    <row r="1285">
      <c r="A1285" s="45" t="s">
        <v>57</v>
      </c>
      <c r="B1285" s="11" t="s">
        <v>20</v>
      </c>
      <c r="C1285" s="45" t="s">
        <v>1229</v>
      </c>
      <c r="D1285" s="11" t="s">
        <v>1259</v>
      </c>
      <c r="E1285" s="11" t="s">
        <v>1261</v>
      </c>
      <c r="F1285" s="11" t="s">
        <v>157</v>
      </c>
      <c r="G1285" s="11" t="s">
        <v>158</v>
      </c>
      <c r="H1285" s="11">
        <v>2014.0</v>
      </c>
      <c r="I1285" s="40">
        <v>880425.0</v>
      </c>
      <c r="J1285" s="40">
        <v>611073.0</v>
      </c>
      <c r="K1285" s="41">
        <v>1268504.0</v>
      </c>
      <c r="L1285" s="42" t="s">
        <v>160</v>
      </c>
      <c r="M1285" s="110" t="s">
        <v>1262</v>
      </c>
    </row>
    <row r="1286">
      <c r="A1286" s="45" t="s">
        <v>57</v>
      </c>
      <c r="B1286" s="11" t="s">
        <v>20</v>
      </c>
      <c r="C1286" s="45" t="s">
        <v>1229</v>
      </c>
      <c r="D1286" s="11" t="s">
        <v>1259</v>
      </c>
      <c r="E1286" s="11" t="s">
        <v>1261</v>
      </c>
      <c r="F1286" s="11" t="s">
        <v>157</v>
      </c>
      <c r="G1286" s="11" t="s">
        <v>158</v>
      </c>
      <c r="H1286" s="11">
        <v>2018.0</v>
      </c>
      <c r="I1286" s="40">
        <v>1056308.0</v>
      </c>
      <c r="J1286" s="40">
        <v>707020.0</v>
      </c>
      <c r="K1286" s="41">
        <v>1578155.0</v>
      </c>
      <c r="L1286" s="42" t="s">
        <v>160</v>
      </c>
      <c r="M1286" s="110" t="s">
        <v>1262</v>
      </c>
    </row>
    <row r="1287">
      <c r="A1287" s="45" t="s">
        <v>121</v>
      </c>
      <c r="B1287" s="45" t="s">
        <v>20</v>
      </c>
      <c r="C1287" s="45" t="s">
        <v>1245</v>
      </c>
      <c r="D1287" s="45" t="s">
        <v>1279</v>
      </c>
      <c r="E1287" s="11" t="s">
        <v>1280</v>
      </c>
      <c r="F1287" s="25" t="s">
        <v>436</v>
      </c>
      <c r="G1287" s="45" t="s">
        <v>1053</v>
      </c>
      <c r="H1287" s="47">
        <v>2002.0</v>
      </c>
      <c r="I1287" s="48">
        <v>15198.0</v>
      </c>
      <c r="J1287" s="48">
        <v>10900.0</v>
      </c>
      <c r="K1287" s="29">
        <v>21191.0</v>
      </c>
      <c r="L1287" s="29" t="s">
        <v>81</v>
      </c>
      <c r="M1287" s="110" t="s">
        <v>1281</v>
      </c>
      <c r="N1287" s="52"/>
      <c r="O1287" s="25"/>
      <c r="P1287" s="51"/>
      <c r="Q1287" s="51"/>
      <c r="R1287" s="51"/>
      <c r="S1287" s="51"/>
      <c r="T1287" s="51"/>
      <c r="U1287" s="51"/>
      <c r="V1287" s="51"/>
      <c r="W1287" s="51"/>
      <c r="X1287" s="51"/>
      <c r="Y1287" s="51"/>
      <c r="Z1287" s="51"/>
      <c r="AA1287" s="51"/>
      <c r="AB1287" s="51"/>
      <c r="AC1287" s="51"/>
      <c r="AD1287" s="51"/>
      <c r="AE1287" s="51"/>
      <c r="AF1287" s="51"/>
      <c r="AG1287" s="51"/>
      <c r="AH1287" s="51"/>
    </row>
    <row r="1288">
      <c r="A1288" s="45" t="s">
        <v>121</v>
      </c>
      <c r="B1288" s="45" t="s">
        <v>20</v>
      </c>
      <c r="C1288" s="45" t="s">
        <v>1245</v>
      </c>
      <c r="D1288" s="45" t="s">
        <v>1279</v>
      </c>
      <c r="E1288" s="11" t="s">
        <v>1280</v>
      </c>
      <c r="F1288" s="25" t="s">
        <v>436</v>
      </c>
      <c r="G1288" s="45" t="s">
        <v>1053</v>
      </c>
      <c r="H1288" s="47">
        <v>2010.0</v>
      </c>
      <c r="I1288" s="48">
        <v>15343.0</v>
      </c>
      <c r="J1288" s="48">
        <v>11039.0</v>
      </c>
      <c r="K1288" s="29">
        <v>21326.0</v>
      </c>
      <c r="L1288" s="29" t="s">
        <v>81</v>
      </c>
      <c r="M1288" s="110" t="s">
        <v>1281</v>
      </c>
      <c r="N1288" s="52"/>
      <c r="O1288" s="25"/>
      <c r="P1288" s="51"/>
      <c r="Q1288" s="51"/>
      <c r="R1288" s="51"/>
      <c r="S1288" s="51"/>
      <c r="T1288" s="51"/>
      <c r="U1288" s="51"/>
      <c r="V1288" s="51"/>
      <c r="W1288" s="51"/>
      <c r="X1288" s="51"/>
      <c r="Y1288" s="51"/>
      <c r="Z1288" s="51"/>
      <c r="AA1288" s="51"/>
      <c r="AB1288" s="51"/>
      <c r="AC1288" s="51"/>
      <c r="AD1288" s="51"/>
      <c r="AE1288" s="51"/>
      <c r="AF1288" s="51"/>
      <c r="AG1288" s="51"/>
      <c r="AH1288" s="51"/>
    </row>
    <row r="1289">
      <c r="A1289" s="45" t="s">
        <v>121</v>
      </c>
      <c r="B1289" s="45" t="s">
        <v>20</v>
      </c>
      <c r="C1289" s="45" t="s">
        <v>1245</v>
      </c>
      <c r="D1289" s="45" t="s">
        <v>1279</v>
      </c>
      <c r="E1289" s="11" t="s">
        <v>1280</v>
      </c>
      <c r="F1289" s="25" t="s">
        <v>436</v>
      </c>
      <c r="G1289" s="45" t="s">
        <v>1053</v>
      </c>
      <c r="H1289" s="47">
        <v>2017.0</v>
      </c>
      <c r="I1289" s="48">
        <v>12607.0</v>
      </c>
      <c r="J1289" s="48">
        <v>8826.0</v>
      </c>
      <c r="K1289" s="29">
        <v>18008.0</v>
      </c>
      <c r="L1289" s="29" t="s">
        <v>81</v>
      </c>
      <c r="M1289" s="110" t="s">
        <v>1281</v>
      </c>
      <c r="N1289" s="52"/>
      <c r="O1289" s="25"/>
      <c r="P1289" s="51"/>
      <c r="Q1289" s="51"/>
      <c r="R1289" s="51"/>
      <c r="S1289" s="51"/>
      <c r="T1289" s="51"/>
      <c r="U1289" s="51"/>
      <c r="V1289" s="51"/>
      <c r="W1289" s="51"/>
      <c r="X1289" s="51"/>
      <c r="Y1289" s="51"/>
      <c r="Z1289" s="51"/>
      <c r="AA1289" s="51"/>
      <c r="AB1289" s="51"/>
      <c r="AC1289" s="51"/>
      <c r="AD1289" s="51"/>
      <c r="AE1289" s="51"/>
      <c r="AF1289" s="51"/>
      <c r="AG1289" s="51"/>
      <c r="AH1289" s="51"/>
    </row>
    <row r="1290">
      <c r="A1290" s="45" t="s">
        <v>121</v>
      </c>
      <c r="B1290" s="45" t="s">
        <v>20</v>
      </c>
      <c r="C1290" s="45" t="s">
        <v>1245</v>
      </c>
      <c r="D1290" s="45" t="s">
        <v>1279</v>
      </c>
      <c r="E1290" s="11" t="s">
        <v>1280</v>
      </c>
      <c r="F1290" s="25" t="s">
        <v>257</v>
      </c>
      <c r="G1290" s="45" t="s">
        <v>1053</v>
      </c>
      <c r="H1290" s="47">
        <v>2002.0</v>
      </c>
      <c r="I1290" s="48">
        <v>11566.0</v>
      </c>
      <c r="J1290" s="48">
        <v>6054.0</v>
      </c>
      <c r="K1290" s="29">
        <v>22908.0</v>
      </c>
      <c r="L1290" s="29" t="s">
        <v>81</v>
      </c>
      <c r="M1290" s="110" t="s">
        <v>1281</v>
      </c>
      <c r="N1290" s="52"/>
      <c r="O1290" s="25"/>
      <c r="P1290" s="51"/>
      <c r="Q1290" s="51"/>
      <c r="R1290" s="51"/>
      <c r="S1290" s="51"/>
      <c r="T1290" s="51"/>
      <c r="U1290" s="51"/>
      <c r="V1290" s="51"/>
      <c r="W1290" s="51"/>
      <c r="X1290" s="51"/>
      <c r="Y1290" s="51"/>
      <c r="Z1290" s="51"/>
      <c r="AA1290" s="51"/>
      <c r="AB1290" s="51"/>
      <c r="AC1290" s="51"/>
      <c r="AD1290" s="51"/>
      <c r="AE1290" s="51"/>
      <c r="AF1290" s="51"/>
      <c r="AG1290" s="51"/>
      <c r="AH1290" s="51"/>
    </row>
    <row r="1291">
      <c r="A1291" s="45" t="s">
        <v>121</v>
      </c>
      <c r="B1291" s="45" t="s">
        <v>20</v>
      </c>
      <c r="C1291" s="45" t="s">
        <v>1245</v>
      </c>
      <c r="D1291" s="45" t="s">
        <v>1279</v>
      </c>
      <c r="E1291" s="11" t="s">
        <v>1280</v>
      </c>
      <c r="F1291" s="25" t="s">
        <v>257</v>
      </c>
      <c r="G1291" s="45" t="s">
        <v>1053</v>
      </c>
      <c r="H1291" s="47">
        <v>2010.0</v>
      </c>
      <c r="I1291" s="48">
        <v>17583.0</v>
      </c>
      <c r="J1291" s="48">
        <v>8014.0</v>
      </c>
      <c r="K1291" s="29">
        <v>38576.0</v>
      </c>
      <c r="L1291" s="29" t="s">
        <v>81</v>
      </c>
      <c r="M1291" s="110" t="s">
        <v>1281</v>
      </c>
      <c r="N1291" s="52"/>
      <c r="O1291" s="25"/>
      <c r="P1291" s="51"/>
      <c r="Q1291" s="51"/>
      <c r="R1291" s="51"/>
      <c r="S1291" s="51"/>
      <c r="T1291" s="51"/>
      <c r="U1291" s="51"/>
      <c r="V1291" s="51"/>
      <c r="W1291" s="51"/>
      <c r="X1291" s="51"/>
      <c r="Y1291" s="51"/>
      <c r="Z1291" s="51"/>
      <c r="AA1291" s="51"/>
      <c r="AB1291" s="51"/>
      <c r="AC1291" s="51"/>
      <c r="AD1291" s="51"/>
      <c r="AE1291" s="51"/>
      <c r="AF1291" s="51"/>
      <c r="AG1291" s="51"/>
      <c r="AH1291" s="51"/>
    </row>
    <row r="1292">
      <c r="A1292" s="45" t="s">
        <v>121</v>
      </c>
      <c r="B1292" s="45" t="s">
        <v>20</v>
      </c>
      <c r="C1292" s="45" t="s">
        <v>1245</v>
      </c>
      <c r="D1292" s="45" t="s">
        <v>1279</v>
      </c>
      <c r="E1292" s="11" t="s">
        <v>1280</v>
      </c>
      <c r="F1292" s="25" t="s">
        <v>257</v>
      </c>
      <c r="G1292" s="45" t="s">
        <v>1053</v>
      </c>
      <c r="H1292" s="47">
        <v>2017.0</v>
      </c>
      <c r="I1292" s="48">
        <v>7956.0</v>
      </c>
      <c r="J1292" s="48">
        <v>2720.0</v>
      </c>
      <c r="K1292" s="29">
        <v>23268.0</v>
      </c>
      <c r="L1292" s="29" t="s">
        <v>81</v>
      </c>
      <c r="M1292" s="110" t="s">
        <v>1281</v>
      </c>
      <c r="N1292" s="52"/>
      <c r="O1292" s="25"/>
      <c r="P1292" s="51"/>
      <c r="Q1292" s="51"/>
      <c r="R1292" s="51"/>
      <c r="S1292" s="51"/>
      <c r="T1292" s="51"/>
      <c r="U1292" s="51"/>
      <c r="V1292" s="51"/>
      <c r="W1292" s="51"/>
      <c r="X1292" s="51"/>
      <c r="Y1292" s="51"/>
      <c r="Z1292" s="51"/>
      <c r="AA1292" s="51"/>
      <c r="AB1292" s="51"/>
      <c r="AC1292" s="51"/>
      <c r="AD1292" s="51"/>
      <c r="AE1292" s="51"/>
      <c r="AF1292" s="51"/>
      <c r="AG1292" s="51"/>
      <c r="AH1292" s="51"/>
    </row>
    <row r="1293">
      <c r="A1293" s="59" t="s">
        <v>1291</v>
      </c>
      <c r="B1293" s="59" t="s">
        <v>20</v>
      </c>
      <c r="C1293" s="59" t="s">
        <v>949</v>
      </c>
      <c r="D1293" s="59" t="s">
        <v>1292</v>
      </c>
      <c r="E1293" s="11" t="s">
        <v>1293</v>
      </c>
      <c r="F1293" s="59" t="s">
        <v>1294</v>
      </c>
      <c r="G1293" s="59" t="s">
        <v>1295</v>
      </c>
      <c r="H1293" s="81">
        <v>1983.0</v>
      </c>
      <c r="I1293" s="76">
        <v>1277.0</v>
      </c>
      <c r="J1293" s="76" t="s">
        <v>188</v>
      </c>
      <c r="K1293" s="81" t="s">
        <v>188</v>
      </c>
      <c r="L1293" s="106" t="s">
        <v>81</v>
      </c>
      <c r="M1293" s="107" t="s">
        <v>1296</v>
      </c>
      <c r="N1293" s="54"/>
      <c r="O1293" s="54"/>
      <c r="P1293" s="54"/>
      <c r="Q1293" s="54"/>
      <c r="R1293" s="54"/>
      <c r="S1293" s="54"/>
      <c r="T1293" s="54"/>
      <c r="U1293" s="54"/>
      <c r="V1293" s="54"/>
      <c r="W1293" s="54"/>
      <c r="X1293" s="54"/>
      <c r="Y1293" s="54"/>
      <c r="Z1293" s="54"/>
      <c r="AA1293" s="54"/>
      <c r="AB1293" s="54"/>
      <c r="AC1293" s="54"/>
      <c r="AD1293" s="54"/>
      <c r="AE1293" s="54"/>
      <c r="AF1293" s="54"/>
      <c r="AG1293" s="54"/>
      <c r="AH1293" s="54"/>
    </row>
    <row r="1294">
      <c r="A1294" s="59" t="s">
        <v>1291</v>
      </c>
      <c r="B1294" s="59" t="s">
        <v>20</v>
      </c>
      <c r="C1294" s="59" t="s">
        <v>949</v>
      </c>
      <c r="D1294" s="59" t="s">
        <v>1292</v>
      </c>
      <c r="E1294" s="11" t="s">
        <v>1293</v>
      </c>
      <c r="F1294" s="59" t="s">
        <v>1294</v>
      </c>
      <c r="G1294" s="59" t="s">
        <v>1295</v>
      </c>
      <c r="H1294" s="81">
        <v>1984.0</v>
      </c>
      <c r="I1294" s="76">
        <v>1303.0</v>
      </c>
      <c r="J1294" s="76" t="s">
        <v>188</v>
      </c>
      <c r="K1294" s="81" t="s">
        <v>188</v>
      </c>
      <c r="L1294" s="106" t="s">
        <v>81</v>
      </c>
      <c r="M1294" s="107" t="s">
        <v>1296</v>
      </c>
      <c r="N1294" s="54"/>
      <c r="O1294" s="54"/>
      <c r="P1294" s="54"/>
      <c r="Q1294" s="54"/>
      <c r="R1294" s="54"/>
      <c r="S1294" s="54"/>
      <c r="T1294" s="54"/>
      <c r="U1294" s="54"/>
      <c r="V1294" s="54"/>
      <c r="W1294" s="54"/>
      <c r="X1294" s="54"/>
      <c r="Y1294" s="54"/>
      <c r="Z1294" s="54"/>
      <c r="AA1294" s="54"/>
      <c r="AB1294" s="54"/>
      <c r="AC1294" s="54"/>
      <c r="AD1294" s="54"/>
      <c r="AE1294" s="54"/>
      <c r="AF1294" s="54"/>
      <c r="AG1294" s="54"/>
      <c r="AH1294" s="54"/>
    </row>
    <row r="1295">
      <c r="A1295" s="59" t="s">
        <v>1291</v>
      </c>
      <c r="B1295" s="59" t="s">
        <v>20</v>
      </c>
      <c r="C1295" s="59" t="s">
        <v>949</v>
      </c>
      <c r="D1295" s="59" t="s">
        <v>1292</v>
      </c>
      <c r="E1295" s="11" t="s">
        <v>1293</v>
      </c>
      <c r="F1295" s="59" t="s">
        <v>1294</v>
      </c>
      <c r="G1295" s="59" t="s">
        <v>1295</v>
      </c>
      <c r="H1295" s="81">
        <v>1985.0</v>
      </c>
      <c r="I1295" s="76">
        <v>1361.0</v>
      </c>
      <c r="J1295" s="76" t="s">
        <v>188</v>
      </c>
      <c r="K1295" s="81" t="s">
        <v>188</v>
      </c>
      <c r="L1295" s="106" t="s">
        <v>81</v>
      </c>
      <c r="M1295" s="107" t="s">
        <v>1296</v>
      </c>
      <c r="N1295" s="54"/>
      <c r="O1295" s="54"/>
      <c r="P1295" s="54"/>
      <c r="Q1295" s="54"/>
      <c r="R1295" s="54"/>
      <c r="S1295" s="54"/>
      <c r="T1295" s="54"/>
      <c r="U1295" s="54"/>
      <c r="V1295" s="54"/>
      <c r="W1295" s="54"/>
      <c r="X1295" s="54"/>
      <c r="Y1295" s="54"/>
      <c r="Z1295" s="54"/>
      <c r="AA1295" s="54"/>
      <c r="AB1295" s="54"/>
      <c r="AC1295" s="54"/>
      <c r="AD1295" s="54"/>
      <c r="AE1295" s="54"/>
      <c r="AF1295" s="54"/>
      <c r="AG1295" s="54"/>
      <c r="AH1295" s="54"/>
    </row>
    <row r="1296">
      <c r="A1296" s="59" t="s">
        <v>1291</v>
      </c>
      <c r="B1296" s="59" t="s">
        <v>20</v>
      </c>
      <c r="C1296" s="59" t="s">
        <v>949</v>
      </c>
      <c r="D1296" s="59" t="s">
        <v>1292</v>
      </c>
      <c r="E1296" s="11" t="s">
        <v>1293</v>
      </c>
      <c r="F1296" s="59" t="s">
        <v>1294</v>
      </c>
      <c r="G1296" s="59" t="s">
        <v>1295</v>
      </c>
      <c r="H1296" s="81">
        <v>1986.0</v>
      </c>
      <c r="I1296" s="76">
        <v>1586.0</v>
      </c>
      <c r="J1296" s="76" t="s">
        <v>188</v>
      </c>
      <c r="K1296" s="81" t="s">
        <v>188</v>
      </c>
      <c r="L1296" s="106" t="s">
        <v>81</v>
      </c>
      <c r="M1296" s="107" t="s">
        <v>1296</v>
      </c>
      <c r="N1296" s="54"/>
      <c r="O1296" s="54"/>
      <c r="P1296" s="54"/>
      <c r="Q1296" s="54"/>
      <c r="R1296" s="54"/>
      <c r="S1296" s="54"/>
      <c r="T1296" s="54"/>
      <c r="U1296" s="54"/>
      <c r="V1296" s="54"/>
      <c r="W1296" s="54"/>
      <c r="X1296" s="54"/>
      <c r="Y1296" s="54"/>
      <c r="Z1296" s="54"/>
      <c r="AA1296" s="54"/>
      <c r="AB1296" s="54"/>
      <c r="AC1296" s="54"/>
      <c r="AD1296" s="54"/>
      <c r="AE1296" s="54"/>
      <c r="AF1296" s="54"/>
      <c r="AG1296" s="54"/>
      <c r="AH1296" s="54"/>
    </row>
    <row r="1297">
      <c r="A1297" s="59" t="s">
        <v>1291</v>
      </c>
      <c r="B1297" s="59" t="s">
        <v>20</v>
      </c>
      <c r="C1297" s="59" t="s">
        <v>949</v>
      </c>
      <c r="D1297" s="59" t="s">
        <v>1292</v>
      </c>
      <c r="E1297" s="11" t="s">
        <v>1293</v>
      </c>
      <c r="F1297" s="59" t="s">
        <v>1294</v>
      </c>
      <c r="G1297" s="59" t="s">
        <v>1295</v>
      </c>
      <c r="H1297" s="81">
        <v>1987.0</v>
      </c>
      <c r="I1297" s="76">
        <v>1662.0</v>
      </c>
      <c r="J1297" s="76" t="s">
        <v>188</v>
      </c>
      <c r="K1297" s="81" t="s">
        <v>188</v>
      </c>
      <c r="L1297" s="106" t="s">
        <v>81</v>
      </c>
      <c r="M1297" s="107" t="s">
        <v>1296</v>
      </c>
      <c r="N1297" s="54"/>
      <c r="O1297" s="54"/>
      <c r="P1297" s="54"/>
      <c r="Q1297" s="54"/>
      <c r="R1297" s="54"/>
      <c r="S1297" s="54"/>
      <c r="T1297" s="54"/>
      <c r="U1297" s="54"/>
      <c r="V1297" s="54"/>
      <c r="W1297" s="54"/>
      <c r="X1297" s="54"/>
      <c r="Y1297" s="54"/>
      <c r="Z1297" s="54"/>
      <c r="AA1297" s="54"/>
      <c r="AB1297" s="54"/>
      <c r="AC1297" s="54"/>
      <c r="AD1297" s="54"/>
      <c r="AE1297" s="54"/>
      <c r="AF1297" s="54"/>
      <c r="AG1297" s="54"/>
      <c r="AH1297" s="54"/>
    </row>
    <row r="1298">
      <c r="A1298" s="59" t="s">
        <v>1291</v>
      </c>
      <c r="B1298" s="59" t="s">
        <v>20</v>
      </c>
      <c r="C1298" s="59" t="s">
        <v>949</v>
      </c>
      <c r="D1298" s="59" t="s">
        <v>1292</v>
      </c>
      <c r="E1298" s="11" t="s">
        <v>1293</v>
      </c>
      <c r="F1298" s="59" t="s">
        <v>1294</v>
      </c>
      <c r="G1298" s="59" t="s">
        <v>1295</v>
      </c>
      <c r="H1298" s="81">
        <v>1988.0</v>
      </c>
      <c r="I1298" s="76">
        <v>1725.0</v>
      </c>
      <c r="J1298" s="76" t="s">
        <v>188</v>
      </c>
      <c r="K1298" s="81" t="s">
        <v>188</v>
      </c>
      <c r="L1298" s="106" t="s">
        <v>81</v>
      </c>
      <c r="M1298" s="107" t="s">
        <v>1296</v>
      </c>
      <c r="N1298" s="54"/>
      <c r="O1298" s="54"/>
      <c r="P1298" s="54"/>
      <c r="Q1298" s="54"/>
      <c r="R1298" s="54"/>
      <c r="S1298" s="54"/>
      <c r="T1298" s="54"/>
      <c r="U1298" s="54"/>
      <c r="V1298" s="54"/>
      <c r="W1298" s="54"/>
      <c r="X1298" s="54"/>
      <c r="Y1298" s="54"/>
      <c r="Z1298" s="54"/>
      <c r="AA1298" s="54"/>
      <c r="AB1298" s="54"/>
      <c r="AC1298" s="54"/>
      <c r="AD1298" s="54"/>
      <c r="AE1298" s="54"/>
      <c r="AF1298" s="54"/>
      <c r="AG1298" s="54"/>
      <c r="AH1298" s="54"/>
    </row>
    <row r="1299">
      <c r="A1299" s="59" t="s">
        <v>1291</v>
      </c>
      <c r="B1299" s="59" t="s">
        <v>20</v>
      </c>
      <c r="C1299" s="59" t="s">
        <v>949</v>
      </c>
      <c r="D1299" s="59" t="s">
        <v>1292</v>
      </c>
      <c r="E1299" s="11" t="s">
        <v>1293</v>
      </c>
      <c r="F1299" s="59" t="s">
        <v>1294</v>
      </c>
      <c r="G1299" s="59" t="s">
        <v>1295</v>
      </c>
      <c r="H1299" s="81">
        <v>1989.0</v>
      </c>
      <c r="I1299" s="76">
        <v>1856.0</v>
      </c>
      <c r="J1299" s="76" t="s">
        <v>188</v>
      </c>
      <c r="K1299" s="81" t="s">
        <v>188</v>
      </c>
      <c r="L1299" s="106" t="s">
        <v>81</v>
      </c>
      <c r="M1299" s="107" t="s">
        <v>1296</v>
      </c>
      <c r="N1299" s="54"/>
      <c r="O1299" s="54"/>
      <c r="P1299" s="54"/>
      <c r="Q1299" s="54"/>
      <c r="R1299" s="54"/>
      <c r="S1299" s="54"/>
      <c r="T1299" s="54"/>
      <c r="U1299" s="54"/>
      <c r="V1299" s="54"/>
      <c r="W1299" s="54"/>
      <c r="X1299" s="54"/>
      <c r="Y1299" s="54"/>
      <c r="Z1299" s="54"/>
      <c r="AA1299" s="54"/>
      <c r="AB1299" s="54"/>
      <c r="AC1299" s="54"/>
      <c r="AD1299" s="54"/>
      <c r="AE1299" s="54"/>
      <c r="AF1299" s="54"/>
      <c r="AG1299" s="54"/>
      <c r="AH1299" s="54"/>
    </row>
    <row r="1300">
      <c r="A1300" s="59" t="s">
        <v>1291</v>
      </c>
      <c r="B1300" s="59" t="s">
        <v>20</v>
      </c>
      <c r="C1300" s="59" t="s">
        <v>949</v>
      </c>
      <c r="D1300" s="59" t="s">
        <v>1292</v>
      </c>
      <c r="E1300" s="11" t="s">
        <v>1293</v>
      </c>
      <c r="F1300" s="59" t="s">
        <v>1294</v>
      </c>
      <c r="G1300" s="59" t="s">
        <v>1295</v>
      </c>
      <c r="H1300" s="81">
        <v>1990.0</v>
      </c>
      <c r="I1300" s="76">
        <v>1680.0</v>
      </c>
      <c r="J1300" s="76" t="s">
        <v>188</v>
      </c>
      <c r="K1300" s="81" t="s">
        <v>188</v>
      </c>
      <c r="L1300" s="106" t="s">
        <v>81</v>
      </c>
      <c r="M1300" s="107" t="s">
        <v>1296</v>
      </c>
      <c r="N1300" s="54"/>
      <c r="O1300" s="54"/>
      <c r="P1300" s="54"/>
      <c r="Q1300" s="54"/>
      <c r="R1300" s="54"/>
      <c r="S1300" s="54"/>
      <c r="T1300" s="54"/>
      <c r="U1300" s="54"/>
      <c r="V1300" s="54"/>
      <c r="W1300" s="54"/>
      <c r="X1300" s="54"/>
      <c r="Y1300" s="54"/>
      <c r="Z1300" s="54"/>
      <c r="AA1300" s="54"/>
      <c r="AB1300" s="54"/>
      <c r="AC1300" s="54"/>
      <c r="AD1300" s="54"/>
      <c r="AE1300" s="54"/>
      <c r="AF1300" s="54"/>
      <c r="AG1300" s="54"/>
      <c r="AH1300" s="54"/>
    </row>
    <row r="1301">
      <c r="A1301" s="59" t="s">
        <v>1291</v>
      </c>
      <c r="B1301" s="59" t="s">
        <v>20</v>
      </c>
      <c r="C1301" s="59" t="s">
        <v>949</v>
      </c>
      <c r="D1301" s="59" t="s">
        <v>1292</v>
      </c>
      <c r="E1301" s="11" t="s">
        <v>1293</v>
      </c>
      <c r="F1301" s="59" t="s">
        <v>1294</v>
      </c>
      <c r="G1301" s="59" t="s">
        <v>1295</v>
      </c>
      <c r="H1301" s="81">
        <v>1991.0</v>
      </c>
      <c r="I1301" s="76">
        <v>1941.0</v>
      </c>
      <c r="J1301" s="76" t="s">
        <v>188</v>
      </c>
      <c r="K1301" s="81" t="s">
        <v>188</v>
      </c>
      <c r="L1301" s="106" t="s">
        <v>81</v>
      </c>
      <c r="M1301" s="107" t="s">
        <v>1296</v>
      </c>
      <c r="N1301" s="54"/>
      <c r="O1301" s="54"/>
      <c r="P1301" s="54"/>
      <c r="Q1301" s="54"/>
      <c r="R1301" s="54"/>
      <c r="S1301" s="54"/>
      <c r="T1301" s="54"/>
      <c r="U1301" s="54"/>
      <c r="V1301" s="54"/>
      <c r="W1301" s="54"/>
      <c r="X1301" s="54"/>
      <c r="Y1301" s="54"/>
      <c r="Z1301" s="54"/>
      <c r="AA1301" s="54"/>
      <c r="AB1301" s="54"/>
      <c r="AC1301" s="54"/>
      <c r="AD1301" s="54"/>
      <c r="AE1301" s="54"/>
      <c r="AF1301" s="54"/>
      <c r="AG1301" s="54"/>
      <c r="AH1301" s="54"/>
    </row>
    <row r="1302">
      <c r="A1302" s="59" t="s">
        <v>1291</v>
      </c>
      <c r="B1302" s="59" t="s">
        <v>20</v>
      </c>
      <c r="C1302" s="59" t="s">
        <v>949</v>
      </c>
      <c r="D1302" s="59" t="s">
        <v>1292</v>
      </c>
      <c r="E1302" s="11" t="s">
        <v>1293</v>
      </c>
      <c r="F1302" s="59" t="s">
        <v>1294</v>
      </c>
      <c r="G1302" s="59" t="s">
        <v>1295</v>
      </c>
      <c r="H1302" s="81">
        <v>1992.0</v>
      </c>
      <c r="I1302" s="76">
        <v>2101.0</v>
      </c>
      <c r="J1302" s="76" t="s">
        <v>188</v>
      </c>
      <c r="K1302" s="81" t="s">
        <v>188</v>
      </c>
      <c r="L1302" s="106" t="s">
        <v>81</v>
      </c>
      <c r="M1302" s="107" t="s">
        <v>1296</v>
      </c>
      <c r="N1302" s="54"/>
      <c r="O1302" s="54"/>
      <c r="P1302" s="54"/>
      <c r="Q1302" s="54"/>
      <c r="R1302" s="54"/>
      <c r="S1302" s="54"/>
      <c r="T1302" s="54"/>
      <c r="U1302" s="54"/>
      <c r="V1302" s="54"/>
      <c r="W1302" s="54"/>
      <c r="X1302" s="54"/>
      <c r="Y1302" s="54"/>
      <c r="Z1302" s="54"/>
      <c r="AA1302" s="54"/>
      <c r="AB1302" s="54"/>
      <c r="AC1302" s="54"/>
      <c r="AD1302" s="54"/>
      <c r="AE1302" s="54"/>
      <c r="AF1302" s="54"/>
      <c r="AG1302" s="54"/>
      <c r="AH1302" s="54"/>
    </row>
    <row r="1303">
      <c r="A1303" s="59" t="s">
        <v>1291</v>
      </c>
      <c r="B1303" s="59" t="s">
        <v>20</v>
      </c>
      <c r="C1303" s="59" t="s">
        <v>949</v>
      </c>
      <c r="D1303" s="59" t="s">
        <v>1292</v>
      </c>
      <c r="E1303" s="11" t="s">
        <v>1293</v>
      </c>
      <c r="F1303" s="59" t="s">
        <v>1294</v>
      </c>
      <c r="G1303" s="59" t="s">
        <v>1295</v>
      </c>
      <c r="H1303" s="81">
        <v>1993.0</v>
      </c>
      <c r="I1303" s="76">
        <v>2239.0</v>
      </c>
      <c r="J1303" s="76" t="s">
        <v>188</v>
      </c>
      <c r="K1303" s="81" t="s">
        <v>188</v>
      </c>
      <c r="L1303" s="106" t="s">
        <v>81</v>
      </c>
      <c r="M1303" s="107" t="s">
        <v>1296</v>
      </c>
      <c r="N1303" s="54"/>
      <c r="O1303" s="54"/>
      <c r="P1303" s="54"/>
      <c r="Q1303" s="54"/>
      <c r="R1303" s="54"/>
      <c r="S1303" s="54"/>
      <c r="T1303" s="54"/>
      <c r="U1303" s="54"/>
      <c r="V1303" s="54"/>
      <c r="W1303" s="54"/>
      <c r="X1303" s="54"/>
      <c r="Y1303" s="54"/>
      <c r="Z1303" s="54"/>
      <c r="AA1303" s="54"/>
      <c r="AB1303" s="54"/>
      <c r="AC1303" s="54"/>
      <c r="AD1303" s="54"/>
      <c r="AE1303" s="54"/>
      <c r="AF1303" s="54"/>
      <c r="AG1303" s="54"/>
      <c r="AH1303" s="54"/>
    </row>
    <row r="1304">
      <c r="A1304" s="59" t="s">
        <v>1291</v>
      </c>
      <c r="B1304" s="59" t="s">
        <v>20</v>
      </c>
      <c r="C1304" s="59" t="s">
        <v>949</v>
      </c>
      <c r="D1304" s="59" t="s">
        <v>1292</v>
      </c>
      <c r="E1304" s="11" t="s">
        <v>1293</v>
      </c>
      <c r="F1304" s="59" t="s">
        <v>1294</v>
      </c>
      <c r="G1304" s="59" t="s">
        <v>1295</v>
      </c>
      <c r="H1304" s="81">
        <v>1994.0</v>
      </c>
      <c r="I1304" s="76">
        <v>2359.0</v>
      </c>
      <c r="J1304" s="76" t="s">
        <v>188</v>
      </c>
      <c r="K1304" s="81" t="s">
        <v>188</v>
      </c>
      <c r="L1304" s="106" t="s">
        <v>81</v>
      </c>
      <c r="M1304" s="107" t="s">
        <v>1296</v>
      </c>
      <c r="N1304" s="54"/>
      <c r="O1304" s="54"/>
      <c r="P1304" s="54"/>
      <c r="Q1304" s="54"/>
      <c r="R1304" s="54"/>
      <c r="S1304" s="54"/>
      <c r="T1304" s="54"/>
      <c r="U1304" s="54"/>
      <c r="V1304" s="54"/>
      <c r="W1304" s="54"/>
      <c r="X1304" s="54"/>
      <c r="Y1304" s="54"/>
      <c r="Z1304" s="54"/>
      <c r="AA1304" s="54"/>
      <c r="AB1304" s="54"/>
      <c r="AC1304" s="54"/>
      <c r="AD1304" s="54"/>
      <c r="AE1304" s="54"/>
      <c r="AF1304" s="54"/>
      <c r="AG1304" s="54"/>
      <c r="AH1304" s="54"/>
    </row>
    <row r="1305">
      <c r="A1305" s="59" t="s">
        <v>1291</v>
      </c>
      <c r="B1305" s="59" t="s">
        <v>20</v>
      </c>
      <c r="C1305" s="59" t="s">
        <v>949</v>
      </c>
      <c r="D1305" s="59" t="s">
        <v>1292</v>
      </c>
      <c r="E1305" s="11" t="s">
        <v>1293</v>
      </c>
      <c r="F1305" s="59" t="s">
        <v>1294</v>
      </c>
      <c r="G1305" s="59" t="s">
        <v>1295</v>
      </c>
      <c r="H1305" s="81">
        <v>1995.0</v>
      </c>
      <c r="I1305" s="76">
        <v>2377.0</v>
      </c>
      <c r="J1305" s="76" t="s">
        <v>188</v>
      </c>
      <c r="K1305" s="81" t="s">
        <v>188</v>
      </c>
      <c r="L1305" s="106" t="s">
        <v>81</v>
      </c>
      <c r="M1305" s="107" t="s">
        <v>1296</v>
      </c>
      <c r="N1305" s="54"/>
      <c r="O1305" s="54"/>
      <c r="P1305" s="54"/>
      <c r="Q1305" s="54"/>
      <c r="R1305" s="54"/>
      <c r="S1305" s="54"/>
      <c r="T1305" s="54"/>
      <c r="U1305" s="54"/>
      <c r="V1305" s="54"/>
      <c r="W1305" s="54"/>
      <c r="X1305" s="54"/>
      <c r="Y1305" s="54"/>
      <c r="Z1305" s="54"/>
      <c r="AA1305" s="54"/>
      <c r="AB1305" s="54"/>
      <c r="AC1305" s="54"/>
      <c r="AD1305" s="54"/>
      <c r="AE1305" s="54"/>
      <c r="AF1305" s="54"/>
      <c r="AG1305" s="54"/>
      <c r="AH1305" s="54"/>
    </row>
    <row r="1306">
      <c r="A1306" s="59" t="s">
        <v>1291</v>
      </c>
      <c r="B1306" s="59" t="s">
        <v>20</v>
      </c>
      <c r="C1306" s="59" t="s">
        <v>949</v>
      </c>
      <c r="D1306" s="59" t="s">
        <v>1292</v>
      </c>
      <c r="E1306" s="11" t="s">
        <v>1293</v>
      </c>
      <c r="F1306" s="59" t="s">
        <v>1294</v>
      </c>
      <c r="G1306" s="59" t="s">
        <v>1295</v>
      </c>
      <c r="H1306" s="81">
        <v>1996.0</v>
      </c>
      <c r="I1306" s="76">
        <v>2278.0</v>
      </c>
      <c r="J1306" s="76" t="s">
        <v>188</v>
      </c>
      <c r="K1306" s="81" t="s">
        <v>188</v>
      </c>
      <c r="L1306" s="106" t="s">
        <v>81</v>
      </c>
      <c r="M1306" s="107" t="s">
        <v>1296</v>
      </c>
      <c r="N1306" s="54"/>
      <c r="O1306" s="54"/>
      <c r="P1306" s="54"/>
      <c r="Q1306" s="54"/>
      <c r="R1306" s="54"/>
      <c r="S1306" s="54"/>
      <c r="T1306" s="54"/>
      <c r="U1306" s="54"/>
      <c r="V1306" s="54"/>
      <c r="W1306" s="54"/>
      <c r="X1306" s="54"/>
      <c r="Y1306" s="54"/>
      <c r="Z1306" s="54"/>
      <c r="AA1306" s="54"/>
      <c r="AB1306" s="54"/>
      <c r="AC1306" s="54"/>
      <c r="AD1306" s="54"/>
      <c r="AE1306" s="54"/>
      <c r="AF1306" s="54"/>
      <c r="AG1306" s="54"/>
      <c r="AH1306" s="54"/>
    </row>
    <row r="1307">
      <c r="A1307" s="59" t="s">
        <v>1291</v>
      </c>
      <c r="B1307" s="59" t="s">
        <v>20</v>
      </c>
      <c r="C1307" s="59" t="s">
        <v>949</v>
      </c>
      <c r="D1307" s="59" t="s">
        <v>1292</v>
      </c>
      <c r="E1307" s="11" t="s">
        <v>1293</v>
      </c>
      <c r="F1307" s="59" t="s">
        <v>1294</v>
      </c>
      <c r="G1307" s="59" t="s">
        <v>1295</v>
      </c>
      <c r="H1307" s="81">
        <v>1997.0</v>
      </c>
      <c r="I1307" s="76">
        <v>2229.0</v>
      </c>
      <c r="J1307" s="76" t="s">
        <v>188</v>
      </c>
      <c r="K1307" s="81" t="s">
        <v>188</v>
      </c>
      <c r="L1307" s="106" t="s">
        <v>81</v>
      </c>
      <c r="M1307" s="107" t="s">
        <v>1296</v>
      </c>
      <c r="N1307" s="54"/>
      <c r="O1307" s="54"/>
      <c r="P1307" s="54"/>
      <c r="Q1307" s="54"/>
      <c r="R1307" s="54"/>
      <c r="S1307" s="54"/>
      <c r="T1307" s="54"/>
      <c r="U1307" s="54"/>
      <c r="V1307" s="54"/>
      <c r="W1307" s="54"/>
      <c r="X1307" s="54"/>
      <c r="Y1307" s="54"/>
      <c r="Z1307" s="54"/>
      <c r="AA1307" s="54"/>
      <c r="AB1307" s="54"/>
      <c r="AC1307" s="54"/>
      <c r="AD1307" s="54"/>
      <c r="AE1307" s="54"/>
      <c r="AF1307" s="54"/>
      <c r="AG1307" s="54"/>
      <c r="AH1307" s="54"/>
    </row>
    <row r="1308">
      <c r="A1308" s="59" t="s">
        <v>1291</v>
      </c>
      <c r="B1308" s="59" t="s">
        <v>20</v>
      </c>
      <c r="C1308" s="59" t="s">
        <v>949</v>
      </c>
      <c r="D1308" s="59" t="s">
        <v>1292</v>
      </c>
      <c r="E1308" s="11" t="s">
        <v>1293</v>
      </c>
      <c r="F1308" s="59" t="s">
        <v>1294</v>
      </c>
      <c r="G1308" s="59" t="s">
        <v>1295</v>
      </c>
      <c r="H1308" s="81">
        <v>1998.0</v>
      </c>
      <c r="I1308" s="76">
        <v>2114.0</v>
      </c>
      <c r="J1308" s="76" t="s">
        <v>188</v>
      </c>
      <c r="K1308" s="81" t="s">
        <v>188</v>
      </c>
      <c r="L1308" s="106" t="s">
        <v>81</v>
      </c>
      <c r="M1308" s="107" t="s">
        <v>1296</v>
      </c>
      <c r="N1308" s="54"/>
      <c r="O1308" s="54"/>
      <c r="P1308" s="54"/>
      <c r="Q1308" s="54"/>
      <c r="R1308" s="54"/>
      <c r="S1308" s="54"/>
      <c r="T1308" s="54"/>
      <c r="U1308" s="54"/>
      <c r="V1308" s="54"/>
      <c r="W1308" s="54"/>
      <c r="X1308" s="54"/>
      <c r="Y1308" s="54"/>
      <c r="Z1308" s="54"/>
      <c r="AA1308" s="54"/>
      <c r="AB1308" s="54"/>
      <c r="AC1308" s="54"/>
      <c r="AD1308" s="54"/>
      <c r="AE1308" s="54"/>
      <c r="AF1308" s="54"/>
      <c r="AG1308" s="54"/>
      <c r="AH1308" s="54"/>
    </row>
    <row r="1309">
      <c r="A1309" s="59" t="s">
        <v>1291</v>
      </c>
      <c r="B1309" s="59" t="s">
        <v>20</v>
      </c>
      <c r="C1309" s="59" t="s">
        <v>949</v>
      </c>
      <c r="D1309" s="59" t="s">
        <v>1292</v>
      </c>
      <c r="E1309" s="11" t="s">
        <v>1293</v>
      </c>
      <c r="F1309" s="59" t="s">
        <v>1294</v>
      </c>
      <c r="G1309" s="59" t="s">
        <v>1295</v>
      </c>
      <c r="H1309" s="81">
        <v>1999.0</v>
      </c>
      <c r="I1309" s="76">
        <v>2090.0</v>
      </c>
      <c r="J1309" s="76" t="s">
        <v>188</v>
      </c>
      <c r="K1309" s="81" t="s">
        <v>188</v>
      </c>
      <c r="L1309" s="106" t="s">
        <v>81</v>
      </c>
      <c r="M1309" s="107" t="s">
        <v>1296</v>
      </c>
      <c r="N1309" s="54"/>
      <c r="O1309" s="54"/>
      <c r="P1309" s="54"/>
      <c r="Q1309" s="54"/>
      <c r="R1309" s="54"/>
      <c r="S1309" s="54"/>
      <c r="T1309" s="54"/>
      <c r="U1309" s="54"/>
      <c r="V1309" s="54"/>
      <c r="W1309" s="54"/>
      <c r="X1309" s="54"/>
      <c r="Y1309" s="54"/>
      <c r="Z1309" s="54"/>
      <c r="AA1309" s="54"/>
      <c r="AB1309" s="54"/>
      <c r="AC1309" s="54"/>
      <c r="AD1309" s="54"/>
      <c r="AE1309" s="54"/>
      <c r="AF1309" s="54"/>
      <c r="AG1309" s="54"/>
      <c r="AH1309" s="54"/>
    </row>
    <row r="1310">
      <c r="A1310" s="59" t="s">
        <v>1291</v>
      </c>
      <c r="B1310" s="59" t="s">
        <v>20</v>
      </c>
      <c r="C1310" s="59" t="s">
        <v>949</v>
      </c>
      <c r="D1310" s="59" t="s">
        <v>1292</v>
      </c>
      <c r="E1310" s="11" t="s">
        <v>1293</v>
      </c>
      <c r="F1310" s="59" t="s">
        <v>1294</v>
      </c>
      <c r="G1310" s="59" t="s">
        <v>1295</v>
      </c>
      <c r="H1310" s="81">
        <v>2000.0</v>
      </c>
      <c r="I1310" s="76">
        <v>2317.0</v>
      </c>
      <c r="J1310" s="76" t="s">
        <v>188</v>
      </c>
      <c r="K1310" s="81" t="s">
        <v>188</v>
      </c>
      <c r="L1310" s="106" t="s">
        <v>81</v>
      </c>
      <c r="M1310" s="107" t="s">
        <v>1296</v>
      </c>
      <c r="N1310" s="54"/>
      <c r="O1310" s="54"/>
      <c r="P1310" s="54"/>
      <c r="Q1310" s="54"/>
      <c r="R1310" s="54"/>
      <c r="S1310" s="54"/>
      <c r="T1310" s="54"/>
      <c r="U1310" s="54"/>
      <c r="V1310" s="54"/>
      <c r="W1310" s="54"/>
      <c r="X1310" s="54"/>
      <c r="Y1310" s="54"/>
      <c r="Z1310" s="54"/>
      <c r="AA1310" s="54"/>
      <c r="AB1310" s="54"/>
      <c r="AC1310" s="54"/>
      <c r="AD1310" s="54"/>
      <c r="AE1310" s="54"/>
      <c r="AF1310" s="54"/>
      <c r="AG1310" s="54"/>
      <c r="AH1310" s="54"/>
    </row>
    <row r="1311">
      <c r="A1311" s="59" t="s">
        <v>1291</v>
      </c>
      <c r="B1311" s="59" t="s">
        <v>20</v>
      </c>
      <c r="C1311" s="59" t="s">
        <v>949</v>
      </c>
      <c r="D1311" s="59" t="s">
        <v>1292</v>
      </c>
      <c r="E1311" s="11" t="s">
        <v>1293</v>
      </c>
      <c r="F1311" s="59" t="s">
        <v>1294</v>
      </c>
      <c r="G1311" s="59" t="s">
        <v>1295</v>
      </c>
      <c r="H1311" s="81">
        <v>2001.0</v>
      </c>
      <c r="I1311" s="76">
        <v>2161.0</v>
      </c>
      <c r="J1311" s="76" t="s">
        <v>188</v>
      </c>
      <c r="K1311" s="81" t="s">
        <v>188</v>
      </c>
      <c r="L1311" s="106" t="s">
        <v>81</v>
      </c>
      <c r="M1311" s="107" t="s">
        <v>1296</v>
      </c>
      <c r="N1311" s="54"/>
      <c r="O1311" s="54"/>
      <c r="P1311" s="54"/>
      <c r="Q1311" s="54"/>
      <c r="R1311" s="54"/>
      <c r="S1311" s="54"/>
      <c r="T1311" s="54"/>
      <c r="U1311" s="54"/>
      <c r="V1311" s="54"/>
      <c r="W1311" s="54"/>
      <c r="X1311" s="54"/>
      <c r="Y1311" s="54"/>
      <c r="Z1311" s="54"/>
      <c r="AA1311" s="54"/>
      <c r="AB1311" s="54"/>
      <c r="AC1311" s="54"/>
      <c r="AD1311" s="54"/>
      <c r="AE1311" s="54"/>
      <c r="AF1311" s="54"/>
      <c r="AG1311" s="54"/>
      <c r="AH1311" s="54"/>
    </row>
    <row r="1312">
      <c r="A1312" s="59" t="s">
        <v>1291</v>
      </c>
      <c r="B1312" s="59" t="s">
        <v>20</v>
      </c>
      <c r="C1312" s="59" t="s">
        <v>949</v>
      </c>
      <c r="D1312" s="59" t="s">
        <v>1292</v>
      </c>
      <c r="E1312" s="11" t="s">
        <v>1293</v>
      </c>
      <c r="F1312" s="59" t="s">
        <v>1294</v>
      </c>
      <c r="G1312" s="59" t="s">
        <v>1295</v>
      </c>
      <c r="H1312" s="81">
        <v>2002.0</v>
      </c>
      <c r="I1312" s="76">
        <v>2139.0</v>
      </c>
      <c r="J1312" s="76" t="s">
        <v>188</v>
      </c>
      <c r="K1312" s="81" t="s">
        <v>188</v>
      </c>
      <c r="L1312" s="106" t="s">
        <v>81</v>
      </c>
      <c r="M1312" s="107" t="s">
        <v>1296</v>
      </c>
      <c r="N1312" s="54"/>
      <c r="O1312" s="54"/>
      <c r="P1312" s="54"/>
      <c r="Q1312" s="54"/>
      <c r="R1312" s="54"/>
      <c r="S1312" s="54"/>
      <c r="T1312" s="54"/>
      <c r="U1312" s="54"/>
      <c r="V1312" s="54"/>
      <c r="W1312" s="54"/>
      <c r="X1312" s="54"/>
      <c r="Y1312" s="54"/>
      <c r="Z1312" s="54"/>
      <c r="AA1312" s="54"/>
      <c r="AB1312" s="54"/>
      <c r="AC1312" s="54"/>
      <c r="AD1312" s="54"/>
      <c r="AE1312" s="54"/>
      <c r="AF1312" s="54"/>
      <c r="AG1312" s="54"/>
      <c r="AH1312" s="54"/>
    </row>
    <row r="1313">
      <c r="A1313" s="59" t="s">
        <v>1291</v>
      </c>
      <c r="B1313" s="59" t="s">
        <v>20</v>
      </c>
      <c r="C1313" s="59" t="s">
        <v>949</v>
      </c>
      <c r="D1313" s="59" t="s">
        <v>1292</v>
      </c>
      <c r="E1313" s="11" t="s">
        <v>1293</v>
      </c>
      <c r="F1313" s="59" t="s">
        <v>1294</v>
      </c>
      <c r="G1313" s="59" t="s">
        <v>1295</v>
      </c>
      <c r="H1313" s="81">
        <v>2003.0</v>
      </c>
      <c r="I1313" s="76">
        <v>2505.0</v>
      </c>
      <c r="J1313" s="76" t="s">
        <v>188</v>
      </c>
      <c r="K1313" s="81" t="s">
        <v>188</v>
      </c>
      <c r="L1313" s="106" t="s">
        <v>81</v>
      </c>
      <c r="M1313" s="107" t="s">
        <v>1296</v>
      </c>
      <c r="N1313" s="54"/>
      <c r="O1313" s="54"/>
      <c r="P1313" s="54"/>
      <c r="Q1313" s="54"/>
      <c r="R1313" s="54"/>
      <c r="S1313" s="54"/>
      <c r="T1313" s="54"/>
      <c r="U1313" s="54"/>
      <c r="V1313" s="54"/>
      <c r="W1313" s="54"/>
      <c r="X1313" s="54"/>
      <c r="Y1313" s="54"/>
      <c r="Z1313" s="54"/>
      <c r="AA1313" s="54"/>
      <c r="AB1313" s="54"/>
      <c r="AC1313" s="54"/>
      <c r="AD1313" s="54"/>
      <c r="AE1313" s="54"/>
      <c r="AF1313" s="54"/>
      <c r="AG1313" s="54"/>
      <c r="AH1313" s="54"/>
    </row>
    <row r="1314">
      <c r="A1314" s="59" t="s">
        <v>1291</v>
      </c>
      <c r="B1314" s="59" t="s">
        <v>20</v>
      </c>
      <c r="C1314" s="59" t="s">
        <v>949</v>
      </c>
      <c r="D1314" s="59" t="s">
        <v>1292</v>
      </c>
      <c r="E1314" s="11" t="s">
        <v>1293</v>
      </c>
      <c r="F1314" s="59" t="s">
        <v>1294</v>
      </c>
      <c r="G1314" s="59" t="s">
        <v>1295</v>
      </c>
      <c r="H1314" s="81">
        <v>2004.0</v>
      </c>
      <c r="I1314" s="76">
        <v>2825.0</v>
      </c>
      <c r="J1314" s="76" t="s">
        <v>188</v>
      </c>
      <c r="K1314" s="81" t="s">
        <v>188</v>
      </c>
      <c r="L1314" s="106" t="s">
        <v>81</v>
      </c>
      <c r="M1314" s="107" t="s">
        <v>1296</v>
      </c>
      <c r="N1314" s="54"/>
      <c r="O1314" s="54"/>
      <c r="P1314" s="54"/>
      <c r="Q1314" s="54"/>
      <c r="R1314" s="54"/>
      <c r="S1314" s="54"/>
      <c r="T1314" s="54"/>
      <c r="U1314" s="54"/>
      <c r="V1314" s="54"/>
      <c r="W1314" s="54"/>
      <c r="X1314" s="54"/>
      <c r="Y1314" s="54"/>
      <c r="Z1314" s="54"/>
      <c r="AA1314" s="54"/>
      <c r="AB1314" s="54"/>
      <c r="AC1314" s="54"/>
      <c r="AD1314" s="54"/>
      <c r="AE1314" s="54"/>
      <c r="AF1314" s="54"/>
      <c r="AG1314" s="54"/>
      <c r="AH1314" s="54"/>
    </row>
    <row r="1315">
      <c r="A1315" s="59" t="s">
        <v>1291</v>
      </c>
      <c r="B1315" s="59" t="s">
        <v>20</v>
      </c>
      <c r="C1315" s="59" t="s">
        <v>949</v>
      </c>
      <c r="D1315" s="59" t="s">
        <v>1292</v>
      </c>
      <c r="E1315" s="11" t="s">
        <v>1293</v>
      </c>
      <c r="F1315" s="59" t="s">
        <v>1294</v>
      </c>
      <c r="G1315" s="59" t="s">
        <v>1295</v>
      </c>
      <c r="H1315" s="81">
        <v>2005.0</v>
      </c>
      <c r="I1315" s="76">
        <v>2735.0</v>
      </c>
      <c r="J1315" s="76" t="s">
        <v>188</v>
      </c>
      <c r="K1315" s="81" t="s">
        <v>188</v>
      </c>
      <c r="L1315" s="106" t="s">
        <v>81</v>
      </c>
      <c r="M1315" s="107" t="s">
        <v>1296</v>
      </c>
      <c r="N1315" s="54"/>
      <c r="O1315" s="54"/>
      <c r="P1315" s="54"/>
      <c r="Q1315" s="54"/>
      <c r="R1315" s="54"/>
      <c r="S1315" s="54"/>
      <c r="T1315" s="54"/>
      <c r="U1315" s="54"/>
      <c r="V1315" s="54"/>
      <c r="W1315" s="54"/>
      <c r="X1315" s="54"/>
      <c r="Y1315" s="54"/>
      <c r="Z1315" s="54"/>
      <c r="AA1315" s="54"/>
      <c r="AB1315" s="54"/>
      <c r="AC1315" s="54"/>
      <c r="AD1315" s="54"/>
      <c r="AE1315" s="54"/>
      <c r="AF1315" s="54"/>
      <c r="AG1315" s="54"/>
      <c r="AH1315" s="54"/>
    </row>
    <row r="1316">
      <c r="A1316" s="59" t="s">
        <v>1291</v>
      </c>
      <c r="B1316" s="59" t="s">
        <v>20</v>
      </c>
      <c r="C1316" s="59" t="s">
        <v>949</v>
      </c>
      <c r="D1316" s="59" t="s">
        <v>1292</v>
      </c>
      <c r="E1316" s="11" t="s">
        <v>1293</v>
      </c>
      <c r="F1316" s="59" t="s">
        <v>1294</v>
      </c>
      <c r="G1316" s="59" t="s">
        <v>1295</v>
      </c>
      <c r="H1316" s="81">
        <v>2006.0</v>
      </c>
      <c r="I1316" s="76">
        <v>2692.0</v>
      </c>
      <c r="J1316" s="76" t="s">
        <v>188</v>
      </c>
      <c r="K1316" s="81" t="s">
        <v>188</v>
      </c>
      <c r="L1316" s="106" t="s">
        <v>81</v>
      </c>
      <c r="M1316" s="107" t="s">
        <v>1296</v>
      </c>
      <c r="N1316" s="54"/>
      <c r="O1316" s="54"/>
      <c r="P1316" s="54"/>
      <c r="Q1316" s="54"/>
      <c r="R1316" s="54"/>
      <c r="S1316" s="54"/>
      <c r="T1316" s="54"/>
      <c r="U1316" s="54"/>
      <c r="V1316" s="54"/>
      <c r="W1316" s="54"/>
      <c r="X1316" s="54"/>
      <c r="Y1316" s="54"/>
      <c r="Z1316" s="54"/>
      <c r="AA1316" s="54"/>
      <c r="AB1316" s="54"/>
      <c r="AC1316" s="54"/>
      <c r="AD1316" s="54"/>
      <c r="AE1316" s="54"/>
      <c r="AF1316" s="54"/>
      <c r="AG1316" s="54"/>
      <c r="AH1316" s="54"/>
    </row>
    <row r="1317">
      <c r="A1317" s="59" t="s">
        <v>1291</v>
      </c>
      <c r="B1317" s="59" t="s">
        <v>20</v>
      </c>
      <c r="C1317" s="59" t="s">
        <v>949</v>
      </c>
      <c r="D1317" s="59" t="s">
        <v>1292</v>
      </c>
      <c r="E1317" s="11" t="s">
        <v>1293</v>
      </c>
      <c r="F1317" s="59" t="s">
        <v>1294</v>
      </c>
      <c r="G1317" s="59" t="s">
        <v>1295</v>
      </c>
      <c r="H1317" s="81">
        <v>2007.0</v>
      </c>
      <c r="I1317" s="76">
        <v>3026.0</v>
      </c>
      <c r="J1317" s="76" t="s">
        <v>188</v>
      </c>
      <c r="K1317" s="81" t="s">
        <v>188</v>
      </c>
      <c r="L1317" s="106" t="s">
        <v>81</v>
      </c>
      <c r="M1317" s="107" t="s">
        <v>1296</v>
      </c>
      <c r="N1317" s="54"/>
      <c r="O1317" s="54"/>
      <c r="P1317" s="54"/>
      <c r="Q1317" s="54"/>
      <c r="R1317" s="54"/>
      <c r="S1317" s="54"/>
      <c r="T1317" s="54"/>
      <c r="U1317" s="54"/>
      <c r="V1317" s="54"/>
      <c r="W1317" s="54"/>
      <c r="X1317" s="54"/>
      <c r="Y1317" s="54"/>
      <c r="Z1317" s="54"/>
      <c r="AA1317" s="54"/>
      <c r="AB1317" s="54"/>
      <c r="AC1317" s="54"/>
      <c r="AD1317" s="54"/>
      <c r="AE1317" s="54"/>
      <c r="AF1317" s="54"/>
      <c r="AG1317" s="54"/>
      <c r="AH1317" s="54"/>
    </row>
    <row r="1318">
      <c r="A1318" s="59" t="s">
        <v>1291</v>
      </c>
      <c r="B1318" s="59" t="s">
        <v>20</v>
      </c>
      <c r="C1318" s="59" t="s">
        <v>949</v>
      </c>
      <c r="D1318" s="59" t="s">
        <v>1292</v>
      </c>
      <c r="E1318" s="11" t="s">
        <v>1293</v>
      </c>
      <c r="F1318" s="59" t="s">
        <v>1294</v>
      </c>
      <c r="G1318" s="59" t="s">
        <v>1295</v>
      </c>
      <c r="H1318" s="81">
        <v>2008.0</v>
      </c>
      <c r="I1318" s="76">
        <v>2760.0</v>
      </c>
      <c r="J1318" s="76" t="s">
        <v>188</v>
      </c>
      <c r="K1318" s="81" t="s">
        <v>188</v>
      </c>
      <c r="L1318" s="106" t="s">
        <v>81</v>
      </c>
      <c r="M1318" s="107" t="s">
        <v>1296</v>
      </c>
      <c r="N1318" s="54"/>
      <c r="O1318" s="54"/>
      <c r="P1318" s="54"/>
      <c r="Q1318" s="54"/>
      <c r="R1318" s="54"/>
      <c r="S1318" s="54"/>
      <c r="T1318" s="54"/>
      <c r="U1318" s="54"/>
      <c r="V1318" s="54"/>
      <c r="W1318" s="54"/>
      <c r="X1318" s="54"/>
      <c r="Y1318" s="54"/>
      <c r="Z1318" s="54"/>
      <c r="AA1318" s="54"/>
      <c r="AB1318" s="54"/>
      <c r="AC1318" s="54"/>
      <c r="AD1318" s="54"/>
      <c r="AE1318" s="54"/>
      <c r="AF1318" s="54"/>
      <c r="AG1318" s="54"/>
      <c r="AH1318" s="54"/>
    </row>
    <row r="1319">
      <c r="A1319" s="59" t="s">
        <v>1291</v>
      </c>
      <c r="B1319" s="59" t="s">
        <v>20</v>
      </c>
      <c r="C1319" s="59" t="s">
        <v>949</v>
      </c>
      <c r="D1319" s="59" t="s">
        <v>1292</v>
      </c>
      <c r="E1319" s="11" t="s">
        <v>1293</v>
      </c>
      <c r="F1319" s="59" t="s">
        <v>1294</v>
      </c>
      <c r="G1319" s="59" t="s">
        <v>1295</v>
      </c>
      <c r="H1319" s="81">
        <v>2009.0</v>
      </c>
      <c r="I1319" s="76">
        <v>2654.0</v>
      </c>
      <c r="J1319" s="76" t="s">
        <v>188</v>
      </c>
      <c r="K1319" s="81" t="s">
        <v>188</v>
      </c>
      <c r="L1319" s="106" t="s">
        <v>81</v>
      </c>
      <c r="M1319" s="107" t="s">
        <v>1296</v>
      </c>
      <c r="N1319" s="54"/>
      <c r="O1319" s="54"/>
      <c r="P1319" s="54"/>
      <c r="Q1319" s="54"/>
      <c r="R1319" s="54"/>
      <c r="S1319" s="54"/>
      <c r="T1319" s="54"/>
      <c r="U1319" s="54"/>
      <c r="V1319" s="54"/>
      <c r="W1319" s="54"/>
      <c r="X1319" s="54"/>
      <c r="Y1319" s="54"/>
      <c r="Z1319" s="54"/>
      <c r="AA1319" s="54"/>
      <c r="AB1319" s="54"/>
      <c r="AC1319" s="54"/>
      <c r="AD1319" s="54"/>
      <c r="AE1319" s="54"/>
      <c r="AF1319" s="54"/>
      <c r="AG1319" s="54"/>
      <c r="AH1319" s="54"/>
    </row>
    <row r="1320">
      <c r="A1320" s="59" t="s">
        <v>1291</v>
      </c>
      <c r="B1320" s="59" t="s">
        <v>20</v>
      </c>
      <c r="C1320" s="59" t="s">
        <v>949</v>
      </c>
      <c r="D1320" s="59" t="s">
        <v>1292</v>
      </c>
      <c r="E1320" s="11" t="s">
        <v>1293</v>
      </c>
      <c r="F1320" s="59" t="s">
        <v>1294</v>
      </c>
      <c r="G1320" s="59" t="s">
        <v>1295</v>
      </c>
      <c r="H1320" s="81">
        <v>2010.0</v>
      </c>
      <c r="I1320" s="76">
        <v>2719.0</v>
      </c>
      <c r="J1320" s="76" t="s">
        <v>188</v>
      </c>
      <c r="K1320" s="81" t="s">
        <v>188</v>
      </c>
      <c r="L1320" s="106" t="s">
        <v>81</v>
      </c>
      <c r="M1320" s="107" t="s">
        <v>1296</v>
      </c>
      <c r="N1320" s="54"/>
      <c r="O1320" s="54"/>
      <c r="P1320" s="54"/>
      <c r="Q1320" s="54"/>
      <c r="R1320" s="54"/>
      <c r="S1320" s="54"/>
      <c r="T1320" s="54"/>
      <c r="U1320" s="54"/>
      <c r="V1320" s="54"/>
      <c r="W1320" s="54"/>
      <c r="X1320" s="54"/>
      <c r="Y1320" s="54"/>
      <c r="Z1320" s="54"/>
      <c r="AA1320" s="54"/>
      <c r="AB1320" s="54"/>
      <c r="AC1320" s="54"/>
      <c r="AD1320" s="54"/>
      <c r="AE1320" s="54"/>
      <c r="AF1320" s="54"/>
      <c r="AG1320" s="54"/>
      <c r="AH1320" s="54"/>
    </row>
    <row r="1321">
      <c r="A1321" s="59" t="s">
        <v>1291</v>
      </c>
      <c r="B1321" s="59" t="s">
        <v>20</v>
      </c>
      <c r="C1321" s="59" t="s">
        <v>949</v>
      </c>
      <c r="D1321" s="59" t="s">
        <v>1292</v>
      </c>
      <c r="E1321" s="11" t="s">
        <v>1293</v>
      </c>
      <c r="F1321" s="59" t="s">
        <v>1294</v>
      </c>
      <c r="G1321" s="59" t="s">
        <v>1295</v>
      </c>
      <c r="H1321" s="81">
        <v>2012.0</v>
      </c>
      <c r="I1321" s="76">
        <v>2865.0</v>
      </c>
      <c r="J1321" s="76" t="s">
        <v>188</v>
      </c>
      <c r="K1321" s="81" t="s">
        <v>188</v>
      </c>
      <c r="L1321" s="106" t="s">
        <v>81</v>
      </c>
      <c r="M1321" s="107" t="s">
        <v>1296</v>
      </c>
      <c r="N1321" s="54"/>
      <c r="O1321" s="54"/>
      <c r="P1321" s="54"/>
      <c r="Q1321" s="54"/>
      <c r="R1321" s="54"/>
      <c r="S1321" s="54"/>
      <c r="T1321" s="54"/>
      <c r="U1321" s="54"/>
      <c r="V1321" s="54"/>
      <c r="W1321" s="54"/>
      <c r="X1321" s="54"/>
      <c r="Y1321" s="54"/>
      <c r="Z1321" s="54"/>
      <c r="AA1321" s="54"/>
      <c r="AB1321" s="54"/>
      <c r="AC1321" s="54"/>
      <c r="AD1321" s="54"/>
      <c r="AE1321" s="54"/>
      <c r="AF1321" s="54"/>
      <c r="AG1321" s="54"/>
      <c r="AH1321" s="54"/>
    </row>
    <row r="1322">
      <c r="A1322" s="59" t="s">
        <v>1291</v>
      </c>
      <c r="B1322" s="59" t="s">
        <v>20</v>
      </c>
      <c r="C1322" s="59" t="s">
        <v>949</v>
      </c>
      <c r="D1322" s="59" t="s">
        <v>1292</v>
      </c>
      <c r="E1322" s="11" t="s">
        <v>1293</v>
      </c>
      <c r="F1322" s="59" t="s">
        <v>1294</v>
      </c>
      <c r="G1322" s="59" t="s">
        <v>1295</v>
      </c>
      <c r="H1322" s="81">
        <v>2013.0</v>
      </c>
      <c r="I1322" s="76">
        <v>2899.0</v>
      </c>
      <c r="J1322" s="76" t="s">
        <v>188</v>
      </c>
      <c r="K1322" s="81" t="s">
        <v>188</v>
      </c>
      <c r="L1322" s="106" t="s">
        <v>81</v>
      </c>
      <c r="M1322" s="107" t="s">
        <v>1296</v>
      </c>
      <c r="N1322" s="54"/>
      <c r="O1322" s="54"/>
      <c r="P1322" s="54"/>
      <c r="Q1322" s="54"/>
      <c r="R1322" s="54"/>
      <c r="S1322" s="54"/>
      <c r="T1322" s="54"/>
      <c r="U1322" s="54"/>
      <c r="V1322" s="54"/>
      <c r="W1322" s="54"/>
      <c r="X1322" s="54"/>
      <c r="Y1322" s="54"/>
      <c r="Z1322" s="54"/>
      <c r="AA1322" s="54"/>
      <c r="AB1322" s="54"/>
      <c r="AC1322" s="54"/>
      <c r="AD1322" s="54"/>
      <c r="AE1322" s="54"/>
      <c r="AF1322" s="54"/>
      <c r="AG1322" s="54"/>
      <c r="AH1322" s="54"/>
    </row>
    <row r="1323">
      <c r="A1323" s="59" t="s">
        <v>1291</v>
      </c>
      <c r="B1323" s="59" t="s">
        <v>20</v>
      </c>
      <c r="C1323" s="59" t="s">
        <v>949</v>
      </c>
      <c r="D1323" s="59" t="s">
        <v>1292</v>
      </c>
      <c r="E1323" s="11" t="s">
        <v>1293</v>
      </c>
      <c r="F1323" s="59" t="s">
        <v>1294</v>
      </c>
      <c r="G1323" s="59" t="s">
        <v>1295</v>
      </c>
      <c r="H1323" s="81">
        <v>2014.0</v>
      </c>
      <c r="I1323" s="76">
        <v>2879.0</v>
      </c>
      <c r="J1323" s="76" t="s">
        <v>188</v>
      </c>
      <c r="K1323" s="81" t="s">
        <v>188</v>
      </c>
      <c r="L1323" s="106" t="s">
        <v>81</v>
      </c>
      <c r="M1323" s="107" t="s">
        <v>1296</v>
      </c>
      <c r="N1323" s="54"/>
      <c r="O1323" s="54"/>
      <c r="P1323" s="54"/>
      <c r="Q1323" s="54"/>
      <c r="R1323" s="54"/>
      <c r="S1323" s="54"/>
      <c r="T1323" s="54"/>
      <c r="U1323" s="54"/>
      <c r="V1323" s="54"/>
      <c r="W1323" s="54"/>
      <c r="X1323" s="54"/>
      <c r="Y1323" s="54"/>
      <c r="Z1323" s="54"/>
      <c r="AA1323" s="54"/>
      <c r="AB1323" s="54"/>
      <c r="AC1323" s="54"/>
      <c r="AD1323" s="54"/>
      <c r="AE1323" s="54"/>
      <c r="AF1323" s="54"/>
      <c r="AG1323" s="54"/>
      <c r="AH1323" s="54"/>
    </row>
    <row r="1324">
      <c r="A1324" s="59" t="s">
        <v>1291</v>
      </c>
      <c r="B1324" s="59" t="s">
        <v>20</v>
      </c>
      <c r="C1324" s="59" t="s">
        <v>949</v>
      </c>
      <c r="D1324" s="59" t="s">
        <v>1292</v>
      </c>
      <c r="E1324" s="11" t="s">
        <v>1293</v>
      </c>
      <c r="F1324" s="59" t="s">
        <v>1294</v>
      </c>
      <c r="G1324" s="59" t="s">
        <v>1295</v>
      </c>
      <c r="H1324" s="81">
        <v>2015.0</v>
      </c>
      <c r="I1324" s="76">
        <v>3193.0</v>
      </c>
      <c r="J1324" s="76" t="s">
        <v>188</v>
      </c>
      <c r="K1324" s="81" t="s">
        <v>188</v>
      </c>
      <c r="L1324" s="106" t="s">
        <v>81</v>
      </c>
      <c r="M1324" s="107" t="s">
        <v>1296</v>
      </c>
      <c r="N1324" s="54"/>
      <c r="O1324" s="54"/>
      <c r="P1324" s="54"/>
      <c r="Q1324" s="54"/>
      <c r="R1324" s="54"/>
      <c r="S1324" s="54"/>
      <c r="T1324" s="54"/>
      <c r="U1324" s="54"/>
      <c r="V1324" s="54"/>
      <c r="W1324" s="54"/>
      <c r="X1324" s="54"/>
      <c r="Y1324" s="54"/>
      <c r="Z1324" s="54"/>
      <c r="AA1324" s="54"/>
      <c r="AB1324" s="54"/>
      <c r="AC1324" s="54"/>
      <c r="AD1324" s="54"/>
      <c r="AE1324" s="54"/>
      <c r="AF1324" s="54"/>
      <c r="AG1324" s="54"/>
      <c r="AH1324" s="54"/>
    </row>
    <row r="1325">
      <c r="A1325" s="59" t="s">
        <v>1291</v>
      </c>
      <c r="B1325" s="59" t="s">
        <v>20</v>
      </c>
      <c r="C1325" s="59" t="s">
        <v>949</v>
      </c>
      <c r="D1325" s="59" t="s">
        <v>1292</v>
      </c>
      <c r="E1325" s="11" t="s">
        <v>1293</v>
      </c>
      <c r="F1325" s="59" t="s">
        <v>1294</v>
      </c>
      <c r="G1325" s="59" t="s">
        <v>1295</v>
      </c>
      <c r="H1325" s="81">
        <v>2016.0</v>
      </c>
      <c r="I1325" s="76">
        <v>3511.0</v>
      </c>
      <c r="J1325" s="76" t="s">
        <v>188</v>
      </c>
      <c r="K1325" s="81" t="s">
        <v>188</v>
      </c>
      <c r="L1325" s="106" t="s">
        <v>81</v>
      </c>
      <c r="M1325" s="107" t="s">
        <v>1296</v>
      </c>
      <c r="N1325" s="54"/>
      <c r="O1325" s="54"/>
      <c r="P1325" s="54"/>
      <c r="Q1325" s="54"/>
      <c r="R1325" s="54"/>
      <c r="S1325" s="54"/>
      <c r="T1325" s="54"/>
      <c r="U1325" s="54"/>
      <c r="V1325" s="54"/>
      <c r="W1325" s="54"/>
      <c r="X1325" s="54"/>
      <c r="Y1325" s="54"/>
      <c r="Z1325" s="54"/>
      <c r="AA1325" s="54"/>
      <c r="AB1325" s="54"/>
      <c r="AC1325" s="54"/>
      <c r="AD1325" s="54"/>
      <c r="AE1325" s="54"/>
      <c r="AF1325" s="54"/>
      <c r="AG1325" s="54"/>
      <c r="AH1325" s="54"/>
    </row>
    <row r="1326">
      <c r="A1326" s="59" t="s">
        <v>1291</v>
      </c>
      <c r="B1326" s="59" t="s">
        <v>20</v>
      </c>
      <c r="C1326" s="59" t="s">
        <v>949</v>
      </c>
      <c r="D1326" s="59" t="s">
        <v>1292</v>
      </c>
      <c r="E1326" s="11" t="s">
        <v>1293</v>
      </c>
      <c r="F1326" s="59" t="s">
        <v>1294</v>
      </c>
      <c r="G1326" s="59" t="s">
        <v>1295</v>
      </c>
      <c r="H1326" s="81">
        <v>2017.0</v>
      </c>
      <c r="I1326" s="76">
        <v>2607.0</v>
      </c>
      <c r="J1326" s="76" t="s">
        <v>188</v>
      </c>
      <c r="K1326" s="81" t="s">
        <v>188</v>
      </c>
      <c r="L1326" s="106" t="s">
        <v>81</v>
      </c>
      <c r="M1326" s="107" t="s">
        <v>1296</v>
      </c>
      <c r="N1326" s="54"/>
      <c r="O1326" s="54"/>
      <c r="P1326" s="54"/>
      <c r="Q1326" s="54"/>
      <c r="R1326" s="54"/>
      <c r="S1326" s="54"/>
      <c r="T1326" s="54"/>
      <c r="U1326" s="54"/>
      <c r="V1326" s="54"/>
      <c r="W1326" s="54"/>
      <c r="X1326" s="54"/>
      <c r="Y1326" s="54"/>
      <c r="Z1326" s="54"/>
      <c r="AA1326" s="54"/>
      <c r="AB1326" s="54"/>
      <c r="AC1326" s="54"/>
      <c r="AD1326" s="54"/>
      <c r="AE1326" s="54"/>
      <c r="AF1326" s="54"/>
      <c r="AG1326" s="54"/>
      <c r="AH1326" s="54"/>
    </row>
    <row r="1327">
      <c r="A1327" s="59" t="s">
        <v>1291</v>
      </c>
      <c r="B1327" s="59" t="s">
        <v>20</v>
      </c>
      <c r="C1327" s="59" t="s">
        <v>949</v>
      </c>
      <c r="D1327" s="59" t="s">
        <v>1292</v>
      </c>
      <c r="E1327" s="11" t="s">
        <v>1293</v>
      </c>
      <c r="F1327" s="59" t="s">
        <v>1294</v>
      </c>
      <c r="G1327" s="59" t="s">
        <v>1295</v>
      </c>
      <c r="H1327" s="81">
        <v>2018.0</v>
      </c>
      <c r="I1327" s="76">
        <v>2986.0</v>
      </c>
      <c r="J1327" s="76" t="s">
        <v>188</v>
      </c>
      <c r="K1327" s="81" t="s">
        <v>188</v>
      </c>
      <c r="L1327" s="106" t="s">
        <v>81</v>
      </c>
      <c r="M1327" s="107" t="s">
        <v>1296</v>
      </c>
      <c r="N1327" s="54"/>
      <c r="O1327" s="54"/>
      <c r="P1327" s="54"/>
      <c r="Q1327" s="54"/>
      <c r="R1327" s="54"/>
      <c r="S1327" s="54"/>
      <c r="T1327" s="54"/>
      <c r="U1327" s="54"/>
      <c r="V1327" s="54"/>
      <c r="W1327" s="54"/>
      <c r="X1327" s="54"/>
      <c r="Y1327" s="54"/>
      <c r="Z1327" s="54"/>
      <c r="AA1327" s="54"/>
      <c r="AB1327" s="54"/>
      <c r="AC1327" s="54"/>
      <c r="AD1327" s="54"/>
      <c r="AE1327" s="54"/>
      <c r="AF1327" s="54"/>
      <c r="AG1327" s="54"/>
      <c r="AH1327" s="54"/>
    </row>
    <row r="1328">
      <c r="A1328" s="59" t="s">
        <v>1291</v>
      </c>
      <c r="B1328" s="59" t="s">
        <v>20</v>
      </c>
      <c r="C1328" s="59" t="s">
        <v>949</v>
      </c>
      <c r="D1328" s="59" t="s">
        <v>1292</v>
      </c>
      <c r="E1328" s="11" t="s">
        <v>1293</v>
      </c>
      <c r="F1328" s="59" t="s">
        <v>1294</v>
      </c>
      <c r="G1328" s="59" t="s">
        <v>1295</v>
      </c>
      <c r="H1328" s="81">
        <v>2019.0</v>
      </c>
      <c r="I1328" s="76">
        <v>2996.0</v>
      </c>
      <c r="J1328" s="76" t="s">
        <v>188</v>
      </c>
      <c r="K1328" s="81" t="s">
        <v>188</v>
      </c>
      <c r="L1328" s="106" t="s">
        <v>81</v>
      </c>
      <c r="M1328" s="107" t="s">
        <v>1296</v>
      </c>
      <c r="N1328" s="54"/>
      <c r="O1328" s="54"/>
      <c r="P1328" s="54"/>
      <c r="Q1328" s="54"/>
      <c r="R1328" s="54"/>
      <c r="S1328" s="54"/>
      <c r="T1328" s="54"/>
      <c r="U1328" s="54"/>
      <c r="V1328" s="54"/>
      <c r="W1328" s="54"/>
      <c r="X1328" s="54"/>
      <c r="Y1328" s="54"/>
      <c r="Z1328" s="54"/>
      <c r="AA1328" s="54"/>
      <c r="AB1328" s="54"/>
      <c r="AC1328" s="54"/>
      <c r="AD1328" s="54"/>
      <c r="AE1328" s="54"/>
      <c r="AF1328" s="54"/>
      <c r="AG1328" s="54"/>
      <c r="AH1328" s="54"/>
    </row>
    <row r="1329">
      <c r="A1329" s="11" t="s">
        <v>166</v>
      </c>
      <c r="B1329" s="25" t="s">
        <v>20</v>
      </c>
      <c r="C1329" s="25" t="s">
        <v>68</v>
      </c>
      <c r="D1329" s="25" t="s">
        <v>192</v>
      </c>
      <c r="E1329" s="11" t="s">
        <v>1318</v>
      </c>
      <c r="F1329" s="25" t="s">
        <v>1349</v>
      </c>
      <c r="G1329" s="25" t="s">
        <v>74</v>
      </c>
      <c r="H1329" s="44">
        <v>1990.98976643523</v>
      </c>
      <c r="I1329" s="27">
        <v>1637.0</v>
      </c>
      <c r="J1329" s="44">
        <v>575.177975039551</v>
      </c>
      <c r="K1329" s="87">
        <v>4713.09764457726</v>
      </c>
      <c r="L1329" s="29" t="s">
        <v>81</v>
      </c>
      <c r="M1329" s="55" t="s">
        <v>194</v>
      </c>
      <c r="N1329" s="11" t="s">
        <v>201</v>
      </c>
      <c r="O1329" s="25" t="s">
        <v>1355</v>
      </c>
      <c r="P1329" s="51"/>
      <c r="Q1329" s="51"/>
      <c r="R1329" s="51"/>
      <c r="S1329" s="51"/>
      <c r="T1329" s="51"/>
      <c r="U1329" s="51"/>
      <c r="V1329" s="51"/>
      <c r="W1329" s="51"/>
      <c r="X1329" s="51"/>
      <c r="Y1329" s="51"/>
      <c r="Z1329" s="51"/>
      <c r="AA1329" s="51"/>
      <c r="AB1329" s="51"/>
      <c r="AC1329" s="51"/>
      <c r="AD1329" s="51"/>
      <c r="AE1329" s="51"/>
      <c r="AF1329" s="51"/>
    </row>
    <row r="1330">
      <c r="A1330" s="11" t="s">
        <v>166</v>
      </c>
      <c r="B1330" s="25" t="s">
        <v>20</v>
      </c>
      <c r="C1330" s="25" t="s">
        <v>68</v>
      </c>
      <c r="D1330" s="25" t="s">
        <v>192</v>
      </c>
      <c r="E1330" s="11" t="s">
        <v>1318</v>
      </c>
      <c r="F1330" s="25" t="s">
        <v>1349</v>
      </c>
      <c r="G1330" s="25" t="s">
        <v>74</v>
      </c>
      <c r="H1330" s="44">
        <v>1992.96781343382</v>
      </c>
      <c r="I1330" s="27">
        <v>1726.0</v>
      </c>
      <c r="J1330" s="44">
        <v>656.640007031114</v>
      </c>
      <c r="K1330" s="87">
        <v>4897.99393566532</v>
      </c>
      <c r="L1330" s="29" t="s">
        <v>81</v>
      </c>
      <c r="M1330" s="55" t="s">
        <v>194</v>
      </c>
      <c r="N1330" s="11" t="s">
        <v>201</v>
      </c>
    </row>
    <row r="1331">
      <c r="A1331" s="11" t="s">
        <v>166</v>
      </c>
      <c r="B1331" s="25" t="s">
        <v>20</v>
      </c>
      <c r="C1331" s="25" t="s">
        <v>68</v>
      </c>
      <c r="D1331" s="25" t="s">
        <v>192</v>
      </c>
      <c r="E1331" s="11" t="s">
        <v>1318</v>
      </c>
      <c r="F1331" s="25" t="s">
        <v>1349</v>
      </c>
      <c r="G1331" s="25" t="s">
        <v>74</v>
      </c>
      <c r="H1331" s="44">
        <v>1995.99075793197</v>
      </c>
      <c r="I1331" s="27">
        <v>1690.0</v>
      </c>
      <c r="J1331" s="44">
        <v>704.113750219723</v>
      </c>
      <c r="K1331" s="87">
        <v>4290.29706451046</v>
      </c>
      <c r="L1331" s="29" t="s">
        <v>81</v>
      </c>
      <c r="M1331" s="55" t="s">
        <v>194</v>
      </c>
      <c r="N1331" s="11" t="s">
        <v>201</v>
      </c>
    </row>
    <row r="1332">
      <c r="A1332" s="11" t="s">
        <v>166</v>
      </c>
      <c r="B1332" s="25" t="s">
        <v>20</v>
      </c>
      <c r="C1332" s="25" t="s">
        <v>68</v>
      </c>
      <c r="D1332" s="25" t="s">
        <v>192</v>
      </c>
      <c r="E1332" s="11" t="s">
        <v>1318</v>
      </c>
      <c r="F1332" s="25" t="s">
        <v>1349</v>
      </c>
      <c r="G1332" s="25" t="s">
        <v>74</v>
      </c>
      <c r="H1332" s="44">
        <v>2000.96344920021</v>
      </c>
      <c r="I1332" s="27">
        <v>1849.0</v>
      </c>
      <c r="J1332" s="44">
        <v>775.578418878538</v>
      </c>
      <c r="K1332" s="87">
        <v>4626.14255580946</v>
      </c>
      <c r="L1332" s="29" t="s">
        <v>81</v>
      </c>
      <c r="M1332" s="55" t="s">
        <v>194</v>
      </c>
      <c r="N1332" s="11" t="s">
        <v>201</v>
      </c>
    </row>
    <row r="1333">
      <c r="A1333" s="11" t="s">
        <v>166</v>
      </c>
      <c r="B1333" s="25" t="s">
        <v>20</v>
      </c>
      <c r="C1333" s="25" t="s">
        <v>68</v>
      </c>
      <c r="D1333" s="25" t="s">
        <v>192</v>
      </c>
      <c r="E1333" s="11" t="s">
        <v>1318</v>
      </c>
      <c r="F1333" s="25" t="s">
        <v>1349</v>
      </c>
      <c r="G1333" s="25" t="s">
        <v>74</v>
      </c>
      <c r="H1333" s="44">
        <v>2004.97393269907</v>
      </c>
      <c r="I1333" s="27">
        <v>2108.0</v>
      </c>
      <c r="J1333" s="44">
        <v>904.006086306909</v>
      </c>
      <c r="K1333" s="87">
        <v>5432.72928018984</v>
      </c>
      <c r="L1333" s="29" t="s">
        <v>81</v>
      </c>
      <c r="M1333" s="55" t="s">
        <v>194</v>
      </c>
      <c r="N1333" s="11" t="s">
        <v>201</v>
      </c>
    </row>
    <row r="1334">
      <c r="A1334" s="11" t="s">
        <v>166</v>
      </c>
      <c r="B1334" s="25" t="s">
        <v>20</v>
      </c>
      <c r="C1334" s="25" t="s">
        <v>68</v>
      </c>
      <c r="D1334" s="25" t="s">
        <v>192</v>
      </c>
      <c r="E1334" s="11" t="s">
        <v>1318</v>
      </c>
      <c r="F1334" s="25" t="s">
        <v>1349</v>
      </c>
      <c r="G1334" s="25" t="s">
        <v>74</v>
      </c>
      <c r="H1334" s="44">
        <v>2007.94292988662</v>
      </c>
      <c r="I1334" s="27">
        <v>1890.0</v>
      </c>
      <c r="J1334" s="44">
        <v>779.066509931447</v>
      </c>
      <c r="K1334" s="87">
        <v>4779.0555238179</v>
      </c>
      <c r="L1334" s="29" t="s">
        <v>81</v>
      </c>
      <c r="M1334" s="55" t="s">
        <v>194</v>
      </c>
      <c r="N1334" s="11" t="s">
        <v>201</v>
      </c>
    </row>
    <row r="1335">
      <c r="A1335" s="11" t="s">
        <v>166</v>
      </c>
      <c r="B1335" s="25" t="s">
        <v>20</v>
      </c>
      <c r="C1335" s="25" t="s">
        <v>68</v>
      </c>
      <c r="D1335" s="25" t="s">
        <v>192</v>
      </c>
      <c r="E1335" s="11" t="s">
        <v>1318</v>
      </c>
      <c r="F1335" s="25" t="s">
        <v>1349</v>
      </c>
      <c r="G1335" s="25" t="s">
        <v>74</v>
      </c>
      <c r="H1335" s="44">
        <v>2013.96032914396</v>
      </c>
      <c r="I1335" s="27">
        <v>1997.0</v>
      </c>
      <c r="J1335" s="44">
        <v>690.120188082266</v>
      </c>
      <c r="K1335" s="87">
        <v>5586.65846370188</v>
      </c>
      <c r="L1335" s="29" t="s">
        <v>81</v>
      </c>
      <c r="M1335" s="55" t="s">
        <v>194</v>
      </c>
      <c r="N1335" s="11" t="s">
        <v>201</v>
      </c>
    </row>
    <row r="1336">
      <c r="A1336" s="11" t="s">
        <v>166</v>
      </c>
      <c r="B1336" s="11" t="s">
        <v>20</v>
      </c>
      <c r="C1336" s="11" t="s">
        <v>1362</v>
      </c>
      <c r="D1336" s="11" t="s">
        <v>248</v>
      </c>
      <c r="E1336" s="11" t="s">
        <v>1363</v>
      </c>
      <c r="F1336" s="11" t="s">
        <v>1364</v>
      </c>
      <c r="G1336" s="11" t="s">
        <v>418</v>
      </c>
      <c r="H1336" s="11">
        <v>1987.0</v>
      </c>
      <c r="I1336" s="40">
        <v>22657.0</v>
      </c>
      <c r="J1336" s="40">
        <v>20290.0</v>
      </c>
      <c r="K1336" s="11">
        <v>25221.0</v>
      </c>
      <c r="L1336" s="28" t="s">
        <v>260</v>
      </c>
      <c r="M1336" s="39" t="s">
        <v>252</v>
      </c>
      <c r="N1336" s="11" t="s">
        <v>258</v>
      </c>
      <c r="O1336" s="11" t="s">
        <v>1372</v>
      </c>
    </row>
    <row r="1337">
      <c r="A1337" s="11" t="s">
        <v>166</v>
      </c>
      <c r="B1337" s="11" t="s">
        <v>20</v>
      </c>
      <c r="C1337" s="11" t="s">
        <v>1362</v>
      </c>
      <c r="D1337" s="11" t="s">
        <v>248</v>
      </c>
      <c r="E1337" s="25" t="s">
        <v>1363</v>
      </c>
      <c r="F1337" s="11" t="s">
        <v>1364</v>
      </c>
      <c r="G1337" s="11" t="s">
        <v>418</v>
      </c>
      <c r="H1337" s="11">
        <v>1988.0</v>
      </c>
      <c r="I1337" s="40">
        <v>23344.0</v>
      </c>
      <c r="J1337" s="40">
        <v>20484.0</v>
      </c>
      <c r="K1337" s="11">
        <v>26303.0</v>
      </c>
      <c r="L1337" s="29" t="s">
        <v>260</v>
      </c>
      <c r="M1337" s="39" t="s">
        <v>252</v>
      </c>
      <c r="N1337" s="11" t="s">
        <v>258</v>
      </c>
    </row>
    <row r="1338">
      <c r="A1338" s="11" t="s">
        <v>166</v>
      </c>
      <c r="B1338" s="11" t="s">
        <v>20</v>
      </c>
      <c r="C1338" s="11" t="s">
        <v>1362</v>
      </c>
      <c r="D1338" s="11" t="s">
        <v>248</v>
      </c>
      <c r="E1338" s="25" t="s">
        <v>1363</v>
      </c>
      <c r="F1338" s="11" t="s">
        <v>1364</v>
      </c>
      <c r="G1338" s="11" t="s">
        <v>418</v>
      </c>
      <c r="H1338" s="11">
        <v>1989.0</v>
      </c>
      <c r="I1338" s="40">
        <v>23735.0</v>
      </c>
      <c r="J1338" s="40">
        <v>21762.0</v>
      </c>
      <c r="K1338" s="11">
        <v>25806.0</v>
      </c>
      <c r="L1338" s="29" t="s">
        <v>260</v>
      </c>
      <c r="M1338" s="39" t="s">
        <v>252</v>
      </c>
      <c r="N1338" s="11" t="s">
        <v>258</v>
      </c>
    </row>
    <row r="1339">
      <c r="A1339" s="11" t="s">
        <v>166</v>
      </c>
      <c r="B1339" s="11" t="s">
        <v>20</v>
      </c>
      <c r="C1339" s="11" t="s">
        <v>1362</v>
      </c>
      <c r="D1339" s="11" t="s">
        <v>248</v>
      </c>
      <c r="E1339" s="25" t="s">
        <v>1363</v>
      </c>
      <c r="F1339" s="11" t="s">
        <v>1364</v>
      </c>
      <c r="G1339" s="11" t="s">
        <v>418</v>
      </c>
      <c r="H1339" s="11">
        <v>1990.0</v>
      </c>
      <c r="I1339" s="40">
        <v>23830.0</v>
      </c>
      <c r="J1339" s="40">
        <v>21857.0</v>
      </c>
      <c r="K1339" s="11">
        <v>25802.0</v>
      </c>
      <c r="L1339" s="29" t="s">
        <v>260</v>
      </c>
      <c r="M1339" s="39" t="s">
        <v>252</v>
      </c>
      <c r="N1339" s="11" t="s">
        <v>258</v>
      </c>
    </row>
    <row r="1340">
      <c r="A1340" s="11" t="s">
        <v>166</v>
      </c>
      <c r="B1340" s="11" t="s">
        <v>20</v>
      </c>
      <c r="C1340" s="11" t="s">
        <v>1362</v>
      </c>
      <c r="D1340" s="11" t="s">
        <v>248</v>
      </c>
      <c r="E1340" s="25" t="s">
        <v>1363</v>
      </c>
      <c r="F1340" s="11" t="s">
        <v>1364</v>
      </c>
      <c r="G1340" s="11" t="s">
        <v>418</v>
      </c>
      <c r="H1340" s="11">
        <v>1991.0</v>
      </c>
      <c r="I1340" s="40">
        <v>25700.0</v>
      </c>
      <c r="J1340" s="40">
        <v>23925.0</v>
      </c>
      <c r="K1340" s="11">
        <v>27869.0</v>
      </c>
      <c r="L1340" s="29" t="s">
        <v>260</v>
      </c>
      <c r="M1340" s="39" t="s">
        <v>252</v>
      </c>
      <c r="N1340" s="11" t="s">
        <v>258</v>
      </c>
    </row>
    <row r="1341">
      <c r="A1341" s="11" t="s">
        <v>166</v>
      </c>
      <c r="B1341" s="11" t="s">
        <v>20</v>
      </c>
      <c r="C1341" s="11" t="s">
        <v>1362</v>
      </c>
      <c r="D1341" s="11" t="s">
        <v>248</v>
      </c>
      <c r="E1341" s="25" t="s">
        <v>1363</v>
      </c>
      <c r="F1341" s="11" t="s">
        <v>1364</v>
      </c>
      <c r="G1341" s="11" t="s">
        <v>418</v>
      </c>
      <c r="H1341" s="11">
        <v>1992.0</v>
      </c>
      <c r="I1341" s="40">
        <v>26091.0</v>
      </c>
      <c r="J1341" s="40">
        <v>25104.0</v>
      </c>
      <c r="K1341" s="11">
        <v>27077.0</v>
      </c>
      <c r="L1341" s="29" t="s">
        <v>260</v>
      </c>
      <c r="M1341" s="39" t="s">
        <v>252</v>
      </c>
      <c r="N1341" s="11" t="s">
        <v>258</v>
      </c>
    </row>
    <row r="1342">
      <c r="A1342" s="11" t="s">
        <v>166</v>
      </c>
      <c r="B1342" s="11" t="s">
        <v>20</v>
      </c>
      <c r="C1342" s="11" t="s">
        <v>1362</v>
      </c>
      <c r="D1342" s="11" t="s">
        <v>248</v>
      </c>
      <c r="E1342" s="25" t="s">
        <v>1363</v>
      </c>
      <c r="F1342" s="11" t="s">
        <v>1364</v>
      </c>
      <c r="G1342" s="11" t="s">
        <v>418</v>
      </c>
      <c r="H1342" s="11">
        <v>1993.0</v>
      </c>
      <c r="I1342" s="40">
        <v>25890.0</v>
      </c>
      <c r="J1342" s="40">
        <v>22734.0</v>
      </c>
      <c r="K1342" s="11">
        <v>28947.0</v>
      </c>
      <c r="L1342" s="29" t="s">
        <v>260</v>
      </c>
      <c r="M1342" s="39" t="s">
        <v>252</v>
      </c>
      <c r="N1342" s="11" t="s">
        <v>258</v>
      </c>
    </row>
    <row r="1343">
      <c r="A1343" s="11" t="s">
        <v>166</v>
      </c>
      <c r="B1343" s="11" t="s">
        <v>20</v>
      </c>
      <c r="C1343" s="11" t="s">
        <v>1362</v>
      </c>
      <c r="D1343" s="11" t="s">
        <v>248</v>
      </c>
      <c r="E1343" s="25" t="s">
        <v>1363</v>
      </c>
      <c r="F1343" s="11" t="s">
        <v>1364</v>
      </c>
      <c r="G1343" s="11" t="s">
        <v>418</v>
      </c>
      <c r="H1343" s="11">
        <v>1994.0</v>
      </c>
      <c r="I1343" s="40">
        <v>27858.0</v>
      </c>
      <c r="J1343" s="40">
        <v>27070.0</v>
      </c>
      <c r="K1343" s="11">
        <v>28746.0</v>
      </c>
      <c r="L1343" s="29" t="s">
        <v>260</v>
      </c>
      <c r="M1343" s="39" t="s">
        <v>252</v>
      </c>
      <c r="N1343" s="11" t="s">
        <v>258</v>
      </c>
    </row>
    <row r="1344">
      <c r="A1344" s="11" t="s">
        <v>166</v>
      </c>
      <c r="B1344" s="11" t="s">
        <v>20</v>
      </c>
      <c r="C1344" s="11" t="s">
        <v>1362</v>
      </c>
      <c r="D1344" s="11" t="s">
        <v>248</v>
      </c>
      <c r="E1344" s="25" t="s">
        <v>1363</v>
      </c>
      <c r="F1344" s="11" t="s">
        <v>1364</v>
      </c>
      <c r="G1344" s="11" t="s">
        <v>418</v>
      </c>
      <c r="H1344" s="11">
        <v>1995.0</v>
      </c>
      <c r="I1344" s="40">
        <v>28052.0</v>
      </c>
      <c r="J1344" s="40">
        <v>24995.0</v>
      </c>
      <c r="K1344" s="11">
        <v>31898.0</v>
      </c>
      <c r="L1344" s="29" t="s">
        <v>260</v>
      </c>
      <c r="M1344" s="39" t="s">
        <v>252</v>
      </c>
      <c r="N1344" s="11" t="s">
        <v>258</v>
      </c>
    </row>
    <row r="1345">
      <c r="A1345" s="11" t="s">
        <v>166</v>
      </c>
      <c r="B1345" s="11" t="s">
        <v>20</v>
      </c>
      <c r="C1345" s="11" t="s">
        <v>1362</v>
      </c>
      <c r="D1345" s="11" t="s">
        <v>248</v>
      </c>
      <c r="E1345" s="25" t="s">
        <v>1363</v>
      </c>
      <c r="F1345" s="11" t="s">
        <v>1364</v>
      </c>
      <c r="G1345" s="11" t="s">
        <v>418</v>
      </c>
      <c r="H1345" s="11">
        <v>1996.0</v>
      </c>
      <c r="I1345" s="40">
        <v>27555.0</v>
      </c>
      <c r="J1345" s="40">
        <v>25583.0</v>
      </c>
      <c r="K1345" s="11">
        <v>29824.0</v>
      </c>
      <c r="L1345" s="29" t="s">
        <v>260</v>
      </c>
      <c r="M1345" s="39" t="s">
        <v>252</v>
      </c>
      <c r="N1345" s="11" t="s">
        <v>258</v>
      </c>
    </row>
    <row r="1346">
      <c r="A1346" s="11" t="s">
        <v>166</v>
      </c>
      <c r="B1346" s="11" t="s">
        <v>20</v>
      </c>
      <c r="C1346" s="11" t="s">
        <v>1362</v>
      </c>
      <c r="D1346" s="11" t="s">
        <v>248</v>
      </c>
      <c r="E1346" s="25" t="s">
        <v>1363</v>
      </c>
      <c r="F1346" s="11" t="s">
        <v>1364</v>
      </c>
      <c r="G1346" s="11" t="s">
        <v>418</v>
      </c>
      <c r="H1346" s="11">
        <v>1997.0</v>
      </c>
      <c r="I1346" s="40">
        <v>29721.0</v>
      </c>
      <c r="J1346" s="40">
        <v>26270.0</v>
      </c>
      <c r="K1346" s="11">
        <v>33567.0</v>
      </c>
      <c r="L1346" s="29" t="s">
        <v>260</v>
      </c>
      <c r="M1346" s="39" t="s">
        <v>252</v>
      </c>
      <c r="N1346" s="11" t="s">
        <v>258</v>
      </c>
    </row>
    <row r="1347">
      <c r="A1347" s="11" t="s">
        <v>166</v>
      </c>
      <c r="B1347" s="11" t="s">
        <v>20</v>
      </c>
      <c r="C1347" s="11" t="s">
        <v>1362</v>
      </c>
      <c r="D1347" s="11" t="s">
        <v>248</v>
      </c>
      <c r="E1347" s="25" t="s">
        <v>1363</v>
      </c>
      <c r="F1347" s="11" t="s">
        <v>1364</v>
      </c>
      <c r="G1347" s="11" t="s">
        <v>418</v>
      </c>
      <c r="H1347" s="11">
        <v>1998.0</v>
      </c>
      <c r="I1347" s="40">
        <v>29915.0</v>
      </c>
      <c r="J1347" s="40">
        <v>28929.0</v>
      </c>
      <c r="K1347" s="11">
        <v>31295.0</v>
      </c>
      <c r="L1347" s="29" t="s">
        <v>260</v>
      </c>
      <c r="M1347" s="39" t="s">
        <v>252</v>
      </c>
      <c r="N1347" s="11" t="s">
        <v>258</v>
      </c>
    </row>
    <row r="1348">
      <c r="A1348" s="11" t="s">
        <v>166</v>
      </c>
      <c r="B1348" s="11" t="s">
        <v>20</v>
      </c>
      <c r="C1348" s="11" t="s">
        <v>1362</v>
      </c>
      <c r="D1348" s="11" t="s">
        <v>248</v>
      </c>
      <c r="E1348" s="25" t="s">
        <v>1363</v>
      </c>
      <c r="F1348" s="11" t="s">
        <v>1364</v>
      </c>
      <c r="G1348" s="11" t="s">
        <v>418</v>
      </c>
      <c r="H1348" s="11">
        <v>1999.0</v>
      </c>
      <c r="I1348" s="40">
        <v>30799.0</v>
      </c>
      <c r="J1348" s="40">
        <v>27446.0</v>
      </c>
      <c r="K1348" s="11">
        <v>35039.0</v>
      </c>
      <c r="L1348" s="29" t="s">
        <v>260</v>
      </c>
      <c r="M1348" s="39" t="s">
        <v>252</v>
      </c>
      <c r="N1348" s="11" t="s">
        <v>258</v>
      </c>
    </row>
    <row r="1349">
      <c r="A1349" s="11" t="s">
        <v>166</v>
      </c>
      <c r="B1349" s="11" t="s">
        <v>20</v>
      </c>
      <c r="C1349" s="11" t="s">
        <v>1362</v>
      </c>
      <c r="D1349" s="11" t="s">
        <v>248</v>
      </c>
      <c r="E1349" s="25" t="s">
        <v>1363</v>
      </c>
      <c r="F1349" s="11" t="s">
        <v>1364</v>
      </c>
      <c r="G1349" s="11" t="s">
        <v>418</v>
      </c>
      <c r="H1349" s="11">
        <v>2000.0</v>
      </c>
      <c r="I1349" s="40">
        <v>31683.0</v>
      </c>
      <c r="J1349" s="40">
        <v>29217.0</v>
      </c>
      <c r="K1349" s="11">
        <v>34641.0</v>
      </c>
      <c r="L1349" s="29" t="s">
        <v>260</v>
      </c>
      <c r="M1349" s="39" t="s">
        <v>252</v>
      </c>
      <c r="N1349" s="11" t="s">
        <v>258</v>
      </c>
    </row>
    <row r="1350">
      <c r="A1350" s="11" t="s">
        <v>166</v>
      </c>
      <c r="B1350" s="11" t="s">
        <v>20</v>
      </c>
      <c r="C1350" s="11" t="s">
        <v>1362</v>
      </c>
      <c r="D1350" s="11" t="s">
        <v>248</v>
      </c>
      <c r="E1350" s="25" t="s">
        <v>1363</v>
      </c>
      <c r="F1350" s="11" t="s">
        <v>1364</v>
      </c>
      <c r="G1350" s="11" t="s">
        <v>418</v>
      </c>
      <c r="H1350" s="11">
        <v>2001.0</v>
      </c>
      <c r="I1350" s="40">
        <v>33060.0</v>
      </c>
      <c r="J1350" s="40">
        <v>29312.0</v>
      </c>
      <c r="K1350" s="11">
        <v>37301.0</v>
      </c>
      <c r="L1350" s="29" t="s">
        <v>260</v>
      </c>
      <c r="M1350" s="39" t="s">
        <v>252</v>
      </c>
      <c r="N1350" s="11" t="s">
        <v>258</v>
      </c>
    </row>
    <row r="1351">
      <c r="A1351" s="11" t="s">
        <v>166</v>
      </c>
      <c r="B1351" s="11" t="s">
        <v>20</v>
      </c>
      <c r="C1351" s="11" t="s">
        <v>1362</v>
      </c>
      <c r="D1351" s="11" t="s">
        <v>248</v>
      </c>
      <c r="E1351" s="25" t="s">
        <v>1363</v>
      </c>
      <c r="F1351" s="11" t="s">
        <v>1364</v>
      </c>
      <c r="G1351" s="11" t="s">
        <v>418</v>
      </c>
      <c r="H1351" s="11">
        <v>2002.0</v>
      </c>
      <c r="I1351" s="40">
        <v>37987.0</v>
      </c>
      <c r="J1351" s="40">
        <v>37297.0</v>
      </c>
      <c r="K1351" s="11">
        <v>39072.0</v>
      </c>
      <c r="L1351" s="29" t="s">
        <v>260</v>
      </c>
      <c r="M1351" s="39" t="s">
        <v>252</v>
      </c>
      <c r="N1351" s="11" t="s">
        <v>258</v>
      </c>
    </row>
    <row r="1352">
      <c r="A1352" s="11" t="s">
        <v>166</v>
      </c>
      <c r="B1352" s="11" t="s">
        <v>20</v>
      </c>
      <c r="C1352" s="11" t="s">
        <v>1362</v>
      </c>
      <c r="D1352" s="11" t="s">
        <v>248</v>
      </c>
      <c r="E1352" s="25" t="s">
        <v>1363</v>
      </c>
      <c r="F1352" s="11" t="s">
        <v>1364</v>
      </c>
      <c r="G1352" s="11" t="s">
        <v>418</v>
      </c>
      <c r="H1352" s="11">
        <v>2003.0</v>
      </c>
      <c r="I1352" s="40">
        <v>37392.0</v>
      </c>
      <c r="J1352" s="40">
        <v>33250.0</v>
      </c>
      <c r="K1352" s="11">
        <v>42027.0</v>
      </c>
      <c r="L1352" s="29" t="s">
        <v>260</v>
      </c>
      <c r="M1352" s="39" t="s">
        <v>252</v>
      </c>
      <c r="N1352" s="11" t="s">
        <v>258</v>
      </c>
    </row>
    <row r="1353">
      <c r="A1353" s="11" t="s">
        <v>166</v>
      </c>
      <c r="B1353" s="11" t="s">
        <v>20</v>
      </c>
      <c r="C1353" s="11" t="s">
        <v>1362</v>
      </c>
      <c r="D1353" s="11" t="s">
        <v>248</v>
      </c>
      <c r="E1353" s="25" t="s">
        <v>1363</v>
      </c>
      <c r="F1353" s="11" t="s">
        <v>1364</v>
      </c>
      <c r="G1353" s="11" t="s">
        <v>418</v>
      </c>
      <c r="H1353" s="11">
        <v>2004.0</v>
      </c>
      <c r="I1353" s="40">
        <v>38670.0</v>
      </c>
      <c r="J1353" s="40">
        <v>34824.0</v>
      </c>
      <c r="K1353" s="11">
        <v>43404.0</v>
      </c>
      <c r="L1353" s="29" t="s">
        <v>260</v>
      </c>
      <c r="M1353" s="39" t="s">
        <v>252</v>
      </c>
      <c r="N1353" s="11" t="s">
        <v>258</v>
      </c>
    </row>
    <row r="1354">
      <c r="A1354" s="11" t="s">
        <v>166</v>
      </c>
      <c r="B1354" s="11" t="s">
        <v>20</v>
      </c>
      <c r="C1354" s="11" t="s">
        <v>1362</v>
      </c>
      <c r="D1354" s="11" t="s">
        <v>248</v>
      </c>
      <c r="E1354" s="25" t="s">
        <v>1363</v>
      </c>
      <c r="F1354" s="11" t="s">
        <v>1364</v>
      </c>
      <c r="G1354" s="11" t="s">
        <v>418</v>
      </c>
      <c r="H1354" s="11">
        <v>2005.0</v>
      </c>
      <c r="I1354" s="40">
        <v>40047.0</v>
      </c>
      <c r="J1354" s="40">
        <v>36102.0</v>
      </c>
      <c r="K1354" s="11">
        <v>45570.0</v>
      </c>
      <c r="L1354" s="29" t="s">
        <v>260</v>
      </c>
      <c r="M1354" s="39" t="s">
        <v>252</v>
      </c>
      <c r="N1354" s="11" t="s">
        <v>258</v>
      </c>
    </row>
    <row r="1355">
      <c r="A1355" s="11" t="s">
        <v>166</v>
      </c>
      <c r="B1355" s="11" t="s">
        <v>20</v>
      </c>
      <c r="C1355" s="11" t="s">
        <v>1362</v>
      </c>
      <c r="D1355" s="11" t="s">
        <v>248</v>
      </c>
      <c r="E1355" s="25" t="s">
        <v>1363</v>
      </c>
      <c r="F1355" s="11" t="s">
        <v>1364</v>
      </c>
      <c r="G1355" s="11" t="s">
        <v>418</v>
      </c>
      <c r="H1355" s="11">
        <v>2006.0</v>
      </c>
      <c r="I1355" s="40">
        <v>40241.0</v>
      </c>
      <c r="J1355" s="40">
        <v>37085.0</v>
      </c>
      <c r="K1355" s="11">
        <v>44284.0</v>
      </c>
      <c r="L1355" s="29" t="s">
        <v>260</v>
      </c>
      <c r="M1355" s="39" t="s">
        <v>252</v>
      </c>
      <c r="N1355" s="11" t="s">
        <v>258</v>
      </c>
    </row>
    <row r="1356">
      <c r="A1356" s="11" t="s">
        <v>166</v>
      </c>
      <c r="B1356" s="11" t="s">
        <v>20</v>
      </c>
      <c r="C1356" s="11" t="s">
        <v>1362</v>
      </c>
      <c r="D1356" s="11" t="s">
        <v>248</v>
      </c>
      <c r="E1356" s="25" t="s">
        <v>1363</v>
      </c>
      <c r="F1356" s="11" t="s">
        <v>1364</v>
      </c>
      <c r="G1356" s="11" t="s">
        <v>418</v>
      </c>
      <c r="H1356" s="11">
        <v>2007.0</v>
      </c>
      <c r="I1356" s="40">
        <v>40336.0</v>
      </c>
      <c r="J1356" s="40">
        <v>35503.0</v>
      </c>
      <c r="K1356" s="11">
        <v>45661.0</v>
      </c>
      <c r="L1356" s="29" t="s">
        <v>260</v>
      </c>
      <c r="M1356" s="39" t="s">
        <v>252</v>
      </c>
      <c r="N1356" s="11" t="s">
        <v>258</v>
      </c>
    </row>
    <row r="1357">
      <c r="A1357" s="11" t="s">
        <v>166</v>
      </c>
      <c r="B1357" s="11" t="s">
        <v>20</v>
      </c>
      <c r="C1357" s="11" t="s">
        <v>1362</v>
      </c>
      <c r="D1357" s="11" t="s">
        <v>248</v>
      </c>
      <c r="E1357" s="25" t="s">
        <v>1363</v>
      </c>
      <c r="F1357" s="11" t="s">
        <v>1364</v>
      </c>
      <c r="G1357" s="11" t="s">
        <v>418</v>
      </c>
      <c r="H1357" s="11">
        <v>2008.0</v>
      </c>
      <c r="I1357" s="40">
        <v>38162.0</v>
      </c>
      <c r="J1357" s="40">
        <v>37176.0</v>
      </c>
      <c r="K1357" s="11">
        <v>39543.0</v>
      </c>
      <c r="L1357" s="29" t="s">
        <v>260</v>
      </c>
      <c r="M1357" s="39" t="s">
        <v>252</v>
      </c>
      <c r="N1357" s="11" t="s">
        <v>258</v>
      </c>
    </row>
    <row r="1358">
      <c r="A1358" s="11" t="s">
        <v>166</v>
      </c>
      <c r="B1358" s="11" t="s">
        <v>20</v>
      </c>
      <c r="C1358" s="11" t="s">
        <v>1362</v>
      </c>
      <c r="D1358" s="11" t="s">
        <v>248</v>
      </c>
      <c r="E1358" s="25" t="s">
        <v>1363</v>
      </c>
      <c r="F1358" s="11" t="s">
        <v>1364</v>
      </c>
      <c r="G1358" s="11" t="s">
        <v>418</v>
      </c>
      <c r="H1358" s="11">
        <v>2009.0</v>
      </c>
      <c r="I1358" s="40">
        <v>43188.0</v>
      </c>
      <c r="J1358" s="40">
        <v>39342.0</v>
      </c>
      <c r="K1358" s="11">
        <v>47626.0</v>
      </c>
      <c r="L1358" s="29" t="s">
        <v>260</v>
      </c>
      <c r="M1358" s="39" t="s">
        <v>252</v>
      </c>
      <c r="N1358" s="11" t="s">
        <v>258</v>
      </c>
    </row>
    <row r="1359">
      <c r="A1359" s="11" t="s">
        <v>166</v>
      </c>
      <c r="B1359" s="11" t="s">
        <v>20</v>
      </c>
      <c r="C1359" s="11" t="s">
        <v>1362</v>
      </c>
      <c r="D1359" s="11" t="s">
        <v>248</v>
      </c>
      <c r="E1359" s="25" t="s">
        <v>1363</v>
      </c>
      <c r="F1359" s="11" t="s">
        <v>1364</v>
      </c>
      <c r="G1359" s="11" t="s">
        <v>418</v>
      </c>
      <c r="H1359" s="11">
        <v>2010.0</v>
      </c>
      <c r="I1359" s="40">
        <v>44072.0</v>
      </c>
      <c r="J1359" s="40">
        <v>42396.0</v>
      </c>
      <c r="K1359" s="11">
        <v>46242.0</v>
      </c>
      <c r="L1359" s="29" t="s">
        <v>260</v>
      </c>
      <c r="M1359" s="39" t="s">
        <v>252</v>
      </c>
      <c r="N1359" s="11" t="s">
        <v>258</v>
      </c>
    </row>
    <row r="1360">
      <c r="A1360" s="11" t="s">
        <v>166</v>
      </c>
      <c r="B1360" s="11" t="s">
        <v>20</v>
      </c>
      <c r="C1360" s="11" t="s">
        <v>1362</v>
      </c>
      <c r="D1360" s="11" t="s">
        <v>248</v>
      </c>
      <c r="E1360" s="25" t="s">
        <v>1363</v>
      </c>
      <c r="F1360" s="11" t="s">
        <v>1364</v>
      </c>
      <c r="G1360" s="11" t="s">
        <v>418</v>
      </c>
      <c r="H1360" s="11">
        <v>2011.0</v>
      </c>
      <c r="I1360" s="40">
        <v>45351.0</v>
      </c>
      <c r="J1360" s="40">
        <v>39927.0</v>
      </c>
      <c r="K1360" s="11">
        <v>51761.0</v>
      </c>
      <c r="L1360" s="29" t="s">
        <v>260</v>
      </c>
      <c r="M1360" s="39" t="s">
        <v>252</v>
      </c>
      <c r="N1360" s="11" t="s">
        <v>258</v>
      </c>
    </row>
    <row r="1361">
      <c r="A1361" s="11" t="s">
        <v>166</v>
      </c>
      <c r="B1361" s="11" t="s">
        <v>20</v>
      </c>
      <c r="C1361" s="11" t="s">
        <v>1362</v>
      </c>
      <c r="D1361" s="11" t="s">
        <v>248</v>
      </c>
      <c r="E1361" s="25" t="s">
        <v>1363</v>
      </c>
      <c r="F1361" s="11" t="s">
        <v>1364</v>
      </c>
      <c r="G1361" s="11" t="s">
        <v>418</v>
      </c>
      <c r="H1361" s="11">
        <v>2012.0</v>
      </c>
      <c r="I1361" s="40">
        <v>47517.0</v>
      </c>
      <c r="J1361" s="40">
        <v>41501.0</v>
      </c>
      <c r="K1361" s="11">
        <v>54321.0</v>
      </c>
      <c r="L1361" s="29" t="s">
        <v>260</v>
      </c>
      <c r="M1361" s="39" t="s">
        <v>252</v>
      </c>
      <c r="N1361" s="11" t="s">
        <v>258</v>
      </c>
    </row>
    <row r="1362">
      <c r="A1362" s="11" t="s">
        <v>166</v>
      </c>
      <c r="B1362" s="11" t="s">
        <v>20</v>
      </c>
      <c r="C1362" s="11" t="s">
        <v>1362</v>
      </c>
      <c r="D1362" s="11" t="s">
        <v>248</v>
      </c>
      <c r="E1362" s="25" t="s">
        <v>1363</v>
      </c>
      <c r="F1362" s="11" t="s">
        <v>1364</v>
      </c>
      <c r="G1362" s="11" t="s">
        <v>418</v>
      </c>
      <c r="H1362" s="11">
        <v>2013.0</v>
      </c>
      <c r="I1362" s="40">
        <v>51951.0</v>
      </c>
      <c r="J1362" s="71" t="s">
        <v>188</v>
      </c>
      <c r="K1362" s="42" t="s">
        <v>188</v>
      </c>
      <c r="L1362" s="29" t="s">
        <v>260</v>
      </c>
      <c r="M1362" s="39" t="s">
        <v>252</v>
      </c>
      <c r="N1362" s="11" t="s">
        <v>258</v>
      </c>
    </row>
    <row r="1363">
      <c r="A1363" s="11" t="s">
        <v>166</v>
      </c>
      <c r="B1363" s="11" t="s">
        <v>20</v>
      </c>
      <c r="C1363" s="11" t="s">
        <v>1362</v>
      </c>
      <c r="D1363" s="11" t="s">
        <v>248</v>
      </c>
      <c r="E1363" s="25" t="s">
        <v>1363</v>
      </c>
      <c r="F1363" s="11" t="s">
        <v>1364</v>
      </c>
      <c r="G1363" s="11" t="s">
        <v>418</v>
      </c>
      <c r="H1363" s="11">
        <v>2014.0</v>
      </c>
      <c r="I1363" s="40">
        <v>52046.0</v>
      </c>
      <c r="J1363" s="40">
        <v>45537.0</v>
      </c>
      <c r="K1363" s="11">
        <v>59639.0</v>
      </c>
      <c r="L1363" s="29" t="s">
        <v>260</v>
      </c>
      <c r="M1363" s="39" t="s">
        <v>252</v>
      </c>
      <c r="N1363" s="11" t="s">
        <v>258</v>
      </c>
    </row>
    <row r="1364">
      <c r="A1364" s="11" t="s">
        <v>166</v>
      </c>
      <c r="B1364" s="11" t="s">
        <v>20</v>
      </c>
      <c r="C1364" s="11" t="s">
        <v>1362</v>
      </c>
      <c r="D1364" s="11" t="s">
        <v>248</v>
      </c>
      <c r="E1364" s="25" t="s">
        <v>1363</v>
      </c>
      <c r="F1364" s="11" t="s">
        <v>1364</v>
      </c>
      <c r="G1364" s="11" t="s">
        <v>418</v>
      </c>
      <c r="H1364" s="11">
        <v>2015.0</v>
      </c>
      <c r="I1364" s="40">
        <v>54409.0</v>
      </c>
      <c r="J1364" s="40">
        <v>48985.0</v>
      </c>
      <c r="K1364" s="11">
        <v>60819.0</v>
      </c>
      <c r="L1364" s="29" t="s">
        <v>260</v>
      </c>
      <c r="M1364" s="39" t="s">
        <v>252</v>
      </c>
      <c r="N1364" s="11" t="s">
        <v>258</v>
      </c>
    </row>
    <row r="1365">
      <c r="A1365" s="11" t="s">
        <v>166</v>
      </c>
      <c r="B1365" s="11" t="s">
        <v>20</v>
      </c>
      <c r="C1365" s="11" t="s">
        <v>1362</v>
      </c>
      <c r="D1365" s="11" t="s">
        <v>248</v>
      </c>
      <c r="E1365" s="25" t="s">
        <v>1363</v>
      </c>
      <c r="F1365" s="11" t="s">
        <v>1364</v>
      </c>
      <c r="G1365" s="11" t="s">
        <v>418</v>
      </c>
      <c r="H1365" s="11">
        <v>2016.0</v>
      </c>
      <c r="I1365" s="40">
        <v>55490.0</v>
      </c>
      <c r="J1365" s="40">
        <v>47896.0</v>
      </c>
      <c r="K1365" s="11">
        <v>64070.0</v>
      </c>
      <c r="L1365" s="29" t="s">
        <v>260</v>
      </c>
      <c r="M1365" s="39" t="s">
        <v>252</v>
      </c>
      <c r="N1365" s="11" t="s">
        <v>258</v>
      </c>
    </row>
    <row r="1366">
      <c r="A1366" s="11" t="s">
        <v>166</v>
      </c>
      <c r="B1366" s="11" t="s">
        <v>20</v>
      </c>
      <c r="C1366" s="11" t="s">
        <v>1362</v>
      </c>
      <c r="D1366" s="11" t="s">
        <v>248</v>
      </c>
      <c r="E1366" s="11" t="s">
        <v>1363</v>
      </c>
      <c r="F1366" s="11" t="s">
        <v>1364</v>
      </c>
      <c r="G1366" s="11" t="s">
        <v>418</v>
      </c>
      <c r="H1366" s="11">
        <v>2017.0</v>
      </c>
      <c r="I1366" s="40">
        <v>54895.0</v>
      </c>
      <c r="J1366" s="40">
        <v>48386.0</v>
      </c>
      <c r="K1366" s="11">
        <v>62488.0</v>
      </c>
      <c r="L1366" s="28" t="s">
        <v>260</v>
      </c>
      <c r="M1366" s="39" t="s">
        <v>252</v>
      </c>
      <c r="N1366" s="11" t="s">
        <v>258</v>
      </c>
    </row>
    <row r="1367">
      <c r="A1367" s="11" t="s">
        <v>166</v>
      </c>
      <c r="B1367" s="11" t="s">
        <v>20</v>
      </c>
      <c r="C1367" s="11" t="s">
        <v>1382</v>
      </c>
      <c r="D1367" s="11" t="s">
        <v>248</v>
      </c>
      <c r="E1367" s="25" t="s">
        <v>1383</v>
      </c>
      <c r="F1367" s="11" t="s">
        <v>1364</v>
      </c>
      <c r="G1367" s="11" t="s">
        <v>418</v>
      </c>
      <c r="H1367" s="11">
        <v>1989.0</v>
      </c>
      <c r="I1367" s="40">
        <v>11429.0</v>
      </c>
      <c r="J1367" s="71" t="s">
        <v>188</v>
      </c>
      <c r="K1367" s="71" t="s">
        <v>188</v>
      </c>
      <c r="L1367" s="29" t="s">
        <v>260</v>
      </c>
      <c r="M1367" s="39" t="s">
        <v>252</v>
      </c>
      <c r="N1367" s="11" t="s">
        <v>258</v>
      </c>
    </row>
    <row r="1368">
      <c r="A1368" s="11" t="s">
        <v>166</v>
      </c>
      <c r="B1368" s="11" t="s">
        <v>20</v>
      </c>
      <c r="C1368" s="11" t="s">
        <v>1382</v>
      </c>
      <c r="D1368" s="11" t="s">
        <v>248</v>
      </c>
      <c r="E1368" s="25" t="s">
        <v>1383</v>
      </c>
      <c r="F1368" s="11" t="s">
        <v>1364</v>
      </c>
      <c r="G1368" s="11" t="s">
        <v>418</v>
      </c>
      <c r="H1368" s="11">
        <v>1990.0</v>
      </c>
      <c r="I1368" s="40">
        <v>10816.0</v>
      </c>
      <c r="J1368" s="71" t="s">
        <v>188</v>
      </c>
      <c r="K1368" s="71" t="s">
        <v>188</v>
      </c>
      <c r="L1368" s="29" t="s">
        <v>260</v>
      </c>
      <c r="M1368" s="39" t="s">
        <v>252</v>
      </c>
      <c r="N1368" s="11" t="s">
        <v>258</v>
      </c>
    </row>
    <row r="1369">
      <c r="A1369" s="11" t="s">
        <v>166</v>
      </c>
      <c r="B1369" s="11" t="s">
        <v>20</v>
      </c>
      <c r="C1369" s="11" t="s">
        <v>1382</v>
      </c>
      <c r="D1369" s="11" t="s">
        <v>248</v>
      </c>
      <c r="E1369" s="25" t="s">
        <v>1383</v>
      </c>
      <c r="F1369" s="11" t="s">
        <v>1364</v>
      </c>
      <c r="G1369" s="11" t="s">
        <v>418</v>
      </c>
      <c r="H1369" s="11">
        <v>1991.0</v>
      </c>
      <c r="I1369" s="40">
        <v>11837.0</v>
      </c>
      <c r="J1369" s="71" t="s">
        <v>188</v>
      </c>
      <c r="K1369" s="71" t="s">
        <v>188</v>
      </c>
      <c r="L1369" s="29" t="s">
        <v>260</v>
      </c>
      <c r="M1369" s="39" t="s">
        <v>252</v>
      </c>
      <c r="N1369" s="11" t="s">
        <v>258</v>
      </c>
    </row>
    <row r="1370">
      <c r="A1370" s="11" t="s">
        <v>166</v>
      </c>
      <c r="B1370" s="11" t="s">
        <v>20</v>
      </c>
      <c r="C1370" s="11" t="s">
        <v>1382</v>
      </c>
      <c r="D1370" s="11" t="s">
        <v>248</v>
      </c>
      <c r="E1370" s="25" t="s">
        <v>1383</v>
      </c>
      <c r="F1370" s="11" t="s">
        <v>1364</v>
      </c>
      <c r="G1370" s="11" t="s">
        <v>418</v>
      </c>
      <c r="H1370" s="11">
        <v>1992.0</v>
      </c>
      <c r="I1370" s="40">
        <v>11429.0</v>
      </c>
      <c r="J1370" s="71" t="s">
        <v>188</v>
      </c>
      <c r="K1370" s="71" t="s">
        <v>188</v>
      </c>
      <c r="L1370" s="29" t="s">
        <v>260</v>
      </c>
      <c r="M1370" s="39" t="s">
        <v>252</v>
      </c>
      <c r="N1370" s="11" t="s">
        <v>258</v>
      </c>
    </row>
    <row r="1371">
      <c r="A1371" s="11" t="s">
        <v>166</v>
      </c>
      <c r="B1371" s="11" t="s">
        <v>20</v>
      </c>
      <c r="C1371" s="11" t="s">
        <v>1382</v>
      </c>
      <c r="D1371" s="11" t="s">
        <v>248</v>
      </c>
      <c r="E1371" s="25" t="s">
        <v>1383</v>
      </c>
      <c r="F1371" s="11" t="s">
        <v>1364</v>
      </c>
      <c r="G1371" s="11" t="s">
        <v>418</v>
      </c>
      <c r="H1371" s="11">
        <v>1994.0</v>
      </c>
      <c r="I1371" s="40">
        <v>12857.0</v>
      </c>
      <c r="J1371" s="71" t="s">
        <v>188</v>
      </c>
      <c r="K1371" s="71" t="s">
        <v>188</v>
      </c>
      <c r="L1371" s="29" t="s">
        <v>260</v>
      </c>
      <c r="M1371" s="39" t="s">
        <v>252</v>
      </c>
      <c r="N1371" s="11" t="s">
        <v>258</v>
      </c>
    </row>
    <row r="1372">
      <c r="A1372" s="11" t="s">
        <v>166</v>
      </c>
      <c r="B1372" s="11" t="s">
        <v>20</v>
      </c>
      <c r="C1372" s="11" t="s">
        <v>1382</v>
      </c>
      <c r="D1372" s="11" t="s">
        <v>248</v>
      </c>
      <c r="E1372" s="25" t="s">
        <v>1383</v>
      </c>
      <c r="F1372" s="11" t="s">
        <v>1364</v>
      </c>
      <c r="G1372" s="11" t="s">
        <v>418</v>
      </c>
      <c r="H1372" s="11">
        <v>1996.0</v>
      </c>
      <c r="I1372" s="40">
        <v>11429.0</v>
      </c>
      <c r="J1372" s="71" t="s">
        <v>188</v>
      </c>
      <c r="K1372" s="71" t="s">
        <v>188</v>
      </c>
      <c r="L1372" s="29" t="s">
        <v>260</v>
      </c>
      <c r="M1372" s="39" t="s">
        <v>252</v>
      </c>
      <c r="N1372" s="11" t="s">
        <v>258</v>
      </c>
    </row>
    <row r="1373">
      <c r="A1373" s="11" t="s">
        <v>166</v>
      </c>
      <c r="B1373" s="11" t="s">
        <v>20</v>
      </c>
      <c r="C1373" s="11" t="s">
        <v>1382</v>
      </c>
      <c r="D1373" s="11" t="s">
        <v>248</v>
      </c>
      <c r="E1373" s="25" t="s">
        <v>1383</v>
      </c>
      <c r="F1373" s="11" t="s">
        <v>1364</v>
      </c>
      <c r="G1373" s="11" t="s">
        <v>418</v>
      </c>
      <c r="H1373" s="11">
        <v>1998.0</v>
      </c>
      <c r="I1373" s="40">
        <v>12449.0</v>
      </c>
      <c r="J1373" s="71" t="s">
        <v>188</v>
      </c>
      <c r="K1373" s="71" t="s">
        <v>188</v>
      </c>
      <c r="L1373" s="29" t="s">
        <v>260</v>
      </c>
      <c r="M1373" s="39" t="s">
        <v>252</v>
      </c>
      <c r="N1373" s="11" t="s">
        <v>258</v>
      </c>
    </row>
    <row r="1374">
      <c r="A1374" s="11" t="s">
        <v>166</v>
      </c>
      <c r="B1374" s="11" t="s">
        <v>20</v>
      </c>
      <c r="C1374" s="11" t="s">
        <v>1382</v>
      </c>
      <c r="D1374" s="11" t="s">
        <v>248</v>
      </c>
      <c r="E1374" s="25" t="s">
        <v>1383</v>
      </c>
      <c r="F1374" s="11" t="s">
        <v>1364</v>
      </c>
      <c r="G1374" s="11" t="s">
        <v>418</v>
      </c>
      <c r="H1374" s="11">
        <v>2000.0</v>
      </c>
      <c r="I1374" s="40">
        <v>14082.0</v>
      </c>
      <c r="J1374" s="71" t="s">
        <v>188</v>
      </c>
      <c r="K1374" s="71" t="s">
        <v>188</v>
      </c>
      <c r="L1374" s="29" t="s">
        <v>260</v>
      </c>
      <c r="M1374" s="39" t="s">
        <v>252</v>
      </c>
      <c r="N1374" s="11" t="s">
        <v>258</v>
      </c>
    </row>
    <row r="1375">
      <c r="A1375" s="11" t="s">
        <v>166</v>
      </c>
      <c r="B1375" s="11" t="s">
        <v>20</v>
      </c>
      <c r="C1375" s="11" t="s">
        <v>1382</v>
      </c>
      <c r="D1375" s="11" t="s">
        <v>248</v>
      </c>
      <c r="E1375" s="25" t="s">
        <v>1383</v>
      </c>
      <c r="F1375" s="11" t="s">
        <v>1364</v>
      </c>
      <c r="G1375" s="11" t="s">
        <v>418</v>
      </c>
      <c r="H1375" s="11">
        <v>2002.0</v>
      </c>
      <c r="I1375" s="40">
        <v>16122.0</v>
      </c>
      <c r="J1375" s="71" t="s">
        <v>188</v>
      </c>
      <c r="K1375" s="71" t="s">
        <v>188</v>
      </c>
      <c r="L1375" s="29" t="s">
        <v>260</v>
      </c>
      <c r="M1375" s="39" t="s">
        <v>252</v>
      </c>
      <c r="N1375" s="11" t="s">
        <v>258</v>
      </c>
    </row>
    <row r="1376">
      <c r="A1376" s="11" t="s">
        <v>166</v>
      </c>
      <c r="B1376" s="11" t="s">
        <v>20</v>
      </c>
      <c r="C1376" s="11" t="s">
        <v>1382</v>
      </c>
      <c r="D1376" s="11" t="s">
        <v>248</v>
      </c>
      <c r="E1376" s="25" t="s">
        <v>1383</v>
      </c>
      <c r="F1376" s="11" t="s">
        <v>1364</v>
      </c>
      <c r="G1376" s="11" t="s">
        <v>418</v>
      </c>
      <c r="H1376" s="11">
        <v>2004.0</v>
      </c>
      <c r="I1376" s="40">
        <v>16327.0</v>
      </c>
      <c r="J1376" s="40">
        <v>14490.0</v>
      </c>
      <c r="K1376" s="11">
        <v>19184.0</v>
      </c>
      <c r="L1376" s="29" t="s">
        <v>260</v>
      </c>
      <c r="M1376" s="39" t="s">
        <v>252</v>
      </c>
      <c r="N1376" s="11" t="s">
        <v>258</v>
      </c>
    </row>
    <row r="1377">
      <c r="A1377" s="11" t="s">
        <v>166</v>
      </c>
      <c r="B1377" s="11" t="s">
        <v>20</v>
      </c>
      <c r="C1377" s="11" t="s">
        <v>1382</v>
      </c>
      <c r="D1377" s="11" t="s">
        <v>248</v>
      </c>
      <c r="E1377" s="25" t="s">
        <v>1383</v>
      </c>
      <c r="F1377" s="11" t="s">
        <v>1364</v>
      </c>
      <c r="G1377" s="11" t="s">
        <v>418</v>
      </c>
      <c r="H1377" s="11">
        <v>2005.0</v>
      </c>
      <c r="I1377" s="40">
        <v>16939.0</v>
      </c>
      <c r="J1377" s="40">
        <v>14694.0</v>
      </c>
      <c r="K1377" s="11">
        <v>20408.0</v>
      </c>
      <c r="L1377" s="29" t="s">
        <v>260</v>
      </c>
      <c r="M1377" s="39" t="s">
        <v>252</v>
      </c>
      <c r="N1377" s="11" t="s">
        <v>258</v>
      </c>
    </row>
    <row r="1378">
      <c r="A1378" s="11" t="s">
        <v>166</v>
      </c>
      <c r="B1378" s="11" t="s">
        <v>20</v>
      </c>
      <c r="C1378" s="11" t="s">
        <v>1382</v>
      </c>
      <c r="D1378" s="11" t="s">
        <v>248</v>
      </c>
      <c r="E1378" s="25" t="s">
        <v>1383</v>
      </c>
      <c r="F1378" s="11" t="s">
        <v>1364</v>
      </c>
      <c r="G1378" s="11" t="s">
        <v>418</v>
      </c>
      <c r="H1378" s="11">
        <v>2007.0</v>
      </c>
      <c r="I1378" s="40">
        <v>16327.0</v>
      </c>
      <c r="J1378" s="40">
        <v>13469.0</v>
      </c>
      <c r="K1378" s="11">
        <v>20204.0</v>
      </c>
      <c r="L1378" s="29" t="s">
        <v>260</v>
      </c>
      <c r="M1378" s="39" t="s">
        <v>252</v>
      </c>
      <c r="N1378" s="11" t="s">
        <v>258</v>
      </c>
    </row>
    <row r="1379">
      <c r="A1379" s="11" t="s">
        <v>166</v>
      </c>
      <c r="B1379" s="11" t="s">
        <v>20</v>
      </c>
      <c r="C1379" s="11" t="s">
        <v>1382</v>
      </c>
      <c r="D1379" s="11" t="s">
        <v>248</v>
      </c>
      <c r="E1379" s="25" t="s">
        <v>1383</v>
      </c>
      <c r="F1379" s="11" t="s">
        <v>1364</v>
      </c>
      <c r="G1379" s="11" t="s">
        <v>418</v>
      </c>
      <c r="H1379" s="11">
        <v>2008.0</v>
      </c>
      <c r="I1379" s="40">
        <v>14286.0</v>
      </c>
      <c r="J1379" s="71" t="s">
        <v>188</v>
      </c>
      <c r="K1379" s="71" t="s">
        <v>188</v>
      </c>
      <c r="L1379" s="29" t="s">
        <v>260</v>
      </c>
      <c r="M1379" s="39" t="s">
        <v>252</v>
      </c>
      <c r="N1379" s="11" t="s">
        <v>258</v>
      </c>
    </row>
    <row r="1380">
      <c r="A1380" s="11" t="s">
        <v>166</v>
      </c>
      <c r="B1380" s="11" t="s">
        <v>20</v>
      </c>
      <c r="C1380" s="11" t="s">
        <v>1382</v>
      </c>
      <c r="D1380" s="11" t="s">
        <v>248</v>
      </c>
      <c r="E1380" s="25" t="s">
        <v>1383</v>
      </c>
      <c r="F1380" s="11" t="s">
        <v>1364</v>
      </c>
      <c r="G1380" s="11" t="s">
        <v>418</v>
      </c>
      <c r="H1380" s="11">
        <v>2009.0</v>
      </c>
      <c r="I1380" s="40">
        <v>17755.0</v>
      </c>
      <c r="J1380" s="71" t="s">
        <v>188</v>
      </c>
      <c r="K1380" s="71" t="s">
        <v>188</v>
      </c>
      <c r="L1380" s="29" t="s">
        <v>260</v>
      </c>
      <c r="M1380" s="39" t="s">
        <v>252</v>
      </c>
      <c r="N1380" s="11" t="s">
        <v>258</v>
      </c>
    </row>
    <row r="1381">
      <c r="A1381" s="11" t="s">
        <v>166</v>
      </c>
      <c r="B1381" s="11" t="s">
        <v>20</v>
      </c>
      <c r="C1381" s="11" t="s">
        <v>1382</v>
      </c>
      <c r="D1381" s="11" t="s">
        <v>248</v>
      </c>
      <c r="E1381" s="25" t="s">
        <v>1383</v>
      </c>
      <c r="F1381" s="11" t="s">
        <v>1364</v>
      </c>
      <c r="G1381" s="11" t="s">
        <v>418</v>
      </c>
      <c r="H1381" s="11">
        <v>2010.0</v>
      </c>
      <c r="I1381" s="40">
        <v>15918.0</v>
      </c>
      <c r="J1381" s="71" t="s">
        <v>188</v>
      </c>
      <c r="K1381" s="71" t="s">
        <v>188</v>
      </c>
      <c r="L1381" s="29" t="s">
        <v>260</v>
      </c>
      <c r="M1381" s="39" t="s">
        <v>252</v>
      </c>
      <c r="N1381" s="11" t="s">
        <v>258</v>
      </c>
    </row>
    <row r="1382">
      <c r="A1382" s="11" t="s">
        <v>166</v>
      </c>
      <c r="B1382" s="11" t="s">
        <v>20</v>
      </c>
      <c r="C1382" s="11" t="s">
        <v>1382</v>
      </c>
      <c r="D1382" s="11" t="s">
        <v>248</v>
      </c>
      <c r="E1382" s="25" t="s">
        <v>1383</v>
      </c>
      <c r="F1382" s="11" t="s">
        <v>1364</v>
      </c>
      <c r="G1382" s="11" t="s">
        <v>418</v>
      </c>
      <c r="H1382" s="11">
        <v>2013.0</v>
      </c>
      <c r="I1382" s="40">
        <v>19184.0</v>
      </c>
      <c r="J1382" s="71" t="s">
        <v>188</v>
      </c>
      <c r="K1382" s="71" t="s">
        <v>188</v>
      </c>
      <c r="L1382" s="29" t="s">
        <v>260</v>
      </c>
      <c r="M1382" s="39" t="s">
        <v>252</v>
      </c>
      <c r="N1382" s="11" t="s">
        <v>258</v>
      </c>
    </row>
    <row r="1383">
      <c r="A1383" s="11" t="s">
        <v>166</v>
      </c>
      <c r="B1383" s="11" t="s">
        <v>20</v>
      </c>
      <c r="C1383" s="11" t="s">
        <v>1382</v>
      </c>
      <c r="D1383" s="11" t="s">
        <v>248</v>
      </c>
      <c r="E1383" s="25" t="s">
        <v>1383</v>
      </c>
      <c r="F1383" s="11" t="s">
        <v>1364</v>
      </c>
      <c r="G1383" s="11" t="s">
        <v>418</v>
      </c>
      <c r="H1383" s="11">
        <v>2015.0</v>
      </c>
      <c r="I1383" s="40">
        <v>21429.0</v>
      </c>
      <c r="J1383" s="71" t="s">
        <v>188</v>
      </c>
      <c r="K1383" s="71" t="s">
        <v>188</v>
      </c>
      <c r="L1383" s="29" t="s">
        <v>260</v>
      </c>
      <c r="M1383" s="39" t="s">
        <v>252</v>
      </c>
      <c r="N1383" s="11" t="s">
        <v>258</v>
      </c>
    </row>
    <row r="1384">
      <c r="A1384" s="11" t="s">
        <v>166</v>
      </c>
      <c r="B1384" s="11" t="s">
        <v>20</v>
      </c>
      <c r="C1384" s="11" t="s">
        <v>1382</v>
      </c>
      <c r="D1384" s="11" t="s">
        <v>248</v>
      </c>
      <c r="E1384" s="25" t="s">
        <v>1383</v>
      </c>
      <c r="F1384" s="11" t="s">
        <v>1364</v>
      </c>
      <c r="G1384" s="11" t="s">
        <v>418</v>
      </c>
      <c r="H1384" s="11">
        <v>2017.0</v>
      </c>
      <c r="I1384" s="40">
        <v>18571.0</v>
      </c>
      <c r="J1384" s="71" t="s">
        <v>188</v>
      </c>
      <c r="K1384" s="71" t="s">
        <v>188</v>
      </c>
      <c r="L1384" s="29" t="s">
        <v>260</v>
      </c>
      <c r="M1384" s="39" t="s">
        <v>252</v>
      </c>
      <c r="N1384" s="11" t="s">
        <v>258</v>
      </c>
    </row>
    <row r="1385">
      <c r="A1385" s="11" t="s">
        <v>166</v>
      </c>
      <c r="B1385" s="11" t="s">
        <v>20</v>
      </c>
      <c r="C1385" s="11" t="s">
        <v>1394</v>
      </c>
      <c r="D1385" s="11" t="s">
        <v>248</v>
      </c>
      <c r="E1385" s="25" t="s">
        <v>1395</v>
      </c>
      <c r="F1385" s="11" t="s">
        <v>1364</v>
      </c>
      <c r="G1385" s="11" t="s">
        <v>418</v>
      </c>
      <c r="H1385" s="11">
        <v>1989.0</v>
      </c>
      <c r="I1385" s="40">
        <v>204.0</v>
      </c>
      <c r="J1385" s="71" t="s">
        <v>188</v>
      </c>
      <c r="K1385" s="71" t="s">
        <v>188</v>
      </c>
      <c r="L1385" s="29" t="s">
        <v>260</v>
      </c>
      <c r="M1385" s="39" t="s">
        <v>252</v>
      </c>
      <c r="N1385" s="11" t="s">
        <v>258</v>
      </c>
    </row>
    <row r="1386">
      <c r="A1386" s="11" t="s">
        <v>166</v>
      </c>
      <c r="B1386" s="11" t="s">
        <v>20</v>
      </c>
      <c r="C1386" s="11" t="s">
        <v>1394</v>
      </c>
      <c r="D1386" s="11" t="s">
        <v>248</v>
      </c>
      <c r="E1386" s="25" t="s">
        <v>1395</v>
      </c>
      <c r="F1386" s="11" t="s">
        <v>1364</v>
      </c>
      <c r="G1386" s="11" t="s">
        <v>418</v>
      </c>
      <c r="H1386" s="11">
        <v>1991.0</v>
      </c>
      <c r="I1386" s="40">
        <v>408.0</v>
      </c>
      <c r="J1386" s="71" t="s">
        <v>188</v>
      </c>
      <c r="K1386" s="71" t="s">
        <v>188</v>
      </c>
      <c r="L1386" s="29" t="s">
        <v>260</v>
      </c>
      <c r="M1386" s="39" t="s">
        <v>252</v>
      </c>
      <c r="N1386" s="11" t="s">
        <v>258</v>
      </c>
    </row>
    <row r="1387">
      <c r="A1387" s="11" t="s">
        <v>166</v>
      </c>
      <c r="B1387" s="11" t="s">
        <v>20</v>
      </c>
      <c r="C1387" s="11" t="s">
        <v>1394</v>
      </c>
      <c r="D1387" s="11" t="s">
        <v>248</v>
      </c>
      <c r="E1387" s="25" t="s">
        <v>1395</v>
      </c>
      <c r="F1387" s="11" t="s">
        <v>1364</v>
      </c>
      <c r="G1387" s="11" t="s">
        <v>418</v>
      </c>
      <c r="H1387" s="11">
        <v>1992.0</v>
      </c>
      <c r="I1387" s="40">
        <v>204.0</v>
      </c>
      <c r="J1387" s="71" t="s">
        <v>188</v>
      </c>
      <c r="K1387" s="71" t="s">
        <v>188</v>
      </c>
      <c r="L1387" s="29" t="s">
        <v>260</v>
      </c>
      <c r="M1387" s="39" t="s">
        <v>252</v>
      </c>
      <c r="N1387" s="11" t="s">
        <v>258</v>
      </c>
    </row>
    <row r="1388">
      <c r="A1388" s="11" t="s">
        <v>166</v>
      </c>
      <c r="B1388" s="11" t="s">
        <v>20</v>
      </c>
      <c r="C1388" s="11" t="s">
        <v>1394</v>
      </c>
      <c r="D1388" s="11" t="s">
        <v>248</v>
      </c>
      <c r="E1388" s="25" t="s">
        <v>1395</v>
      </c>
      <c r="F1388" s="11" t="s">
        <v>1364</v>
      </c>
      <c r="G1388" s="11" t="s">
        <v>418</v>
      </c>
      <c r="H1388" s="11">
        <v>1993.0</v>
      </c>
      <c r="I1388" s="40">
        <v>612.0</v>
      </c>
      <c r="J1388" s="71" t="s">
        <v>188</v>
      </c>
      <c r="K1388" s="71" t="s">
        <v>188</v>
      </c>
      <c r="L1388" s="29" t="s">
        <v>260</v>
      </c>
      <c r="M1388" s="39" t="s">
        <v>252</v>
      </c>
      <c r="N1388" s="11" t="s">
        <v>258</v>
      </c>
    </row>
    <row r="1389">
      <c r="A1389" s="11" t="s">
        <v>166</v>
      </c>
      <c r="B1389" s="11" t="s">
        <v>20</v>
      </c>
      <c r="C1389" s="11" t="s">
        <v>1394</v>
      </c>
      <c r="D1389" s="11" t="s">
        <v>248</v>
      </c>
      <c r="E1389" s="25" t="s">
        <v>1395</v>
      </c>
      <c r="F1389" s="11" t="s">
        <v>1364</v>
      </c>
      <c r="G1389" s="11" t="s">
        <v>418</v>
      </c>
      <c r="H1389" s="11">
        <v>1994.0</v>
      </c>
      <c r="I1389" s="40">
        <v>357.0</v>
      </c>
      <c r="J1389" s="71" t="s">
        <v>188</v>
      </c>
      <c r="K1389" s="71" t="s">
        <v>188</v>
      </c>
      <c r="L1389" s="29" t="s">
        <v>260</v>
      </c>
      <c r="M1389" s="39" t="s">
        <v>252</v>
      </c>
      <c r="N1389" s="11" t="s">
        <v>258</v>
      </c>
    </row>
    <row r="1390">
      <c r="A1390" s="11" t="s">
        <v>166</v>
      </c>
      <c r="B1390" s="11" t="s">
        <v>20</v>
      </c>
      <c r="C1390" s="11" t="s">
        <v>1394</v>
      </c>
      <c r="D1390" s="11" t="s">
        <v>248</v>
      </c>
      <c r="E1390" s="25" t="s">
        <v>1395</v>
      </c>
      <c r="F1390" s="11" t="s">
        <v>1364</v>
      </c>
      <c r="G1390" s="11" t="s">
        <v>418</v>
      </c>
      <c r="H1390" s="11">
        <v>1995.0</v>
      </c>
      <c r="I1390" s="40">
        <v>408.0</v>
      </c>
      <c r="J1390" s="71" t="s">
        <v>188</v>
      </c>
      <c r="K1390" s="71" t="s">
        <v>188</v>
      </c>
      <c r="L1390" s="29" t="s">
        <v>260</v>
      </c>
      <c r="M1390" s="39" t="s">
        <v>252</v>
      </c>
      <c r="N1390" s="11" t="s">
        <v>258</v>
      </c>
    </row>
    <row r="1391">
      <c r="A1391" s="11" t="s">
        <v>166</v>
      </c>
      <c r="B1391" s="11" t="s">
        <v>20</v>
      </c>
      <c r="C1391" s="11" t="s">
        <v>1394</v>
      </c>
      <c r="D1391" s="11" t="s">
        <v>248</v>
      </c>
      <c r="E1391" s="25" t="s">
        <v>1395</v>
      </c>
      <c r="F1391" s="11" t="s">
        <v>1364</v>
      </c>
      <c r="G1391" s="11" t="s">
        <v>418</v>
      </c>
      <c r="H1391" s="11">
        <v>1996.0</v>
      </c>
      <c r="I1391" s="40">
        <v>612.0</v>
      </c>
      <c r="J1391" s="71" t="s">
        <v>188</v>
      </c>
      <c r="K1391" s="71" t="s">
        <v>188</v>
      </c>
      <c r="L1391" s="29" t="s">
        <v>260</v>
      </c>
      <c r="M1391" s="39" t="s">
        <v>252</v>
      </c>
      <c r="N1391" s="11" t="s">
        <v>258</v>
      </c>
    </row>
    <row r="1392">
      <c r="A1392" s="11" t="s">
        <v>166</v>
      </c>
      <c r="B1392" s="11" t="s">
        <v>20</v>
      </c>
      <c r="C1392" s="11" t="s">
        <v>1394</v>
      </c>
      <c r="D1392" s="11" t="s">
        <v>248</v>
      </c>
      <c r="E1392" s="25" t="s">
        <v>1395</v>
      </c>
      <c r="F1392" s="11" t="s">
        <v>1364</v>
      </c>
      <c r="G1392" s="11" t="s">
        <v>418</v>
      </c>
      <c r="H1392" s="11">
        <v>1997.0</v>
      </c>
      <c r="I1392" s="40">
        <v>408.0</v>
      </c>
      <c r="J1392" s="71" t="s">
        <v>188</v>
      </c>
      <c r="K1392" s="71" t="s">
        <v>188</v>
      </c>
      <c r="L1392" s="29" t="s">
        <v>260</v>
      </c>
      <c r="M1392" s="39" t="s">
        <v>252</v>
      </c>
      <c r="N1392" s="11" t="s">
        <v>258</v>
      </c>
    </row>
    <row r="1393">
      <c r="A1393" s="11" t="s">
        <v>166</v>
      </c>
      <c r="B1393" s="11" t="s">
        <v>20</v>
      </c>
      <c r="C1393" s="11" t="s">
        <v>1394</v>
      </c>
      <c r="D1393" s="11" t="s">
        <v>248</v>
      </c>
      <c r="E1393" s="25" t="s">
        <v>1395</v>
      </c>
      <c r="F1393" s="11" t="s">
        <v>1364</v>
      </c>
      <c r="G1393" s="11" t="s">
        <v>418</v>
      </c>
      <c r="H1393" s="11">
        <v>1998.0</v>
      </c>
      <c r="I1393" s="40">
        <v>408.0</v>
      </c>
      <c r="J1393" s="71" t="s">
        <v>188</v>
      </c>
      <c r="K1393" s="71" t="s">
        <v>188</v>
      </c>
      <c r="L1393" s="29" t="s">
        <v>260</v>
      </c>
      <c r="M1393" s="39" t="s">
        <v>252</v>
      </c>
      <c r="N1393" s="11" t="s">
        <v>258</v>
      </c>
    </row>
    <row r="1394">
      <c r="A1394" s="11" t="s">
        <v>166</v>
      </c>
      <c r="B1394" s="11" t="s">
        <v>20</v>
      </c>
      <c r="C1394" s="11" t="s">
        <v>1394</v>
      </c>
      <c r="D1394" s="11" t="s">
        <v>248</v>
      </c>
      <c r="E1394" s="25" t="s">
        <v>1395</v>
      </c>
      <c r="F1394" s="11" t="s">
        <v>1364</v>
      </c>
      <c r="G1394" s="11" t="s">
        <v>418</v>
      </c>
      <c r="H1394" s="11">
        <v>1999.0</v>
      </c>
      <c r="I1394" s="40">
        <v>816.0</v>
      </c>
      <c r="J1394" s="71" t="s">
        <v>188</v>
      </c>
      <c r="K1394" s="71" t="s">
        <v>188</v>
      </c>
      <c r="L1394" s="29" t="s">
        <v>260</v>
      </c>
      <c r="M1394" s="39" t="s">
        <v>252</v>
      </c>
      <c r="N1394" s="11" t="s">
        <v>258</v>
      </c>
    </row>
    <row r="1395">
      <c r="A1395" s="11" t="s">
        <v>166</v>
      </c>
      <c r="B1395" s="11" t="s">
        <v>20</v>
      </c>
      <c r="C1395" s="11" t="s">
        <v>1394</v>
      </c>
      <c r="D1395" s="11" t="s">
        <v>248</v>
      </c>
      <c r="E1395" s="25" t="s">
        <v>1395</v>
      </c>
      <c r="F1395" s="11" t="s">
        <v>1364</v>
      </c>
      <c r="G1395" s="11" t="s">
        <v>418</v>
      </c>
      <c r="H1395" s="11">
        <v>2000.0</v>
      </c>
      <c r="I1395" s="40">
        <v>612.0</v>
      </c>
      <c r="J1395" s="71" t="s">
        <v>188</v>
      </c>
      <c r="K1395" s="71" t="s">
        <v>188</v>
      </c>
      <c r="L1395" s="29" t="s">
        <v>260</v>
      </c>
      <c r="M1395" s="39" t="s">
        <v>252</v>
      </c>
      <c r="N1395" s="11" t="s">
        <v>258</v>
      </c>
    </row>
    <row r="1396">
      <c r="A1396" s="11" t="s">
        <v>166</v>
      </c>
      <c r="B1396" s="11" t="s">
        <v>20</v>
      </c>
      <c r="C1396" s="11" t="s">
        <v>1394</v>
      </c>
      <c r="D1396" s="11" t="s">
        <v>248</v>
      </c>
      <c r="E1396" s="25" t="s">
        <v>1395</v>
      </c>
      <c r="F1396" s="11" t="s">
        <v>1364</v>
      </c>
      <c r="G1396" s="11" t="s">
        <v>418</v>
      </c>
      <c r="H1396" s="11">
        <v>2001.0</v>
      </c>
      <c r="I1396" s="40">
        <v>408.0</v>
      </c>
      <c r="J1396" s="71" t="s">
        <v>188</v>
      </c>
      <c r="K1396" s="71" t="s">
        <v>188</v>
      </c>
      <c r="L1396" s="29" t="s">
        <v>260</v>
      </c>
      <c r="M1396" s="39" t="s">
        <v>252</v>
      </c>
      <c r="N1396" s="11" t="s">
        <v>258</v>
      </c>
    </row>
    <row r="1397">
      <c r="A1397" s="11" t="s">
        <v>166</v>
      </c>
      <c r="B1397" s="11" t="s">
        <v>20</v>
      </c>
      <c r="C1397" s="11" t="s">
        <v>1394</v>
      </c>
      <c r="D1397" s="11" t="s">
        <v>248</v>
      </c>
      <c r="E1397" s="25" t="s">
        <v>1395</v>
      </c>
      <c r="F1397" s="11" t="s">
        <v>1364</v>
      </c>
      <c r="G1397" s="11" t="s">
        <v>418</v>
      </c>
      <c r="H1397" s="11">
        <v>2004.0</v>
      </c>
      <c r="I1397" s="40">
        <v>816.0</v>
      </c>
      <c r="J1397" s="71" t="s">
        <v>188</v>
      </c>
      <c r="K1397" s="71" t="s">
        <v>188</v>
      </c>
      <c r="L1397" s="29" t="s">
        <v>260</v>
      </c>
      <c r="M1397" s="39" t="s">
        <v>252</v>
      </c>
      <c r="N1397" s="11" t="s">
        <v>258</v>
      </c>
    </row>
    <row r="1398">
      <c r="A1398" s="11" t="s">
        <v>166</v>
      </c>
      <c r="B1398" s="11" t="s">
        <v>20</v>
      </c>
      <c r="C1398" s="11" t="s">
        <v>1394</v>
      </c>
      <c r="D1398" s="11" t="s">
        <v>248</v>
      </c>
      <c r="E1398" s="25" t="s">
        <v>1395</v>
      </c>
      <c r="F1398" s="11" t="s">
        <v>1364</v>
      </c>
      <c r="G1398" s="11" t="s">
        <v>418</v>
      </c>
      <c r="H1398" s="11">
        <v>2005.0</v>
      </c>
      <c r="I1398" s="40">
        <v>816.0</v>
      </c>
      <c r="J1398" s="71" t="s">
        <v>188</v>
      </c>
      <c r="K1398" s="71" t="s">
        <v>188</v>
      </c>
      <c r="L1398" s="29" t="s">
        <v>260</v>
      </c>
      <c r="M1398" s="39" t="s">
        <v>252</v>
      </c>
      <c r="N1398" s="11" t="s">
        <v>258</v>
      </c>
    </row>
    <row r="1399">
      <c r="A1399" s="11" t="s">
        <v>166</v>
      </c>
      <c r="B1399" s="11" t="s">
        <v>20</v>
      </c>
      <c r="C1399" s="11" t="s">
        <v>1394</v>
      </c>
      <c r="D1399" s="11" t="s">
        <v>248</v>
      </c>
      <c r="E1399" s="25" t="s">
        <v>1395</v>
      </c>
      <c r="F1399" s="11" t="s">
        <v>1364</v>
      </c>
      <c r="G1399" s="11" t="s">
        <v>418</v>
      </c>
      <c r="H1399" s="11">
        <v>2006.0</v>
      </c>
      <c r="I1399" s="40">
        <v>612.0</v>
      </c>
      <c r="J1399" s="71" t="s">
        <v>188</v>
      </c>
      <c r="K1399" s="71" t="s">
        <v>188</v>
      </c>
      <c r="L1399" s="29" t="s">
        <v>260</v>
      </c>
      <c r="M1399" s="39" t="s">
        <v>252</v>
      </c>
      <c r="N1399" s="11" t="s">
        <v>258</v>
      </c>
    </row>
    <row r="1400">
      <c r="A1400" s="11" t="s">
        <v>166</v>
      </c>
      <c r="B1400" s="11" t="s">
        <v>20</v>
      </c>
      <c r="C1400" s="11" t="s">
        <v>1394</v>
      </c>
      <c r="D1400" s="11" t="s">
        <v>248</v>
      </c>
      <c r="E1400" s="25" t="s">
        <v>1395</v>
      </c>
      <c r="F1400" s="11" t="s">
        <v>1364</v>
      </c>
      <c r="G1400" s="11" t="s">
        <v>418</v>
      </c>
      <c r="H1400" s="11">
        <v>2007.0</v>
      </c>
      <c r="I1400" s="40">
        <v>816.0</v>
      </c>
      <c r="J1400" s="71" t="s">
        <v>188</v>
      </c>
      <c r="K1400" s="71" t="s">
        <v>188</v>
      </c>
      <c r="L1400" s="29" t="s">
        <v>260</v>
      </c>
      <c r="M1400" s="39" t="s">
        <v>252</v>
      </c>
      <c r="N1400" s="11" t="s">
        <v>258</v>
      </c>
    </row>
    <row r="1401">
      <c r="A1401" s="11" t="s">
        <v>166</v>
      </c>
      <c r="B1401" s="11" t="s">
        <v>20</v>
      </c>
      <c r="C1401" s="11" t="s">
        <v>1394</v>
      </c>
      <c r="D1401" s="11" t="s">
        <v>248</v>
      </c>
      <c r="E1401" s="25" t="s">
        <v>1395</v>
      </c>
      <c r="F1401" s="11" t="s">
        <v>1364</v>
      </c>
      <c r="G1401" s="11" t="s">
        <v>418</v>
      </c>
      <c r="H1401" s="11">
        <v>2008.0</v>
      </c>
      <c r="I1401" s="40">
        <v>1224.0</v>
      </c>
      <c r="J1401" s="71" t="s">
        <v>188</v>
      </c>
      <c r="K1401" s="71" t="s">
        <v>188</v>
      </c>
      <c r="L1401" s="29" t="s">
        <v>260</v>
      </c>
      <c r="M1401" s="39" t="s">
        <v>252</v>
      </c>
      <c r="N1401" s="11" t="s">
        <v>258</v>
      </c>
    </row>
    <row r="1402">
      <c r="A1402" s="11" t="s">
        <v>166</v>
      </c>
      <c r="B1402" s="11" t="s">
        <v>20</v>
      </c>
      <c r="C1402" s="11" t="s">
        <v>1394</v>
      </c>
      <c r="D1402" s="11" t="s">
        <v>248</v>
      </c>
      <c r="E1402" s="25" t="s">
        <v>1395</v>
      </c>
      <c r="F1402" s="11" t="s">
        <v>1364</v>
      </c>
      <c r="G1402" s="11" t="s">
        <v>418</v>
      </c>
      <c r="H1402" s="11">
        <v>2009.0</v>
      </c>
      <c r="I1402" s="40">
        <v>1429.0</v>
      </c>
      <c r="J1402" s="71" t="s">
        <v>188</v>
      </c>
      <c r="K1402" s="71" t="s">
        <v>188</v>
      </c>
      <c r="L1402" s="29" t="s">
        <v>260</v>
      </c>
      <c r="M1402" s="39" t="s">
        <v>252</v>
      </c>
      <c r="N1402" s="11" t="s">
        <v>258</v>
      </c>
    </row>
    <row r="1403">
      <c r="A1403" s="11" t="s">
        <v>166</v>
      </c>
      <c r="B1403" s="11" t="s">
        <v>20</v>
      </c>
      <c r="C1403" s="11" t="s">
        <v>1394</v>
      </c>
      <c r="D1403" s="11" t="s">
        <v>248</v>
      </c>
      <c r="E1403" s="25" t="s">
        <v>1395</v>
      </c>
      <c r="F1403" s="11" t="s">
        <v>1364</v>
      </c>
      <c r="G1403" s="11" t="s">
        <v>418</v>
      </c>
      <c r="H1403" s="11">
        <v>2010.0</v>
      </c>
      <c r="I1403" s="40">
        <v>1633.0</v>
      </c>
      <c r="J1403" s="71" t="s">
        <v>188</v>
      </c>
      <c r="K1403" s="71" t="s">
        <v>188</v>
      </c>
      <c r="L1403" s="29" t="s">
        <v>260</v>
      </c>
      <c r="M1403" s="39" t="s">
        <v>252</v>
      </c>
      <c r="N1403" s="11" t="s">
        <v>258</v>
      </c>
    </row>
    <row r="1404">
      <c r="A1404" s="11" t="s">
        <v>166</v>
      </c>
      <c r="B1404" s="11" t="s">
        <v>20</v>
      </c>
      <c r="C1404" s="11" t="s">
        <v>1394</v>
      </c>
      <c r="D1404" s="11" t="s">
        <v>248</v>
      </c>
      <c r="E1404" s="25" t="s">
        <v>1395</v>
      </c>
      <c r="F1404" s="11" t="s">
        <v>1364</v>
      </c>
      <c r="G1404" s="11" t="s">
        <v>418</v>
      </c>
      <c r="H1404" s="11">
        <v>2011.0</v>
      </c>
      <c r="I1404" s="40">
        <v>1837.0</v>
      </c>
      <c r="J1404" s="71" t="s">
        <v>188</v>
      </c>
      <c r="K1404" s="71" t="s">
        <v>188</v>
      </c>
      <c r="L1404" s="29" t="s">
        <v>260</v>
      </c>
      <c r="M1404" s="39" t="s">
        <v>252</v>
      </c>
      <c r="N1404" s="11" t="s">
        <v>258</v>
      </c>
    </row>
    <row r="1405">
      <c r="A1405" s="11" t="s">
        <v>166</v>
      </c>
      <c r="B1405" s="11" t="s">
        <v>20</v>
      </c>
      <c r="C1405" s="11" t="s">
        <v>1394</v>
      </c>
      <c r="D1405" s="11" t="s">
        <v>248</v>
      </c>
      <c r="E1405" s="25" t="s">
        <v>1395</v>
      </c>
      <c r="F1405" s="11" t="s">
        <v>1364</v>
      </c>
      <c r="G1405" s="11" t="s">
        <v>418</v>
      </c>
      <c r="H1405" s="11">
        <v>2013.0</v>
      </c>
      <c r="I1405" s="40">
        <v>1480.0</v>
      </c>
      <c r="J1405" s="71" t="s">
        <v>188</v>
      </c>
      <c r="K1405" s="71" t="s">
        <v>188</v>
      </c>
      <c r="L1405" s="29" t="s">
        <v>260</v>
      </c>
      <c r="M1405" s="39" t="s">
        <v>252</v>
      </c>
      <c r="N1405" s="11" t="s">
        <v>258</v>
      </c>
    </row>
    <row r="1406">
      <c r="A1406" s="11" t="s">
        <v>166</v>
      </c>
      <c r="B1406" s="11" t="s">
        <v>20</v>
      </c>
      <c r="C1406" s="11" t="s">
        <v>1394</v>
      </c>
      <c r="D1406" s="11" t="s">
        <v>248</v>
      </c>
      <c r="E1406" s="25" t="s">
        <v>1395</v>
      </c>
      <c r="F1406" s="11" t="s">
        <v>1364</v>
      </c>
      <c r="G1406" s="11" t="s">
        <v>418</v>
      </c>
      <c r="H1406" s="11">
        <v>2014.0</v>
      </c>
      <c r="I1406" s="40">
        <v>2194.0</v>
      </c>
      <c r="J1406" s="71" t="s">
        <v>188</v>
      </c>
      <c r="K1406" s="71" t="s">
        <v>188</v>
      </c>
      <c r="L1406" s="29" t="s">
        <v>260</v>
      </c>
      <c r="M1406" s="39" t="s">
        <v>252</v>
      </c>
      <c r="N1406" s="11" t="s">
        <v>258</v>
      </c>
    </row>
    <row r="1407">
      <c r="A1407" s="11" t="s">
        <v>166</v>
      </c>
      <c r="B1407" s="11" t="s">
        <v>20</v>
      </c>
      <c r="C1407" s="11" t="s">
        <v>1423</v>
      </c>
      <c r="D1407" s="11" t="s">
        <v>248</v>
      </c>
      <c r="E1407" s="25" t="s">
        <v>1424</v>
      </c>
      <c r="F1407" s="11" t="s">
        <v>1364</v>
      </c>
      <c r="G1407" s="11" t="s">
        <v>418</v>
      </c>
      <c r="H1407" s="11">
        <v>1990.0</v>
      </c>
      <c r="I1407" s="40">
        <v>1837.0</v>
      </c>
      <c r="J1407" s="71" t="s">
        <v>188</v>
      </c>
      <c r="K1407" s="71" t="s">
        <v>188</v>
      </c>
      <c r="L1407" s="29" t="s">
        <v>260</v>
      </c>
      <c r="M1407" s="39" t="s">
        <v>252</v>
      </c>
      <c r="N1407" s="11" t="s">
        <v>258</v>
      </c>
    </row>
    <row r="1408">
      <c r="A1408" s="11" t="s">
        <v>166</v>
      </c>
      <c r="B1408" s="11" t="s">
        <v>20</v>
      </c>
      <c r="C1408" s="11" t="s">
        <v>1423</v>
      </c>
      <c r="D1408" s="11" t="s">
        <v>248</v>
      </c>
      <c r="E1408" s="25" t="s">
        <v>1424</v>
      </c>
      <c r="F1408" s="11" t="s">
        <v>1364</v>
      </c>
      <c r="G1408" s="11" t="s">
        <v>418</v>
      </c>
      <c r="H1408" s="11">
        <v>1991.0</v>
      </c>
      <c r="I1408" s="40">
        <v>1837.0</v>
      </c>
      <c r="J1408" s="71" t="s">
        <v>188</v>
      </c>
      <c r="K1408" s="71" t="s">
        <v>188</v>
      </c>
      <c r="L1408" s="29" t="s">
        <v>260</v>
      </c>
      <c r="M1408" s="39" t="s">
        <v>252</v>
      </c>
      <c r="N1408" s="11" t="s">
        <v>258</v>
      </c>
    </row>
    <row r="1409">
      <c r="A1409" s="11" t="s">
        <v>166</v>
      </c>
      <c r="B1409" s="11" t="s">
        <v>20</v>
      </c>
      <c r="C1409" s="11" t="s">
        <v>1423</v>
      </c>
      <c r="D1409" s="11" t="s">
        <v>248</v>
      </c>
      <c r="E1409" s="25" t="s">
        <v>1424</v>
      </c>
      <c r="F1409" s="11" t="s">
        <v>1364</v>
      </c>
      <c r="G1409" s="11" t="s">
        <v>418</v>
      </c>
      <c r="H1409" s="11">
        <v>1992.0</v>
      </c>
      <c r="I1409" s="40">
        <v>1633.0</v>
      </c>
      <c r="J1409" s="71" t="s">
        <v>188</v>
      </c>
      <c r="K1409" s="71" t="s">
        <v>188</v>
      </c>
      <c r="L1409" s="29" t="s">
        <v>260</v>
      </c>
      <c r="M1409" s="39" t="s">
        <v>252</v>
      </c>
      <c r="N1409" s="11" t="s">
        <v>258</v>
      </c>
    </row>
    <row r="1410">
      <c r="A1410" s="11" t="s">
        <v>166</v>
      </c>
      <c r="B1410" s="11" t="s">
        <v>20</v>
      </c>
      <c r="C1410" s="11" t="s">
        <v>1423</v>
      </c>
      <c r="D1410" s="11" t="s">
        <v>248</v>
      </c>
      <c r="E1410" s="25" t="s">
        <v>1424</v>
      </c>
      <c r="F1410" s="11" t="s">
        <v>1364</v>
      </c>
      <c r="G1410" s="11" t="s">
        <v>418</v>
      </c>
      <c r="H1410" s="11">
        <v>1993.0</v>
      </c>
      <c r="I1410" s="40">
        <v>1429.0</v>
      </c>
      <c r="J1410" s="71" t="s">
        <v>188</v>
      </c>
      <c r="K1410" s="71" t="s">
        <v>188</v>
      </c>
      <c r="L1410" s="29" t="s">
        <v>260</v>
      </c>
      <c r="M1410" s="39" t="s">
        <v>252</v>
      </c>
      <c r="N1410" s="11" t="s">
        <v>258</v>
      </c>
    </row>
    <row r="1411">
      <c r="A1411" s="11" t="s">
        <v>166</v>
      </c>
      <c r="B1411" s="11" t="s">
        <v>20</v>
      </c>
      <c r="C1411" s="11" t="s">
        <v>1423</v>
      </c>
      <c r="D1411" s="11" t="s">
        <v>248</v>
      </c>
      <c r="E1411" s="25" t="s">
        <v>1424</v>
      </c>
      <c r="F1411" s="11" t="s">
        <v>1364</v>
      </c>
      <c r="G1411" s="11" t="s">
        <v>418</v>
      </c>
      <c r="H1411" s="11">
        <v>1994.0</v>
      </c>
      <c r="I1411" s="40">
        <v>1633.0</v>
      </c>
      <c r="J1411" s="71" t="s">
        <v>188</v>
      </c>
      <c r="K1411" s="71" t="s">
        <v>188</v>
      </c>
      <c r="L1411" s="29" t="s">
        <v>260</v>
      </c>
      <c r="M1411" s="39" t="s">
        <v>252</v>
      </c>
      <c r="N1411" s="11" t="s">
        <v>258</v>
      </c>
    </row>
    <row r="1412">
      <c r="A1412" s="11" t="s">
        <v>166</v>
      </c>
      <c r="B1412" s="11" t="s">
        <v>20</v>
      </c>
      <c r="C1412" s="11" t="s">
        <v>1423</v>
      </c>
      <c r="D1412" s="11" t="s">
        <v>248</v>
      </c>
      <c r="E1412" s="25" t="s">
        <v>1424</v>
      </c>
      <c r="F1412" s="11" t="s">
        <v>1364</v>
      </c>
      <c r="G1412" s="11" t="s">
        <v>418</v>
      </c>
      <c r="H1412" s="11">
        <v>1995.0</v>
      </c>
      <c r="I1412" s="40">
        <v>1837.0</v>
      </c>
      <c r="J1412" s="71" t="s">
        <v>188</v>
      </c>
      <c r="K1412" s="71" t="s">
        <v>188</v>
      </c>
      <c r="L1412" s="29" t="s">
        <v>260</v>
      </c>
      <c r="M1412" s="39" t="s">
        <v>252</v>
      </c>
      <c r="N1412" s="11" t="s">
        <v>258</v>
      </c>
    </row>
    <row r="1413">
      <c r="A1413" s="11" t="s">
        <v>166</v>
      </c>
      <c r="B1413" s="11" t="s">
        <v>20</v>
      </c>
      <c r="C1413" s="11" t="s">
        <v>1423</v>
      </c>
      <c r="D1413" s="11" t="s">
        <v>248</v>
      </c>
      <c r="E1413" s="25" t="s">
        <v>1424</v>
      </c>
      <c r="F1413" s="11" t="s">
        <v>1364</v>
      </c>
      <c r="G1413" s="11" t="s">
        <v>418</v>
      </c>
      <c r="H1413" s="11">
        <v>1996.0</v>
      </c>
      <c r="I1413" s="40">
        <v>2245.0</v>
      </c>
      <c r="J1413" s="71" t="s">
        <v>188</v>
      </c>
      <c r="K1413" s="71" t="s">
        <v>188</v>
      </c>
      <c r="L1413" s="29" t="s">
        <v>260</v>
      </c>
      <c r="M1413" s="39" t="s">
        <v>252</v>
      </c>
      <c r="N1413" s="11" t="s">
        <v>258</v>
      </c>
    </row>
    <row r="1414">
      <c r="A1414" s="11" t="s">
        <v>166</v>
      </c>
      <c r="B1414" s="11" t="s">
        <v>20</v>
      </c>
      <c r="C1414" s="11" t="s">
        <v>1423</v>
      </c>
      <c r="D1414" s="11" t="s">
        <v>248</v>
      </c>
      <c r="E1414" s="25" t="s">
        <v>1424</v>
      </c>
      <c r="F1414" s="11" t="s">
        <v>1364</v>
      </c>
      <c r="G1414" s="11" t="s">
        <v>418</v>
      </c>
      <c r="H1414" s="11">
        <v>1997.0</v>
      </c>
      <c r="I1414" s="40">
        <v>2041.0</v>
      </c>
      <c r="J1414" s="71" t="s">
        <v>188</v>
      </c>
      <c r="K1414" s="71" t="s">
        <v>188</v>
      </c>
      <c r="L1414" s="29" t="s">
        <v>260</v>
      </c>
      <c r="M1414" s="39" t="s">
        <v>252</v>
      </c>
      <c r="N1414" s="11" t="s">
        <v>258</v>
      </c>
    </row>
    <row r="1415">
      <c r="A1415" s="11" t="s">
        <v>166</v>
      </c>
      <c r="B1415" s="11" t="s">
        <v>20</v>
      </c>
      <c r="C1415" s="11" t="s">
        <v>1423</v>
      </c>
      <c r="D1415" s="11" t="s">
        <v>248</v>
      </c>
      <c r="E1415" s="25" t="s">
        <v>1424</v>
      </c>
      <c r="F1415" s="11" t="s">
        <v>1364</v>
      </c>
      <c r="G1415" s="11" t="s">
        <v>418</v>
      </c>
      <c r="H1415" s="11">
        <v>1998.0</v>
      </c>
      <c r="I1415" s="40">
        <v>1429.0</v>
      </c>
      <c r="J1415" s="71" t="s">
        <v>188</v>
      </c>
      <c r="K1415" s="71" t="s">
        <v>188</v>
      </c>
      <c r="L1415" s="29" t="s">
        <v>260</v>
      </c>
      <c r="M1415" s="39" t="s">
        <v>252</v>
      </c>
      <c r="N1415" s="11" t="s">
        <v>258</v>
      </c>
    </row>
    <row r="1416">
      <c r="A1416" s="11" t="s">
        <v>166</v>
      </c>
      <c r="B1416" s="11" t="s">
        <v>20</v>
      </c>
      <c r="C1416" s="11" t="s">
        <v>1423</v>
      </c>
      <c r="D1416" s="11" t="s">
        <v>248</v>
      </c>
      <c r="E1416" s="25" t="s">
        <v>1424</v>
      </c>
      <c r="F1416" s="11" t="s">
        <v>1364</v>
      </c>
      <c r="G1416" s="11" t="s">
        <v>418</v>
      </c>
      <c r="H1416" s="11">
        <v>1999.0</v>
      </c>
      <c r="I1416" s="40">
        <v>2041.0</v>
      </c>
      <c r="J1416" s="71" t="s">
        <v>188</v>
      </c>
      <c r="K1416" s="71" t="s">
        <v>188</v>
      </c>
      <c r="L1416" s="29" t="s">
        <v>260</v>
      </c>
      <c r="M1416" s="39" t="s">
        <v>252</v>
      </c>
      <c r="N1416" s="11" t="s">
        <v>258</v>
      </c>
    </row>
    <row r="1417">
      <c r="A1417" s="11" t="s">
        <v>166</v>
      </c>
      <c r="B1417" s="11" t="s">
        <v>20</v>
      </c>
      <c r="C1417" s="11" t="s">
        <v>1423</v>
      </c>
      <c r="D1417" s="11" t="s">
        <v>248</v>
      </c>
      <c r="E1417" s="25" t="s">
        <v>1424</v>
      </c>
      <c r="F1417" s="11" t="s">
        <v>1364</v>
      </c>
      <c r="G1417" s="11" t="s">
        <v>418</v>
      </c>
      <c r="H1417" s="11">
        <v>2000.0</v>
      </c>
      <c r="I1417" s="40">
        <v>2245.0</v>
      </c>
      <c r="J1417" s="71" t="s">
        <v>188</v>
      </c>
      <c r="K1417" s="71" t="s">
        <v>188</v>
      </c>
      <c r="L1417" s="29" t="s">
        <v>260</v>
      </c>
      <c r="M1417" s="39" t="s">
        <v>252</v>
      </c>
      <c r="N1417" s="11" t="s">
        <v>258</v>
      </c>
    </row>
    <row r="1418">
      <c r="A1418" s="11" t="s">
        <v>166</v>
      </c>
      <c r="B1418" s="11" t="s">
        <v>20</v>
      </c>
      <c r="C1418" s="11" t="s">
        <v>1423</v>
      </c>
      <c r="D1418" s="11" t="s">
        <v>248</v>
      </c>
      <c r="E1418" s="25" t="s">
        <v>1424</v>
      </c>
      <c r="F1418" s="11" t="s">
        <v>1364</v>
      </c>
      <c r="G1418" s="11" t="s">
        <v>418</v>
      </c>
      <c r="H1418" s="11">
        <v>2001.0</v>
      </c>
      <c r="I1418" s="40">
        <v>2245.0</v>
      </c>
      <c r="J1418" s="71" t="s">
        <v>188</v>
      </c>
      <c r="K1418" s="71" t="s">
        <v>188</v>
      </c>
      <c r="L1418" s="29" t="s">
        <v>260</v>
      </c>
      <c r="M1418" s="39" t="s">
        <v>252</v>
      </c>
      <c r="N1418" s="11" t="s">
        <v>258</v>
      </c>
    </row>
    <row r="1419">
      <c r="A1419" s="11" t="s">
        <v>166</v>
      </c>
      <c r="B1419" s="11" t="s">
        <v>20</v>
      </c>
      <c r="C1419" s="11" t="s">
        <v>1423</v>
      </c>
      <c r="D1419" s="11" t="s">
        <v>248</v>
      </c>
      <c r="E1419" s="25" t="s">
        <v>1424</v>
      </c>
      <c r="F1419" s="11" t="s">
        <v>1364</v>
      </c>
      <c r="G1419" s="11" t="s">
        <v>418</v>
      </c>
      <c r="H1419" s="11">
        <v>2002.0</v>
      </c>
      <c r="I1419" s="40">
        <v>3265.0</v>
      </c>
      <c r="J1419" s="71" t="s">
        <v>188</v>
      </c>
      <c r="K1419" s="71" t="s">
        <v>188</v>
      </c>
      <c r="L1419" s="29" t="s">
        <v>260</v>
      </c>
      <c r="M1419" s="39" t="s">
        <v>252</v>
      </c>
      <c r="N1419" s="11" t="s">
        <v>258</v>
      </c>
    </row>
    <row r="1420">
      <c r="A1420" s="11" t="s">
        <v>166</v>
      </c>
      <c r="B1420" s="11" t="s">
        <v>20</v>
      </c>
      <c r="C1420" s="11" t="s">
        <v>1423</v>
      </c>
      <c r="D1420" s="11" t="s">
        <v>248</v>
      </c>
      <c r="E1420" s="25" t="s">
        <v>1424</v>
      </c>
      <c r="F1420" s="11" t="s">
        <v>1364</v>
      </c>
      <c r="G1420" s="11" t="s">
        <v>418</v>
      </c>
      <c r="H1420" s="11">
        <v>2003.0</v>
      </c>
      <c r="I1420" s="40">
        <v>2245.0</v>
      </c>
      <c r="J1420" s="71" t="s">
        <v>188</v>
      </c>
      <c r="K1420" s="71" t="s">
        <v>188</v>
      </c>
      <c r="L1420" s="29" t="s">
        <v>260</v>
      </c>
      <c r="M1420" s="39" t="s">
        <v>252</v>
      </c>
      <c r="N1420" s="11" t="s">
        <v>258</v>
      </c>
    </row>
    <row r="1421">
      <c r="A1421" s="11" t="s">
        <v>166</v>
      </c>
      <c r="B1421" s="11" t="s">
        <v>20</v>
      </c>
      <c r="C1421" s="11" t="s">
        <v>1423</v>
      </c>
      <c r="D1421" s="11" t="s">
        <v>248</v>
      </c>
      <c r="E1421" s="25" t="s">
        <v>1424</v>
      </c>
      <c r="F1421" s="11" t="s">
        <v>1364</v>
      </c>
      <c r="G1421" s="11" t="s">
        <v>418</v>
      </c>
      <c r="H1421" s="11">
        <v>2004.0</v>
      </c>
      <c r="I1421" s="40">
        <v>3061.0</v>
      </c>
      <c r="J1421" s="71" t="s">
        <v>188</v>
      </c>
      <c r="K1421" s="71" t="s">
        <v>188</v>
      </c>
      <c r="L1421" s="29" t="s">
        <v>260</v>
      </c>
      <c r="M1421" s="39" t="s">
        <v>252</v>
      </c>
      <c r="N1421" s="11" t="s">
        <v>258</v>
      </c>
    </row>
    <row r="1422">
      <c r="A1422" s="11" t="s">
        <v>166</v>
      </c>
      <c r="B1422" s="11" t="s">
        <v>20</v>
      </c>
      <c r="C1422" s="11" t="s">
        <v>1423</v>
      </c>
      <c r="D1422" s="11" t="s">
        <v>248</v>
      </c>
      <c r="E1422" s="25" t="s">
        <v>1424</v>
      </c>
      <c r="F1422" s="11" t="s">
        <v>1364</v>
      </c>
      <c r="G1422" s="11" t="s">
        <v>418</v>
      </c>
      <c r="H1422" s="11">
        <v>2005.0</v>
      </c>
      <c r="I1422" s="40">
        <v>2857.0</v>
      </c>
      <c r="J1422" s="71" t="s">
        <v>188</v>
      </c>
      <c r="K1422" s="71" t="s">
        <v>188</v>
      </c>
      <c r="L1422" s="29" t="s">
        <v>260</v>
      </c>
      <c r="M1422" s="39" t="s">
        <v>252</v>
      </c>
      <c r="N1422" s="11" t="s">
        <v>258</v>
      </c>
    </row>
    <row r="1423">
      <c r="A1423" s="11" t="s">
        <v>166</v>
      </c>
      <c r="B1423" s="11" t="s">
        <v>20</v>
      </c>
      <c r="C1423" s="11" t="s">
        <v>1423</v>
      </c>
      <c r="D1423" s="11" t="s">
        <v>248</v>
      </c>
      <c r="E1423" s="25" t="s">
        <v>1424</v>
      </c>
      <c r="F1423" s="11" t="s">
        <v>1364</v>
      </c>
      <c r="G1423" s="11" t="s">
        <v>418</v>
      </c>
      <c r="H1423" s="11">
        <v>2007.0</v>
      </c>
      <c r="I1423" s="40">
        <v>2653.0</v>
      </c>
      <c r="J1423" s="71" t="s">
        <v>188</v>
      </c>
      <c r="K1423" s="71" t="s">
        <v>188</v>
      </c>
      <c r="L1423" s="29" t="s">
        <v>260</v>
      </c>
      <c r="M1423" s="39" t="s">
        <v>252</v>
      </c>
      <c r="N1423" s="11" t="s">
        <v>258</v>
      </c>
    </row>
    <row r="1424">
      <c r="A1424" s="11" t="s">
        <v>166</v>
      </c>
      <c r="B1424" s="11" t="s">
        <v>20</v>
      </c>
      <c r="C1424" s="11" t="s">
        <v>1423</v>
      </c>
      <c r="D1424" s="11" t="s">
        <v>248</v>
      </c>
      <c r="E1424" s="25" t="s">
        <v>1424</v>
      </c>
      <c r="F1424" s="11" t="s">
        <v>1364</v>
      </c>
      <c r="G1424" s="11" t="s">
        <v>418</v>
      </c>
      <c r="H1424" s="11">
        <v>2009.0</v>
      </c>
      <c r="I1424" s="40">
        <v>2245.0</v>
      </c>
      <c r="J1424" s="71" t="s">
        <v>188</v>
      </c>
      <c r="K1424" s="71" t="s">
        <v>188</v>
      </c>
      <c r="L1424" s="29" t="s">
        <v>260</v>
      </c>
      <c r="M1424" s="39" t="s">
        <v>252</v>
      </c>
      <c r="N1424" s="11" t="s">
        <v>258</v>
      </c>
    </row>
    <row r="1425">
      <c r="A1425" s="11" t="s">
        <v>166</v>
      </c>
      <c r="B1425" s="11" t="s">
        <v>20</v>
      </c>
      <c r="C1425" s="11" t="s">
        <v>1423</v>
      </c>
      <c r="D1425" s="11" t="s">
        <v>248</v>
      </c>
      <c r="E1425" s="25" t="s">
        <v>1424</v>
      </c>
      <c r="F1425" s="11" t="s">
        <v>1364</v>
      </c>
      <c r="G1425" s="11" t="s">
        <v>418</v>
      </c>
      <c r="H1425" s="11">
        <v>2011.0</v>
      </c>
      <c r="I1425" s="40">
        <v>2041.0</v>
      </c>
      <c r="J1425" s="71" t="s">
        <v>188</v>
      </c>
      <c r="K1425" s="71" t="s">
        <v>188</v>
      </c>
      <c r="L1425" s="29" t="s">
        <v>260</v>
      </c>
      <c r="M1425" s="39" t="s">
        <v>252</v>
      </c>
      <c r="N1425" s="11" t="s">
        <v>258</v>
      </c>
    </row>
    <row r="1426">
      <c r="A1426" s="11" t="s">
        <v>166</v>
      </c>
      <c r="B1426" s="11" t="s">
        <v>20</v>
      </c>
      <c r="C1426" s="11" t="s">
        <v>1423</v>
      </c>
      <c r="D1426" s="11" t="s">
        <v>248</v>
      </c>
      <c r="E1426" s="25" t="s">
        <v>1424</v>
      </c>
      <c r="F1426" s="11" t="s">
        <v>1364</v>
      </c>
      <c r="G1426" s="11" t="s">
        <v>418</v>
      </c>
      <c r="H1426" s="11">
        <v>2012.0</v>
      </c>
      <c r="I1426" s="40">
        <v>2449.0</v>
      </c>
      <c r="J1426" s="71" t="s">
        <v>188</v>
      </c>
      <c r="K1426" s="71" t="s">
        <v>188</v>
      </c>
      <c r="L1426" s="29" t="s">
        <v>260</v>
      </c>
      <c r="M1426" s="39" t="s">
        <v>252</v>
      </c>
      <c r="N1426" s="11" t="s">
        <v>258</v>
      </c>
    </row>
    <row r="1427">
      <c r="A1427" s="11" t="s">
        <v>166</v>
      </c>
      <c r="B1427" s="11" t="s">
        <v>20</v>
      </c>
      <c r="C1427" s="11" t="s">
        <v>1423</v>
      </c>
      <c r="D1427" s="11" t="s">
        <v>248</v>
      </c>
      <c r="E1427" s="25" t="s">
        <v>1424</v>
      </c>
      <c r="F1427" s="11" t="s">
        <v>1364</v>
      </c>
      <c r="G1427" s="11" t="s">
        <v>418</v>
      </c>
      <c r="H1427" s="11">
        <v>2013.0</v>
      </c>
      <c r="I1427" s="40">
        <v>3265.0</v>
      </c>
      <c r="J1427" s="71" t="s">
        <v>188</v>
      </c>
      <c r="K1427" s="71" t="s">
        <v>188</v>
      </c>
      <c r="L1427" s="29" t="s">
        <v>260</v>
      </c>
      <c r="M1427" s="39" t="s">
        <v>252</v>
      </c>
      <c r="N1427" s="11" t="s">
        <v>258</v>
      </c>
    </row>
    <row r="1428">
      <c r="A1428" s="11" t="s">
        <v>166</v>
      </c>
      <c r="B1428" s="11" t="s">
        <v>20</v>
      </c>
      <c r="C1428" s="11" t="s">
        <v>1423</v>
      </c>
      <c r="D1428" s="11" t="s">
        <v>248</v>
      </c>
      <c r="E1428" s="25" t="s">
        <v>1424</v>
      </c>
      <c r="F1428" s="11" t="s">
        <v>1364</v>
      </c>
      <c r="G1428" s="11" t="s">
        <v>418</v>
      </c>
      <c r="H1428" s="11">
        <v>2016.0</v>
      </c>
      <c r="I1428" s="40">
        <v>3061.0</v>
      </c>
      <c r="J1428" s="71" t="s">
        <v>188</v>
      </c>
      <c r="K1428" s="71" t="s">
        <v>188</v>
      </c>
      <c r="L1428" s="29" t="s">
        <v>260</v>
      </c>
      <c r="M1428" s="39" t="s">
        <v>252</v>
      </c>
      <c r="N1428" s="11" t="s">
        <v>258</v>
      </c>
    </row>
    <row r="1429">
      <c r="A1429" s="11" t="s">
        <v>166</v>
      </c>
      <c r="B1429" s="11" t="s">
        <v>20</v>
      </c>
      <c r="C1429" s="11" t="s">
        <v>1423</v>
      </c>
      <c r="D1429" s="11" t="s">
        <v>248</v>
      </c>
      <c r="E1429" s="25" t="s">
        <v>1424</v>
      </c>
      <c r="F1429" s="11" t="s">
        <v>1364</v>
      </c>
      <c r="G1429" s="11" t="s">
        <v>418</v>
      </c>
      <c r="H1429" s="11">
        <v>2017.0</v>
      </c>
      <c r="I1429" s="40">
        <v>2857.0</v>
      </c>
      <c r="J1429" s="71" t="s">
        <v>188</v>
      </c>
      <c r="K1429" s="71" t="s">
        <v>188</v>
      </c>
      <c r="L1429" s="29" t="s">
        <v>260</v>
      </c>
      <c r="M1429" s="39" t="s">
        <v>252</v>
      </c>
      <c r="N1429" s="11" t="s">
        <v>258</v>
      </c>
    </row>
    <row r="1430">
      <c r="A1430" s="11" t="s">
        <v>166</v>
      </c>
      <c r="B1430" s="11" t="s">
        <v>20</v>
      </c>
      <c r="C1430" s="11" t="s">
        <v>1450</v>
      </c>
      <c r="D1430" s="11" t="s">
        <v>248</v>
      </c>
      <c r="E1430" s="25" t="s">
        <v>1451</v>
      </c>
      <c r="F1430" s="11" t="s">
        <v>1364</v>
      </c>
      <c r="G1430" s="11" t="s">
        <v>418</v>
      </c>
      <c r="H1430" s="11">
        <v>1987.0</v>
      </c>
      <c r="I1430" s="40">
        <v>2857.0</v>
      </c>
      <c r="J1430" s="71" t="s">
        <v>188</v>
      </c>
      <c r="K1430" s="71" t="s">
        <v>188</v>
      </c>
      <c r="L1430" s="29" t="s">
        <v>260</v>
      </c>
      <c r="M1430" s="39" t="s">
        <v>252</v>
      </c>
      <c r="N1430" s="11" t="s">
        <v>258</v>
      </c>
    </row>
    <row r="1431">
      <c r="A1431" s="11" t="s">
        <v>166</v>
      </c>
      <c r="B1431" s="11" t="s">
        <v>20</v>
      </c>
      <c r="C1431" s="11" t="s">
        <v>1450</v>
      </c>
      <c r="D1431" s="11" t="s">
        <v>248</v>
      </c>
      <c r="E1431" s="25" t="s">
        <v>1451</v>
      </c>
      <c r="F1431" s="11" t="s">
        <v>1364</v>
      </c>
      <c r="G1431" s="11" t="s">
        <v>418</v>
      </c>
      <c r="H1431" s="11">
        <v>1988.0</v>
      </c>
      <c r="I1431" s="40">
        <v>3061.0</v>
      </c>
      <c r="J1431" s="71" t="s">
        <v>188</v>
      </c>
      <c r="K1431" s="71" t="s">
        <v>188</v>
      </c>
      <c r="L1431" s="29" t="s">
        <v>260</v>
      </c>
      <c r="M1431" s="39" t="s">
        <v>252</v>
      </c>
      <c r="N1431" s="11" t="s">
        <v>258</v>
      </c>
    </row>
    <row r="1432">
      <c r="A1432" s="11" t="s">
        <v>166</v>
      </c>
      <c r="B1432" s="11" t="s">
        <v>20</v>
      </c>
      <c r="C1432" s="11" t="s">
        <v>1450</v>
      </c>
      <c r="D1432" s="11" t="s">
        <v>248</v>
      </c>
      <c r="E1432" s="25" t="s">
        <v>1451</v>
      </c>
      <c r="F1432" s="11" t="s">
        <v>1364</v>
      </c>
      <c r="G1432" s="11" t="s">
        <v>418</v>
      </c>
      <c r="H1432" s="11">
        <v>1989.0</v>
      </c>
      <c r="I1432" s="40">
        <v>2245.0</v>
      </c>
      <c r="J1432" s="71" t="s">
        <v>188</v>
      </c>
      <c r="K1432" s="71" t="s">
        <v>188</v>
      </c>
      <c r="L1432" s="29" t="s">
        <v>260</v>
      </c>
      <c r="M1432" s="39" t="s">
        <v>252</v>
      </c>
      <c r="N1432" s="11" t="s">
        <v>258</v>
      </c>
    </row>
    <row r="1433">
      <c r="A1433" s="11" t="s">
        <v>166</v>
      </c>
      <c r="B1433" s="11" t="s">
        <v>20</v>
      </c>
      <c r="C1433" s="11" t="s">
        <v>1450</v>
      </c>
      <c r="D1433" s="11" t="s">
        <v>248</v>
      </c>
      <c r="E1433" s="25" t="s">
        <v>1451</v>
      </c>
      <c r="F1433" s="11" t="s">
        <v>1364</v>
      </c>
      <c r="G1433" s="11" t="s">
        <v>418</v>
      </c>
      <c r="H1433" s="11">
        <v>1990.0</v>
      </c>
      <c r="I1433" s="40">
        <v>2653.0</v>
      </c>
      <c r="J1433" s="71" t="s">
        <v>188</v>
      </c>
      <c r="K1433" s="71" t="s">
        <v>188</v>
      </c>
      <c r="L1433" s="29" t="s">
        <v>260</v>
      </c>
      <c r="M1433" s="39" t="s">
        <v>252</v>
      </c>
      <c r="N1433" s="11" t="s">
        <v>258</v>
      </c>
    </row>
    <row r="1434">
      <c r="A1434" s="11" t="s">
        <v>166</v>
      </c>
      <c r="B1434" s="11" t="s">
        <v>20</v>
      </c>
      <c r="C1434" s="11" t="s">
        <v>1450</v>
      </c>
      <c r="D1434" s="11" t="s">
        <v>248</v>
      </c>
      <c r="E1434" s="25" t="s">
        <v>1451</v>
      </c>
      <c r="F1434" s="11" t="s">
        <v>1364</v>
      </c>
      <c r="G1434" s="11" t="s">
        <v>418</v>
      </c>
      <c r="H1434" s="11">
        <v>1991.0</v>
      </c>
      <c r="I1434" s="40">
        <v>3469.0</v>
      </c>
      <c r="J1434" s="71" t="s">
        <v>188</v>
      </c>
      <c r="K1434" s="71" t="s">
        <v>188</v>
      </c>
      <c r="L1434" s="29" t="s">
        <v>260</v>
      </c>
      <c r="M1434" s="39" t="s">
        <v>252</v>
      </c>
      <c r="N1434" s="11" t="s">
        <v>258</v>
      </c>
    </row>
    <row r="1435">
      <c r="A1435" s="11" t="s">
        <v>166</v>
      </c>
      <c r="B1435" s="11" t="s">
        <v>20</v>
      </c>
      <c r="C1435" s="11" t="s">
        <v>1450</v>
      </c>
      <c r="D1435" s="11" t="s">
        <v>248</v>
      </c>
      <c r="E1435" s="25" t="s">
        <v>1451</v>
      </c>
      <c r="F1435" s="11" t="s">
        <v>1364</v>
      </c>
      <c r="G1435" s="11" t="s">
        <v>418</v>
      </c>
      <c r="H1435" s="11">
        <v>1992.0</v>
      </c>
      <c r="I1435" s="40">
        <v>3673.0</v>
      </c>
      <c r="J1435" s="71" t="s">
        <v>188</v>
      </c>
      <c r="K1435" s="71" t="s">
        <v>188</v>
      </c>
      <c r="L1435" s="29" t="s">
        <v>260</v>
      </c>
      <c r="M1435" s="39" t="s">
        <v>252</v>
      </c>
      <c r="N1435" s="11" t="s">
        <v>258</v>
      </c>
    </row>
    <row r="1436">
      <c r="A1436" s="11" t="s">
        <v>166</v>
      </c>
      <c r="B1436" s="11" t="s">
        <v>20</v>
      </c>
      <c r="C1436" s="11" t="s">
        <v>1450</v>
      </c>
      <c r="D1436" s="11" t="s">
        <v>248</v>
      </c>
      <c r="E1436" s="25" t="s">
        <v>1451</v>
      </c>
      <c r="F1436" s="11" t="s">
        <v>1364</v>
      </c>
      <c r="G1436" s="11" t="s">
        <v>418</v>
      </c>
      <c r="H1436" s="11">
        <v>1993.0</v>
      </c>
      <c r="I1436" s="40">
        <v>3061.0</v>
      </c>
      <c r="J1436" s="71" t="s">
        <v>188</v>
      </c>
      <c r="K1436" s="71" t="s">
        <v>188</v>
      </c>
      <c r="L1436" s="29" t="s">
        <v>260</v>
      </c>
      <c r="M1436" s="39" t="s">
        <v>252</v>
      </c>
      <c r="N1436" s="11" t="s">
        <v>258</v>
      </c>
    </row>
    <row r="1437">
      <c r="A1437" s="11" t="s">
        <v>166</v>
      </c>
      <c r="B1437" s="11" t="s">
        <v>20</v>
      </c>
      <c r="C1437" s="11" t="s">
        <v>1450</v>
      </c>
      <c r="D1437" s="11" t="s">
        <v>248</v>
      </c>
      <c r="E1437" s="25" t="s">
        <v>1451</v>
      </c>
      <c r="F1437" s="11" t="s">
        <v>1364</v>
      </c>
      <c r="G1437" s="11" t="s">
        <v>418</v>
      </c>
      <c r="H1437" s="11">
        <v>1994.0</v>
      </c>
      <c r="I1437" s="40">
        <v>3469.0</v>
      </c>
      <c r="J1437" s="71" t="s">
        <v>188</v>
      </c>
      <c r="K1437" s="71" t="s">
        <v>188</v>
      </c>
      <c r="L1437" s="29" t="s">
        <v>260</v>
      </c>
      <c r="M1437" s="39" t="s">
        <v>252</v>
      </c>
      <c r="N1437" s="11" t="s">
        <v>258</v>
      </c>
    </row>
    <row r="1438">
      <c r="A1438" s="11" t="s">
        <v>166</v>
      </c>
      <c r="B1438" s="11" t="s">
        <v>20</v>
      </c>
      <c r="C1438" s="11" t="s">
        <v>1450</v>
      </c>
      <c r="D1438" s="11" t="s">
        <v>248</v>
      </c>
      <c r="E1438" s="25" t="s">
        <v>1451</v>
      </c>
      <c r="F1438" s="11" t="s">
        <v>1364</v>
      </c>
      <c r="G1438" s="11" t="s">
        <v>418</v>
      </c>
      <c r="H1438" s="11">
        <v>1995.0</v>
      </c>
      <c r="I1438" s="40">
        <v>3980.0</v>
      </c>
      <c r="J1438" s="71" t="s">
        <v>188</v>
      </c>
      <c r="K1438" s="71" t="s">
        <v>188</v>
      </c>
      <c r="L1438" s="29" t="s">
        <v>260</v>
      </c>
      <c r="M1438" s="39" t="s">
        <v>252</v>
      </c>
      <c r="N1438" s="11" t="s">
        <v>258</v>
      </c>
    </row>
    <row r="1439">
      <c r="A1439" s="11" t="s">
        <v>166</v>
      </c>
      <c r="B1439" s="11" t="s">
        <v>20</v>
      </c>
      <c r="C1439" s="11" t="s">
        <v>1450</v>
      </c>
      <c r="D1439" s="11" t="s">
        <v>248</v>
      </c>
      <c r="E1439" s="25" t="s">
        <v>1451</v>
      </c>
      <c r="F1439" s="11" t="s">
        <v>1364</v>
      </c>
      <c r="G1439" s="11" t="s">
        <v>418</v>
      </c>
      <c r="H1439" s="11">
        <v>1996.0</v>
      </c>
      <c r="I1439" s="40">
        <v>3469.0</v>
      </c>
      <c r="J1439" s="71" t="s">
        <v>188</v>
      </c>
      <c r="K1439" s="71" t="s">
        <v>188</v>
      </c>
      <c r="L1439" s="29" t="s">
        <v>260</v>
      </c>
      <c r="M1439" s="39" t="s">
        <v>252</v>
      </c>
      <c r="N1439" s="11" t="s">
        <v>258</v>
      </c>
    </row>
    <row r="1440">
      <c r="A1440" s="11" t="s">
        <v>166</v>
      </c>
      <c r="B1440" s="11" t="s">
        <v>20</v>
      </c>
      <c r="C1440" s="11" t="s">
        <v>1450</v>
      </c>
      <c r="D1440" s="11" t="s">
        <v>248</v>
      </c>
      <c r="E1440" s="25" t="s">
        <v>1451</v>
      </c>
      <c r="F1440" s="11" t="s">
        <v>1364</v>
      </c>
      <c r="G1440" s="11" t="s">
        <v>418</v>
      </c>
      <c r="H1440" s="11">
        <v>1997.0</v>
      </c>
      <c r="I1440" s="40">
        <v>4082.0</v>
      </c>
      <c r="J1440" s="71" t="s">
        <v>188</v>
      </c>
      <c r="K1440" s="71" t="s">
        <v>188</v>
      </c>
      <c r="L1440" s="29" t="s">
        <v>260</v>
      </c>
      <c r="M1440" s="39" t="s">
        <v>252</v>
      </c>
      <c r="N1440" s="11" t="s">
        <v>258</v>
      </c>
    </row>
    <row r="1441">
      <c r="A1441" s="11" t="s">
        <v>166</v>
      </c>
      <c r="B1441" s="11" t="s">
        <v>20</v>
      </c>
      <c r="C1441" s="11" t="s">
        <v>1450</v>
      </c>
      <c r="D1441" s="11" t="s">
        <v>248</v>
      </c>
      <c r="E1441" s="25" t="s">
        <v>1451</v>
      </c>
      <c r="F1441" s="11" t="s">
        <v>1364</v>
      </c>
      <c r="G1441" s="11" t="s">
        <v>418</v>
      </c>
      <c r="H1441" s="11">
        <v>1998.0</v>
      </c>
      <c r="I1441" s="40">
        <v>4286.0</v>
      </c>
      <c r="J1441" s="71" t="s">
        <v>188</v>
      </c>
      <c r="K1441" s="71" t="s">
        <v>188</v>
      </c>
      <c r="L1441" s="29" t="s">
        <v>260</v>
      </c>
      <c r="M1441" s="39" t="s">
        <v>252</v>
      </c>
      <c r="N1441" s="11" t="s">
        <v>258</v>
      </c>
    </row>
    <row r="1442">
      <c r="A1442" s="11" t="s">
        <v>166</v>
      </c>
      <c r="B1442" s="11" t="s">
        <v>20</v>
      </c>
      <c r="C1442" s="11" t="s">
        <v>1450</v>
      </c>
      <c r="D1442" s="11" t="s">
        <v>248</v>
      </c>
      <c r="E1442" s="25" t="s">
        <v>1451</v>
      </c>
      <c r="F1442" s="11" t="s">
        <v>1364</v>
      </c>
      <c r="G1442" s="11" t="s">
        <v>418</v>
      </c>
      <c r="H1442" s="11">
        <v>1999.0</v>
      </c>
      <c r="I1442" s="40">
        <v>3469.0</v>
      </c>
      <c r="J1442" s="71" t="s">
        <v>188</v>
      </c>
      <c r="K1442" s="71" t="s">
        <v>188</v>
      </c>
      <c r="L1442" s="29" t="s">
        <v>260</v>
      </c>
      <c r="M1442" s="39" t="s">
        <v>252</v>
      </c>
      <c r="N1442" s="11" t="s">
        <v>258</v>
      </c>
    </row>
    <row r="1443">
      <c r="A1443" s="11" t="s">
        <v>166</v>
      </c>
      <c r="B1443" s="11" t="s">
        <v>20</v>
      </c>
      <c r="C1443" s="11" t="s">
        <v>1450</v>
      </c>
      <c r="D1443" s="11" t="s">
        <v>248</v>
      </c>
      <c r="E1443" s="25" t="s">
        <v>1451</v>
      </c>
      <c r="F1443" s="11" t="s">
        <v>1364</v>
      </c>
      <c r="G1443" s="11" t="s">
        <v>418</v>
      </c>
      <c r="H1443" s="11">
        <v>2000.0</v>
      </c>
      <c r="I1443" s="40">
        <v>3061.0</v>
      </c>
      <c r="J1443" s="71" t="s">
        <v>188</v>
      </c>
      <c r="K1443" s="71" t="s">
        <v>188</v>
      </c>
      <c r="L1443" s="29" t="s">
        <v>260</v>
      </c>
      <c r="M1443" s="39" t="s">
        <v>252</v>
      </c>
      <c r="N1443" s="11" t="s">
        <v>258</v>
      </c>
    </row>
    <row r="1444">
      <c r="A1444" s="11" t="s">
        <v>166</v>
      </c>
      <c r="B1444" s="11" t="s">
        <v>20</v>
      </c>
      <c r="C1444" s="11" t="s">
        <v>1450</v>
      </c>
      <c r="D1444" s="11" t="s">
        <v>248</v>
      </c>
      <c r="E1444" s="25" t="s">
        <v>1451</v>
      </c>
      <c r="F1444" s="11" t="s">
        <v>1364</v>
      </c>
      <c r="G1444" s="11" t="s">
        <v>418</v>
      </c>
      <c r="H1444" s="11">
        <v>2001.0</v>
      </c>
      <c r="I1444" s="40">
        <v>4082.0</v>
      </c>
      <c r="J1444" s="71" t="s">
        <v>188</v>
      </c>
      <c r="K1444" s="71" t="s">
        <v>188</v>
      </c>
      <c r="L1444" s="29" t="s">
        <v>260</v>
      </c>
      <c r="M1444" s="39" t="s">
        <v>252</v>
      </c>
      <c r="N1444" s="11" t="s">
        <v>258</v>
      </c>
    </row>
    <row r="1445">
      <c r="A1445" s="11" t="s">
        <v>166</v>
      </c>
      <c r="B1445" s="11" t="s">
        <v>20</v>
      </c>
      <c r="C1445" s="11" t="s">
        <v>1450</v>
      </c>
      <c r="D1445" s="11" t="s">
        <v>248</v>
      </c>
      <c r="E1445" s="25" t="s">
        <v>1451</v>
      </c>
      <c r="F1445" s="11" t="s">
        <v>1364</v>
      </c>
      <c r="G1445" s="11" t="s">
        <v>418</v>
      </c>
      <c r="H1445" s="11">
        <v>2002.0</v>
      </c>
      <c r="I1445" s="40">
        <v>4286.0</v>
      </c>
      <c r="J1445" s="71" t="s">
        <v>188</v>
      </c>
      <c r="K1445" s="71" t="s">
        <v>188</v>
      </c>
      <c r="L1445" s="29" t="s">
        <v>260</v>
      </c>
      <c r="M1445" s="39" t="s">
        <v>252</v>
      </c>
      <c r="N1445" s="11" t="s">
        <v>258</v>
      </c>
    </row>
    <row r="1446">
      <c r="A1446" s="11" t="s">
        <v>166</v>
      </c>
      <c r="B1446" s="11" t="s">
        <v>20</v>
      </c>
      <c r="C1446" s="11" t="s">
        <v>1450</v>
      </c>
      <c r="D1446" s="11" t="s">
        <v>248</v>
      </c>
      <c r="E1446" s="25" t="s">
        <v>1451</v>
      </c>
      <c r="F1446" s="11" t="s">
        <v>1364</v>
      </c>
      <c r="G1446" s="11" t="s">
        <v>418</v>
      </c>
      <c r="H1446" s="11">
        <v>2003.0</v>
      </c>
      <c r="I1446" s="40">
        <v>5918.0</v>
      </c>
      <c r="J1446" s="71" t="s">
        <v>188</v>
      </c>
      <c r="K1446" s="71" t="s">
        <v>188</v>
      </c>
      <c r="L1446" s="29" t="s">
        <v>260</v>
      </c>
      <c r="M1446" s="39" t="s">
        <v>252</v>
      </c>
      <c r="N1446" s="11" t="s">
        <v>258</v>
      </c>
    </row>
    <row r="1447">
      <c r="A1447" s="11" t="s">
        <v>166</v>
      </c>
      <c r="B1447" s="11" t="s">
        <v>20</v>
      </c>
      <c r="C1447" s="11" t="s">
        <v>1450</v>
      </c>
      <c r="D1447" s="11" t="s">
        <v>248</v>
      </c>
      <c r="E1447" s="25" t="s">
        <v>1451</v>
      </c>
      <c r="F1447" s="11" t="s">
        <v>1364</v>
      </c>
      <c r="G1447" s="11" t="s">
        <v>418</v>
      </c>
      <c r="H1447" s="11">
        <v>2006.0</v>
      </c>
      <c r="I1447" s="40">
        <v>4694.0</v>
      </c>
      <c r="J1447" s="71" t="s">
        <v>188</v>
      </c>
      <c r="K1447" s="71" t="s">
        <v>188</v>
      </c>
      <c r="L1447" s="29" t="s">
        <v>260</v>
      </c>
      <c r="M1447" s="39" t="s">
        <v>252</v>
      </c>
      <c r="N1447" s="11" t="s">
        <v>258</v>
      </c>
    </row>
    <row r="1448">
      <c r="A1448" s="11" t="s">
        <v>166</v>
      </c>
      <c r="B1448" s="11" t="s">
        <v>20</v>
      </c>
      <c r="C1448" s="11" t="s">
        <v>1450</v>
      </c>
      <c r="D1448" s="11" t="s">
        <v>248</v>
      </c>
      <c r="E1448" s="25" t="s">
        <v>1451</v>
      </c>
      <c r="F1448" s="11" t="s">
        <v>1364</v>
      </c>
      <c r="G1448" s="11" t="s">
        <v>418</v>
      </c>
      <c r="H1448" s="11">
        <v>2008.0</v>
      </c>
      <c r="I1448" s="40">
        <v>4235.0</v>
      </c>
      <c r="J1448" s="71" t="s">
        <v>188</v>
      </c>
      <c r="K1448" s="71" t="s">
        <v>188</v>
      </c>
      <c r="L1448" s="29" t="s">
        <v>260</v>
      </c>
      <c r="M1448" s="39" t="s">
        <v>252</v>
      </c>
      <c r="N1448" s="11" t="s">
        <v>258</v>
      </c>
    </row>
    <row r="1449">
      <c r="A1449" s="11" t="s">
        <v>166</v>
      </c>
      <c r="B1449" s="11" t="s">
        <v>20</v>
      </c>
      <c r="C1449" s="11" t="s">
        <v>1450</v>
      </c>
      <c r="D1449" s="11" t="s">
        <v>248</v>
      </c>
      <c r="E1449" s="25" t="s">
        <v>1451</v>
      </c>
      <c r="F1449" s="11" t="s">
        <v>1364</v>
      </c>
      <c r="G1449" s="11" t="s">
        <v>418</v>
      </c>
      <c r="H1449" s="11">
        <v>2009.0</v>
      </c>
      <c r="I1449" s="40">
        <v>5051.0</v>
      </c>
      <c r="J1449" s="40">
        <v>3469.0</v>
      </c>
      <c r="K1449" s="11">
        <v>6939.0</v>
      </c>
      <c r="L1449" s="29" t="s">
        <v>260</v>
      </c>
      <c r="M1449" s="39" t="s">
        <v>252</v>
      </c>
      <c r="N1449" s="11" t="s">
        <v>258</v>
      </c>
    </row>
    <row r="1450">
      <c r="A1450" s="11" t="s">
        <v>166</v>
      </c>
      <c r="B1450" s="11" t="s">
        <v>20</v>
      </c>
      <c r="C1450" s="11" t="s">
        <v>1450</v>
      </c>
      <c r="D1450" s="11" t="s">
        <v>248</v>
      </c>
      <c r="E1450" s="25" t="s">
        <v>1451</v>
      </c>
      <c r="F1450" s="11" t="s">
        <v>1364</v>
      </c>
      <c r="G1450" s="11" t="s">
        <v>418</v>
      </c>
      <c r="H1450" s="11">
        <v>2012.0</v>
      </c>
      <c r="I1450" s="40">
        <v>5102.0</v>
      </c>
      <c r="J1450" s="40">
        <v>3469.0</v>
      </c>
      <c r="K1450" s="11">
        <v>7143.0</v>
      </c>
      <c r="L1450" s="29" t="s">
        <v>260</v>
      </c>
      <c r="M1450" s="39" t="s">
        <v>252</v>
      </c>
      <c r="N1450" s="11" t="s">
        <v>258</v>
      </c>
    </row>
    <row r="1451">
      <c r="A1451" s="11" t="s">
        <v>166</v>
      </c>
      <c r="B1451" s="11" t="s">
        <v>20</v>
      </c>
      <c r="C1451" s="11" t="s">
        <v>1450</v>
      </c>
      <c r="D1451" s="11" t="s">
        <v>248</v>
      </c>
      <c r="E1451" s="25" t="s">
        <v>1451</v>
      </c>
      <c r="F1451" s="11" t="s">
        <v>1364</v>
      </c>
      <c r="G1451" s="11" t="s">
        <v>418</v>
      </c>
      <c r="H1451" s="11">
        <v>2013.0</v>
      </c>
      <c r="I1451" s="40">
        <v>4898.0</v>
      </c>
      <c r="J1451" s="71" t="s">
        <v>188</v>
      </c>
      <c r="K1451" s="11">
        <v>5714.0</v>
      </c>
      <c r="L1451" s="29" t="s">
        <v>260</v>
      </c>
      <c r="M1451" s="39" t="s">
        <v>252</v>
      </c>
      <c r="N1451" s="11" t="s">
        <v>258</v>
      </c>
    </row>
    <row r="1452">
      <c r="A1452" s="11" t="s">
        <v>166</v>
      </c>
      <c r="B1452" s="11" t="s">
        <v>20</v>
      </c>
      <c r="C1452" s="11" t="s">
        <v>1450</v>
      </c>
      <c r="D1452" s="11" t="s">
        <v>248</v>
      </c>
      <c r="E1452" s="25" t="s">
        <v>1451</v>
      </c>
      <c r="F1452" s="11" t="s">
        <v>1364</v>
      </c>
      <c r="G1452" s="11" t="s">
        <v>418</v>
      </c>
      <c r="H1452" s="11">
        <v>2015.0</v>
      </c>
      <c r="I1452" s="40">
        <v>4898.0</v>
      </c>
      <c r="J1452" s="71" t="s">
        <v>188</v>
      </c>
      <c r="K1452" s="11">
        <v>5918.0</v>
      </c>
      <c r="L1452" s="29" t="s">
        <v>260</v>
      </c>
      <c r="M1452" s="39" t="s">
        <v>252</v>
      </c>
      <c r="N1452" s="11" t="s">
        <v>258</v>
      </c>
    </row>
    <row r="1453">
      <c r="A1453" s="11" t="s">
        <v>166</v>
      </c>
      <c r="B1453" s="11" t="s">
        <v>20</v>
      </c>
      <c r="C1453" s="11" t="s">
        <v>1450</v>
      </c>
      <c r="D1453" s="11" t="s">
        <v>248</v>
      </c>
      <c r="E1453" s="25" t="s">
        <v>1451</v>
      </c>
      <c r="F1453" s="11" t="s">
        <v>1364</v>
      </c>
      <c r="G1453" s="11" t="s">
        <v>418</v>
      </c>
      <c r="H1453" s="11">
        <v>2016.0</v>
      </c>
      <c r="I1453" s="40">
        <v>4694.0</v>
      </c>
      <c r="J1453" s="71" t="s">
        <v>188</v>
      </c>
      <c r="K1453" s="71" t="s">
        <v>188</v>
      </c>
      <c r="L1453" s="29" t="s">
        <v>260</v>
      </c>
      <c r="M1453" s="39" t="s">
        <v>252</v>
      </c>
      <c r="N1453" s="11" t="s">
        <v>258</v>
      </c>
    </row>
    <row r="1454">
      <c r="A1454" s="11" t="s">
        <v>166</v>
      </c>
      <c r="B1454" s="11" t="s">
        <v>20</v>
      </c>
      <c r="C1454" s="11" t="s">
        <v>1450</v>
      </c>
      <c r="D1454" s="11" t="s">
        <v>248</v>
      </c>
      <c r="E1454" s="25" t="s">
        <v>1451</v>
      </c>
      <c r="F1454" s="11" t="s">
        <v>1364</v>
      </c>
      <c r="G1454" s="11" t="s">
        <v>418</v>
      </c>
      <c r="H1454" s="11">
        <v>2017.0</v>
      </c>
      <c r="I1454" s="40">
        <v>5510.0</v>
      </c>
      <c r="J1454" s="71" t="s">
        <v>188</v>
      </c>
      <c r="K1454" s="71" t="s">
        <v>188</v>
      </c>
      <c r="L1454" s="29" t="s">
        <v>260</v>
      </c>
      <c r="M1454" s="39" t="s">
        <v>252</v>
      </c>
      <c r="N1454" s="11" t="s">
        <v>258</v>
      </c>
    </row>
    <row r="1455">
      <c r="A1455" s="11" t="s">
        <v>121</v>
      </c>
      <c r="B1455" s="11" t="s">
        <v>20</v>
      </c>
      <c r="C1455" s="11" t="s">
        <v>1466</v>
      </c>
      <c r="D1455" s="11" t="s">
        <v>248</v>
      </c>
      <c r="E1455" s="11" t="s">
        <v>1430</v>
      </c>
      <c r="F1455" s="11" t="s">
        <v>1077</v>
      </c>
      <c r="G1455" s="11" t="s">
        <v>555</v>
      </c>
      <c r="H1455" s="11">
        <v>1973.0</v>
      </c>
      <c r="I1455" s="40">
        <v>49215.0</v>
      </c>
      <c r="J1455" s="40">
        <v>36474.0</v>
      </c>
      <c r="K1455" s="11">
        <v>65310.0</v>
      </c>
      <c r="L1455" s="28" t="s">
        <v>81</v>
      </c>
      <c r="M1455" s="30" t="s">
        <v>261</v>
      </c>
      <c r="N1455" s="11" t="s">
        <v>264</v>
      </c>
      <c r="O1455" s="11"/>
    </row>
    <row r="1456">
      <c r="A1456" s="11" t="s">
        <v>121</v>
      </c>
      <c r="B1456" s="11" t="s">
        <v>20</v>
      </c>
      <c r="C1456" s="11" t="s">
        <v>1466</v>
      </c>
      <c r="D1456" s="11" t="s">
        <v>248</v>
      </c>
      <c r="E1456" s="11" t="s">
        <v>1430</v>
      </c>
      <c r="F1456" s="11" t="s">
        <v>1077</v>
      </c>
      <c r="G1456" s="11" t="s">
        <v>555</v>
      </c>
      <c r="H1456" s="11">
        <v>1974.0</v>
      </c>
      <c r="I1456" s="40">
        <v>48837.0</v>
      </c>
      <c r="J1456" s="40">
        <v>37356.0</v>
      </c>
      <c r="K1456" s="11">
        <v>62964.0</v>
      </c>
      <c r="L1456" s="28" t="s">
        <v>81</v>
      </c>
      <c r="M1456" s="30" t="s">
        <v>261</v>
      </c>
      <c r="N1456" s="11" t="s">
        <v>264</v>
      </c>
      <c r="O1456" s="11"/>
    </row>
    <row r="1457">
      <c r="A1457" s="11" t="s">
        <v>121</v>
      </c>
      <c r="B1457" s="11" t="s">
        <v>20</v>
      </c>
      <c r="C1457" s="11" t="s">
        <v>1466</v>
      </c>
      <c r="D1457" s="11" t="s">
        <v>248</v>
      </c>
      <c r="E1457" s="11" t="s">
        <v>1430</v>
      </c>
      <c r="F1457" s="11" t="s">
        <v>1077</v>
      </c>
      <c r="G1457" s="11" t="s">
        <v>555</v>
      </c>
      <c r="H1457" s="11">
        <v>1975.0</v>
      </c>
      <c r="I1457" s="40">
        <v>48846.0</v>
      </c>
      <c r="J1457" s="40">
        <v>38764.0</v>
      </c>
      <c r="K1457" s="11">
        <v>61104.0</v>
      </c>
      <c r="L1457" s="28" t="s">
        <v>81</v>
      </c>
      <c r="M1457" s="30" t="s">
        <v>261</v>
      </c>
      <c r="N1457" s="11" t="s">
        <v>264</v>
      </c>
      <c r="O1457" s="11"/>
    </row>
    <row r="1458">
      <c r="A1458" s="11" t="s">
        <v>121</v>
      </c>
      <c r="B1458" s="11" t="s">
        <v>20</v>
      </c>
      <c r="C1458" s="11" t="s">
        <v>1466</v>
      </c>
      <c r="D1458" s="11" t="s">
        <v>248</v>
      </c>
      <c r="E1458" s="11" t="s">
        <v>1430</v>
      </c>
      <c r="F1458" s="11" t="s">
        <v>1077</v>
      </c>
      <c r="G1458" s="11" t="s">
        <v>555</v>
      </c>
      <c r="H1458" s="11">
        <v>1976.0</v>
      </c>
      <c r="I1458" s="40">
        <v>49315.0</v>
      </c>
      <c r="J1458" s="40">
        <v>40164.0</v>
      </c>
      <c r="K1458" s="11">
        <v>60003.0</v>
      </c>
      <c r="L1458" s="28" t="s">
        <v>81</v>
      </c>
      <c r="M1458" s="30" t="s">
        <v>261</v>
      </c>
      <c r="N1458" s="11" t="s">
        <v>264</v>
      </c>
      <c r="O1458" s="11"/>
    </row>
    <row r="1459">
      <c r="A1459" s="11" t="s">
        <v>121</v>
      </c>
      <c r="B1459" s="11" t="s">
        <v>20</v>
      </c>
      <c r="C1459" s="11" t="s">
        <v>1466</v>
      </c>
      <c r="D1459" s="11" t="s">
        <v>248</v>
      </c>
      <c r="E1459" s="11" t="s">
        <v>1430</v>
      </c>
      <c r="F1459" s="11" t="s">
        <v>1077</v>
      </c>
      <c r="G1459" s="11" t="s">
        <v>555</v>
      </c>
      <c r="H1459" s="11">
        <v>1977.0</v>
      </c>
      <c r="I1459" s="40">
        <v>50095.0</v>
      </c>
      <c r="J1459" s="40">
        <v>41840.0</v>
      </c>
      <c r="K1459" s="11">
        <v>59535.0</v>
      </c>
      <c r="L1459" s="28" t="s">
        <v>81</v>
      </c>
      <c r="M1459" s="30" t="s">
        <v>261</v>
      </c>
      <c r="N1459" s="11" t="s">
        <v>264</v>
      </c>
      <c r="O1459" s="11"/>
    </row>
    <row r="1460">
      <c r="A1460" s="11" t="s">
        <v>121</v>
      </c>
      <c r="B1460" s="11" t="s">
        <v>20</v>
      </c>
      <c r="C1460" s="11" t="s">
        <v>1466</v>
      </c>
      <c r="D1460" s="11" t="s">
        <v>248</v>
      </c>
      <c r="E1460" s="11" t="s">
        <v>1430</v>
      </c>
      <c r="F1460" s="11" t="s">
        <v>1077</v>
      </c>
      <c r="G1460" s="11" t="s">
        <v>555</v>
      </c>
      <c r="H1460" s="11">
        <v>1978.0</v>
      </c>
      <c r="I1460" s="40">
        <v>50040.0</v>
      </c>
      <c r="J1460" s="40">
        <v>42907.0</v>
      </c>
      <c r="K1460" s="11">
        <v>58126.0</v>
      </c>
      <c r="L1460" s="28" t="s">
        <v>81</v>
      </c>
      <c r="M1460" s="30" t="s">
        <v>261</v>
      </c>
      <c r="N1460" s="11" t="s">
        <v>264</v>
      </c>
      <c r="O1460" s="11" t="s">
        <v>1475</v>
      </c>
    </row>
    <row r="1461">
      <c r="A1461" s="11" t="s">
        <v>121</v>
      </c>
      <c r="B1461" s="11" t="s">
        <v>20</v>
      </c>
      <c r="C1461" s="11" t="s">
        <v>1466</v>
      </c>
      <c r="D1461" s="11" t="s">
        <v>248</v>
      </c>
      <c r="E1461" s="11" t="s">
        <v>1430</v>
      </c>
      <c r="F1461" s="11" t="s">
        <v>1077</v>
      </c>
      <c r="G1461" s="11" t="s">
        <v>555</v>
      </c>
      <c r="H1461" s="11">
        <v>1979.0</v>
      </c>
      <c r="I1461" s="40">
        <v>52422.0</v>
      </c>
      <c r="J1461" s="40">
        <v>46386.0</v>
      </c>
      <c r="K1461" s="11">
        <v>59008.0</v>
      </c>
      <c r="L1461" s="29" t="s">
        <v>81</v>
      </c>
      <c r="M1461" s="30" t="s">
        <v>261</v>
      </c>
      <c r="N1461" s="11" t="s">
        <v>264</v>
      </c>
    </row>
    <row r="1462">
      <c r="A1462" s="11" t="s">
        <v>121</v>
      </c>
      <c r="B1462" s="11"/>
      <c r="C1462" s="11" t="s">
        <v>1466</v>
      </c>
      <c r="D1462" s="11" t="s">
        <v>248</v>
      </c>
      <c r="E1462" s="11" t="s">
        <v>1430</v>
      </c>
      <c r="F1462" s="11" t="s">
        <v>1077</v>
      </c>
      <c r="G1462" s="11" t="s">
        <v>555</v>
      </c>
      <c r="H1462" s="11">
        <v>1980.0</v>
      </c>
      <c r="I1462" s="40">
        <v>49644.0</v>
      </c>
      <c r="J1462" s="40">
        <v>45072.0</v>
      </c>
      <c r="K1462" s="11">
        <v>55173.0</v>
      </c>
      <c r="L1462" s="29" t="s">
        <v>81</v>
      </c>
      <c r="M1462" s="30" t="s">
        <v>261</v>
      </c>
      <c r="N1462" s="11" t="s">
        <v>264</v>
      </c>
    </row>
    <row r="1463">
      <c r="A1463" s="11" t="s">
        <v>121</v>
      </c>
      <c r="B1463" s="11"/>
      <c r="C1463" s="11" t="s">
        <v>1466</v>
      </c>
      <c r="D1463" s="11" t="s">
        <v>248</v>
      </c>
      <c r="E1463" s="11" t="s">
        <v>1430</v>
      </c>
      <c r="F1463" s="11" t="s">
        <v>1077</v>
      </c>
      <c r="G1463" s="11" t="s">
        <v>555</v>
      </c>
      <c r="H1463" s="11">
        <v>1981.0</v>
      </c>
      <c r="I1463" s="40">
        <v>48653.0</v>
      </c>
      <c r="J1463" s="40">
        <v>44767.0</v>
      </c>
      <c r="K1463" s="11">
        <v>52828.0</v>
      </c>
      <c r="L1463" s="29" t="s">
        <v>81</v>
      </c>
      <c r="M1463" s="30" t="s">
        <v>261</v>
      </c>
      <c r="N1463" s="11" t="s">
        <v>264</v>
      </c>
    </row>
    <row r="1464">
      <c r="A1464" s="11" t="s">
        <v>121</v>
      </c>
      <c r="B1464" s="11" t="s">
        <v>20</v>
      </c>
      <c r="C1464" s="11" t="s">
        <v>1466</v>
      </c>
      <c r="D1464" s="11" t="s">
        <v>248</v>
      </c>
      <c r="E1464" s="11" t="s">
        <v>1430</v>
      </c>
      <c r="F1464" s="11" t="s">
        <v>1077</v>
      </c>
      <c r="G1464" s="11" t="s">
        <v>555</v>
      </c>
      <c r="H1464" s="11">
        <v>1982.0</v>
      </c>
      <c r="I1464" s="40">
        <v>48259.0</v>
      </c>
      <c r="J1464" s="40">
        <v>44829.0</v>
      </c>
      <c r="K1464" s="11">
        <v>52063.0</v>
      </c>
      <c r="L1464" s="29" t="s">
        <v>81</v>
      </c>
      <c r="M1464" s="30" t="s">
        <v>261</v>
      </c>
      <c r="N1464" s="11" t="s">
        <v>264</v>
      </c>
    </row>
    <row r="1465">
      <c r="A1465" s="11" t="s">
        <v>121</v>
      </c>
      <c r="B1465" s="11"/>
      <c r="C1465" s="11" t="s">
        <v>1466</v>
      </c>
      <c r="D1465" s="11" t="s">
        <v>248</v>
      </c>
      <c r="E1465" s="11" t="s">
        <v>1430</v>
      </c>
      <c r="F1465" s="11" t="s">
        <v>1077</v>
      </c>
      <c r="G1465" s="11" t="s">
        <v>555</v>
      </c>
      <c r="H1465" s="11">
        <v>1983.0</v>
      </c>
      <c r="I1465" s="40">
        <v>45615.0</v>
      </c>
      <c r="J1465" s="40">
        <v>42421.0</v>
      </c>
      <c r="K1465" s="11">
        <v>48824.0</v>
      </c>
      <c r="L1465" s="29" t="s">
        <v>81</v>
      </c>
      <c r="M1465" s="30" t="s">
        <v>261</v>
      </c>
      <c r="N1465" s="11" t="s">
        <v>264</v>
      </c>
    </row>
    <row r="1466">
      <c r="A1466" s="11" t="s">
        <v>121</v>
      </c>
      <c r="B1466" s="11" t="s">
        <v>20</v>
      </c>
      <c r="C1466" s="11" t="s">
        <v>1466</v>
      </c>
      <c r="D1466" s="11" t="s">
        <v>248</v>
      </c>
      <c r="E1466" s="11" t="s">
        <v>1430</v>
      </c>
      <c r="F1466" s="11" t="s">
        <v>1077</v>
      </c>
      <c r="G1466" s="11" t="s">
        <v>555</v>
      </c>
      <c r="H1466" s="11">
        <v>1984.0</v>
      </c>
      <c r="I1466" s="40">
        <v>43521.0</v>
      </c>
      <c r="J1466" s="40">
        <v>40509.0</v>
      </c>
      <c r="K1466" s="11">
        <v>46560.0</v>
      </c>
      <c r="L1466" s="29" t="s">
        <v>81</v>
      </c>
      <c r="M1466" s="30" t="s">
        <v>261</v>
      </c>
      <c r="N1466" s="11" t="s">
        <v>264</v>
      </c>
    </row>
    <row r="1467">
      <c r="A1467" s="11" t="s">
        <v>121</v>
      </c>
      <c r="B1467" s="11" t="s">
        <v>20</v>
      </c>
      <c r="C1467" s="11" t="s">
        <v>1466</v>
      </c>
      <c r="D1467" s="11" t="s">
        <v>248</v>
      </c>
      <c r="E1467" s="11" t="s">
        <v>1430</v>
      </c>
      <c r="F1467" s="11" t="s">
        <v>1077</v>
      </c>
      <c r="G1467" s="11" t="s">
        <v>555</v>
      </c>
      <c r="H1467" s="11">
        <v>1985.0</v>
      </c>
      <c r="I1467" s="40">
        <v>40029.0</v>
      </c>
      <c r="J1467" s="40">
        <v>37553.0</v>
      </c>
      <c r="K1467" s="11">
        <v>42805.0</v>
      </c>
      <c r="L1467" s="29" t="s">
        <v>81</v>
      </c>
      <c r="M1467" s="30" t="s">
        <v>261</v>
      </c>
      <c r="N1467" s="11" t="s">
        <v>264</v>
      </c>
    </row>
    <row r="1468">
      <c r="A1468" s="11" t="s">
        <v>121</v>
      </c>
      <c r="B1468" s="11" t="s">
        <v>20</v>
      </c>
      <c r="C1468" s="11" t="s">
        <v>1466</v>
      </c>
      <c r="D1468" s="11" t="s">
        <v>248</v>
      </c>
      <c r="E1468" s="11" t="s">
        <v>1430</v>
      </c>
      <c r="F1468" s="11" t="s">
        <v>1077</v>
      </c>
      <c r="G1468" s="11" t="s">
        <v>555</v>
      </c>
      <c r="H1468" s="11">
        <v>1986.0</v>
      </c>
      <c r="I1468" s="40">
        <v>34190.0</v>
      </c>
      <c r="J1468" s="40">
        <v>32311.0</v>
      </c>
      <c r="K1468" s="11">
        <v>36455.0</v>
      </c>
      <c r="L1468" s="29" t="s">
        <v>81</v>
      </c>
      <c r="M1468" s="30" t="s">
        <v>261</v>
      </c>
      <c r="N1468" s="11" t="s">
        <v>264</v>
      </c>
    </row>
    <row r="1469">
      <c r="A1469" s="11" t="s">
        <v>121</v>
      </c>
      <c r="B1469" s="11"/>
      <c r="C1469" s="11" t="s">
        <v>1466</v>
      </c>
      <c r="D1469" s="11" t="s">
        <v>248</v>
      </c>
      <c r="E1469" s="11" t="s">
        <v>1430</v>
      </c>
      <c r="F1469" s="11" t="s">
        <v>1077</v>
      </c>
      <c r="G1469" s="11" t="s">
        <v>555</v>
      </c>
      <c r="H1469" s="11">
        <v>1987.0</v>
      </c>
      <c r="I1469" s="40">
        <v>28495.0</v>
      </c>
      <c r="J1469" s="40">
        <v>26810.0</v>
      </c>
      <c r="K1469" s="11">
        <v>30306.0</v>
      </c>
      <c r="L1469" s="29" t="s">
        <v>81</v>
      </c>
      <c r="M1469" s="30" t="s">
        <v>261</v>
      </c>
      <c r="N1469" s="11" t="s">
        <v>264</v>
      </c>
    </row>
    <row r="1470">
      <c r="A1470" s="11" t="s">
        <v>121</v>
      </c>
      <c r="B1470" s="11"/>
      <c r="C1470" s="11" t="s">
        <v>1466</v>
      </c>
      <c r="D1470" s="11" t="s">
        <v>248</v>
      </c>
      <c r="E1470" s="11" t="s">
        <v>1430</v>
      </c>
      <c r="F1470" s="11" t="s">
        <v>1077</v>
      </c>
      <c r="G1470" s="11" t="s">
        <v>555</v>
      </c>
      <c r="H1470" s="11">
        <v>1988.0</v>
      </c>
      <c r="I1470" s="40">
        <v>24168.0</v>
      </c>
      <c r="J1470" s="40">
        <v>22756.0</v>
      </c>
      <c r="K1470" s="11">
        <v>25787.0</v>
      </c>
      <c r="L1470" s="29" t="s">
        <v>81</v>
      </c>
      <c r="M1470" s="30" t="s">
        <v>261</v>
      </c>
      <c r="N1470" s="11" t="s">
        <v>264</v>
      </c>
    </row>
    <row r="1471">
      <c r="A1471" s="11" t="s">
        <v>121</v>
      </c>
      <c r="B1471" s="11" t="s">
        <v>20</v>
      </c>
      <c r="C1471" s="11" t="s">
        <v>1466</v>
      </c>
      <c r="D1471" s="11" t="s">
        <v>248</v>
      </c>
      <c r="E1471" s="11" t="s">
        <v>1430</v>
      </c>
      <c r="F1471" s="11" t="s">
        <v>1077</v>
      </c>
      <c r="G1471" s="11" t="s">
        <v>555</v>
      </c>
      <c r="H1471" s="11">
        <v>1989.0</v>
      </c>
      <c r="I1471" s="40">
        <v>20290.0</v>
      </c>
      <c r="J1471" s="40">
        <v>19107.0</v>
      </c>
      <c r="K1471" s="11">
        <v>21545.0</v>
      </c>
      <c r="L1471" s="29" t="s">
        <v>81</v>
      </c>
      <c r="M1471" s="30" t="s">
        <v>261</v>
      </c>
      <c r="N1471" s="11" t="s">
        <v>264</v>
      </c>
    </row>
    <row r="1472">
      <c r="A1472" s="11" t="s">
        <v>121</v>
      </c>
      <c r="B1472" s="11" t="s">
        <v>20</v>
      </c>
      <c r="C1472" s="11" t="s">
        <v>1466</v>
      </c>
      <c r="D1472" s="11" t="s">
        <v>248</v>
      </c>
      <c r="E1472" s="11" t="s">
        <v>1430</v>
      </c>
      <c r="F1472" s="11" t="s">
        <v>1077</v>
      </c>
      <c r="G1472" s="11" t="s">
        <v>555</v>
      </c>
      <c r="H1472" s="11">
        <v>1990.0</v>
      </c>
      <c r="I1472" s="40">
        <v>17571.0</v>
      </c>
      <c r="J1472" s="40">
        <v>16575.0</v>
      </c>
      <c r="K1472" s="11">
        <v>18859.0</v>
      </c>
      <c r="L1472" s="29" t="s">
        <v>81</v>
      </c>
      <c r="M1472" s="30" t="s">
        <v>261</v>
      </c>
      <c r="N1472" s="11" t="s">
        <v>264</v>
      </c>
    </row>
    <row r="1473">
      <c r="A1473" s="11" t="s">
        <v>121</v>
      </c>
      <c r="B1473" s="11" t="s">
        <v>20</v>
      </c>
      <c r="C1473" s="11" t="s">
        <v>1466</v>
      </c>
      <c r="D1473" s="11" t="s">
        <v>248</v>
      </c>
      <c r="E1473" s="11" t="s">
        <v>1430</v>
      </c>
      <c r="F1473" s="11" t="s">
        <v>1077</v>
      </c>
      <c r="G1473" s="11" t="s">
        <v>555</v>
      </c>
      <c r="H1473" s="11">
        <v>1991.0</v>
      </c>
      <c r="I1473" s="40">
        <v>16552.0</v>
      </c>
      <c r="J1473" s="40">
        <v>15508.0</v>
      </c>
      <c r="K1473" s="11">
        <v>17716.0</v>
      </c>
      <c r="L1473" s="29" t="s">
        <v>81</v>
      </c>
      <c r="M1473" s="30" t="s">
        <v>261</v>
      </c>
      <c r="N1473" s="11" t="s">
        <v>264</v>
      </c>
    </row>
    <row r="1474">
      <c r="A1474" s="11" t="s">
        <v>121</v>
      </c>
      <c r="B1474" s="11" t="s">
        <v>20</v>
      </c>
      <c r="C1474" s="11" t="s">
        <v>1466</v>
      </c>
      <c r="D1474" s="11" t="s">
        <v>248</v>
      </c>
      <c r="E1474" s="11" t="s">
        <v>1430</v>
      </c>
      <c r="F1474" s="11" t="s">
        <v>1077</v>
      </c>
      <c r="G1474" s="11" t="s">
        <v>555</v>
      </c>
      <c r="H1474" s="11">
        <v>1992.0</v>
      </c>
      <c r="I1474" s="40">
        <v>14678.0</v>
      </c>
      <c r="J1474" s="40">
        <v>13751.0</v>
      </c>
      <c r="K1474" s="11">
        <v>15697.0</v>
      </c>
      <c r="L1474" s="29" t="s">
        <v>81</v>
      </c>
      <c r="M1474" s="30" t="s">
        <v>261</v>
      </c>
      <c r="N1474" s="11" t="s">
        <v>264</v>
      </c>
    </row>
    <row r="1475">
      <c r="A1475" s="11" t="s">
        <v>121</v>
      </c>
      <c r="B1475" s="11" t="s">
        <v>20</v>
      </c>
      <c r="C1475" s="11" t="s">
        <v>1466</v>
      </c>
      <c r="D1475" s="11" t="s">
        <v>248</v>
      </c>
      <c r="E1475" s="11" t="s">
        <v>1430</v>
      </c>
      <c r="F1475" s="11" t="s">
        <v>1077</v>
      </c>
      <c r="G1475" s="11" t="s">
        <v>555</v>
      </c>
      <c r="H1475" s="11">
        <v>1993.0</v>
      </c>
      <c r="I1475" s="40">
        <v>13712.0</v>
      </c>
      <c r="J1475" s="40">
        <v>12948.0</v>
      </c>
      <c r="K1475" s="11">
        <v>14680.0</v>
      </c>
      <c r="L1475" s="29" t="s">
        <v>81</v>
      </c>
      <c r="M1475" s="30" t="s">
        <v>261</v>
      </c>
      <c r="N1475" s="11" t="s">
        <v>264</v>
      </c>
    </row>
    <row r="1476">
      <c r="A1476" s="11" t="s">
        <v>121</v>
      </c>
      <c r="B1476" s="11" t="s">
        <v>20</v>
      </c>
      <c r="C1476" s="11" t="s">
        <v>1466</v>
      </c>
      <c r="D1476" s="11" t="s">
        <v>248</v>
      </c>
      <c r="E1476" s="11" t="s">
        <v>1430</v>
      </c>
      <c r="F1476" s="11" t="s">
        <v>1077</v>
      </c>
      <c r="G1476" s="11" t="s">
        <v>555</v>
      </c>
      <c r="H1476" s="11">
        <v>1994.0</v>
      </c>
      <c r="I1476" s="40">
        <v>13057.0</v>
      </c>
      <c r="J1476" s="40">
        <v>12506.0</v>
      </c>
      <c r="K1476" s="11">
        <v>13725.0</v>
      </c>
      <c r="L1476" s="29" t="s">
        <v>81</v>
      </c>
      <c r="M1476" s="30" t="s">
        <v>261</v>
      </c>
      <c r="N1476" s="11" t="s">
        <v>264</v>
      </c>
    </row>
    <row r="1477">
      <c r="A1477" s="11" t="s">
        <v>121</v>
      </c>
      <c r="B1477" s="11" t="s">
        <v>20</v>
      </c>
      <c r="C1477" s="11" t="s">
        <v>1466</v>
      </c>
      <c r="D1477" s="11" t="s">
        <v>248</v>
      </c>
      <c r="E1477" s="11" t="s">
        <v>1430</v>
      </c>
      <c r="F1477" s="11" t="s">
        <v>1077</v>
      </c>
      <c r="G1477" s="11" t="s">
        <v>555</v>
      </c>
      <c r="H1477" s="11">
        <v>1995.0</v>
      </c>
      <c r="I1477" s="40">
        <v>12209.0</v>
      </c>
      <c r="J1477" s="40">
        <v>11510.0</v>
      </c>
      <c r="K1477" s="11">
        <v>12950.0</v>
      </c>
      <c r="L1477" s="29" t="s">
        <v>81</v>
      </c>
      <c r="M1477" s="30" t="s">
        <v>261</v>
      </c>
      <c r="N1477" s="11" t="s">
        <v>264</v>
      </c>
    </row>
    <row r="1478">
      <c r="A1478" s="11" t="s">
        <v>121</v>
      </c>
      <c r="B1478" s="11" t="s">
        <v>20</v>
      </c>
      <c r="C1478" s="11" t="s">
        <v>1466</v>
      </c>
      <c r="D1478" s="11" t="s">
        <v>248</v>
      </c>
      <c r="E1478" s="11" t="s">
        <v>1430</v>
      </c>
      <c r="F1478" s="11" t="s">
        <v>1077</v>
      </c>
      <c r="G1478" s="11" t="s">
        <v>555</v>
      </c>
      <c r="H1478" s="11">
        <v>1996.0</v>
      </c>
      <c r="I1478" s="40">
        <v>11550.0</v>
      </c>
      <c r="J1478" s="40">
        <v>10946.0</v>
      </c>
      <c r="K1478" s="11">
        <v>12167.0</v>
      </c>
      <c r="L1478" s="29" t="s">
        <v>81</v>
      </c>
      <c r="M1478" s="30" t="s">
        <v>261</v>
      </c>
      <c r="N1478" s="11" t="s">
        <v>264</v>
      </c>
    </row>
    <row r="1479">
      <c r="A1479" s="11" t="s">
        <v>121</v>
      </c>
      <c r="B1479" s="11" t="s">
        <v>20</v>
      </c>
      <c r="C1479" s="11" t="s">
        <v>1466</v>
      </c>
      <c r="D1479" s="11" t="s">
        <v>248</v>
      </c>
      <c r="E1479" s="11" t="s">
        <v>1430</v>
      </c>
      <c r="F1479" s="11" t="s">
        <v>1077</v>
      </c>
      <c r="G1479" s="11" t="s">
        <v>555</v>
      </c>
      <c r="H1479" s="11">
        <v>1997.0</v>
      </c>
      <c r="I1479" s="40">
        <v>11164.0</v>
      </c>
      <c r="J1479" s="40">
        <v>10676.0</v>
      </c>
      <c r="K1479" s="11">
        <v>11716.0</v>
      </c>
      <c r="L1479" s="29" t="s">
        <v>81</v>
      </c>
      <c r="M1479" s="30" t="s">
        <v>261</v>
      </c>
      <c r="N1479" s="11" t="s">
        <v>264</v>
      </c>
    </row>
    <row r="1480">
      <c r="A1480" s="11" t="s">
        <v>121</v>
      </c>
      <c r="B1480" s="11" t="s">
        <v>20</v>
      </c>
      <c r="C1480" s="11" t="s">
        <v>1466</v>
      </c>
      <c r="D1480" s="11" t="s">
        <v>248</v>
      </c>
      <c r="E1480" s="11" t="s">
        <v>1430</v>
      </c>
      <c r="F1480" s="11" t="s">
        <v>1077</v>
      </c>
      <c r="G1480" s="11" t="s">
        <v>555</v>
      </c>
      <c r="H1480" s="11">
        <v>1998.0</v>
      </c>
      <c r="I1480" s="40">
        <v>10225.0</v>
      </c>
      <c r="J1480" s="40">
        <v>9976.0</v>
      </c>
      <c r="K1480" s="11">
        <v>10574.0</v>
      </c>
      <c r="L1480" s="29" t="s">
        <v>81</v>
      </c>
      <c r="M1480" s="30" t="s">
        <v>261</v>
      </c>
      <c r="N1480" s="11" t="s">
        <v>264</v>
      </c>
    </row>
    <row r="1481">
      <c r="A1481" s="11" t="s">
        <v>121</v>
      </c>
      <c r="B1481" s="11" t="s">
        <v>20</v>
      </c>
      <c r="C1481" s="11" t="s">
        <v>1466</v>
      </c>
      <c r="D1481" s="11" t="s">
        <v>248</v>
      </c>
      <c r="E1481" s="11" t="s">
        <v>1430</v>
      </c>
      <c r="F1481" s="11" t="s">
        <v>1077</v>
      </c>
      <c r="G1481" s="11" t="s">
        <v>555</v>
      </c>
      <c r="H1481" s="11">
        <v>1999.0</v>
      </c>
      <c r="I1481" s="40">
        <v>10127.0</v>
      </c>
      <c r="J1481" s="40">
        <v>9631.0</v>
      </c>
      <c r="K1481" s="11">
        <v>10646.0</v>
      </c>
      <c r="L1481" s="29" t="s">
        <v>81</v>
      </c>
      <c r="M1481" s="30" t="s">
        <v>261</v>
      </c>
      <c r="N1481" s="11" t="s">
        <v>264</v>
      </c>
    </row>
    <row r="1482">
      <c r="A1482" s="11" t="s">
        <v>121</v>
      </c>
      <c r="B1482" s="11" t="s">
        <v>20</v>
      </c>
      <c r="C1482" s="11" t="s">
        <v>1466</v>
      </c>
      <c r="D1482" s="11" t="s">
        <v>248</v>
      </c>
      <c r="E1482" s="11" t="s">
        <v>1430</v>
      </c>
      <c r="F1482" s="11" t="s">
        <v>1077</v>
      </c>
      <c r="G1482" s="11" t="s">
        <v>555</v>
      </c>
      <c r="H1482" s="11">
        <v>2000.0</v>
      </c>
      <c r="I1482" s="40">
        <v>9866.0</v>
      </c>
      <c r="J1482" s="40">
        <v>9468.0</v>
      </c>
      <c r="K1482" s="11">
        <v>10269.0</v>
      </c>
      <c r="L1482" s="29" t="s">
        <v>81</v>
      </c>
      <c r="M1482" s="30" t="s">
        <v>261</v>
      </c>
      <c r="N1482" s="11" t="s">
        <v>264</v>
      </c>
    </row>
    <row r="1483">
      <c r="A1483" s="11" t="s">
        <v>121</v>
      </c>
      <c r="B1483" s="11" t="s">
        <v>20</v>
      </c>
      <c r="C1483" s="11" t="s">
        <v>1466</v>
      </c>
      <c r="D1483" s="11" t="s">
        <v>248</v>
      </c>
      <c r="E1483" s="11" t="s">
        <v>1430</v>
      </c>
      <c r="F1483" s="11" t="s">
        <v>1077</v>
      </c>
      <c r="G1483" s="11" t="s">
        <v>555</v>
      </c>
      <c r="H1483" s="11">
        <v>2001.0</v>
      </c>
      <c r="I1483" s="40">
        <v>9074.0</v>
      </c>
      <c r="J1483" s="40">
        <v>8903.0</v>
      </c>
      <c r="K1483" s="11">
        <v>9343.0</v>
      </c>
      <c r="L1483" s="29" t="s">
        <v>81</v>
      </c>
      <c r="M1483" s="30" t="s">
        <v>261</v>
      </c>
      <c r="N1483" s="11" t="s">
        <v>264</v>
      </c>
    </row>
    <row r="1484">
      <c r="A1484" s="11" t="s">
        <v>121</v>
      </c>
      <c r="B1484" s="11" t="s">
        <v>20</v>
      </c>
      <c r="C1484" s="11" t="s">
        <v>1466</v>
      </c>
      <c r="D1484" s="11" t="s">
        <v>248</v>
      </c>
      <c r="E1484" s="11" t="s">
        <v>1430</v>
      </c>
      <c r="F1484" s="11" t="s">
        <v>1077</v>
      </c>
      <c r="G1484" s="11" t="s">
        <v>555</v>
      </c>
      <c r="H1484" s="11">
        <v>2002.0</v>
      </c>
      <c r="I1484" s="40">
        <v>9516.0</v>
      </c>
      <c r="J1484" s="40">
        <v>9199.0</v>
      </c>
      <c r="K1484" s="11">
        <v>9849.0</v>
      </c>
      <c r="L1484" s="29" t="s">
        <v>81</v>
      </c>
      <c r="M1484" s="30" t="s">
        <v>261</v>
      </c>
      <c r="N1484" s="11" t="s">
        <v>264</v>
      </c>
    </row>
    <row r="1485">
      <c r="A1485" s="11" t="s">
        <v>121</v>
      </c>
      <c r="B1485" s="11" t="s">
        <v>20</v>
      </c>
      <c r="C1485" s="11" t="s">
        <v>1466</v>
      </c>
      <c r="D1485" s="11" t="s">
        <v>248</v>
      </c>
      <c r="E1485" s="11" t="s">
        <v>1430</v>
      </c>
      <c r="F1485" s="11" t="s">
        <v>1077</v>
      </c>
      <c r="G1485" s="11" t="s">
        <v>555</v>
      </c>
      <c r="H1485" s="11">
        <v>2003.0</v>
      </c>
      <c r="I1485" s="40">
        <v>9386.0</v>
      </c>
      <c r="J1485" s="40">
        <v>9058.0</v>
      </c>
      <c r="K1485" s="11">
        <v>9733.0</v>
      </c>
      <c r="L1485" s="29" t="s">
        <v>81</v>
      </c>
      <c r="M1485" s="30" t="s">
        <v>261</v>
      </c>
      <c r="N1485" s="11" t="s">
        <v>264</v>
      </c>
    </row>
    <row r="1486">
      <c r="A1486" s="11" t="s">
        <v>121</v>
      </c>
      <c r="B1486" s="11" t="s">
        <v>20</v>
      </c>
      <c r="C1486" s="11" t="s">
        <v>1466</v>
      </c>
      <c r="D1486" s="11" t="s">
        <v>248</v>
      </c>
      <c r="E1486" s="11" t="s">
        <v>1430</v>
      </c>
      <c r="F1486" s="11" t="s">
        <v>1077</v>
      </c>
      <c r="G1486" s="11" t="s">
        <v>555</v>
      </c>
      <c r="H1486" s="11">
        <v>2004.0</v>
      </c>
      <c r="I1486" s="40">
        <v>9704.0</v>
      </c>
      <c r="J1486" s="40">
        <v>9420.0</v>
      </c>
      <c r="K1486" s="11">
        <v>10017.0</v>
      </c>
      <c r="L1486" s="29" t="s">
        <v>81</v>
      </c>
      <c r="M1486" s="30" t="s">
        <v>261</v>
      </c>
      <c r="N1486" s="11" t="s">
        <v>264</v>
      </c>
    </row>
    <row r="1487">
      <c r="A1487" s="11" t="s">
        <v>121</v>
      </c>
      <c r="B1487" s="11" t="s">
        <v>20</v>
      </c>
      <c r="C1487" s="11" t="s">
        <v>1466</v>
      </c>
      <c r="D1487" s="11" t="s">
        <v>248</v>
      </c>
      <c r="E1487" s="11" t="s">
        <v>1430</v>
      </c>
      <c r="F1487" s="11" t="s">
        <v>1077</v>
      </c>
      <c r="G1487" s="11" t="s">
        <v>555</v>
      </c>
      <c r="H1487" s="11">
        <v>2005.0</v>
      </c>
      <c r="I1487" s="40">
        <v>10134.0</v>
      </c>
      <c r="J1487" s="40">
        <v>10018.0</v>
      </c>
      <c r="K1487" s="11">
        <v>10329.0</v>
      </c>
      <c r="L1487" s="29" t="s">
        <v>81</v>
      </c>
      <c r="M1487" s="30" t="s">
        <v>261</v>
      </c>
      <c r="N1487" s="11" t="s">
        <v>264</v>
      </c>
    </row>
    <row r="1488">
      <c r="A1488" s="11" t="s">
        <v>121</v>
      </c>
      <c r="B1488" s="11"/>
      <c r="C1488" s="11" t="s">
        <v>1466</v>
      </c>
      <c r="D1488" s="11" t="s">
        <v>248</v>
      </c>
      <c r="E1488" s="11" t="s">
        <v>1430</v>
      </c>
      <c r="F1488" s="11" t="s">
        <v>1077</v>
      </c>
      <c r="G1488" s="11" t="s">
        <v>555</v>
      </c>
      <c r="H1488" s="11">
        <v>2006.0</v>
      </c>
      <c r="I1488" s="40">
        <v>10372.0</v>
      </c>
      <c r="J1488" s="40">
        <v>9914.0</v>
      </c>
      <c r="K1488" s="11">
        <v>10859.0</v>
      </c>
      <c r="L1488" s="29" t="s">
        <v>81</v>
      </c>
      <c r="M1488" s="30" t="s">
        <v>261</v>
      </c>
      <c r="N1488" s="11" t="s">
        <v>264</v>
      </c>
    </row>
    <row r="1489">
      <c r="A1489" s="11" t="s">
        <v>121</v>
      </c>
      <c r="B1489" s="11" t="s">
        <v>20</v>
      </c>
      <c r="C1489" s="11" t="s">
        <v>1466</v>
      </c>
      <c r="D1489" s="11" t="s">
        <v>248</v>
      </c>
      <c r="E1489" s="11" t="s">
        <v>1430</v>
      </c>
      <c r="F1489" s="11" t="s">
        <v>1077</v>
      </c>
      <c r="G1489" s="11" t="s">
        <v>555</v>
      </c>
      <c r="H1489" s="11">
        <v>2007.0</v>
      </c>
      <c r="I1489" s="40">
        <v>10755.0</v>
      </c>
      <c r="J1489" s="40">
        <v>10289.0</v>
      </c>
      <c r="K1489" s="11">
        <v>11241.0</v>
      </c>
      <c r="L1489" s="29" t="s">
        <v>81</v>
      </c>
      <c r="M1489" s="30" t="s">
        <v>261</v>
      </c>
      <c r="N1489" s="11" t="s">
        <v>264</v>
      </c>
    </row>
    <row r="1490">
      <c r="A1490" s="11" t="s">
        <v>121</v>
      </c>
      <c r="B1490" s="11" t="s">
        <v>20</v>
      </c>
      <c r="C1490" s="11" t="s">
        <v>1466</v>
      </c>
      <c r="D1490" s="11" t="s">
        <v>248</v>
      </c>
      <c r="E1490" s="11" t="s">
        <v>1430</v>
      </c>
      <c r="F1490" s="11" t="s">
        <v>1077</v>
      </c>
      <c r="G1490" s="11" t="s">
        <v>555</v>
      </c>
      <c r="H1490" s="11">
        <v>2008.0</v>
      </c>
      <c r="I1490" s="40">
        <v>11186.0</v>
      </c>
      <c r="J1490" s="40">
        <v>10676.0</v>
      </c>
      <c r="K1490" s="11">
        <v>11680.0</v>
      </c>
      <c r="L1490" s="29" t="s">
        <v>81</v>
      </c>
      <c r="M1490" s="30" t="s">
        <v>261</v>
      </c>
      <c r="N1490" s="11" t="s">
        <v>264</v>
      </c>
    </row>
    <row r="1491">
      <c r="A1491" s="11" t="s">
        <v>121</v>
      </c>
      <c r="B1491" s="11" t="s">
        <v>20</v>
      </c>
      <c r="C1491" s="11" t="s">
        <v>1466</v>
      </c>
      <c r="D1491" s="11" t="s">
        <v>248</v>
      </c>
      <c r="E1491" s="11" t="s">
        <v>1430</v>
      </c>
      <c r="F1491" s="11" t="s">
        <v>1077</v>
      </c>
      <c r="G1491" s="11" t="s">
        <v>555</v>
      </c>
      <c r="H1491" s="11">
        <v>2009.0</v>
      </c>
      <c r="I1491" s="40">
        <v>11135.0</v>
      </c>
      <c r="J1491" s="40">
        <v>11060.0</v>
      </c>
      <c r="K1491" s="11">
        <v>11257.0</v>
      </c>
      <c r="L1491" s="29" t="s">
        <v>81</v>
      </c>
      <c r="M1491" s="30" t="s">
        <v>261</v>
      </c>
      <c r="N1491" s="11" t="s">
        <v>264</v>
      </c>
    </row>
    <row r="1492">
      <c r="A1492" s="11" t="s">
        <v>121</v>
      </c>
      <c r="B1492" s="11" t="s">
        <v>20</v>
      </c>
      <c r="C1492" s="11" t="s">
        <v>1466</v>
      </c>
      <c r="D1492" s="11" t="s">
        <v>248</v>
      </c>
      <c r="E1492" s="11" t="s">
        <v>1430</v>
      </c>
      <c r="F1492" s="11" t="s">
        <v>1077</v>
      </c>
      <c r="G1492" s="11" t="s">
        <v>555</v>
      </c>
      <c r="H1492" s="11">
        <v>2010.0</v>
      </c>
      <c r="I1492" s="40">
        <v>11418.0</v>
      </c>
      <c r="J1492" s="40">
        <v>11004.0</v>
      </c>
      <c r="K1492" s="11">
        <v>11848.0</v>
      </c>
      <c r="L1492" s="29" t="s">
        <v>81</v>
      </c>
      <c r="M1492" s="30" t="s">
        <v>261</v>
      </c>
      <c r="N1492" s="11" t="s">
        <v>264</v>
      </c>
    </row>
    <row r="1493">
      <c r="A1493" s="11" t="s">
        <v>121</v>
      </c>
      <c r="B1493" s="11" t="s">
        <v>20</v>
      </c>
      <c r="C1493" s="11" t="s">
        <v>1466</v>
      </c>
      <c r="D1493" s="11" t="s">
        <v>248</v>
      </c>
      <c r="E1493" s="11" t="s">
        <v>1430</v>
      </c>
      <c r="F1493" s="11" t="s">
        <v>1077</v>
      </c>
      <c r="G1493" s="11" t="s">
        <v>555</v>
      </c>
      <c r="H1493" s="11">
        <v>2011.0</v>
      </c>
      <c r="I1493" s="40">
        <v>11624.0</v>
      </c>
      <c r="J1493" s="40">
        <v>11519.0</v>
      </c>
      <c r="K1493" s="11">
        <v>11745.0</v>
      </c>
      <c r="L1493" s="29" t="s">
        <v>81</v>
      </c>
      <c r="M1493" s="30" t="s">
        <v>261</v>
      </c>
      <c r="N1493" s="11" t="s">
        <v>264</v>
      </c>
    </row>
    <row r="1494">
      <c r="A1494" s="11" t="s">
        <v>121</v>
      </c>
      <c r="B1494" s="11" t="s">
        <v>20</v>
      </c>
      <c r="C1494" s="11" t="s">
        <v>1466</v>
      </c>
      <c r="D1494" s="11" t="s">
        <v>248</v>
      </c>
      <c r="E1494" s="11" t="s">
        <v>1430</v>
      </c>
      <c r="F1494" s="11" t="s">
        <v>1077</v>
      </c>
      <c r="G1494" s="11" t="s">
        <v>555</v>
      </c>
      <c r="H1494" s="11">
        <v>2012.0</v>
      </c>
      <c r="I1494" s="40">
        <v>11611.0</v>
      </c>
      <c r="J1494" s="40">
        <v>11120.0</v>
      </c>
      <c r="K1494" s="11">
        <v>12099.0</v>
      </c>
      <c r="L1494" s="29" t="s">
        <v>81</v>
      </c>
      <c r="M1494" s="30" t="s">
        <v>261</v>
      </c>
      <c r="N1494" s="11" t="s">
        <v>264</v>
      </c>
    </row>
    <row r="1495">
      <c r="A1495" s="11" t="s">
        <v>121</v>
      </c>
      <c r="B1495" s="11" t="s">
        <v>20</v>
      </c>
      <c r="C1495" s="11" t="s">
        <v>1466</v>
      </c>
      <c r="D1495" s="11" t="s">
        <v>248</v>
      </c>
      <c r="E1495" s="11" t="s">
        <v>1430</v>
      </c>
      <c r="F1495" s="11" t="s">
        <v>1077</v>
      </c>
      <c r="G1495" s="11" t="s">
        <v>555</v>
      </c>
      <c r="H1495" s="11">
        <v>2013.0</v>
      </c>
      <c r="I1495" s="40">
        <v>11886.0</v>
      </c>
      <c r="J1495" s="40">
        <v>11604.0</v>
      </c>
      <c r="K1495" s="11">
        <v>12159.0</v>
      </c>
      <c r="L1495" s="29" t="s">
        <v>81</v>
      </c>
      <c r="M1495" s="30" t="s">
        <v>261</v>
      </c>
      <c r="N1495" s="11" t="s">
        <v>264</v>
      </c>
    </row>
    <row r="1496">
      <c r="A1496" s="11" t="s">
        <v>121</v>
      </c>
      <c r="B1496" s="11" t="s">
        <v>20</v>
      </c>
      <c r="C1496" s="11" t="s">
        <v>1466</v>
      </c>
      <c r="D1496" s="11" t="s">
        <v>248</v>
      </c>
      <c r="E1496" s="11" t="s">
        <v>1430</v>
      </c>
      <c r="F1496" s="11" t="s">
        <v>1077</v>
      </c>
      <c r="G1496" s="11" t="s">
        <v>555</v>
      </c>
      <c r="H1496" s="11">
        <v>2014.0</v>
      </c>
      <c r="I1496" s="40">
        <v>11422.0</v>
      </c>
      <c r="J1496" s="40">
        <v>11097.0</v>
      </c>
      <c r="K1496" s="11">
        <v>11742.0</v>
      </c>
      <c r="L1496" s="29" t="s">
        <v>81</v>
      </c>
      <c r="M1496" s="30" t="s">
        <v>261</v>
      </c>
      <c r="N1496" s="11" t="s">
        <v>264</v>
      </c>
    </row>
    <row r="1497">
      <c r="A1497" s="11" t="s">
        <v>121</v>
      </c>
      <c r="B1497" s="11" t="s">
        <v>20</v>
      </c>
      <c r="C1497" s="11" t="s">
        <v>1466</v>
      </c>
      <c r="D1497" s="11" t="s">
        <v>248</v>
      </c>
      <c r="E1497" s="11" t="s">
        <v>1430</v>
      </c>
      <c r="F1497" s="11" t="s">
        <v>1077</v>
      </c>
      <c r="G1497" s="11" t="s">
        <v>555</v>
      </c>
      <c r="H1497" s="11">
        <v>2015.0</v>
      </c>
      <c r="I1497" s="40">
        <v>11925.0</v>
      </c>
      <c r="J1497" s="40">
        <v>11579.0</v>
      </c>
      <c r="K1497" s="11">
        <v>12302.0</v>
      </c>
      <c r="L1497" s="29" t="s">
        <v>81</v>
      </c>
      <c r="M1497" s="30" t="s">
        <v>261</v>
      </c>
      <c r="N1497" s="11" t="s">
        <v>264</v>
      </c>
    </row>
    <row r="1498">
      <c r="A1498" s="11" t="s">
        <v>121</v>
      </c>
      <c r="B1498" s="11" t="s">
        <v>20</v>
      </c>
      <c r="C1498" s="11" t="s">
        <v>1466</v>
      </c>
      <c r="D1498" s="11" t="s">
        <v>248</v>
      </c>
      <c r="E1498" s="11" t="s">
        <v>1430</v>
      </c>
      <c r="F1498" s="11" t="s">
        <v>1077</v>
      </c>
      <c r="G1498" s="11" t="s">
        <v>555</v>
      </c>
      <c r="H1498" s="11">
        <v>2016.0</v>
      </c>
      <c r="I1498" s="40">
        <v>11781.0</v>
      </c>
      <c r="J1498" s="40">
        <v>11431.0</v>
      </c>
      <c r="K1498" s="11">
        <v>12129.0</v>
      </c>
      <c r="L1498" s="29" t="s">
        <v>81</v>
      </c>
      <c r="M1498" s="30" t="s">
        <v>261</v>
      </c>
      <c r="N1498" s="11" t="s">
        <v>264</v>
      </c>
    </row>
    <row r="1499">
      <c r="A1499" s="11" t="s">
        <v>121</v>
      </c>
      <c r="B1499" s="11" t="s">
        <v>20</v>
      </c>
      <c r="C1499" s="11" t="s">
        <v>1466</v>
      </c>
      <c r="D1499" s="11" t="s">
        <v>248</v>
      </c>
      <c r="E1499" s="11" t="s">
        <v>1430</v>
      </c>
      <c r="F1499" s="11" t="s">
        <v>1077</v>
      </c>
      <c r="G1499" s="11" t="s">
        <v>555</v>
      </c>
      <c r="H1499" s="11">
        <v>2017.0</v>
      </c>
      <c r="I1499" s="40">
        <v>11228.0</v>
      </c>
      <c r="J1499" s="40">
        <v>10929.0</v>
      </c>
      <c r="K1499" s="11">
        <v>11567.0</v>
      </c>
      <c r="L1499" s="29" t="s">
        <v>81</v>
      </c>
      <c r="M1499" s="30" t="s">
        <v>261</v>
      </c>
      <c r="N1499" s="11" t="s">
        <v>264</v>
      </c>
    </row>
    <row r="1500">
      <c r="A1500" s="11" t="s">
        <v>121</v>
      </c>
      <c r="B1500" s="11" t="s">
        <v>20</v>
      </c>
      <c r="C1500" s="11" t="s">
        <v>1466</v>
      </c>
      <c r="D1500" s="11" t="s">
        <v>248</v>
      </c>
      <c r="E1500" s="11" t="s">
        <v>1430</v>
      </c>
      <c r="F1500" s="11" t="s">
        <v>1077</v>
      </c>
      <c r="G1500" s="11" t="s">
        <v>555</v>
      </c>
      <c r="H1500" s="11">
        <v>2018.0</v>
      </c>
      <c r="I1500" s="40">
        <v>11667.0</v>
      </c>
      <c r="J1500" s="40">
        <v>11247.0</v>
      </c>
      <c r="K1500" s="11">
        <v>12079.0</v>
      </c>
      <c r="L1500" s="29" t="s">
        <v>81</v>
      </c>
      <c r="M1500" s="30" t="s">
        <v>261</v>
      </c>
      <c r="N1500" s="11" t="s">
        <v>264</v>
      </c>
    </row>
    <row r="1501">
      <c r="A1501" s="11" t="s">
        <v>121</v>
      </c>
      <c r="B1501" s="11" t="s">
        <v>20</v>
      </c>
      <c r="C1501" s="11" t="s">
        <v>1466</v>
      </c>
      <c r="D1501" s="11" t="s">
        <v>248</v>
      </c>
      <c r="E1501" s="11" t="s">
        <v>1430</v>
      </c>
      <c r="F1501" s="11" t="s">
        <v>1077</v>
      </c>
      <c r="G1501" s="11" t="s">
        <v>555</v>
      </c>
      <c r="H1501" s="11">
        <v>2019.0</v>
      </c>
      <c r="I1501" s="40">
        <v>12385.0</v>
      </c>
      <c r="J1501" s="40">
        <v>12102.0</v>
      </c>
      <c r="K1501" s="11">
        <v>12662.0</v>
      </c>
      <c r="L1501" s="29" t="s">
        <v>81</v>
      </c>
      <c r="M1501" s="30" t="s">
        <v>261</v>
      </c>
      <c r="N1501" s="11" t="s">
        <v>264</v>
      </c>
    </row>
    <row r="1502">
      <c r="A1502" s="11" t="s">
        <v>121</v>
      </c>
      <c r="B1502" s="11" t="s">
        <v>20</v>
      </c>
      <c r="C1502" s="11" t="s">
        <v>1466</v>
      </c>
      <c r="D1502" s="11" t="s">
        <v>248</v>
      </c>
      <c r="E1502" s="11" t="s">
        <v>1430</v>
      </c>
      <c r="F1502" s="11" t="s">
        <v>1077</v>
      </c>
      <c r="G1502" s="11" t="s">
        <v>418</v>
      </c>
      <c r="H1502" s="11">
        <v>1978.0</v>
      </c>
      <c r="I1502" s="40">
        <v>173403.0</v>
      </c>
      <c r="J1502" s="40">
        <v>156338.0</v>
      </c>
      <c r="K1502" s="11">
        <v>194351.0</v>
      </c>
      <c r="L1502" s="28" t="s">
        <v>81</v>
      </c>
      <c r="M1502" s="30" t="s">
        <v>261</v>
      </c>
      <c r="N1502" s="11" t="s">
        <v>264</v>
      </c>
    </row>
    <row r="1503">
      <c r="A1503" s="11" t="s">
        <v>121</v>
      </c>
      <c r="B1503" s="11" t="s">
        <v>20</v>
      </c>
      <c r="C1503" s="11" t="s">
        <v>1466</v>
      </c>
      <c r="D1503" s="11" t="s">
        <v>248</v>
      </c>
      <c r="E1503" s="11" t="s">
        <v>1430</v>
      </c>
      <c r="F1503" s="11" t="s">
        <v>1077</v>
      </c>
      <c r="G1503" s="11" t="s">
        <v>418</v>
      </c>
      <c r="H1503" s="11">
        <v>1979.0</v>
      </c>
      <c r="I1503" s="40">
        <v>165190.0</v>
      </c>
      <c r="J1503" s="40">
        <v>150128.0</v>
      </c>
      <c r="K1503" s="11">
        <v>181135.0</v>
      </c>
      <c r="L1503" s="29" t="s">
        <v>81</v>
      </c>
      <c r="M1503" s="30" t="s">
        <v>261</v>
      </c>
      <c r="N1503" s="11" t="s">
        <v>264</v>
      </c>
    </row>
    <row r="1504">
      <c r="A1504" s="11" t="s">
        <v>121</v>
      </c>
      <c r="B1504" s="11" t="s">
        <v>20</v>
      </c>
      <c r="C1504" s="11" t="s">
        <v>1466</v>
      </c>
      <c r="D1504" s="11" t="s">
        <v>248</v>
      </c>
      <c r="E1504" s="11" t="s">
        <v>1430</v>
      </c>
      <c r="F1504" s="11" t="s">
        <v>1077</v>
      </c>
      <c r="G1504" s="11" t="s">
        <v>418</v>
      </c>
      <c r="H1504" s="11">
        <v>1980.0</v>
      </c>
      <c r="I1504" s="40">
        <v>151428.0</v>
      </c>
      <c r="J1504" s="40">
        <v>138601.0</v>
      </c>
      <c r="K1504" s="11">
        <v>166042.0</v>
      </c>
      <c r="L1504" s="29" t="s">
        <v>81</v>
      </c>
      <c r="M1504" s="30" t="s">
        <v>261</v>
      </c>
      <c r="N1504" s="11" t="s">
        <v>264</v>
      </c>
    </row>
    <row r="1505">
      <c r="A1505" s="11" t="s">
        <v>121</v>
      </c>
      <c r="B1505" s="11" t="s">
        <v>20</v>
      </c>
      <c r="C1505" s="11" t="s">
        <v>1466</v>
      </c>
      <c r="D1505" s="11" t="s">
        <v>248</v>
      </c>
      <c r="E1505" s="11" t="s">
        <v>1430</v>
      </c>
      <c r="F1505" s="11" t="s">
        <v>1077</v>
      </c>
      <c r="G1505" s="11" t="s">
        <v>418</v>
      </c>
      <c r="H1505" s="11">
        <v>1981.0</v>
      </c>
      <c r="I1505" s="40">
        <v>143163.0</v>
      </c>
      <c r="J1505" s="40">
        <v>131771.0</v>
      </c>
      <c r="K1505" s="11">
        <v>155236.0</v>
      </c>
      <c r="L1505" s="29" t="s">
        <v>81</v>
      </c>
      <c r="M1505" s="30" t="s">
        <v>261</v>
      </c>
      <c r="N1505" s="11" t="s">
        <v>264</v>
      </c>
    </row>
    <row r="1506">
      <c r="A1506" s="11" t="s">
        <v>121</v>
      </c>
      <c r="B1506" s="11" t="s">
        <v>20</v>
      </c>
      <c r="C1506" s="11" t="s">
        <v>1466</v>
      </c>
      <c r="D1506" s="11" t="s">
        <v>248</v>
      </c>
      <c r="E1506" s="11" t="s">
        <v>1430</v>
      </c>
      <c r="F1506" s="11" t="s">
        <v>1077</v>
      </c>
      <c r="G1506" s="11" t="s">
        <v>418</v>
      </c>
      <c r="H1506" s="11">
        <v>1982.0</v>
      </c>
      <c r="I1506" s="40">
        <v>137600.0</v>
      </c>
      <c r="J1506" s="40">
        <v>127731.0</v>
      </c>
      <c r="K1506" s="11">
        <v>149301.0</v>
      </c>
      <c r="L1506" s="29" t="s">
        <v>81</v>
      </c>
      <c r="M1506" s="30" t="s">
        <v>261</v>
      </c>
      <c r="N1506" s="11" t="s">
        <v>264</v>
      </c>
    </row>
    <row r="1507">
      <c r="A1507" s="11" t="s">
        <v>121</v>
      </c>
      <c r="B1507" s="11" t="s">
        <v>20</v>
      </c>
      <c r="C1507" s="11" t="s">
        <v>1466</v>
      </c>
      <c r="D1507" s="11" t="s">
        <v>248</v>
      </c>
      <c r="E1507" s="11" t="s">
        <v>1430</v>
      </c>
      <c r="F1507" s="11" t="s">
        <v>1077</v>
      </c>
      <c r="G1507" s="11" t="s">
        <v>418</v>
      </c>
      <c r="H1507" s="11">
        <v>1983.0</v>
      </c>
      <c r="I1507" s="40">
        <v>128381.0</v>
      </c>
      <c r="J1507" s="40">
        <v>118588.0</v>
      </c>
      <c r="K1507" s="11">
        <v>138319.0</v>
      </c>
      <c r="L1507" s="29" t="s">
        <v>81</v>
      </c>
      <c r="M1507" s="30" t="s">
        <v>261</v>
      </c>
      <c r="N1507" s="11" t="s">
        <v>264</v>
      </c>
    </row>
    <row r="1508">
      <c r="A1508" s="11" t="s">
        <v>121</v>
      </c>
      <c r="B1508" s="11" t="s">
        <v>20</v>
      </c>
      <c r="C1508" s="11" t="s">
        <v>1466</v>
      </c>
      <c r="D1508" s="11" t="s">
        <v>248</v>
      </c>
      <c r="E1508" s="11" t="s">
        <v>1430</v>
      </c>
      <c r="F1508" s="11" t="s">
        <v>1077</v>
      </c>
      <c r="G1508" s="11" t="s">
        <v>418</v>
      </c>
      <c r="H1508" s="11">
        <v>1984.0</v>
      </c>
      <c r="I1508" s="40">
        <v>116025.0</v>
      </c>
      <c r="J1508" s="40">
        <v>107239.0</v>
      </c>
      <c r="K1508" s="11">
        <v>124462.0</v>
      </c>
      <c r="L1508" s="29" t="s">
        <v>81</v>
      </c>
      <c r="M1508" s="30" t="s">
        <v>261</v>
      </c>
      <c r="N1508" s="11" t="s">
        <v>264</v>
      </c>
    </row>
    <row r="1509">
      <c r="A1509" s="11" t="s">
        <v>121</v>
      </c>
      <c r="B1509" s="11" t="s">
        <v>20</v>
      </c>
      <c r="C1509" s="11" t="s">
        <v>1466</v>
      </c>
      <c r="D1509" s="11" t="s">
        <v>248</v>
      </c>
      <c r="E1509" s="11" t="s">
        <v>1430</v>
      </c>
      <c r="F1509" s="11" t="s">
        <v>1077</v>
      </c>
      <c r="G1509" s="11" t="s">
        <v>418</v>
      </c>
      <c r="H1509" s="11">
        <v>1985.0</v>
      </c>
      <c r="I1509" s="40">
        <v>104929.0</v>
      </c>
      <c r="J1509" s="40">
        <v>98823.0</v>
      </c>
      <c r="K1509" s="11">
        <v>111867.0</v>
      </c>
      <c r="L1509" s="29" t="s">
        <v>81</v>
      </c>
      <c r="M1509" s="30" t="s">
        <v>261</v>
      </c>
      <c r="N1509" s="11" t="s">
        <v>264</v>
      </c>
    </row>
    <row r="1510">
      <c r="A1510" s="11" t="s">
        <v>121</v>
      </c>
      <c r="B1510" s="11" t="s">
        <v>20</v>
      </c>
      <c r="C1510" s="11" t="s">
        <v>1466</v>
      </c>
      <c r="D1510" s="11" t="s">
        <v>248</v>
      </c>
      <c r="E1510" s="11" t="s">
        <v>1430</v>
      </c>
      <c r="F1510" s="11" t="s">
        <v>1077</v>
      </c>
      <c r="G1510" s="11" t="s">
        <v>418</v>
      </c>
      <c r="H1510" s="11">
        <v>1986.0</v>
      </c>
      <c r="I1510" s="40">
        <v>89270.0</v>
      </c>
      <c r="J1510" s="40">
        <v>83758.0</v>
      </c>
      <c r="K1510" s="11">
        <v>94998.0</v>
      </c>
      <c r="L1510" s="29" t="s">
        <v>81</v>
      </c>
      <c r="M1510" s="30" t="s">
        <v>261</v>
      </c>
      <c r="N1510" s="11" t="s">
        <v>264</v>
      </c>
    </row>
    <row r="1511">
      <c r="A1511" s="11" t="s">
        <v>121</v>
      </c>
      <c r="B1511" s="11" t="s">
        <v>20</v>
      </c>
      <c r="C1511" s="11" t="s">
        <v>1466</v>
      </c>
      <c r="D1511" s="11" t="s">
        <v>248</v>
      </c>
      <c r="E1511" s="11" t="s">
        <v>1430</v>
      </c>
      <c r="F1511" s="11" t="s">
        <v>1077</v>
      </c>
      <c r="G1511" s="11" t="s">
        <v>418</v>
      </c>
      <c r="H1511" s="11">
        <v>1987.0</v>
      </c>
      <c r="I1511" s="40">
        <v>71008.0</v>
      </c>
      <c r="J1511" s="40">
        <v>66450.0</v>
      </c>
      <c r="K1511" s="11">
        <v>75893.0</v>
      </c>
      <c r="L1511" s="29" t="s">
        <v>81</v>
      </c>
      <c r="M1511" s="30" t="s">
        <v>261</v>
      </c>
      <c r="N1511" s="11" t="s">
        <v>264</v>
      </c>
    </row>
    <row r="1512">
      <c r="A1512" s="11" t="s">
        <v>121</v>
      </c>
      <c r="B1512" s="11" t="s">
        <v>20</v>
      </c>
      <c r="C1512" s="11" t="s">
        <v>1466</v>
      </c>
      <c r="D1512" s="11" t="s">
        <v>248</v>
      </c>
      <c r="E1512" s="11" t="s">
        <v>1430</v>
      </c>
      <c r="F1512" s="11" t="s">
        <v>1077</v>
      </c>
      <c r="G1512" s="11" t="s">
        <v>418</v>
      </c>
      <c r="H1512" s="11">
        <v>1988.0</v>
      </c>
      <c r="I1512" s="40">
        <v>60515.0</v>
      </c>
      <c r="J1512" s="40">
        <v>56913.0</v>
      </c>
      <c r="K1512" s="11">
        <v>64578.0</v>
      </c>
      <c r="L1512" s="29" t="s">
        <v>81</v>
      </c>
      <c r="M1512" s="30" t="s">
        <v>261</v>
      </c>
      <c r="N1512" s="11" t="s">
        <v>264</v>
      </c>
    </row>
    <row r="1513">
      <c r="A1513" s="11" t="s">
        <v>121</v>
      </c>
      <c r="B1513" s="11" t="s">
        <v>20</v>
      </c>
      <c r="C1513" s="11" t="s">
        <v>1466</v>
      </c>
      <c r="D1513" s="11" t="s">
        <v>248</v>
      </c>
      <c r="E1513" s="11" t="s">
        <v>1430</v>
      </c>
      <c r="F1513" s="11" t="s">
        <v>1077</v>
      </c>
      <c r="G1513" s="11" t="s">
        <v>418</v>
      </c>
      <c r="H1513" s="11">
        <v>1989.0</v>
      </c>
      <c r="I1513" s="40">
        <v>48528.0</v>
      </c>
      <c r="J1513" s="40">
        <v>46442.0</v>
      </c>
      <c r="K1513" s="11">
        <v>51683.0</v>
      </c>
      <c r="L1513" s="29" t="s">
        <v>81</v>
      </c>
      <c r="M1513" s="30" t="s">
        <v>261</v>
      </c>
      <c r="N1513" s="11" t="s">
        <v>264</v>
      </c>
    </row>
    <row r="1514">
      <c r="A1514" s="11" t="s">
        <v>121</v>
      </c>
      <c r="B1514" s="11" t="s">
        <v>20</v>
      </c>
      <c r="C1514" s="11" t="s">
        <v>1466</v>
      </c>
      <c r="D1514" s="11" t="s">
        <v>248</v>
      </c>
      <c r="E1514" s="11" t="s">
        <v>1430</v>
      </c>
      <c r="F1514" s="11" t="s">
        <v>1077</v>
      </c>
      <c r="G1514" s="11" t="s">
        <v>418</v>
      </c>
      <c r="H1514" s="11">
        <v>1990.0</v>
      </c>
      <c r="I1514" s="40">
        <v>45992.0</v>
      </c>
      <c r="J1514" s="40">
        <v>43950.0</v>
      </c>
      <c r="K1514" s="11">
        <v>48867.0</v>
      </c>
      <c r="L1514" s="29" t="s">
        <v>81</v>
      </c>
      <c r="M1514" s="30" t="s">
        <v>261</v>
      </c>
      <c r="N1514" s="11" t="s">
        <v>264</v>
      </c>
    </row>
    <row r="1515">
      <c r="A1515" s="11" t="s">
        <v>121</v>
      </c>
      <c r="B1515" s="11" t="s">
        <v>20</v>
      </c>
      <c r="C1515" s="11" t="s">
        <v>1466</v>
      </c>
      <c r="D1515" s="11" t="s">
        <v>248</v>
      </c>
      <c r="E1515" s="11" t="s">
        <v>1430</v>
      </c>
      <c r="F1515" s="11" t="s">
        <v>1077</v>
      </c>
      <c r="G1515" s="11" t="s">
        <v>418</v>
      </c>
      <c r="H1515" s="11">
        <v>1991.0</v>
      </c>
      <c r="I1515" s="40">
        <v>43724.0</v>
      </c>
      <c r="J1515" s="40">
        <v>42104.0</v>
      </c>
      <c r="K1515" s="11">
        <v>46259.0</v>
      </c>
      <c r="L1515" s="29" t="s">
        <v>81</v>
      </c>
      <c r="M1515" s="30" t="s">
        <v>261</v>
      </c>
      <c r="N1515" s="11" t="s">
        <v>264</v>
      </c>
    </row>
    <row r="1516">
      <c r="A1516" s="11" t="s">
        <v>121</v>
      </c>
      <c r="B1516" s="11" t="s">
        <v>20</v>
      </c>
      <c r="C1516" s="11" t="s">
        <v>1466</v>
      </c>
      <c r="D1516" s="11" t="s">
        <v>248</v>
      </c>
      <c r="E1516" s="11" t="s">
        <v>1430</v>
      </c>
      <c r="F1516" s="11" t="s">
        <v>1077</v>
      </c>
      <c r="G1516" s="11" t="s">
        <v>418</v>
      </c>
      <c r="H1516" s="11">
        <v>1992.0</v>
      </c>
      <c r="I1516" s="40">
        <v>40783.0</v>
      </c>
      <c r="J1516" s="40">
        <v>39410.0</v>
      </c>
      <c r="K1516" s="11">
        <v>43015.0</v>
      </c>
      <c r="L1516" s="29" t="s">
        <v>81</v>
      </c>
      <c r="M1516" s="30" t="s">
        <v>261</v>
      </c>
      <c r="N1516" s="11" t="s">
        <v>264</v>
      </c>
    </row>
    <row r="1517">
      <c r="A1517" s="11" t="s">
        <v>121</v>
      </c>
      <c r="B1517" s="11" t="s">
        <v>20</v>
      </c>
      <c r="C1517" s="11" t="s">
        <v>1466</v>
      </c>
      <c r="D1517" s="11" t="s">
        <v>248</v>
      </c>
      <c r="E1517" s="11" t="s">
        <v>1430</v>
      </c>
      <c r="F1517" s="11" t="s">
        <v>1077</v>
      </c>
      <c r="G1517" s="11" t="s">
        <v>418</v>
      </c>
      <c r="H1517" s="11">
        <v>1993.0</v>
      </c>
      <c r="I1517" s="40">
        <v>37552.0</v>
      </c>
      <c r="J1517" s="40">
        <v>35178.0</v>
      </c>
      <c r="K1517" s="11">
        <v>40224.0</v>
      </c>
      <c r="L1517" s="29" t="s">
        <v>81</v>
      </c>
      <c r="M1517" s="30" t="s">
        <v>261</v>
      </c>
      <c r="N1517" s="11" t="s">
        <v>264</v>
      </c>
    </row>
    <row r="1518">
      <c r="A1518" s="11" t="s">
        <v>121</v>
      </c>
      <c r="B1518" s="11" t="s">
        <v>20</v>
      </c>
      <c r="C1518" s="11" t="s">
        <v>1466</v>
      </c>
      <c r="D1518" s="11" t="s">
        <v>248</v>
      </c>
      <c r="E1518" s="11" t="s">
        <v>1430</v>
      </c>
      <c r="F1518" s="11" t="s">
        <v>1077</v>
      </c>
      <c r="G1518" s="11" t="s">
        <v>418</v>
      </c>
      <c r="H1518" s="11">
        <v>1994.0</v>
      </c>
      <c r="I1518" s="40">
        <v>37910.0</v>
      </c>
      <c r="J1518" s="40">
        <v>36619.0</v>
      </c>
      <c r="K1518" s="11">
        <v>39795.0</v>
      </c>
      <c r="L1518" s="29" t="s">
        <v>81</v>
      </c>
      <c r="M1518" s="30" t="s">
        <v>261</v>
      </c>
      <c r="N1518" s="11" t="s">
        <v>264</v>
      </c>
    </row>
    <row r="1519">
      <c r="A1519" s="11" t="s">
        <v>121</v>
      </c>
      <c r="B1519" s="11" t="s">
        <v>20</v>
      </c>
      <c r="C1519" s="11" t="s">
        <v>1466</v>
      </c>
      <c r="D1519" s="11" t="s">
        <v>248</v>
      </c>
      <c r="E1519" s="11" t="s">
        <v>1430</v>
      </c>
      <c r="F1519" s="11" t="s">
        <v>1077</v>
      </c>
      <c r="G1519" s="11" t="s">
        <v>418</v>
      </c>
      <c r="H1519" s="11">
        <v>1995.0</v>
      </c>
      <c r="I1519" s="40">
        <v>34949.0</v>
      </c>
      <c r="J1519" s="40">
        <v>32763.0</v>
      </c>
      <c r="K1519" s="11">
        <v>37274.0</v>
      </c>
      <c r="L1519" s="29" t="s">
        <v>81</v>
      </c>
      <c r="M1519" s="30" t="s">
        <v>261</v>
      </c>
      <c r="N1519" s="11" t="s">
        <v>264</v>
      </c>
    </row>
    <row r="1520">
      <c r="A1520" s="11" t="s">
        <v>121</v>
      </c>
      <c r="B1520" s="11" t="s">
        <v>20</v>
      </c>
      <c r="C1520" s="11" t="s">
        <v>1466</v>
      </c>
      <c r="D1520" s="11" t="s">
        <v>248</v>
      </c>
      <c r="E1520" s="11" t="s">
        <v>1430</v>
      </c>
      <c r="F1520" s="11" t="s">
        <v>1077</v>
      </c>
      <c r="G1520" s="11" t="s">
        <v>418</v>
      </c>
      <c r="H1520" s="11">
        <v>1996.0</v>
      </c>
      <c r="I1520" s="40">
        <v>34494.0</v>
      </c>
      <c r="J1520" s="40">
        <v>33354.0</v>
      </c>
      <c r="K1520" s="11">
        <v>36036.0</v>
      </c>
      <c r="L1520" s="29" t="s">
        <v>81</v>
      </c>
      <c r="M1520" s="30" t="s">
        <v>261</v>
      </c>
      <c r="N1520" s="11" t="s">
        <v>264</v>
      </c>
    </row>
    <row r="1521">
      <c r="A1521" s="11" t="s">
        <v>121</v>
      </c>
      <c r="B1521" s="11" t="s">
        <v>20</v>
      </c>
      <c r="C1521" s="11" t="s">
        <v>1466</v>
      </c>
      <c r="D1521" s="11" t="s">
        <v>248</v>
      </c>
      <c r="E1521" s="11" t="s">
        <v>1430</v>
      </c>
      <c r="F1521" s="11" t="s">
        <v>1077</v>
      </c>
      <c r="G1521" s="11" t="s">
        <v>418</v>
      </c>
      <c r="H1521" s="11">
        <v>1997.0</v>
      </c>
      <c r="I1521" s="40">
        <v>32834.0</v>
      </c>
      <c r="J1521" s="40">
        <v>31332.0</v>
      </c>
      <c r="K1521" s="11">
        <v>34686.0</v>
      </c>
      <c r="L1521" s="29" t="s">
        <v>81</v>
      </c>
      <c r="M1521" s="30" t="s">
        <v>261</v>
      </c>
      <c r="N1521" s="11" t="s">
        <v>264</v>
      </c>
    </row>
    <row r="1522">
      <c r="A1522" s="11" t="s">
        <v>121</v>
      </c>
      <c r="B1522" s="11" t="s">
        <v>20</v>
      </c>
      <c r="C1522" s="11" t="s">
        <v>1466</v>
      </c>
      <c r="D1522" s="11" t="s">
        <v>248</v>
      </c>
      <c r="E1522" s="11" t="s">
        <v>1430</v>
      </c>
      <c r="F1522" s="11" t="s">
        <v>1077</v>
      </c>
      <c r="G1522" s="11" t="s">
        <v>418</v>
      </c>
      <c r="H1522" s="11">
        <v>1998.0</v>
      </c>
      <c r="I1522" s="40">
        <v>32928.0</v>
      </c>
      <c r="J1522" s="40">
        <v>31898.0</v>
      </c>
      <c r="K1522" s="11">
        <v>34348.0</v>
      </c>
      <c r="L1522" s="29" t="s">
        <v>81</v>
      </c>
      <c r="M1522" s="30" t="s">
        <v>261</v>
      </c>
      <c r="N1522" s="11" t="s">
        <v>264</v>
      </c>
    </row>
    <row r="1523">
      <c r="A1523" s="11" t="s">
        <v>121</v>
      </c>
      <c r="B1523" s="11" t="s">
        <v>20</v>
      </c>
      <c r="C1523" s="11" t="s">
        <v>1466</v>
      </c>
      <c r="D1523" s="11" t="s">
        <v>248</v>
      </c>
      <c r="E1523" s="11" t="s">
        <v>1430</v>
      </c>
      <c r="F1523" s="11" t="s">
        <v>1077</v>
      </c>
      <c r="G1523" s="11" t="s">
        <v>418</v>
      </c>
      <c r="H1523" s="11">
        <v>1999.0</v>
      </c>
      <c r="I1523" s="40">
        <v>30338.0</v>
      </c>
      <c r="J1523" s="40">
        <v>28399.0</v>
      </c>
      <c r="K1523" s="11">
        <v>32401.0</v>
      </c>
      <c r="L1523" s="29" t="s">
        <v>81</v>
      </c>
      <c r="M1523" s="30" t="s">
        <v>261</v>
      </c>
      <c r="N1523" s="11" t="s">
        <v>264</v>
      </c>
    </row>
    <row r="1524">
      <c r="A1524" s="11" t="s">
        <v>121</v>
      </c>
      <c r="B1524" s="11" t="s">
        <v>20</v>
      </c>
      <c r="C1524" s="11" t="s">
        <v>1466</v>
      </c>
      <c r="D1524" s="11" t="s">
        <v>248</v>
      </c>
      <c r="E1524" s="11" t="s">
        <v>1430</v>
      </c>
      <c r="F1524" s="11" t="s">
        <v>1077</v>
      </c>
      <c r="G1524" s="11" t="s">
        <v>418</v>
      </c>
      <c r="H1524" s="11">
        <v>2000.0</v>
      </c>
      <c r="I1524" s="40">
        <v>28068.0</v>
      </c>
      <c r="J1524" s="40">
        <v>27181.0</v>
      </c>
      <c r="K1524" s="11">
        <v>29348.0</v>
      </c>
      <c r="L1524" s="29" t="s">
        <v>81</v>
      </c>
      <c r="M1524" s="30" t="s">
        <v>261</v>
      </c>
      <c r="N1524" s="11" t="s">
        <v>264</v>
      </c>
    </row>
    <row r="1525">
      <c r="A1525" s="11" t="s">
        <v>121</v>
      </c>
      <c r="B1525" s="11" t="s">
        <v>20</v>
      </c>
      <c r="C1525" s="11" t="s">
        <v>1466</v>
      </c>
      <c r="D1525" s="11" t="s">
        <v>248</v>
      </c>
      <c r="E1525" s="11" t="s">
        <v>1430</v>
      </c>
      <c r="F1525" s="11" t="s">
        <v>1077</v>
      </c>
      <c r="G1525" s="11" t="s">
        <v>418</v>
      </c>
      <c r="H1525" s="11">
        <v>2001.0</v>
      </c>
      <c r="I1525" s="40">
        <v>28841.0</v>
      </c>
      <c r="J1525" s="40">
        <v>27063.0</v>
      </c>
      <c r="K1525" s="11">
        <v>30807.0</v>
      </c>
      <c r="L1525" s="29" t="s">
        <v>81</v>
      </c>
      <c r="M1525" s="30" t="s">
        <v>261</v>
      </c>
      <c r="N1525" s="11" t="s">
        <v>264</v>
      </c>
    </row>
    <row r="1526">
      <c r="A1526" s="11" t="s">
        <v>121</v>
      </c>
      <c r="B1526" s="11" t="s">
        <v>20</v>
      </c>
      <c r="C1526" s="11" t="s">
        <v>1466</v>
      </c>
      <c r="D1526" s="11" t="s">
        <v>248</v>
      </c>
      <c r="E1526" s="11" t="s">
        <v>1430</v>
      </c>
      <c r="F1526" s="11" t="s">
        <v>1077</v>
      </c>
      <c r="G1526" s="11" t="s">
        <v>418</v>
      </c>
      <c r="H1526" s="11">
        <v>2002.0</v>
      </c>
      <c r="I1526" s="40">
        <v>29116.0</v>
      </c>
      <c r="J1526" s="40">
        <v>28390.0</v>
      </c>
      <c r="K1526" s="11">
        <v>30196.0</v>
      </c>
      <c r="L1526" s="29" t="s">
        <v>81</v>
      </c>
      <c r="M1526" s="30" t="s">
        <v>261</v>
      </c>
      <c r="N1526" s="11" t="s">
        <v>264</v>
      </c>
    </row>
    <row r="1527">
      <c r="A1527" s="11" t="s">
        <v>121</v>
      </c>
      <c r="B1527" s="11" t="s">
        <v>20</v>
      </c>
      <c r="C1527" s="11" t="s">
        <v>1466</v>
      </c>
      <c r="D1527" s="11" t="s">
        <v>248</v>
      </c>
      <c r="E1527" s="11" t="s">
        <v>1430</v>
      </c>
      <c r="F1527" s="11" t="s">
        <v>1077</v>
      </c>
      <c r="G1527" s="11" t="s">
        <v>418</v>
      </c>
      <c r="H1527" s="11">
        <v>2003.0</v>
      </c>
      <c r="I1527" s="40">
        <v>28971.0</v>
      </c>
      <c r="J1527" s="40">
        <v>27314.0</v>
      </c>
      <c r="K1527" s="11">
        <v>30826.0</v>
      </c>
      <c r="L1527" s="29" t="s">
        <v>81</v>
      </c>
      <c r="M1527" s="30" t="s">
        <v>261</v>
      </c>
      <c r="N1527" s="11" t="s">
        <v>264</v>
      </c>
    </row>
    <row r="1528">
      <c r="A1528" s="11" t="s">
        <v>121</v>
      </c>
      <c r="B1528" s="11" t="s">
        <v>20</v>
      </c>
      <c r="C1528" s="11" t="s">
        <v>1466</v>
      </c>
      <c r="D1528" s="11" t="s">
        <v>248</v>
      </c>
      <c r="E1528" s="11" t="s">
        <v>1430</v>
      </c>
      <c r="F1528" s="11" t="s">
        <v>1077</v>
      </c>
      <c r="G1528" s="11" t="s">
        <v>418</v>
      </c>
      <c r="H1528" s="11">
        <v>2004.0</v>
      </c>
      <c r="I1528" s="40">
        <v>30711.0</v>
      </c>
      <c r="J1528" s="40">
        <v>29966.0</v>
      </c>
      <c r="K1528" s="11">
        <v>31673.0</v>
      </c>
      <c r="L1528" s="29" t="s">
        <v>81</v>
      </c>
      <c r="M1528" s="30" t="s">
        <v>261</v>
      </c>
      <c r="N1528" s="11" t="s">
        <v>264</v>
      </c>
    </row>
    <row r="1529">
      <c r="A1529" s="11" t="s">
        <v>121</v>
      </c>
      <c r="B1529" s="11" t="s">
        <v>20</v>
      </c>
      <c r="C1529" s="11" t="s">
        <v>1466</v>
      </c>
      <c r="D1529" s="11" t="s">
        <v>248</v>
      </c>
      <c r="E1529" s="11" t="s">
        <v>1430</v>
      </c>
      <c r="F1529" s="11" t="s">
        <v>1077</v>
      </c>
      <c r="G1529" s="11" t="s">
        <v>418</v>
      </c>
      <c r="H1529" s="11">
        <v>2005.0</v>
      </c>
      <c r="I1529" s="40">
        <v>30720.0</v>
      </c>
      <c r="J1529" s="40">
        <v>29319.0</v>
      </c>
      <c r="K1529" s="11">
        <v>32132.0</v>
      </c>
      <c r="L1529" s="29" t="s">
        <v>81</v>
      </c>
      <c r="M1529" s="30" t="s">
        <v>261</v>
      </c>
      <c r="N1529" s="11" t="s">
        <v>264</v>
      </c>
    </row>
    <row r="1530">
      <c r="A1530" s="11" t="s">
        <v>121</v>
      </c>
      <c r="B1530" s="11" t="s">
        <v>20</v>
      </c>
      <c r="C1530" s="11" t="s">
        <v>1466</v>
      </c>
      <c r="D1530" s="11" t="s">
        <v>248</v>
      </c>
      <c r="E1530" s="11" t="s">
        <v>1430</v>
      </c>
      <c r="F1530" s="11" t="s">
        <v>1077</v>
      </c>
      <c r="G1530" s="11" t="s">
        <v>418</v>
      </c>
      <c r="H1530" s="11">
        <v>2006.0</v>
      </c>
      <c r="I1530" s="40">
        <v>31344.0</v>
      </c>
      <c r="J1530" s="40">
        <v>30296.0</v>
      </c>
      <c r="K1530" s="11">
        <v>32527.0</v>
      </c>
      <c r="L1530" s="29" t="s">
        <v>81</v>
      </c>
      <c r="M1530" s="30" t="s">
        <v>261</v>
      </c>
      <c r="N1530" s="11" t="s">
        <v>264</v>
      </c>
    </row>
    <row r="1531">
      <c r="A1531" s="11" t="s">
        <v>121</v>
      </c>
      <c r="B1531" s="11" t="s">
        <v>20</v>
      </c>
      <c r="C1531" s="11" t="s">
        <v>1466</v>
      </c>
      <c r="D1531" s="11" t="s">
        <v>248</v>
      </c>
      <c r="E1531" s="11" t="s">
        <v>1430</v>
      </c>
      <c r="F1531" s="11" t="s">
        <v>1077</v>
      </c>
      <c r="G1531" s="11" t="s">
        <v>418</v>
      </c>
      <c r="H1531" s="11">
        <v>2007.0</v>
      </c>
      <c r="I1531" s="40">
        <v>31583.0</v>
      </c>
      <c r="J1531" s="40">
        <v>30900.0</v>
      </c>
      <c r="K1531" s="11">
        <v>32467.0</v>
      </c>
      <c r="L1531" s="29" t="s">
        <v>81</v>
      </c>
      <c r="M1531" s="30" t="s">
        <v>261</v>
      </c>
      <c r="N1531" s="11" t="s">
        <v>264</v>
      </c>
    </row>
    <row r="1532">
      <c r="A1532" s="11" t="s">
        <v>121</v>
      </c>
      <c r="B1532" s="11" t="s">
        <v>20</v>
      </c>
      <c r="C1532" s="11" t="s">
        <v>1466</v>
      </c>
      <c r="D1532" s="11" t="s">
        <v>248</v>
      </c>
      <c r="E1532" s="11" t="s">
        <v>1430</v>
      </c>
      <c r="F1532" s="11" t="s">
        <v>1077</v>
      </c>
      <c r="G1532" s="11" t="s">
        <v>418</v>
      </c>
      <c r="H1532" s="11">
        <v>2008.0</v>
      </c>
      <c r="I1532" s="40">
        <v>32669.0</v>
      </c>
      <c r="J1532" s="40">
        <v>32089.0</v>
      </c>
      <c r="K1532" s="11">
        <v>33435.0</v>
      </c>
      <c r="L1532" s="29" t="s">
        <v>81</v>
      </c>
      <c r="M1532" s="30" t="s">
        <v>261</v>
      </c>
      <c r="N1532" s="11" t="s">
        <v>264</v>
      </c>
    </row>
    <row r="1533">
      <c r="A1533" s="11" t="s">
        <v>121</v>
      </c>
      <c r="B1533" s="11" t="s">
        <v>20</v>
      </c>
      <c r="C1533" s="11" t="s">
        <v>1466</v>
      </c>
      <c r="D1533" s="11" t="s">
        <v>248</v>
      </c>
      <c r="E1533" s="11" t="s">
        <v>1430</v>
      </c>
      <c r="F1533" s="11" t="s">
        <v>1077</v>
      </c>
      <c r="G1533" s="11" t="s">
        <v>418</v>
      </c>
      <c r="H1533" s="11">
        <v>2009.0</v>
      </c>
      <c r="I1533" s="40">
        <v>33165.0</v>
      </c>
      <c r="J1533" s="40">
        <v>32095.0</v>
      </c>
      <c r="K1533" s="11">
        <v>34299.0</v>
      </c>
      <c r="L1533" s="29" t="s">
        <v>81</v>
      </c>
      <c r="M1533" s="30" t="s">
        <v>261</v>
      </c>
      <c r="N1533" s="11" t="s">
        <v>264</v>
      </c>
    </row>
    <row r="1534">
      <c r="A1534" s="11" t="s">
        <v>121</v>
      </c>
      <c r="B1534" s="11" t="s">
        <v>20</v>
      </c>
      <c r="C1534" s="11" t="s">
        <v>1466</v>
      </c>
      <c r="D1534" s="11" t="s">
        <v>248</v>
      </c>
      <c r="E1534" s="11" t="s">
        <v>1430</v>
      </c>
      <c r="F1534" s="11" t="s">
        <v>1077</v>
      </c>
      <c r="G1534" s="11" t="s">
        <v>418</v>
      </c>
      <c r="H1534" s="11">
        <v>2010.0</v>
      </c>
      <c r="I1534" s="40">
        <v>33371.0</v>
      </c>
      <c r="J1534" s="40">
        <v>32029.0</v>
      </c>
      <c r="K1534" s="11">
        <v>34787.0</v>
      </c>
      <c r="L1534" s="29" t="s">
        <v>81</v>
      </c>
      <c r="M1534" s="30" t="s">
        <v>261</v>
      </c>
      <c r="N1534" s="11" t="s">
        <v>264</v>
      </c>
    </row>
    <row r="1535">
      <c r="A1535" s="11" t="s">
        <v>121</v>
      </c>
      <c r="B1535" s="11" t="s">
        <v>20</v>
      </c>
      <c r="C1535" s="11" t="s">
        <v>1466</v>
      </c>
      <c r="D1535" s="11" t="s">
        <v>248</v>
      </c>
      <c r="E1535" s="11" t="s">
        <v>1430</v>
      </c>
      <c r="F1535" s="11" t="s">
        <v>1077</v>
      </c>
      <c r="G1535" s="11" t="s">
        <v>418</v>
      </c>
      <c r="H1535" s="11">
        <v>2011.0</v>
      </c>
      <c r="I1535" s="40">
        <v>36287.0</v>
      </c>
      <c r="J1535" s="40">
        <v>35468.0</v>
      </c>
      <c r="K1535" s="11">
        <v>37137.0</v>
      </c>
      <c r="L1535" s="29" t="s">
        <v>81</v>
      </c>
      <c r="M1535" s="30" t="s">
        <v>261</v>
      </c>
      <c r="N1535" s="11" t="s">
        <v>264</v>
      </c>
    </row>
    <row r="1536">
      <c r="A1536" s="11" t="s">
        <v>121</v>
      </c>
      <c r="B1536" s="11" t="s">
        <v>20</v>
      </c>
      <c r="C1536" s="11" t="s">
        <v>1466</v>
      </c>
      <c r="D1536" s="11" t="s">
        <v>248</v>
      </c>
      <c r="E1536" s="11" t="s">
        <v>1430</v>
      </c>
      <c r="F1536" s="11" t="s">
        <v>1077</v>
      </c>
      <c r="G1536" s="11" t="s">
        <v>418</v>
      </c>
      <c r="H1536" s="11">
        <v>2012.0</v>
      </c>
      <c r="I1536" s="40">
        <v>35559.0</v>
      </c>
      <c r="J1536" s="40">
        <v>33586.0</v>
      </c>
      <c r="K1536" s="11">
        <v>37549.0</v>
      </c>
      <c r="L1536" s="29" t="s">
        <v>81</v>
      </c>
      <c r="M1536" s="30" t="s">
        <v>261</v>
      </c>
      <c r="N1536" s="11" t="s">
        <v>264</v>
      </c>
    </row>
    <row r="1537">
      <c r="A1537" s="11" t="s">
        <v>121</v>
      </c>
      <c r="B1537" s="11" t="s">
        <v>20</v>
      </c>
      <c r="C1537" s="11" t="s">
        <v>1466</v>
      </c>
      <c r="D1537" s="11" t="s">
        <v>248</v>
      </c>
      <c r="E1537" s="11" t="s">
        <v>1430</v>
      </c>
      <c r="F1537" s="11" t="s">
        <v>1077</v>
      </c>
      <c r="G1537" s="11" t="s">
        <v>418</v>
      </c>
      <c r="H1537" s="11">
        <v>2013.0</v>
      </c>
      <c r="I1537" s="40">
        <v>36570.0</v>
      </c>
      <c r="J1537" s="40">
        <v>35408.0</v>
      </c>
      <c r="K1537" s="11">
        <v>37811.0</v>
      </c>
      <c r="L1537" s="29" t="s">
        <v>81</v>
      </c>
      <c r="M1537" s="30" t="s">
        <v>261</v>
      </c>
      <c r="N1537" s="11" t="s">
        <v>264</v>
      </c>
    </row>
    <row r="1538">
      <c r="A1538" s="11" t="s">
        <v>121</v>
      </c>
      <c r="B1538" s="11" t="s">
        <v>20</v>
      </c>
      <c r="C1538" s="11" t="s">
        <v>1466</v>
      </c>
      <c r="D1538" s="11" t="s">
        <v>248</v>
      </c>
      <c r="E1538" s="11" t="s">
        <v>1430</v>
      </c>
      <c r="F1538" s="11" t="s">
        <v>1077</v>
      </c>
      <c r="G1538" s="11" t="s">
        <v>418</v>
      </c>
      <c r="H1538" s="11">
        <v>2014.0</v>
      </c>
      <c r="I1538" s="40">
        <v>36372.0</v>
      </c>
      <c r="J1538" s="40">
        <v>35105.0</v>
      </c>
      <c r="K1538" s="11">
        <v>37795.0</v>
      </c>
      <c r="L1538" s="29" t="s">
        <v>81</v>
      </c>
      <c r="M1538" s="30" t="s">
        <v>261</v>
      </c>
      <c r="N1538" s="11" t="s">
        <v>264</v>
      </c>
    </row>
    <row r="1539">
      <c r="A1539" s="11" t="s">
        <v>121</v>
      </c>
      <c r="B1539" s="11" t="s">
        <v>20</v>
      </c>
      <c r="C1539" s="11" t="s">
        <v>1466</v>
      </c>
      <c r="D1539" s="11" t="s">
        <v>248</v>
      </c>
      <c r="E1539" s="11" t="s">
        <v>1430</v>
      </c>
      <c r="F1539" s="11" t="s">
        <v>1077</v>
      </c>
      <c r="G1539" s="11" t="s">
        <v>418</v>
      </c>
      <c r="H1539" s="11">
        <v>2015.0</v>
      </c>
      <c r="I1539" s="40">
        <v>38232.0</v>
      </c>
      <c r="J1539" s="40">
        <v>38786.0</v>
      </c>
      <c r="K1539" s="11">
        <v>39778.0</v>
      </c>
      <c r="L1539" s="29" t="s">
        <v>81</v>
      </c>
      <c r="M1539" s="30" t="s">
        <v>261</v>
      </c>
      <c r="N1539" s="11" t="s">
        <v>264</v>
      </c>
    </row>
    <row r="1540">
      <c r="A1540" s="11" t="s">
        <v>121</v>
      </c>
      <c r="B1540" s="11" t="s">
        <v>20</v>
      </c>
      <c r="C1540" s="11" t="s">
        <v>1466</v>
      </c>
      <c r="D1540" s="11" t="s">
        <v>248</v>
      </c>
      <c r="E1540" s="11" t="s">
        <v>1430</v>
      </c>
      <c r="F1540" s="11" t="s">
        <v>1077</v>
      </c>
      <c r="G1540" s="11" t="s">
        <v>418</v>
      </c>
      <c r="H1540" s="11">
        <v>2016.0</v>
      </c>
      <c r="I1540" s="40">
        <v>38723.0</v>
      </c>
      <c r="J1540" s="40">
        <v>37309.0</v>
      </c>
      <c r="K1540" s="11">
        <v>40122.0</v>
      </c>
      <c r="L1540" s="29" t="s">
        <v>81</v>
      </c>
      <c r="M1540" s="30" t="s">
        <v>261</v>
      </c>
      <c r="N1540" s="11" t="s">
        <v>264</v>
      </c>
    </row>
    <row r="1541">
      <c r="A1541" s="11" t="s">
        <v>121</v>
      </c>
      <c r="B1541" s="11" t="s">
        <v>20</v>
      </c>
      <c r="C1541" s="11" t="s">
        <v>1466</v>
      </c>
      <c r="D1541" s="11" t="s">
        <v>248</v>
      </c>
      <c r="E1541" s="11" t="s">
        <v>1430</v>
      </c>
      <c r="F1541" s="11" t="s">
        <v>1077</v>
      </c>
      <c r="G1541" s="11" t="s">
        <v>418</v>
      </c>
      <c r="H1541" s="11">
        <v>2017.0</v>
      </c>
      <c r="I1541" s="40">
        <v>39643.0</v>
      </c>
      <c r="J1541" s="40">
        <v>38154.0</v>
      </c>
      <c r="K1541" s="11">
        <v>41138.0</v>
      </c>
      <c r="L1541" s="29" t="s">
        <v>81</v>
      </c>
      <c r="M1541" s="30" t="s">
        <v>261</v>
      </c>
      <c r="N1541" s="11" t="s">
        <v>264</v>
      </c>
    </row>
    <row r="1542">
      <c r="A1542" s="11" t="s">
        <v>121</v>
      </c>
      <c r="B1542" s="11" t="s">
        <v>20</v>
      </c>
      <c r="C1542" s="11" t="s">
        <v>1466</v>
      </c>
      <c r="D1542" s="11" t="s">
        <v>248</v>
      </c>
      <c r="E1542" s="11" t="s">
        <v>1430</v>
      </c>
      <c r="F1542" s="11" t="s">
        <v>1077</v>
      </c>
      <c r="G1542" s="11" t="s">
        <v>418</v>
      </c>
      <c r="H1542" s="11">
        <v>2018.0</v>
      </c>
      <c r="I1542" s="40">
        <v>39207.0</v>
      </c>
      <c r="J1542" s="40">
        <v>37530.0</v>
      </c>
      <c r="K1542" s="11">
        <v>40788.0</v>
      </c>
      <c r="L1542" s="29" t="s">
        <v>81</v>
      </c>
      <c r="M1542" s="30" t="s">
        <v>261</v>
      </c>
      <c r="N1542" s="11" t="s">
        <v>264</v>
      </c>
    </row>
    <row r="1543">
      <c r="A1543" s="11" t="s">
        <v>121</v>
      </c>
      <c r="B1543" s="11" t="s">
        <v>20</v>
      </c>
      <c r="C1543" s="11" t="s">
        <v>1466</v>
      </c>
      <c r="D1543" s="11" t="s">
        <v>248</v>
      </c>
      <c r="E1543" s="11" t="s">
        <v>1430</v>
      </c>
      <c r="F1543" s="11" t="s">
        <v>1077</v>
      </c>
      <c r="G1543" s="11" t="s">
        <v>418</v>
      </c>
      <c r="H1543" s="11">
        <v>2019.0</v>
      </c>
      <c r="I1543" s="40">
        <v>37446.0</v>
      </c>
      <c r="J1543" s="40">
        <v>36050.0</v>
      </c>
      <c r="K1543" s="11">
        <v>38963.0</v>
      </c>
      <c r="L1543" s="28" t="s">
        <v>81</v>
      </c>
      <c r="M1543" s="30" t="s">
        <v>261</v>
      </c>
      <c r="N1543" s="11" t="s">
        <v>264</v>
      </c>
    </row>
    <row r="1544">
      <c r="A1544" s="11" t="s">
        <v>121</v>
      </c>
      <c r="B1544" s="11" t="s">
        <v>20</v>
      </c>
      <c r="C1544" s="11" t="s">
        <v>1476</v>
      </c>
      <c r="D1544" s="11" t="s">
        <v>248</v>
      </c>
      <c r="E1544" s="157" t="s">
        <v>1477</v>
      </c>
      <c r="F1544" s="11" t="s">
        <v>1478</v>
      </c>
      <c r="G1544" s="11" t="s">
        <v>555</v>
      </c>
      <c r="H1544" s="11">
        <v>1979.0</v>
      </c>
      <c r="I1544" s="40">
        <v>7955.0</v>
      </c>
      <c r="J1544" s="40">
        <v>5492.0</v>
      </c>
      <c r="K1544" s="11">
        <v>10227.0</v>
      </c>
      <c r="L1544" s="29" t="s">
        <v>260</v>
      </c>
      <c r="M1544" s="30" t="s">
        <v>261</v>
      </c>
      <c r="N1544" s="11" t="s">
        <v>264</v>
      </c>
      <c r="O1544" s="11" t="s">
        <v>1479</v>
      </c>
    </row>
    <row r="1545">
      <c r="A1545" s="11" t="s">
        <v>121</v>
      </c>
      <c r="B1545" s="11" t="s">
        <v>20</v>
      </c>
      <c r="C1545" s="11" t="s">
        <v>1476</v>
      </c>
      <c r="D1545" s="11" t="s">
        <v>248</v>
      </c>
      <c r="E1545" s="157" t="s">
        <v>1477</v>
      </c>
      <c r="F1545" s="11" t="s">
        <v>1478</v>
      </c>
      <c r="G1545" s="11" t="s">
        <v>555</v>
      </c>
      <c r="H1545" s="11">
        <v>1982.0</v>
      </c>
      <c r="I1545" s="40">
        <v>6439.0</v>
      </c>
      <c r="J1545" s="40">
        <v>5114.0</v>
      </c>
      <c r="K1545" s="11">
        <v>7955.0</v>
      </c>
      <c r="L1545" s="29" t="s">
        <v>260</v>
      </c>
      <c r="M1545" s="30" t="s">
        <v>261</v>
      </c>
      <c r="N1545" s="11" t="s">
        <v>264</v>
      </c>
    </row>
    <row r="1546">
      <c r="A1546" s="11" t="s">
        <v>121</v>
      </c>
      <c r="B1546" s="11" t="s">
        <v>20</v>
      </c>
      <c r="C1546" s="11" t="s">
        <v>1476</v>
      </c>
      <c r="D1546" s="11" t="s">
        <v>248</v>
      </c>
      <c r="E1546" s="157" t="s">
        <v>1477</v>
      </c>
      <c r="F1546" s="11" t="s">
        <v>1478</v>
      </c>
      <c r="G1546" s="11" t="s">
        <v>555</v>
      </c>
      <c r="H1546" s="11">
        <v>1985.0</v>
      </c>
      <c r="I1546" s="40">
        <v>5208.0</v>
      </c>
      <c r="J1546" s="40" t="s">
        <v>188</v>
      </c>
      <c r="K1546" s="11" t="s">
        <v>188</v>
      </c>
      <c r="L1546" s="29" t="s">
        <v>260</v>
      </c>
      <c r="M1546" s="30" t="s">
        <v>261</v>
      </c>
      <c r="N1546" s="11" t="s">
        <v>264</v>
      </c>
    </row>
    <row r="1547">
      <c r="A1547" s="11" t="s">
        <v>121</v>
      </c>
      <c r="B1547" s="11" t="s">
        <v>20</v>
      </c>
      <c r="C1547" s="11" t="s">
        <v>1476</v>
      </c>
      <c r="D1547" s="11" t="s">
        <v>248</v>
      </c>
      <c r="E1547" s="157" t="s">
        <v>1477</v>
      </c>
      <c r="F1547" s="11" t="s">
        <v>1478</v>
      </c>
      <c r="G1547" s="11" t="s">
        <v>555</v>
      </c>
      <c r="H1547" s="11">
        <v>1986.0</v>
      </c>
      <c r="I1547" s="40">
        <v>3977.0</v>
      </c>
      <c r="J1547" s="40">
        <v>3598.0</v>
      </c>
      <c r="K1547" s="11">
        <v>4545.0</v>
      </c>
      <c r="L1547" s="29" t="s">
        <v>260</v>
      </c>
      <c r="M1547" s="30" t="s">
        <v>261</v>
      </c>
      <c r="N1547" s="11" t="s">
        <v>264</v>
      </c>
    </row>
    <row r="1548">
      <c r="A1548" s="11" t="s">
        <v>121</v>
      </c>
      <c r="B1548" s="11" t="s">
        <v>20</v>
      </c>
      <c r="C1548" s="11" t="s">
        <v>1476</v>
      </c>
      <c r="D1548" s="11" t="s">
        <v>248</v>
      </c>
      <c r="E1548" s="157" t="s">
        <v>1477</v>
      </c>
      <c r="F1548" s="11" t="s">
        <v>1478</v>
      </c>
      <c r="G1548" s="11" t="s">
        <v>555</v>
      </c>
      <c r="H1548" s="11">
        <v>1989.0</v>
      </c>
      <c r="I1548" s="40">
        <v>2652.0</v>
      </c>
      <c r="J1548" s="40" t="s">
        <v>188</v>
      </c>
      <c r="K1548" s="11">
        <v>3220.0</v>
      </c>
      <c r="L1548" s="29" t="s">
        <v>260</v>
      </c>
      <c r="M1548" s="30" t="s">
        <v>261</v>
      </c>
      <c r="N1548" s="11" t="s">
        <v>264</v>
      </c>
    </row>
    <row r="1549">
      <c r="A1549" s="11" t="s">
        <v>121</v>
      </c>
      <c r="B1549" s="11" t="s">
        <v>20</v>
      </c>
      <c r="C1549" s="11" t="s">
        <v>1476</v>
      </c>
      <c r="D1549" s="11" t="s">
        <v>248</v>
      </c>
      <c r="E1549" s="157" t="s">
        <v>1477</v>
      </c>
      <c r="F1549" s="11" t="s">
        <v>1478</v>
      </c>
      <c r="G1549" s="11" t="s">
        <v>555</v>
      </c>
      <c r="H1549" s="11">
        <v>1990.0</v>
      </c>
      <c r="I1549" s="40">
        <v>2415.0</v>
      </c>
      <c r="J1549" s="40" t="s">
        <v>188</v>
      </c>
      <c r="K1549" s="11" t="s">
        <v>188</v>
      </c>
      <c r="L1549" s="29" t="s">
        <v>260</v>
      </c>
      <c r="M1549" s="30" t="s">
        <v>261</v>
      </c>
      <c r="N1549" s="11" t="s">
        <v>264</v>
      </c>
    </row>
    <row r="1550">
      <c r="A1550" s="11" t="s">
        <v>121</v>
      </c>
      <c r="B1550" s="11" t="s">
        <v>20</v>
      </c>
      <c r="C1550" s="11" t="s">
        <v>1476</v>
      </c>
      <c r="D1550" s="11" t="s">
        <v>248</v>
      </c>
      <c r="E1550" s="157" t="s">
        <v>1477</v>
      </c>
      <c r="F1550" s="11" t="s">
        <v>1478</v>
      </c>
      <c r="G1550" s="11" t="s">
        <v>555</v>
      </c>
      <c r="H1550" s="11">
        <v>1991.0</v>
      </c>
      <c r="I1550" s="40">
        <v>2462.0</v>
      </c>
      <c r="J1550" s="40" t="s">
        <v>188</v>
      </c>
      <c r="K1550" s="11" t="s">
        <v>188</v>
      </c>
      <c r="L1550" s="29" t="s">
        <v>260</v>
      </c>
      <c r="M1550" s="30" t="s">
        <v>261</v>
      </c>
      <c r="N1550" s="11" t="s">
        <v>264</v>
      </c>
    </row>
    <row r="1551">
      <c r="A1551" s="11" t="s">
        <v>121</v>
      </c>
      <c r="B1551" s="11" t="s">
        <v>20</v>
      </c>
      <c r="C1551" s="11" t="s">
        <v>1476</v>
      </c>
      <c r="D1551" s="11" t="s">
        <v>248</v>
      </c>
      <c r="E1551" s="157" t="s">
        <v>1477</v>
      </c>
      <c r="F1551" s="11" t="s">
        <v>1478</v>
      </c>
      <c r="G1551" s="11" t="s">
        <v>555</v>
      </c>
      <c r="H1551" s="11">
        <v>1992.0</v>
      </c>
      <c r="I1551" s="40">
        <v>2273.0</v>
      </c>
      <c r="J1551" s="40" t="s">
        <v>188</v>
      </c>
      <c r="K1551" s="11" t="s">
        <v>188</v>
      </c>
      <c r="L1551" s="29" t="s">
        <v>260</v>
      </c>
      <c r="M1551" s="30" t="s">
        <v>261</v>
      </c>
      <c r="N1551" s="11" t="s">
        <v>264</v>
      </c>
    </row>
    <row r="1552">
      <c r="A1552" s="11" t="s">
        <v>121</v>
      </c>
      <c r="B1552" s="11" t="s">
        <v>20</v>
      </c>
      <c r="C1552" s="11" t="s">
        <v>1476</v>
      </c>
      <c r="D1552" s="11" t="s">
        <v>248</v>
      </c>
      <c r="E1552" s="157" t="s">
        <v>1477</v>
      </c>
      <c r="F1552" s="11" t="s">
        <v>1478</v>
      </c>
      <c r="G1552" s="11" t="s">
        <v>555</v>
      </c>
      <c r="H1552" s="11">
        <v>1993.0</v>
      </c>
      <c r="I1552" s="40">
        <v>2178.0</v>
      </c>
      <c r="J1552" s="40" t="s">
        <v>188</v>
      </c>
      <c r="K1552" s="11" t="s">
        <v>188</v>
      </c>
      <c r="L1552" s="29" t="s">
        <v>260</v>
      </c>
      <c r="M1552" s="30" t="s">
        <v>261</v>
      </c>
      <c r="N1552" s="11" t="s">
        <v>264</v>
      </c>
    </row>
    <row r="1553">
      <c r="A1553" s="11" t="s">
        <v>121</v>
      </c>
      <c r="B1553" s="11" t="s">
        <v>20</v>
      </c>
      <c r="C1553" s="11" t="s">
        <v>1476</v>
      </c>
      <c r="D1553" s="11" t="s">
        <v>248</v>
      </c>
      <c r="E1553" s="157" t="s">
        <v>1477</v>
      </c>
      <c r="F1553" s="11" t="s">
        <v>1478</v>
      </c>
      <c r="G1553" s="11" t="s">
        <v>555</v>
      </c>
      <c r="H1553" s="11">
        <v>1994.0</v>
      </c>
      <c r="I1553" s="40">
        <v>2083.0</v>
      </c>
      <c r="J1553" s="40" t="s">
        <v>188</v>
      </c>
      <c r="K1553" s="11" t="s">
        <v>188</v>
      </c>
      <c r="L1553" s="29" t="s">
        <v>260</v>
      </c>
      <c r="M1553" s="30" t="s">
        <v>261</v>
      </c>
      <c r="N1553" s="11" t="s">
        <v>264</v>
      </c>
    </row>
    <row r="1554">
      <c r="A1554" s="11" t="s">
        <v>121</v>
      </c>
      <c r="B1554" s="11" t="s">
        <v>20</v>
      </c>
      <c r="C1554" s="11" t="s">
        <v>1476</v>
      </c>
      <c r="D1554" s="11" t="s">
        <v>248</v>
      </c>
      <c r="E1554" s="157" t="s">
        <v>1477</v>
      </c>
      <c r="F1554" s="11" t="s">
        <v>1478</v>
      </c>
      <c r="G1554" s="11" t="s">
        <v>555</v>
      </c>
      <c r="H1554" s="11">
        <v>1995.0</v>
      </c>
      <c r="I1554" s="40">
        <v>2036.0</v>
      </c>
      <c r="J1554" s="40" t="s">
        <v>188</v>
      </c>
      <c r="K1554" s="11" t="s">
        <v>188</v>
      </c>
      <c r="L1554" s="29" t="s">
        <v>260</v>
      </c>
      <c r="M1554" s="30" t="s">
        <v>261</v>
      </c>
      <c r="N1554" s="11" t="s">
        <v>264</v>
      </c>
    </row>
    <row r="1555">
      <c r="A1555" s="11" t="s">
        <v>121</v>
      </c>
      <c r="B1555" s="11" t="s">
        <v>20</v>
      </c>
      <c r="C1555" s="11" t="s">
        <v>1476</v>
      </c>
      <c r="D1555" s="11" t="s">
        <v>248</v>
      </c>
      <c r="E1555" s="157" t="s">
        <v>1477</v>
      </c>
      <c r="F1555" s="11" t="s">
        <v>1478</v>
      </c>
      <c r="G1555" s="11" t="s">
        <v>555</v>
      </c>
      <c r="H1555" s="11">
        <v>1996.0</v>
      </c>
      <c r="I1555" s="40">
        <v>2083.0</v>
      </c>
      <c r="J1555" s="40" t="s">
        <v>188</v>
      </c>
      <c r="K1555" s="11" t="s">
        <v>188</v>
      </c>
      <c r="L1555" s="29" t="s">
        <v>260</v>
      </c>
      <c r="M1555" s="30" t="s">
        <v>261</v>
      </c>
      <c r="N1555" s="11" t="s">
        <v>264</v>
      </c>
    </row>
    <row r="1556">
      <c r="A1556" s="11" t="s">
        <v>121</v>
      </c>
      <c r="B1556" s="11" t="s">
        <v>20</v>
      </c>
      <c r="C1556" s="11" t="s">
        <v>1476</v>
      </c>
      <c r="D1556" s="11" t="s">
        <v>248</v>
      </c>
      <c r="E1556" s="157" t="s">
        <v>1477</v>
      </c>
      <c r="F1556" s="11" t="s">
        <v>1478</v>
      </c>
      <c r="G1556" s="11" t="s">
        <v>555</v>
      </c>
      <c r="H1556" s="11">
        <v>1997.0</v>
      </c>
      <c r="I1556" s="40">
        <v>1799.0</v>
      </c>
      <c r="J1556" s="40" t="s">
        <v>188</v>
      </c>
      <c r="K1556" s="11" t="s">
        <v>188</v>
      </c>
      <c r="L1556" s="29" t="s">
        <v>260</v>
      </c>
      <c r="M1556" s="30" t="s">
        <v>261</v>
      </c>
      <c r="N1556" s="11" t="s">
        <v>264</v>
      </c>
    </row>
    <row r="1557">
      <c r="A1557" s="11" t="s">
        <v>121</v>
      </c>
      <c r="B1557" s="11" t="s">
        <v>20</v>
      </c>
      <c r="C1557" s="11" t="s">
        <v>1476</v>
      </c>
      <c r="D1557" s="11" t="s">
        <v>248</v>
      </c>
      <c r="E1557" s="157" t="s">
        <v>1477</v>
      </c>
      <c r="F1557" s="11" t="s">
        <v>1478</v>
      </c>
      <c r="G1557" s="11" t="s">
        <v>555</v>
      </c>
      <c r="H1557" s="11">
        <v>1998.0</v>
      </c>
      <c r="I1557" s="40">
        <v>1705.0</v>
      </c>
      <c r="J1557" s="40" t="s">
        <v>188</v>
      </c>
      <c r="K1557" s="11" t="s">
        <v>188</v>
      </c>
      <c r="L1557" s="29" t="s">
        <v>260</v>
      </c>
      <c r="M1557" s="30" t="s">
        <v>261</v>
      </c>
      <c r="N1557" s="11" t="s">
        <v>264</v>
      </c>
    </row>
    <row r="1558">
      <c r="A1558" s="11" t="s">
        <v>121</v>
      </c>
      <c r="B1558" s="11" t="s">
        <v>20</v>
      </c>
      <c r="C1558" s="11" t="s">
        <v>1476</v>
      </c>
      <c r="D1558" s="11" t="s">
        <v>248</v>
      </c>
      <c r="E1558" s="157" t="s">
        <v>1477</v>
      </c>
      <c r="F1558" s="11" t="s">
        <v>1478</v>
      </c>
      <c r="G1558" s="11" t="s">
        <v>555</v>
      </c>
      <c r="H1558" s="11">
        <v>2000.0</v>
      </c>
      <c r="I1558" s="40">
        <v>1799.0</v>
      </c>
      <c r="J1558" s="40" t="s">
        <v>188</v>
      </c>
      <c r="K1558" s="11" t="s">
        <v>188</v>
      </c>
      <c r="L1558" s="29" t="s">
        <v>260</v>
      </c>
      <c r="M1558" s="30" t="s">
        <v>261</v>
      </c>
      <c r="N1558" s="11" t="s">
        <v>264</v>
      </c>
    </row>
    <row r="1559">
      <c r="A1559" s="11" t="s">
        <v>121</v>
      </c>
      <c r="B1559" s="11" t="s">
        <v>20</v>
      </c>
      <c r="C1559" s="11" t="s">
        <v>1476</v>
      </c>
      <c r="D1559" s="11" t="s">
        <v>248</v>
      </c>
      <c r="E1559" s="157" t="s">
        <v>1477</v>
      </c>
      <c r="F1559" s="11" t="s">
        <v>1478</v>
      </c>
      <c r="G1559" s="11" t="s">
        <v>555</v>
      </c>
      <c r="H1559" s="11">
        <v>2001.0</v>
      </c>
      <c r="I1559" s="40">
        <v>1847.0</v>
      </c>
      <c r="J1559" s="40" t="s">
        <v>188</v>
      </c>
      <c r="K1559" s="11" t="s">
        <v>188</v>
      </c>
      <c r="L1559" s="29" t="s">
        <v>260</v>
      </c>
      <c r="M1559" s="30" t="s">
        <v>261</v>
      </c>
      <c r="N1559" s="11" t="s">
        <v>264</v>
      </c>
    </row>
    <row r="1560">
      <c r="A1560" s="11" t="s">
        <v>121</v>
      </c>
      <c r="B1560" s="11" t="s">
        <v>20</v>
      </c>
      <c r="C1560" s="11" t="s">
        <v>1476</v>
      </c>
      <c r="D1560" s="11" t="s">
        <v>248</v>
      </c>
      <c r="E1560" s="157" t="s">
        <v>1477</v>
      </c>
      <c r="F1560" s="11" t="s">
        <v>1478</v>
      </c>
      <c r="G1560" s="11" t="s">
        <v>555</v>
      </c>
      <c r="H1560" s="11">
        <v>2002.0</v>
      </c>
      <c r="I1560" s="40">
        <v>1705.0</v>
      </c>
      <c r="J1560" s="40" t="s">
        <v>188</v>
      </c>
      <c r="K1560" s="11" t="s">
        <v>188</v>
      </c>
      <c r="L1560" s="29" t="s">
        <v>260</v>
      </c>
      <c r="M1560" s="30" t="s">
        <v>261</v>
      </c>
      <c r="N1560" s="11" t="s">
        <v>264</v>
      </c>
    </row>
    <row r="1561">
      <c r="A1561" s="11" t="s">
        <v>121</v>
      </c>
      <c r="B1561" s="11" t="s">
        <v>20</v>
      </c>
      <c r="C1561" s="11" t="s">
        <v>1476</v>
      </c>
      <c r="D1561" s="11" t="s">
        <v>248</v>
      </c>
      <c r="E1561" s="157" t="s">
        <v>1477</v>
      </c>
      <c r="F1561" s="11" t="s">
        <v>1478</v>
      </c>
      <c r="G1561" s="11" t="s">
        <v>555</v>
      </c>
      <c r="H1561" s="11">
        <v>2003.0</v>
      </c>
      <c r="I1561" s="40">
        <v>1894.0</v>
      </c>
      <c r="J1561" s="40" t="s">
        <v>188</v>
      </c>
      <c r="K1561" s="11" t="s">
        <v>188</v>
      </c>
      <c r="L1561" s="29" t="s">
        <v>260</v>
      </c>
      <c r="M1561" s="30" t="s">
        <v>261</v>
      </c>
      <c r="N1561" s="11" t="s">
        <v>264</v>
      </c>
    </row>
    <row r="1562">
      <c r="A1562" s="11" t="s">
        <v>121</v>
      </c>
      <c r="B1562" s="11" t="s">
        <v>20</v>
      </c>
      <c r="C1562" s="11" t="s">
        <v>1476</v>
      </c>
      <c r="D1562" s="11" t="s">
        <v>248</v>
      </c>
      <c r="E1562" s="157" t="s">
        <v>1477</v>
      </c>
      <c r="F1562" s="11" t="s">
        <v>1478</v>
      </c>
      <c r="G1562" s="11" t="s">
        <v>555</v>
      </c>
      <c r="H1562" s="11">
        <v>2004.0</v>
      </c>
      <c r="I1562" s="40">
        <v>1989.0</v>
      </c>
      <c r="J1562" s="40" t="s">
        <v>188</v>
      </c>
      <c r="K1562" s="11" t="s">
        <v>188</v>
      </c>
      <c r="L1562" s="29" t="s">
        <v>260</v>
      </c>
      <c r="M1562" s="30" t="s">
        <v>261</v>
      </c>
      <c r="N1562" s="11" t="s">
        <v>264</v>
      </c>
    </row>
    <row r="1563">
      <c r="A1563" s="11" t="s">
        <v>121</v>
      </c>
      <c r="B1563" s="11" t="s">
        <v>20</v>
      </c>
      <c r="C1563" s="11" t="s">
        <v>1476</v>
      </c>
      <c r="D1563" s="11" t="s">
        <v>248</v>
      </c>
      <c r="E1563" s="157" t="s">
        <v>1477</v>
      </c>
      <c r="F1563" s="11" t="s">
        <v>1478</v>
      </c>
      <c r="G1563" s="11" t="s">
        <v>555</v>
      </c>
      <c r="H1563" s="11">
        <v>2005.0</v>
      </c>
      <c r="I1563" s="40">
        <v>2273.0</v>
      </c>
      <c r="J1563" s="40" t="s">
        <v>188</v>
      </c>
      <c r="K1563" s="11" t="s">
        <v>188</v>
      </c>
      <c r="L1563" s="29" t="s">
        <v>260</v>
      </c>
      <c r="M1563" s="30" t="s">
        <v>261</v>
      </c>
      <c r="N1563" s="11" t="s">
        <v>264</v>
      </c>
    </row>
    <row r="1564">
      <c r="A1564" s="11" t="s">
        <v>121</v>
      </c>
      <c r="B1564" s="11" t="s">
        <v>20</v>
      </c>
      <c r="C1564" s="11" t="s">
        <v>1476</v>
      </c>
      <c r="D1564" s="11" t="s">
        <v>248</v>
      </c>
      <c r="E1564" s="157" t="s">
        <v>1477</v>
      </c>
      <c r="F1564" s="11" t="s">
        <v>1478</v>
      </c>
      <c r="G1564" s="11" t="s">
        <v>555</v>
      </c>
      <c r="H1564" s="11">
        <v>2007.0</v>
      </c>
      <c r="I1564" s="40">
        <v>2462.0</v>
      </c>
      <c r="J1564" s="40" t="s">
        <v>188</v>
      </c>
      <c r="K1564" s="11" t="s">
        <v>188</v>
      </c>
      <c r="L1564" s="29" t="s">
        <v>260</v>
      </c>
      <c r="M1564" s="30" t="s">
        <v>261</v>
      </c>
      <c r="N1564" s="11" t="s">
        <v>264</v>
      </c>
    </row>
    <row r="1565">
      <c r="A1565" s="11" t="s">
        <v>121</v>
      </c>
      <c r="B1565" s="11" t="s">
        <v>20</v>
      </c>
      <c r="C1565" s="11" t="s">
        <v>1476</v>
      </c>
      <c r="D1565" s="11" t="s">
        <v>248</v>
      </c>
      <c r="E1565" s="157" t="s">
        <v>1477</v>
      </c>
      <c r="F1565" s="11" t="s">
        <v>1478</v>
      </c>
      <c r="G1565" s="11" t="s">
        <v>555</v>
      </c>
      <c r="H1565" s="11">
        <v>2009.0</v>
      </c>
      <c r="I1565" s="40">
        <v>2604.0</v>
      </c>
      <c r="J1565" s="40" t="s">
        <v>188</v>
      </c>
      <c r="K1565" s="11" t="s">
        <v>188</v>
      </c>
      <c r="L1565" s="29" t="s">
        <v>260</v>
      </c>
      <c r="M1565" s="30" t="s">
        <v>261</v>
      </c>
      <c r="N1565" s="11" t="s">
        <v>264</v>
      </c>
    </row>
    <row r="1566">
      <c r="A1566" s="11" t="s">
        <v>121</v>
      </c>
      <c r="B1566" s="11" t="s">
        <v>20</v>
      </c>
      <c r="C1566" s="11" t="s">
        <v>1476</v>
      </c>
      <c r="D1566" s="11" t="s">
        <v>248</v>
      </c>
      <c r="E1566" s="157" t="s">
        <v>1477</v>
      </c>
      <c r="F1566" s="11" t="s">
        <v>1478</v>
      </c>
      <c r="G1566" s="11" t="s">
        <v>555</v>
      </c>
      <c r="H1566" s="11">
        <v>2010.0</v>
      </c>
      <c r="I1566" s="40">
        <v>2652.0</v>
      </c>
      <c r="J1566" s="40" t="s">
        <v>188</v>
      </c>
      <c r="K1566" s="11" t="s">
        <v>188</v>
      </c>
      <c r="L1566" s="29" t="s">
        <v>260</v>
      </c>
      <c r="M1566" s="30" t="s">
        <v>261</v>
      </c>
      <c r="N1566" s="11" t="s">
        <v>264</v>
      </c>
    </row>
    <row r="1567">
      <c r="A1567" s="11" t="s">
        <v>121</v>
      </c>
      <c r="B1567" s="11" t="s">
        <v>20</v>
      </c>
      <c r="C1567" s="11" t="s">
        <v>1476</v>
      </c>
      <c r="D1567" s="11" t="s">
        <v>248</v>
      </c>
      <c r="E1567" s="157" t="s">
        <v>1477</v>
      </c>
      <c r="F1567" s="11" t="s">
        <v>1478</v>
      </c>
      <c r="G1567" s="11" t="s">
        <v>555</v>
      </c>
      <c r="H1567" s="11">
        <v>2011.0</v>
      </c>
      <c r="I1567" s="40">
        <v>2699.0</v>
      </c>
      <c r="J1567" s="40" t="s">
        <v>188</v>
      </c>
      <c r="K1567" s="11" t="s">
        <v>188</v>
      </c>
      <c r="L1567" s="29" t="s">
        <v>260</v>
      </c>
      <c r="M1567" s="30" t="s">
        <v>261</v>
      </c>
      <c r="N1567" s="11" t="s">
        <v>264</v>
      </c>
    </row>
    <row r="1568">
      <c r="A1568" s="11" t="s">
        <v>121</v>
      </c>
      <c r="B1568" s="11" t="s">
        <v>20</v>
      </c>
      <c r="C1568" s="11" t="s">
        <v>1476</v>
      </c>
      <c r="D1568" s="11" t="s">
        <v>248</v>
      </c>
      <c r="E1568" s="157" t="s">
        <v>1477</v>
      </c>
      <c r="F1568" s="11" t="s">
        <v>1478</v>
      </c>
      <c r="G1568" s="11" t="s">
        <v>555</v>
      </c>
      <c r="H1568" s="11">
        <v>2014.0</v>
      </c>
      <c r="I1568" s="40">
        <v>2746.0</v>
      </c>
      <c r="J1568" s="40" t="s">
        <v>188</v>
      </c>
      <c r="K1568" s="11" t="s">
        <v>188</v>
      </c>
      <c r="L1568" s="29" t="s">
        <v>260</v>
      </c>
      <c r="M1568" s="30" t="s">
        <v>261</v>
      </c>
      <c r="N1568" s="11" t="s">
        <v>264</v>
      </c>
    </row>
    <row r="1569">
      <c r="A1569" s="11" t="s">
        <v>121</v>
      </c>
      <c r="B1569" s="11" t="s">
        <v>20</v>
      </c>
      <c r="C1569" s="11" t="s">
        <v>1476</v>
      </c>
      <c r="D1569" s="11" t="s">
        <v>248</v>
      </c>
      <c r="E1569" s="157" t="s">
        <v>1477</v>
      </c>
      <c r="F1569" s="11" t="s">
        <v>1478</v>
      </c>
      <c r="G1569" s="11" t="s">
        <v>555</v>
      </c>
      <c r="H1569" s="11">
        <v>2015.0</v>
      </c>
      <c r="I1569" s="40">
        <v>2841.0</v>
      </c>
      <c r="J1569" s="40" t="s">
        <v>188</v>
      </c>
      <c r="K1569" s="11" t="s">
        <v>188</v>
      </c>
      <c r="L1569" s="29" t="s">
        <v>260</v>
      </c>
      <c r="M1569" s="30" t="s">
        <v>261</v>
      </c>
      <c r="N1569" s="11" t="s">
        <v>264</v>
      </c>
    </row>
    <row r="1570">
      <c r="A1570" s="11" t="s">
        <v>121</v>
      </c>
      <c r="B1570" s="11" t="s">
        <v>20</v>
      </c>
      <c r="C1570" s="11" t="s">
        <v>1476</v>
      </c>
      <c r="D1570" s="11" t="s">
        <v>248</v>
      </c>
      <c r="E1570" s="157" t="s">
        <v>1477</v>
      </c>
      <c r="F1570" s="11" t="s">
        <v>1478</v>
      </c>
      <c r="G1570" s="11" t="s">
        <v>555</v>
      </c>
      <c r="H1570" s="11">
        <v>2016.0</v>
      </c>
      <c r="I1570" s="40">
        <v>2794.0</v>
      </c>
      <c r="J1570" s="40" t="s">
        <v>188</v>
      </c>
      <c r="K1570" s="11" t="s">
        <v>188</v>
      </c>
      <c r="L1570" s="29" t="s">
        <v>260</v>
      </c>
      <c r="M1570" s="30" t="s">
        <v>261</v>
      </c>
      <c r="N1570" s="11" t="s">
        <v>264</v>
      </c>
    </row>
    <row r="1571">
      <c r="A1571" s="11" t="s">
        <v>121</v>
      </c>
      <c r="B1571" s="11" t="s">
        <v>20</v>
      </c>
      <c r="C1571" s="11" t="s">
        <v>1476</v>
      </c>
      <c r="D1571" s="11" t="s">
        <v>248</v>
      </c>
      <c r="E1571" s="157" t="s">
        <v>1477</v>
      </c>
      <c r="F1571" s="11" t="s">
        <v>1478</v>
      </c>
      <c r="G1571" s="11" t="s">
        <v>555</v>
      </c>
      <c r="H1571" s="11">
        <v>2018.0</v>
      </c>
      <c r="I1571" s="40">
        <v>2841.0</v>
      </c>
      <c r="J1571" s="40" t="s">
        <v>188</v>
      </c>
      <c r="K1571" s="11" t="s">
        <v>188</v>
      </c>
      <c r="L1571" s="29" t="s">
        <v>260</v>
      </c>
      <c r="M1571" s="30" t="s">
        <v>261</v>
      </c>
      <c r="N1571" s="11" t="s">
        <v>264</v>
      </c>
    </row>
    <row r="1572">
      <c r="A1572" s="11" t="s">
        <v>121</v>
      </c>
      <c r="B1572" s="11" t="s">
        <v>20</v>
      </c>
      <c r="C1572" s="11" t="s">
        <v>1480</v>
      </c>
      <c r="D1572" s="11" t="s">
        <v>248</v>
      </c>
      <c r="E1572" s="157" t="s">
        <v>1481</v>
      </c>
      <c r="F1572" s="11" t="s">
        <v>1478</v>
      </c>
      <c r="G1572" s="11" t="s">
        <v>555</v>
      </c>
      <c r="H1572" s="11">
        <v>1979.0</v>
      </c>
      <c r="I1572" s="40">
        <v>4167.0</v>
      </c>
      <c r="J1572" s="40">
        <v>2841.0</v>
      </c>
      <c r="K1572" s="11">
        <v>5114.0</v>
      </c>
      <c r="L1572" s="29" t="s">
        <v>260</v>
      </c>
      <c r="M1572" s="30" t="s">
        <v>261</v>
      </c>
      <c r="N1572" s="11" t="s">
        <v>264</v>
      </c>
    </row>
    <row r="1573">
      <c r="A1573" s="11" t="s">
        <v>121</v>
      </c>
      <c r="B1573" s="11" t="s">
        <v>20</v>
      </c>
      <c r="C1573" s="11" t="s">
        <v>1480</v>
      </c>
      <c r="D1573" s="11" t="s">
        <v>248</v>
      </c>
      <c r="E1573" s="157" t="s">
        <v>1481</v>
      </c>
      <c r="F1573" s="11" t="s">
        <v>1478</v>
      </c>
      <c r="G1573" s="11" t="s">
        <v>555</v>
      </c>
      <c r="H1573" s="11">
        <v>1989.0</v>
      </c>
      <c r="I1573" s="40">
        <v>2083.0</v>
      </c>
      <c r="J1573" s="40" t="s">
        <v>188</v>
      </c>
      <c r="K1573" s="11" t="s">
        <v>188</v>
      </c>
      <c r="L1573" s="29" t="s">
        <v>260</v>
      </c>
      <c r="M1573" s="30" t="s">
        <v>261</v>
      </c>
      <c r="N1573" s="11" t="s">
        <v>264</v>
      </c>
    </row>
    <row r="1574">
      <c r="A1574" s="11" t="s">
        <v>121</v>
      </c>
      <c r="B1574" s="11" t="s">
        <v>20</v>
      </c>
      <c r="C1574" s="11" t="s">
        <v>1480</v>
      </c>
      <c r="D1574" s="11" t="s">
        <v>248</v>
      </c>
      <c r="E1574" s="157" t="s">
        <v>1481</v>
      </c>
      <c r="F1574" s="11" t="s">
        <v>1478</v>
      </c>
      <c r="G1574" s="11" t="s">
        <v>555</v>
      </c>
      <c r="H1574" s="11">
        <v>1990.0</v>
      </c>
      <c r="I1574" s="40">
        <v>1894.0</v>
      </c>
      <c r="J1574" s="40" t="s">
        <v>188</v>
      </c>
      <c r="K1574" s="11" t="s">
        <v>188</v>
      </c>
      <c r="L1574" s="29" t="s">
        <v>260</v>
      </c>
      <c r="M1574" s="30" t="s">
        <v>261</v>
      </c>
      <c r="N1574" s="11" t="s">
        <v>264</v>
      </c>
    </row>
    <row r="1575">
      <c r="A1575" s="11" t="s">
        <v>121</v>
      </c>
      <c r="B1575" s="11" t="s">
        <v>20</v>
      </c>
      <c r="C1575" s="11" t="s">
        <v>1480</v>
      </c>
      <c r="D1575" s="11" t="s">
        <v>248</v>
      </c>
      <c r="E1575" s="157" t="s">
        <v>1481</v>
      </c>
      <c r="F1575" s="11" t="s">
        <v>1478</v>
      </c>
      <c r="G1575" s="11" t="s">
        <v>555</v>
      </c>
      <c r="H1575" s="11">
        <v>1994.0</v>
      </c>
      <c r="I1575" s="40">
        <v>1326.0</v>
      </c>
      <c r="J1575" s="40" t="s">
        <v>188</v>
      </c>
      <c r="K1575" s="11" t="s">
        <v>188</v>
      </c>
      <c r="L1575" s="29" t="s">
        <v>260</v>
      </c>
      <c r="M1575" s="30" t="s">
        <v>261</v>
      </c>
      <c r="N1575" s="11" t="s">
        <v>264</v>
      </c>
    </row>
    <row r="1576">
      <c r="A1576" s="11" t="s">
        <v>121</v>
      </c>
      <c r="B1576" s="11" t="s">
        <v>20</v>
      </c>
      <c r="C1576" s="11" t="s">
        <v>1480</v>
      </c>
      <c r="D1576" s="11" t="s">
        <v>248</v>
      </c>
      <c r="E1576" s="157" t="s">
        <v>1481</v>
      </c>
      <c r="F1576" s="11" t="s">
        <v>1478</v>
      </c>
      <c r="G1576" s="11" t="s">
        <v>555</v>
      </c>
      <c r="H1576" s="11">
        <v>1997.0</v>
      </c>
      <c r="I1576" s="40">
        <v>947.0</v>
      </c>
      <c r="J1576" s="40" t="s">
        <v>188</v>
      </c>
      <c r="K1576" s="11" t="s">
        <v>188</v>
      </c>
      <c r="L1576" s="29" t="s">
        <v>260</v>
      </c>
      <c r="M1576" s="30" t="s">
        <v>261</v>
      </c>
      <c r="N1576" s="11" t="s">
        <v>264</v>
      </c>
    </row>
    <row r="1577">
      <c r="A1577" s="11" t="s">
        <v>121</v>
      </c>
      <c r="B1577" s="11" t="s">
        <v>20</v>
      </c>
      <c r="C1577" s="11" t="s">
        <v>1480</v>
      </c>
      <c r="D1577" s="11" t="s">
        <v>248</v>
      </c>
      <c r="E1577" s="157" t="s">
        <v>1481</v>
      </c>
      <c r="F1577" s="11" t="s">
        <v>1478</v>
      </c>
      <c r="G1577" s="11" t="s">
        <v>555</v>
      </c>
      <c r="H1577" s="11">
        <v>1998.0</v>
      </c>
      <c r="I1577" s="40">
        <v>758.0</v>
      </c>
      <c r="J1577" s="40" t="s">
        <v>188</v>
      </c>
      <c r="K1577" s="11" t="s">
        <v>188</v>
      </c>
      <c r="L1577" s="29" t="s">
        <v>260</v>
      </c>
      <c r="M1577" s="30" t="s">
        <v>261</v>
      </c>
      <c r="N1577" s="11" t="s">
        <v>264</v>
      </c>
    </row>
    <row r="1578">
      <c r="A1578" s="11" t="s">
        <v>121</v>
      </c>
      <c r="B1578" s="11" t="s">
        <v>20</v>
      </c>
      <c r="C1578" s="11" t="s">
        <v>1480</v>
      </c>
      <c r="D1578" s="11" t="s">
        <v>248</v>
      </c>
      <c r="E1578" s="157" t="s">
        <v>1481</v>
      </c>
      <c r="F1578" s="11" t="s">
        <v>1478</v>
      </c>
      <c r="G1578" s="11" t="s">
        <v>555</v>
      </c>
      <c r="H1578" s="11">
        <v>2002.0</v>
      </c>
      <c r="I1578" s="40">
        <v>473.0</v>
      </c>
      <c r="J1578" s="40" t="s">
        <v>188</v>
      </c>
      <c r="K1578" s="11" t="s">
        <v>188</v>
      </c>
      <c r="L1578" s="29" t="s">
        <v>260</v>
      </c>
      <c r="M1578" s="30" t="s">
        <v>261</v>
      </c>
      <c r="N1578" s="11" t="s">
        <v>264</v>
      </c>
    </row>
    <row r="1579">
      <c r="A1579" s="11" t="s">
        <v>121</v>
      </c>
      <c r="B1579" s="11" t="s">
        <v>20</v>
      </c>
      <c r="C1579" s="11" t="s">
        <v>1480</v>
      </c>
      <c r="D1579" s="11" t="s">
        <v>248</v>
      </c>
      <c r="E1579" s="157" t="s">
        <v>1481</v>
      </c>
      <c r="F1579" s="11" t="s">
        <v>1478</v>
      </c>
      <c r="G1579" s="11" t="s">
        <v>555</v>
      </c>
      <c r="H1579" s="11">
        <v>2004.0</v>
      </c>
      <c r="I1579" s="40">
        <v>379.0</v>
      </c>
      <c r="J1579" s="40" t="s">
        <v>188</v>
      </c>
      <c r="K1579" s="11" t="s">
        <v>188</v>
      </c>
      <c r="L1579" s="29" t="s">
        <v>260</v>
      </c>
      <c r="M1579" s="30" t="s">
        <v>261</v>
      </c>
      <c r="N1579" s="11" t="s">
        <v>264</v>
      </c>
    </row>
    <row r="1580">
      <c r="A1580" s="11" t="s">
        <v>121</v>
      </c>
      <c r="B1580" s="11" t="s">
        <v>20</v>
      </c>
      <c r="C1580" s="11" t="s">
        <v>1480</v>
      </c>
      <c r="D1580" s="11" t="s">
        <v>248</v>
      </c>
      <c r="E1580" s="157" t="s">
        <v>1481</v>
      </c>
      <c r="F1580" s="11" t="s">
        <v>1478</v>
      </c>
      <c r="G1580" s="11" t="s">
        <v>555</v>
      </c>
      <c r="H1580" s="11">
        <v>2005.0</v>
      </c>
      <c r="I1580" s="40">
        <v>331.0</v>
      </c>
      <c r="J1580" s="40" t="s">
        <v>188</v>
      </c>
      <c r="K1580" s="11" t="s">
        <v>188</v>
      </c>
      <c r="L1580" s="29" t="s">
        <v>260</v>
      </c>
      <c r="M1580" s="30" t="s">
        <v>261</v>
      </c>
      <c r="N1580" s="11" t="s">
        <v>264</v>
      </c>
    </row>
    <row r="1581">
      <c r="A1581" s="11" t="s">
        <v>121</v>
      </c>
      <c r="B1581" s="11" t="s">
        <v>20</v>
      </c>
      <c r="C1581" s="11" t="s">
        <v>1480</v>
      </c>
      <c r="D1581" s="11" t="s">
        <v>248</v>
      </c>
      <c r="E1581" s="157" t="s">
        <v>1481</v>
      </c>
      <c r="F1581" s="11" t="s">
        <v>1478</v>
      </c>
      <c r="G1581" s="11" t="s">
        <v>555</v>
      </c>
      <c r="H1581" s="11">
        <v>2008.0</v>
      </c>
      <c r="I1581" s="40">
        <v>189.0</v>
      </c>
      <c r="J1581" s="40" t="s">
        <v>188</v>
      </c>
      <c r="K1581" s="11" t="s">
        <v>188</v>
      </c>
      <c r="L1581" s="29" t="s">
        <v>260</v>
      </c>
      <c r="M1581" s="30" t="s">
        <v>261</v>
      </c>
      <c r="N1581" s="11" t="s">
        <v>264</v>
      </c>
    </row>
    <row r="1582">
      <c r="A1582" s="11" t="s">
        <v>121</v>
      </c>
      <c r="B1582" s="11" t="s">
        <v>20</v>
      </c>
      <c r="C1582" s="11" t="s">
        <v>1480</v>
      </c>
      <c r="D1582" s="11" t="s">
        <v>248</v>
      </c>
      <c r="E1582" s="157" t="s">
        <v>1481</v>
      </c>
      <c r="F1582" s="11" t="s">
        <v>1478</v>
      </c>
      <c r="G1582" s="11" t="s">
        <v>555</v>
      </c>
      <c r="H1582" s="11">
        <v>2009.0</v>
      </c>
      <c r="I1582" s="40">
        <v>189.0</v>
      </c>
      <c r="J1582" s="40" t="s">
        <v>188</v>
      </c>
      <c r="K1582" s="11" t="s">
        <v>188</v>
      </c>
      <c r="L1582" s="29" t="s">
        <v>260</v>
      </c>
      <c r="M1582" s="30" t="s">
        <v>261</v>
      </c>
      <c r="N1582" s="11" t="s">
        <v>264</v>
      </c>
    </row>
    <row r="1583">
      <c r="A1583" s="11" t="s">
        <v>121</v>
      </c>
      <c r="B1583" s="11" t="s">
        <v>20</v>
      </c>
      <c r="C1583" s="11" t="s">
        <v>1480</v>
      </c>
      <c r="D1583" s="11" t="s">
        <v>248</v>
      </c>
      <c r="E1583" s="157" t="s">
        <v>1481</v>
      </c>
      <c r="F1583" s="11" t="s">
        <v>1478</v>
      </c>
      <c r="G1583" s="11" t="s">
        <v>555</v>
      </c>
      <c r="H1583" s="11">
        <v>2011.0</v>
      </c>
      <c r="I1583" s="40">
        <v>189.0</v>
      </c>
      <c r="J1583" s="40" t="s">
        <v>188</v>
      </c>
      <c r="K1583" s="11" t="s">
        <v>188</v>
      </c>
      <c r="L1583" s="29" t="s">
        <v>260</v>
      </c>
      <c r="M1583" s="30" t="s">
        <v>261</v>
      </c>
      <c r="N1583" s="11" t="s">
        <v>264</v>
      </c>
    </row>
    <row r="1584">
      <c r="A1584" s="11" t="s">
        <v>121</v>
      </c>
      <c r="B1584" s="11" t="s">
        <v>20</v>
      </c>
      <c r="C1584" s="11" t="s">
        <v>1480</v>
      </c>
      <c r="D1584" s="11" t="s">
        <v>248</v>
      </c>
      <c r="E1584" s="157" t="s">
        <v>1481</v>
      </c>
      <c r="F1584" s="11" t="s">
        <v>1478</v>
      </c>
      <c r="G1584" s="11" t="s">
        <v>555</v>
      </c>
      <c r="H1584" s="11">
        <v>2012.0</v>
      </c>
      <c r="I1584" s="40">
        <v>189.0</v>
      </c>
      <c r="J1584" s="40" t="s">
        <v>188</v>
      </c>
      <c r="K1584" s="11" t="s">
        <v>188</v>
      </c>
      <c r="L1584" s="29" t="s">
        <v>260</v>
      </c>
      <c r="M1584" s="30" t="s">
        <v>261</v>
      </c>
      <c r="N1584" s="11" t="s">
        <v>264</v>
      </c>
    </row>
    <row r="1585">
      <c r="A1585" s="11" t="s">
        <v>121</v>
      </c>
      <c r="B1585" s="11" t="s">
        <v>20</v>
      </c>
      <c r="C1585" s="11" t="s">
        <v>1480</v>
      </c>
      <c r="D1585" s="11" t="s">
        <v>248</v>
      </c>
      <c r="E1585" s="157" t="s">
        <v>1481</v>
      </c>
      <c r="F1585" s="11" t="s">
        <v>1478</v>
      </c>
      <c r="G1585" s="11" t="s">
        <v>555</v>
      </c>
      <c r="H1585" s="11">
        <v>2013.0</v>
      </c>
      <c r="I1585" s="40">
        <v>142.0</v>
      </c>
      <c r="J1585" s="40" t="s">
        <v>188</v>
      </c>
      <c r="K1585" s="11" t="s">
        <v>188</v>
      </c>
      <c r="L1585" s="29" t="s">
        <v>260</v>
      </c>
      <c r="M1585" s="30" t="s">
        <v>261</v>
      </c>
      <c r="N1585" s="11" t="s">
        <v>264</v>
      </c>
    </row>
    <row r="1586">
      <c r="A1586" s="11" t="s">
        <v>121</v>
      </c>
      <c r="B1586" s="11" t="s">
        <v>20</v>
      </c>
      <c r="C1586" s="11" t="s">
        <v>1480</v>
      </c>
      <c r="D1586" s="11" t="s">
        <v>248</v>
      </c>
      <c r="E1586" s="157" t="s">
        <v>1481</v>
      </c>
      <c r="F1586" s="11" t="s">
        <v>1478</v>
      </c>
      <c r="G1586" s="11" t="s">
        <v>555</v>
      </c>
      <c r="H1586" s="11">
        <v>2014.0</v>
      </c>
      <c r="I1586" s="40">
        <v>95.0</v>
      </c>
      <c r="J1586" s="40" t="s">
        <v>188</v>
      </c>
      <c r="K1586" s="11" t="s">
        <v>188</v>
      </c>
      <c r="L1586" s="29" t="s">
        <v>260</v>
      </c>
      <c r="M1586" s="30" t="s">
        <v>261</v>
      </c>
      <c r="N1586" s="11" t="s">
        <v>264</v>
      </c>
    </row>
    <row r="1587">
      <c r="A1587" s="11" t="s">
        <v>121</v>
      </c>
      <c r="B1587" s="11" t="s">
        <v>20</v>
      </c>
      <c r="C1587" s="11" t="s">
        <v>1480</v>
      </c>
      <c r="D1587" s="11" t="s">
        <v>248</v>
      </c>
      <c r="E1587" s="157" t="s">
        <v>1481</v>
      </c>
      <c r="F1587" s="11" t="s">
        <v>1478</v>
      </c>
      <c r="G1587" s="11" t="s">
        <v>555</v>
      </c>
      <c r="H1587" s="11">
        <v>2016.0</v>
      </c>
      <c r="I1587" s="40">
        <v>189.0</v>
      </c>
      <c r="J1587" s="40" t="s">
        <v>188</v>
      </c>
      <c r="K1587" s="11" t="s">
        <v>188</v>
      </c>
      <c r="L1587" s="29" t="s">
        <v>260</v>
      </c>
      <c r="M1587" s="30" t="s">
        <v>261</v>
      </c>
      <c r="N1587" s="11" t="s">
        <v>264</v>
      </c>
    </row>
    <row r="1588">
      <c r="A1588" s="11" t="s">
        <v>121</v>
      </c>
      <c r="B1588" s="11" t="s">
        <v>20</v>
      </c>
      <c r="C1588" s="11" t="s">
        <v>1480</v>
      </c>
      <c r="D1588" s="11" t="s">
        <v>248</v>
      </c>
      <c r="E1588" s="157" t="s">
        <v>1481</v>
      </c>
      <c r="F1588" s="11" t="s">
        <v>1478</v>
      </c>
      <c r="G1588" s="11" t="s">
        <v>555</v>
      </c>
      <c r="H1588" s="11">
        <v>2017.0</v>
      </c>
      <c r="I1588" s="40">
        <v>95.0</v>
      </c>
      <c r="J1588" s="40" t="s">
        <v>188</v>
      </c>
      <c r="K1588" s="11" t="s">
        <v>188</v>
      </c>
      <c r="L1588" s="29" t="s">
        <v>260</v>
      </c>
      <c r="M1588" s="30" t="s">
        <v>261</v>
      </c>
      <c r="N1588" s="11" t="s">
        <v>264</v>
      </c>
    </row>
    <row r="1589">
      <c r="A1589" s="11" t="s">
        <v>121</v>
      </c>
      <c r="B1589" s="11" t="s">
        <v>20</v>
      </c>
      <c r="C1589" s="11" t="s">
        <v>1480</v>
      </c>
      <c r="D1589" s="11" t="s">
        <v>248</v>
      </c>
      <c r="E1589" s="157" t="s">
        <v>1481</v>
      </c>
      <c r="F1589" s="11" t="s">
        <v>1478</v>
      </c>
      <c r="G1589" s="11" t="s">
        <v>555</v>
      </c>
      <c r="H1589" s="11">
        <v>2018.0</v>
      </c>
      <c r="I1589" s="40">
        <v>189.0</v>
      </c>
      <c r="J1589" s="40" t="s">
        <v>188</v>
      </c>
      <c r="K1589" s="11" t="s">
        <v>188</v>
      </c>
      <c r="L1589" s="29" t="s">
        <v>260</v>
      </c>
      <c r="M1589" s="30" t="s">
        <v>261</v>
      </c>
      <c r="N1589" s="11" t="s">
        <v>264</v>
      </c>
    </row>
    <row r="1590">
      <c r="A1590" s="11" t="s">
        <v>121</v>
      </c>
      <c r="B1590" s="11" t="s">
        <v>20</v>
      </c>
      <c r="C1590" s="11" t="s">
        <v>1482</v>
      </c>
      <c r="D1590" s="11" t="s">
        <v>248</v>
      </c>
      <c r="E1590" s="157" t="s">
        <v>1483</v>
      </c>
      <c r="F1590" s="11" t="s">
        <v>1478</v>
      </c>
      <c r="G1590" s="11" t="s">
        <v>555</v>
      </c>
      <c r="H1590" s="11">
        <v>1979.0</v>
      </c>
      <c r="I1590" s="40">
        <v>8333.0</v>
      </c>
      <c r="J1590" s="40">
        <v>7197.0</v>
      </c>
      <c r="K1590" s="11">
        <v>9659.0</v>
      </c>
      <c r="L1590" s="28" t="s">
        <v>260</v>
      </c>
      <c r="M1590" s="30" t="s">
        <v>261</v>
      </c>
      <c r="N1590" s="11" t="s">
        <v>264</v>
      </c>
    </row>
    <row r="1591">
      <c r="A1591" s="11" t="s">
        <v>121</v>
      </c>
      <c r="B1591" s="11" t="s">
        <v>20</v>
      </c>
      <c r="C1591" s="11" t="s">
        <v>1482</v>
      </c>
      <c r="D1591" s="11" t="s">
        <v>248</v>
      </c>
      <c r="E1591" s="157" t="s">
        <v>1483</v>
      </c>
      <c r="F1591" s="11" t="s">
        <v>1478</v>
      </c>
      <c r="G1591" s="11" t="s">
        <v>555</v>
      </c>
      <c r="H1591" s="11">
        <v>1985.0</v>
      </c>
      <c r="I1591" s="40">
        <v>9801.0</v>
      </c>
      <c r="J1591" s="40" t="s">
        <v>188</v>
      </c>
      <c r="K1591" s="11" t="s">
        <v>188</v>
      </c>
      <c r="L1591" s="29" t="s">
        <v>260</v>
      </c>
      <c r="M1591" s="30" t="s">
        <v>261</v>
      </c>
      <c r="N1591" s="11" t="s">
        <v>264</v>
      </c>
    </row>
    <row r="1592">
      <c r="A1592" s="11" t="s">
        <v>121</v>
      </c>
      <c r="B1592" s="11" t="s">
        <v>20</v>
      </c>
      <c r="C1592" s="11" t="s">
        <v>1482</v>
      </c>
      <c r="D1592" s="11" t="s">
        <v>248</v>
      </c>
      <c r="E1592" s="157" t="s">
        <v>1483</v>
      </c>
      <c r="F1592" s="11" t="s">
        <v>1478</v>
      </c>
      <c r="G1592" s="11" t="s">
        <v>555</v>
      </c>
      <c r="H1592" s="11">
        <v>1989.0</v>
      </c>
      <c r="I1592" s="40">
        <v>4356.0</v>
      </c>
      <c r="J1592" s="40">
        <v>3788.0</v>
      </c>
      <c r="K1592" s="11">
        <v>4924.0</v>
      </c>
      <c r="L1592" s="29" t="s">
        <v>260</v>
      </c>
      <c r="M1592" s="30" t="s">
        <v>261</v>
      </c>
      <c r="N1592" s="11" t="s">
        <v>264</v>
      </c>
    </row>
    <row r="1593">
      <c r="A1593" s="11" t="s">
        <v>121</v>
      </c>
      <c r="B1593" s="11" t="s">
        <v>20</v>
      </c>
      <c r="C1593" s="11" t="s">
        <v>1482</v>
      </c>
      <c r="D1593" s="11" t="s">
        <v>248</v>
      </c>
      <c r="E1593" s="157" t="s">
        <v>1483</v>
      </c>
      <c r="F1593" s="11" t="s">
        <v>1478</v>
      </c>
      <c r="G1593" s="11" t="s">
        <v>555</v>
      </c>
      <c r="H1593" s="11">
        <v>1990.0</v>
      </c>
      <c r="I1593" s="40">
        <v>3788.0</v>
      </c>
      <c r="J1593" s="40" t="s">
        <v>188</v>
      </c>
      <c r="K1593" s="11" t="s">
        <v>188</v>
      </c>
      <c r="L1593" s="29" t="s">
        <v>260</v>
      </c>
      <c r="M1593" s="30" t="s">
        <v>261</v>
      </c>
      <c r="N1593" s="11" t="s">
        <v>264</v>
      </c>
    </row>
    <row r="1594">
      <c r="A1594" s="11" t="s">
        <v>121</v>
      </c>
      <c r="B1594" s="11" t="s">
        <v>20</v>
      </c>
      <c r="C1594" s="11" t="s">
        <v>1482</v>
      </c>
      <c r="D1594" s="11" t="s">
        <v>248</v>
      </c>
      <c r="E1594" s="157" t="s">
        <v>1483</v>
      </c>
      <c r="F1594" s="11" t="s">
        <v>1478</v>
      </c>
      <c r="G1594" s="11" t="s">
        <v>555</v>
      </c>
      <c r="H1594" s="11">
        <v>1994.0</v>
      </c>
      <c r="I1594" s="40">
        <v>3409.0</v>
      </c>
      <c r="J1594" s="40" t="s">
        <v>188</v>
      </c>
      <c r="K1594" s="11" t="s">
        <v>188</v>
      </c>
      <c r="L1594" s="29" t="s">
        <v>260</v>
      </c>
      <c r="M1594" s="30" t="s">
        <v>261</v>
      </c>
      <c r="N1594" s="11" t="s">
        <v>264</v>
      </c>
    </row>
    <row r="1595">
      <c r="A1595" s="11" t="s">
        <v>121</v>
      </c>
      <c r="B1595" s="11" t="s">
        <v>20</v>
      </c>
      <c r="C1595" s="11" t="s">
        <v>1482</v>
      </c>
      <c r="D1595" s="11" t="s">
        <v>248</v>
      </c>
      <c r="E1595" s="157" t="s">
        <v>1483</v>
      </c>
      <c r="F1595" s="11" t="s">
        <v>1478</v>
      </c>
      <c r="G1595" s="11" t="s">
        <v>555</v>
      </c>
      <c r="H1595" s="11">
        <v>1997.0</v>
      </c>
      <c r="I1595" s="40">
        <v>3220.0</v>
      </c>
      <c r="J1595" s="40" t="s">
        <v>188</v>
      </c>
      <c r="K1595" s="11" t="s">
        <v>188</v>
      </c>
      <c r="L1595" s="29" t="s">
        <v>260</v>
      </c>
      <c r="M1595" s="30" t="s">
        <v>261</v>
      </c>
      <c r="N1595" s="11" t="s">
        <v>264</v>
      </c>
    </row>
    <row r="1596">
      <c r="A1596" s="11" t="s">
        <v>121</v>
      </c>
      <c r="B1596" s="11" t="s">
        <v>20</v>
      </c>
      <c r="C1596" s="11" t="s">
        <v>1482</v>
      </c>
      <c r="D1596" s="11" t="s">
        <v>248</v>
      </c>
      <c r="E1596" s="157" t="s">
        <v>1483</v>
      </c>
      <c r="F1596" s="11" t="s">
        <v>1478</v>
      </c>
      <c r="G1596" s="11" t="s">
        <v>555</v>
      </c>
      <c r="H1596" s="11">
        <v>1998.0</v>
      </c>
      <c r="I1596" s="40">
        <v>3030.0</v>
      </c>
      <c r="J1596" s="40" t="s">
        <v>188</v>
      </c>
      <c r="K1596" s="11" t="s">
        <v>188</v>
      </c>
      <c r="L1596" s="29" t="s">
        <v>260</v>
      </c>
      <c r="M1596" s="30" t="s">
        <v>261</v>
      </c>
      <c r="N1596" s="11" t="s">
        <v>264</v>
      </c>
    </row>
    <row r="1597">
      <c r="A1597" s="11" t="s">
        <v>121</v>
      </c>
      <c r="B1597" s="11" t="s">
        <v>20</v>
      </c>
      <c r="C1597" s="11" t="s">
        <v>1482</v>
      </c>
      <c r="D1597" s="11" t="s">
        <v>248</v>
      </c>
      <c r="E1597" s="157" t="s">
        <v>1483</v>
      </c>
      <c r="F1597" s="11" t="s">
        <v>1478</v>
      </c>
      <c r="G1597" s="11" t="s">
        <v>555</v>
      </c>
      <c r="H1597" s="11">
        <v>1999.0</v>
      </c>
      <c r="I1597" s="40">
        <v>3030.0</v>
      </c>
      <c r="J1597" s="40" t="s">
        <v>188</v>
      </c>
      <c r="K1597" s="11" t="s">
        <v>188</v>
      </c>
      <c r="L1597" s="29" t="s">
        <v>260</v>
      </c>
      <c r="M1597" s="30" t="s">
        <v>261</v>
      </c>
      <c r="N1597" s="11" t="s">
        <v>264</v>
      </c>
    </row>
    <row r="1598">
      <c r="A1598" s="11" t="s">
        <v>121</v>
      </c>
      <c r="B1598" s="11" t="s">
        <v>20</v>
      </c>
      <c r="C1598" s="11" t="s">
        <v>1482</v>
      </c>
      <c r="D1598" s="11" t="s">
        <v>248</v>
      </c>
      <c r="E1598" s="157" t="s">
        <v>1483</v>
      </c>
      <c r="F1598" s="11" t="s">
        <v>1478</v>
      </c>
      <c r="G1598" s="11" t="s">
        <v>555</v>
      </c>
      <c r="H1598" s="11">
        <v>2000.0</v>
      </c>
      <c r="I1598" s="40">
        <v>2888.0</v>
      </c>
      <c r="J1598" s="40" t="s">
        <v>188</v>
      </c>
      <c r="K1598" s="11" t="s">
        <v>188</v>
      </c>
      <c r="L1598" s="29" t="s">
        <v>260</v>
      </c>
      <c r="M1598" s="30" t="s">
        <v>261</v>
      </c>
      <c r="N1598" s="11" t="s">
        <v>264</v>
      </c>
    </row>
    <row r="1599">
      <c r="A1599" s="11" t="s">
        <v>121</v>
      </c>
      <c r="B1599" s="11" t="s">
        <v>20</v>
      </c>
      <c r="C1599" s="11" t="s">
        <v>1482</v>
      </c>
      <c r="D1599" s="11" t="s">
        <v>248</v>
      </c>
      <c r="E1599" s="157" t="s">
        <v>1483</v>
      </c>
      <c r="F1599" s="11" t="s">
        <v>1478</v>
      </c>
      <c r="G1599" s="11" t="s">
        <v>555</v>
      </c>
      <c r="H1599" s="11">
        <v>2001.0</v>
      </c>
      <c r="I1599" s="40">
        <v>2746.0</v>
      </c>
      <c r="J1599" s="40" t="s">
        <v>188</v>
      </c>
      <c r="K1599" s="11" t="s">
        <v>188</v>
      </c>
      <c r="L1599" s="29" t="s">
        <v>260</v>
      </c>
      <c r="M1599" s="30" t="s">
        <v>261</v>
      </c>
      <c r="N1599" s="11" t="s">
        <v>264</v>
      </c>
    </row>
    <row r="1600">
      <c r="A1600" s="11" t="s">
        <v>121</v>
      </c>
      <c r="B1600" s="11" t="s">
        <v>20</v>
      </c>
      <c r="C1600" s="11" t="s">
        <v>1482</v>
      </c>
      <c r="D1600" s="11" t="s">
        <v>248</v>
      </c>
      <c r="E1600" s="157" t="s">
        <v>1483</v>
      </c>
      <c r="F1600" s="11" t="s">
        <v>1478</v>
      </c>
      <c r="G1600" s="11" t="s">
        <v>555</v>
      </c>
      <c r="H1600" s="11">
        <v>2002.0</v>
      </c>
      <c r="I1600" s="40">
        <v>2888.0</v>
      </c>
      <c r="J1600" s="40" t="s">
        <v>188</v>
      </c>
      <c r="K1600" s="11" t="s">
        <v>188</v>
      </c>
      <c r="L1600" s="29" t="s">
        <v>260</v>
      </c>
      <c r="M1600" s="30" t="s">
        <v>261</v>
      </c>
      <c r="N1600" s="11" t="s">
        <v>264</v>
      </c>
    </row>
    <row r="1601">
      <c r="A1601" s="11" t="s">
        <v>121</v>
      </c>
      <c r="B1601" s="11" t="s">
        <v>20</v>
      </c>
      <c r="C1601" s="11" t="s">
        <v>1482</v>
      </c>
      <c r="D1601" s="11" t="s">
        <v>248</v>
      </c>
      <c r="E1601" s="157" t="s">
        <v>1483</v>
      </c>
      <c r="F1601" s="11" t="s">
        <v>1478</v>
      </c>
      <c r="G1601" s="11" t="s">
        <v>555</v>
      </c>
      <c r="H1601" s="11">
        <v>2004.0</v>
      </c>
      <c r="I1601" s="40">
        <v>2794.0</v>
      </c>
      <c r="J1601" s="40" t="s">
        <v>188</v>
      </c>
      <c r="K1601" s="11" t="s">
        <v>188</v>
      </c>
      <c r="L1601" s="29" t="s">
        <v>260</v>
      </c>
      <c r="M1601" s="30" t="s">
        <v>261</v>
      </c>
      <c r="N1601" s="11" t="s">
        <v>264</v>
      </c>
    </row>
    <row r="1602">
      <c r="A1602" s="11" t="s">
        <v>121</v>
      </c>
      <c r="B1602" s="11" t="s">
        <v>20</v>
      </c>
      <c r="C1602" s="11" t="s">
        <v>1482</v>
      </c>
      <c r="D1602" s="11" t="s">
        <v>248</v>
      </c>
      <c r="E1602" s="157" t="s">
        <v>1483</v>
      </c>
      <c r="F1602" s="11" t="s">
        <v>1478</v>
      </c>
      <c r="G1602" s="11" t="s">
        <v>555</v>
      </c>
      <c r="H1602" s="11">
        <v>2005.0</v>
      </c>
      <c r="I1602" s="40">
        <v>2936.0</v>
      </c>
      <c r="J1602" s="40" t="s">
        <v>188</v>
      </c>
      <c r="K1602" s="11" t="s">
        <v>188</v>
      </c>
      <c r="L1602" s="29" t="s">
        <v>260</v>
      </c>
      <c r="M1602" s="30" t="s">
        <v>261</v>
      </c>
      <c r="N1602" s="11" t="s">
        <v>264</v>
      </c>
    </row>
    <row r="1603">
      <c r="A1603" s="11" t="s">
        <v>121</v>
      </c>
      <c r="B1603" s="11" t="s">
        <v>20</v>
      </c>
      <c r="C1603" s="11" t="s">
        <v>1482</v>
      </c>
      <c r="D1603" s="11" t="s">
        <v>248</v>
      </c>
      <c r="E1603" s="157" t="s">
        <v>1483</v>
      </c>
      <c r="F1603" s="11" t="s">
        <v>1478</v>
      </c>
      <c r="G1603" s="11" t="s">
        <v>555</v>
      </c>
      <c r="H1603" s="11">
        <v>2007.0</v>
      </c>
      <c r="I1603" s="40">
        <v>2841.0</v>
      </c>
      <c r="J1603" s="40" t="s">
        <v>188</v>
      </c>
      <c r="K1603" s="11" t="s">
        <v>188</v>
      </c>
      <c r="L1603" s="29" t="s">
        <v>260</v>
      </c>
      <c r="M1603" s="30" t="s">
        <v>261</v>
      </c>
      <c r="N1603" s="11" t="s">
        <v>264</v>
      </c>
    </row>
    <row r="1604">
      <c r="A1604" s="11" t="s">
        <v>121</v>
      </c>
      <c r="B1604" s="11" t="s">
        <v>20</v>
      </c>
      <c r="C1604" s="11" t="s">
        <v>1482</v>
      </c>
      <c r="D1604" s="11" t="s">
        <v>248</v>
      </c>
      <c r="E1604" s="157" t="s">
        <v>1483</v>
      </c>
      <c r="F1604" s="11" t="s">
        <v>1478</v>
      </c>
      <c r="G1604" s="11" t="s">
        <v>555</v>
      </c>
      <c r="H1604" s="11">
        <v>2009.0</v>
      </c>
      <c r="I1604" s="40">
        <v>2746.0</v>
      </c>
      <c r="J1604" s="40" t="s">
        <v>188</v>
      </c>
      <c r="K1604" s="11" t="s">
        <v>188</v>
      </c>
      <c r="L1604" s="29" t="s">
        <v>260</v>
      </c>
      <c r="M1604" s="30" t="s">
        <v>261</v>
      </c>
      <c r="N1604" s="11" t="s">
        <v>264</v>
      </c>
    </row>
    <row r="1605">
      <c r="A1605" s="11" t="s">
        <v>121</v>
      </c>
      <c r="B1605" s="11" t="s">
        <v>20</v>
      </c>
      <c r="C1605" s="11" t="s">
        <v>1482</v>
      </c>
      <c r="D1605" s="11" t="s">
        <v>248</v>
      </c>
      <c r="E1605" s="157" t="s">
        <v>1483</v>
      </c>
      <c r="F1605" s="11" t="s">
        <v>1478</v>
      </c>
      <c r="G1605" s="11" t="s">
        <v>555</v>
      </c>
      <c r="H1605" s="11">
        <v>2010.0</v>
      </c>
      <c r="I1605" s="40">
        <v>2652.0</v>
      </c>
      <c r="J1605" s="40" t="s">
        <v>188</v>
      </c>
      <c r="K1605" s="11" t="s">
        <v>188</v>
      </c>
      <c r="L1605" s="29" t="s">
        <v>260</v>
      </c>
      <c r="M1605" s="30" t="s">
        <v>261</v>
      </c>
      <c r="N1605" s="11" t="s">
        <v>264</v>
      </c>
    </row>
    <row r="1606">
      <c r="A1606" s="11" t="s">
        <v>121</v>
      </c>
      <c r="B1606" s="11" t="s">
        <v>20</v>
      </c>
      <c r="C1606" s="11" t="s">
        <v>1482</v>
      </c>
      <c r="D1606" s="11" t="s">
        <v>248</v>
      </c>
      <c r="E1606" s="157" t="s">
        <v>1483</v>
      </c>
      <c r="F1606" s="11" t="s">
        <v>1478</v>
      </c>
      <c r="G1606" s="11" t="s">
        <v>555</v>
      </c>
      <c r="H1606" s="11">
        <v>2011.0</v>
      </c>
      <c r="I1606" s="40">
        <v>2652.0</v>
      </c>
      <c r="J1606" s="40" t="s">
        <v>188</v>
      </c>
      <c r="K1606" s="11" t="s">
        <v>188</v>
      </c>
      <c r="L1606" s="29" t="s">
        <v>260</v>
      </c>
      <c r="M1606" s="30" t="s">
        <v>261</v>
      </c>
      <c r="N1606" s="11" t="s">
        <v>264</v>
      </c>
    </row>
    <row r="1607">
      <c r="A1607" s="11" t="s">
        <v>121</v>
      </c>
      <c r="B1607" s="11" t="s">
        <v>20</v>
      </c>
      <c r="C1607" s="11" t="s">
        <v>1482</v>
      </c>
      <c r="D1607" s="11" t="s">
        <v>248</v>
      </c>
      <c r="E1607" s="157" t="s">
        <v>1483</v>
      </c>
      <c r="F1607" s="11" t="s">
        <v>1478</v>
      </c>
      <c r="G1607" s="11" t="s">
        <v>555</v>
      </c>
      <c r="H1607" s="11">
        <v>2013.0</v>
      </c>
      <c r="I1607" s="40">
        <v>2462.0</v>
      </c>
      <c r="J1607" s="40" t="s">
        <v>188</v>
      </c>
      <c r="K1607" s="11" t="s">
        <v>188</v>
      </c>
      <c r="L1607" s="29" t="s">
        <v>260</v>
      </c>
      <c r="M1607" s="30" t="s">
        <v>261</v>
      </c>
      <c r="N1607" s="11" t="s">
        <v>264</v>
      </c>
    </row>
    <row r="1608">
      <c r="A1608" s="11" t="s">
        <v>121</v>
      </c>
      <c r="B1608" s="11" t="s">
        <v>20</v>
      </c>
      <c r="C1608" s="11" t="s">
        <v>1482</v>
      </c>
      <c r="D1608" s="11" t="s">
        <v>248</v>
      </c>
      <c r="E1608" s="157" t="s">
        <v>1483</v>
      </c>
      <c r="F1608" s="11" t="s">
        <v>1478</v>
      </c>
      <c r="G1608" s="11" t="s">
        <v>555</v>
      </c>
      <c r="H1608" s="11">
        <v>2014.0</v>
      </c>
      <c r="I1608" s="40">
        <v>2462.0</v>
      </c>
      <c r="J1608" s="40" t="s">
        <v>188</v>
      </c>
      <c r="K1608" s="11" t="s">
        <v>188</v>
      </c>
      <c r="L1608" s="29" t="s">
        <v>260</v>
      </c>
      <c r="M1608" s="30" t="s">
        <v>261</v>
      </c>
      <c r="N1608" s="11" t="s">
        <v>264</v>
      </c>
    </row>
    <row r="1609">
      <c r="A1609" s="11" t="s">
        <v>121</v>
      </c>
      <c r="B1609" s="11" t="s">
        <v>20</v>
      </c>
      <c r="C1609" s="11" t="s">
        <v>1482</v>
      </c>
      <c r="D1609" s="11" t="s">
        <v>248</v>
      </c>
      <c r="E1609" s="157" t="s">
        <v>1483</v>
      </c>
      <c r="F1609" s="11" t="s">
        <v>1478</v>
      </c>
      <c r="G1609" s="11" t="s">
        <v>555</v>
      </c>
      <c r="H1609" s="11">
        <v>2015.0</v>
      </c>
      <c r="I1609" s="40">
        <v>2462.0</v>
      </c>
      <c r="J1609" s="40" t="s">
        <v>188</v>
      </c>
      <c r="K1609" s="11" t="s">
        <v>188</v>
      </c>
      <c r="L1609" s="29" t="s">
        <v>260</v>
      </c>
      <c r="M1609" s="30" t="s">
        <v>261</v>
      </c>
      <c r="N1609" s="11" t="s">
        <v>264</v>
      </c>
    </row>
    <row r="1610">
      <c r="A1610" s="11" t="s">
        <v>121</v>
      </c>
      <c r="B1610" s="11" t="s">
        <v>20</v>
      </c>
      <c r="C1610" s="11" t="s">
        <v>1482</v>
      </c>
      <c r="D1610" s="11" t="s">
        <v>248</v>
      </c>
      <c r="E1610" s="157" t="s">
        <v>1483</v>
      </c>
      <c r="F1610" s="11" t="s">
        <v>1478</v>
      </c>
      <c r="G1610" s="11" t="s">
        <v>555</v>
      </c>
      <c r="H1610" s="11">
        <v>2016.0</v>
      </c>
      <c r="I1610" s="40">
        <v>2462.0</v>
      </c>
      <c r="J1610" s="40" t="s">
        <v>188</v>
      </c>
      <c r="K1610" s="11" t="s">
        <v>188</v>
      </c>
      <c r="L1610" s="29" t="s">
        <v>260</v>
      </c>
      <c r="M1610" s="30" t="s">
        <v>261</v>
      </c>
      <c r="N1610" s="11" t="s">
        <v>264</v>
      </c>
    </row>
    <row r="1611">
      <c r="A1611" s="11" t="s">
        <v>121</v>
      </c>
      <c r="B1611" s="11" t="s">
        <v>20</v>
      </c>
      <c r="C1611" s="11" t="s">
        <v>1482</v>
      </c>
      <c r="D1611" s="11" t="s">
        <v>248</v>
      </c>
      <c r="E1611" s="157" t="s">
        <v>1483</v>
      </c>
      <c r="F1611" s="11" t="s">
        <v>1478</v>
      </c>
      <c r="G1611" s="11" t="s">
        <v>555</v>
      </c>
      <c r="H1611" s="11">
        <v>2017.0</v>
      </c>
      <c r="I1611" s="40">
        <v>2462.0</v>
      </c>
      <c r="J1611" s="40" t="s">
        <v>188</v>
      </c>
      <c r="K1611" s="11">
        <v>3030.0</v>
      </c>
      <c r="L1611" s="29" t="s">
        <v>260</v>
      </c>
      <c r="M1611" s="30" t="s">
        <v>261</v>
      </c>
      <c r="N1611" s="11" t="s">
        <v>264</v>
      </c>
    </row>
    <row r="1612">
      <c r="A1612" s="11" t="s">
        <v>121</v>
      </c>
      <c r="B1612" s="11" t="s">
        <v>20</v>
      </c>
      <c r="C1612" s="11" t="s">
        <v>1482</v>
      </c>
      <c r="D1612" s="11" t="s">
        <v>248</v>
      </c>
      <c r="E1612" s="157" t="s">
        <v>1483</v>
      </c>
      <c r="F1612" s="11" t="s">
        <v>1478</v>
      </c>
      <c r="G1612" s="11" t="s">
        <v>555</v>
      </c>
      <c r="H1612" s="11">
        <v>2018.0</v>
      </c>
      <c r="I1612" s="40">
        <v>2273.0</v>
      </c>
      <c r="J1612" s="40" t="s">
        <v>188</v>
      </c>
      <c r="K1612" s="11">
        <v>3030.0</v>
      </c>
      <c r="L1612" s="29" t="s">
        <v>260</v>
      </c>
      <c r="M1612" s="30" t="s">
        <v>261</v>
      </c>
      <c r="N1612" s="11" t="s">
        <v>264</v>
      </c>
    </row>
    <row r="1613">
      <c r="A1613" s="11" t="s">
        <v>121</v>
      </c>
      <c r="B1613" s="11" t="s">
        <v>20</v>
      </c>
      <c r="C1613" s="11" t="s">
        <v>1484</v>
      </c>
      <c r="D1613" s="11" t="s">
        <v>248</v>
      </c>
      <c r="E1613" s="157" t="s">
        <v>1485</v>
      </c>
      <c r="F1613" s="11" t="s">
        <v>1478</v>
      </c>
      <c r="G1613" s="11" t="s">
        <v>555</v>
      </c>
      <c r="H1613" s="11">
        <v>1978.0</v>
      </c>
      <c r="I1613" s="40">
        <v>8343.0</v>
      </c>
      <c r="J1613" s="40">
        <v>7206.0</v>
      </c>
      <c r="K1613" s="11">
        <v>9479.0</v>
      </c>
      <c r="L1613" s="29" t="s">
        <v>260</v>
      </c>
      <c r="M1613" s="30" t="s">
        <v>261</v>
      </c>
      <c r="N1613" s="11" t="s">
        <v>264</v>
      </c>
    </row>
    <row r="1614">
      <c r="A1614" s="11" t="s">
        <v>121</v>
      </c>
      <c r="B1614" s="11" t="s">
        <v>20</v>
      </c>
      <c r="C1614" s="11" t="s">
        <v>1484</v>
      </c>
      <c r="D1614" s="11" t="s">
        <v>248</v>
      </c>
      <c r="E1614" s="157" t="s">
        <v>1485</v>
      </c>
      <c r="F1614" s="11" t="s">
        <v>1478</v>
      </c>
      <c r="G1614" s="11" t="s">
        <v>555</v>
      </c>
      <c r="H1614" s="11">
        <v>1979.0</v>
      </c>
      <c r="I1614" s="40">
        <v>9578.0</v>
      </c>
      <c r="J1614" s="40" t="s">
        <v>188</v>
      </c>
      <c r="K1614" s="11" t="s">
        <v>188</v>
      </c>
      <c r="L1614" s="29" t="s">
        <v>260</v>
      </c>
      <c r="M1614" s="30" t="s">
        <v>261</v>
      </c>
      <c r="N1614" s="11" t="s">
        <v>264</v>
      </c>
    </row>
    <row r="1615">
      <c r="A1615" s="11" t="s">
        <v>121</v>
      </c>
      <c r="B1615" s="11" t="s">
        <v>20</v>
      </c>
      <c r="C1615" s="11" t="s">
        <v>1484</v>
      </c>
      <c r="D1615" s="11" t="s">
        <v>248</v>
      </c>
      <c r="E1615" s="157" t="s">
        <v>1485</v>
      </c>
      <c r="F1615" s="11" t="s">
        <v>1478</v>
      </c>
      <c r="G1615" s="11" t="s">
        <v>555</v>
      </c>
      <c r="H1615" s="11">
        <v>1984.0</v>
      </c>
      <c r="I1615" s="40">
        <v>5908.0</v>
      </c>
      <c r="J1615" s="40" t="s">
        <v>188</v>
      </c>
      <c r="K1615" s="11" t="s">
        <v>188</v>
      </c>
      <c r="L1615" s="29" t="s">
        <v>260</v>
      </c>
      <c r="M1615" s="30" t="s">
        <v>261</v>
      </c>
      <c r="N1615" s="11" t="s">
        <v>264</v>
      </c>
    </row>
    <row r="1616">
      <c r="A1616" s="11" t="s">
        <v>121</v>
      </c>
      <c r="B1616" s="11" t="s">
        <v>20</v>
      </c>
      <c r="C1616" s="11" t="s">
        <v>1484</v>
      </c>
      <c r="D1616" s="11" t="s">
        <v>248</v>
      </c>
      <c r="E1616" s="157" t="s">
        <v>1485</v>
      </c>
      <c r="F1616" s="11" t="s">
        <v>1478</v>
      </c>
      <c r="G1616" s="11" t="s">
        <v>555</v>
      </c>
      <c r="H1616" s="11">
        <v>1986.0</v>
      </c>
      <c r="I1616" s="40">
        <v>4165.0</v>
      </c>
      <c r="J1616" s="40">
        <v>3454.0</v>
      </c>
      <c r="K1616" s="11">
        <v>4782.0</v>
      </c>
      <c r="L1616" s="29" t="s">
        <v>260</v>
      </c>
      <c r="M1616" s="30" t="s">
        <v>261</v>
      </c>
      <c r="N1616" s="11" t="s">
        <v>264</v>
      </c>
    </row>
    <row r="1617">
      <c r="A1617" s="11" t="s">
        <v>121</v>
      </c>
      <c r="B1617" s="11" t="s">
        <v>20</v>
      </c>
      <c r="C1617" s="11" t="s">
        <v>1484</v>
      </c>
      <c r="D1617" s="11" t="s">
        <v>248</v>
      </c>
      <c r="E1617" s="157" t="s">
        <v>1485</v>
      </c>
      <c r="F1617" s="11" t="s">
        <v>1478</v>
      </c>
      <c r="G1617" s="11" t="s">
        <v>555</v>
      </c>
      <c r="H1617" s="11">
        <v>1990.0</v>
      </c>
      <c r="I1617" s="40">
        <v>2432.0</v>
      </c>
      <c r="J1617" s="40" t="s">
        <v>188</v>
      </c>
      <c r="K1617" s="11" t="s">
        <v>188</v>
      </c>
      <c r="L1617" s="29" t="s">
        <v>260</v>
      </c>
      <c r="M1617" s="30" t="s">
        <v>261</v>
      </c>
      <c r="N1617" s="11" t="s">
        <v>264</v>
      </c>
    </row>
    <row r="1618">
      <c r="A1618" s="11" t="s">
        <v>121</v>
      </c>
      <c r="B1618" s="11" t="s">
        <v>20</v>
      </c>
      <c r="C1618" s="11" t="s">
        <v>1484</v>
      </c>
      <c r="D1618" s="11" t="s">
        <v>248</v>
      </c>
      <c r="E1618" s="157" t="s">
        <v>1485</v>
      </c>
      <c r="F1618" s="11" t="s">
        <v>1478</v>
      </c>
      <c r="G1618" s="11" t="s">
        <v>555</v>
      </c>
      <c r="H1618" s="11">
        <v>1991.0</v>
      </c>
      <c r="I1618" s="40">
        <v>2295.0</v>
      </c>
      <c r="J1618" s="40" t="s">
        <v>188</v>
      </c>
      <c r="K1618" s="11" t="s">
        <v>188</v>
      </c>
      <c r="L1618" s="29" t="s">
        <v>260</v>
      </c>
      <c r="M1618" s="30" t="s">
        <v>261</v>
      </c>
      <c r="N1618" s="11" t="s">
        <v>264</v>
      </c>
    </row>
    <row r="1619">
      <c r="A1619" s="11" t="s">
        <v>121</v>
      </c>
      <c r="B1619" s="11" t="s">
        <v>20</v>
      </c>
      <c r="C1619" s="11" t="s">
        <v>1484</v>
      </c>
      <c r="D1619" s="11" t="s">
        <v>248</v>
      </c>
      <c r="E1619" s="157" t="s">
        <v>1485</v>
      </c>
      <c r="F1619" s="11" t="s">
        <v>1478</v>
      </c>
      <c r="G1619" s="11" t="s">
        <v>555</v>
      </c>
      <c r="H1619" s="11">
        <v>1992.0</v>
      </c>
      <c r="I1619" s="40">
        <v>2157.0</v>
      </c>
      <c r="J1619" s="40" t="s">
        <v>188</v>
      </c>
      <c r="K1619" s="11" t="s">
        <v>188</v>
      </c>
      <c r="L1619" s="29" t="s">
        <v>260</v>
      </c>
      <c r="M1619" s="30" t="s">
        <v>261</v>
      </c>
      <c r="N1619" s="11" t="s">
        <v>264</v>
      </c>
    </row>
    <row r="1620">
      <c r="A1620" s="11" t="s">
        <v>121</v>
      </c>
      <c r="B1620" s="11" t="s">
        <v>20</v>
      </c>
      <c r="C1620" s="11" t="s">
        <v>1484</v>
      </c>
      <c r="D1620" s="11" t="s">
        <v>248</v>
      </c>
      <c r="E1620" s="157" t="s">
        <v>1485</v>
      </c>
      <c r="F1620" s="11" t="s">
        <v>1478</v>
      </c>
      <c r="G1620" s="11" t="s">
        <v>555</v>
      </c>
      <c r="H1620" s="11">
        <v>1993.0</v>
      </c>
      <c r="I1620" s="40">
        <v>2162.0</v>
      </c>
      <c r="J1620" s="40" t="s">
        <v>188</v>
      </c>
      <c r="K1620" s="11" t="s">
        <v>188</v>
      </c>
      <c r="L1620" s="29" t="s">
        <v>260</v>
      </c>
      <c r="M1620" s="30" t="s">
        <v>261</v>
      </c>
      <c r="N1620" s="11" t="s">
        <v>264</v>
      </c>
    </row>
    <row r="1621">
      <c r="A1621" s="11" t="s">
        <v>121</v>
      </c>
      <c r="B1621" s="11" t="s">
        <v>20</v>
      </c>
      <c r="C1621" s="11" t="s">
        <v>1484</v>
      </c>
      <c r="D1621" s="11" t="s">
        <v>248</v>
      </c>
      <c r="E1621" s="157" t="s">
        <v>1485</v>
      </c>
      <c r="F1621" s="11" t="s">
        <v>1478</v>
      </c>
      <c r="G1621" s="11" t="s">
        <v>555</v>
      </c>
      <c r="H1621" s="11">
        <v>1994.0</v>
      </c>
      <c r="I1621" s="40">
        <v>1978.0</v>
      </c>
      <c r="J1621" s="40" t="s">
        <v>188</v>
      </c>
      <c r="K1621" s="11" t="s">
        <v>188</v>
      </c>
      <c r="L1621" s="29" t="s">
        <v>260</v>
      </c>
      <c r="M1621" s="30" t="s">
        <v>261</v>
      </c>
      <c r="N1621" s="11" t="s">
        <v>264</v>
      </c>
    </row>
    <row r="1622">
      <c r="A1622" s="11" t="s">
        <v>121</v>
      </c>
      <c r="B1622" s="11" t="s">
        <v>20</v>
      </c>
      <c r="C1622" s="11" t="s">
        <v>1484</v>
      </c>
      <c r="D1622" s="11" t="s">
        <v>248</v>
      </c>
      <c r="E1622" s="157" t="s">
        <v>1485</v>
      </c>
      <c r="F1622" s="11" t="s">
        <v>1478</v>
      </c>
      <c r="G1622" s="11" t="s">
        <v>555</v>
      </c>
      <c r="H1622" s="11">
        <v>1996.0</v>
      </c>
      <c r="I1622" s="40">
        <v>1891.0</v>
      </c>
      <c r="J1622" s="40" t="s">
        <v>188</v>
      </c>
      <c r="K1622" s="11" t="s">
        <v>188</v>
      </c>
      <c r="L1622" s="29" t="s">
        <v>260</v>
      </c>
      <c r="M1622" s="30" t="s">
        <v>261</v>
      </c>
      <c r="N1622" s="11" t="s">
        <v>264</v>
      </c>
    </row>
    <row r="1623">
      <c r="A1623" s="11" t="s">
        <v>121</v>
      </c>
      <c r="B1623" s="11" t="s">
        <v>20</v>
      </c>
      <c r="C1623" s="11" t="s">
        <v>1484</v>
      </c>
      <c r="D1623" s="11" t="s">
        <v>248</v>
      </c>
      <c r="E1623" s="157" t="s">
        <v>1485</v>
      </c>
      <c r="F1623" s="11" t="s">
        <v>1478</v>
      </c>
      <c r="G1623" s="11" t="s">
        <v>555</v>
      </c>
      <c r="H1623" s="11">
        <v>1998.0</v>
      </c>
      <c r="I1623" s="40">
        <v>1806.0</v>
      </c>
      <c r="J1623" s="40" t="s">
        <v>188</v>
      </c>
      <c r="K1623" s="11" t="s">
        <v>188</v>
      </c>
      <c r="L1623" s="29" t="s">
        <v>260</v>
      </c>
      <c r="M1623" s="30" t="s">
        <v>261</v>
      </c>
      <c r="N1623" s="11" t="s">
        <v>264</v>
      </c>
    </row>
    <row r="1624">
      <c r="A1624" s="11" t="s">
        <v>121</v>
      </c>
      <c r="B1624" s="11" t="s">
        <v>20</v>
      </c>
      <c r="C1624" s="11" t="s">
        <v>1484</v>
      </c>
      <c r="D1624" s="11" t="s">
        <v>248</v>
      </c>
      <c r="E1624" s="157" t="s">
        <v>1485</v>
      </c>
      <c r="F1624" s="11" t="s">
        <v>1478</v>
      </c>
      <c r="G1624" s="11" t="s">
        <v>555</v>
      </c>
      <c r="H1624" s="11">
        <v>2000.0</v>
      </c>
      <c r="I1624" s="40">
        <v>1816.0</v>
      </c>
      <c r="J1624" s="40" t="s">
        <v>188</v>
      </c>
      <c r="K1624" s="11" t="s">
        <v>188</v>
      </c>
      <c r="L1624" s="29" t="s">
        <v>260</v>
      </c>
      <c r="M1624" s="30" t="s">
        <v>261</v>
      </c>
      <c r="N1624" s="11" t="s">
        <v>264</v>
      </c>
    </row>
    <row r="1625">
      <c r="A1625" s="11" t="s">
        <v>121</v>
      </c>
      <c r="B1625" s="11" t="s">
        <v>20</v>
      </c>
      <c r="C1625" s="11" t="s">
        <v>1484</v>
      </c>
      <c r="D1625" s="11" t="s">
        <v>248</v>
      </c>
      <c r="E1625" s="157" t="s">
        <v>1485</v>
      </c>
      <c r="F1625" s="11" t="s">
        <v>1478</v>
      </c>
      <c r="G1625" s="11" t="s">
        <v>555</v>
      </c>
      <c r="H1625" s="11">
        <v>2001.0</v>
      </c>
      <c r="I1625" s="40">
        <v>1631.0</v>
      </c>
      <c r="J1625" s="40" t="s">
        <v>188</v>
      </c>
      <c r="K1625" s="11" t="s">
        <v>188</v>
      </c>
      <c r="L1625" s="29" t="s">
        <v>260</v>
      </c>
      <c r="M1625" s="30" t="s">
        <v>261</v>
      </c>
      <c r="N1625" s="11" t="s">
        <v>264</v>
      </c>
    </row>
    <row r="1626">
      <c r="A1626" s="11" t="s">
        <v>121</v>
      </c>
      <c r="B1626" s="11" t="s">
        <v>20</v>
      </c>
      <c r="C1626" s="11" t="s">
        <v>1484</v>
      </c>
      <c r="D1626" s="11" t="s">
        <v>248</v>
      </c>
      <c r="E1626" s="157" t="s">
        <v>1485</v>
      </c>
      <c r="F1626" s="11" t="s">
        <v>1478</v>
      </c>
      <c r="G1626" s="11" t="s">
        <v>555</v>
      </c>
      <c r="H1626" s="11">
        <v>2002.0</v>
      </c>
      <c r="I1626" s="40">
        <v>2014.0</v>
      </c>
      <c r="J1626" s="40" t="s">
        <v>188</v>
      </c>
      <c r="K1626" s="11" t="s">
        <v>188</v>
      </c>
      <c r="L1626" s="29" t="s">
        <v>260</v>
      </c>
      <c r="M1626" s="30" t="s">
        <v>261</v>
      </c>
      <c r="N1626" s="11" t="s">
        <v>264</v>
      </c>
    </row>
    <row r="1627">
      <c r="A1627" s="11" t="s">
        <v>121</v>
      </c>
      <c r="B1627" s="11" t="s">
        <v>20</v>
      </c>
      <c r="C1627" s="11" t="s">
        <v>1484</v>
      </c>
      <c r="D1627" s="11" t="s">
        <v>248</v>
      </c>
      <c r="E1627" s="157" t="s">
        <v>1485</v>
      </c>
      <c r="F1627" s="11" t="s">
        <v>1478</v>
      </c>
      <c r="G1627" s="11" t="s">
        <v>555</v>
      </c>
      <c r="H1627" s="11">
        <v>2003.0</v>
      </c>
      <c r="I1627" s="40">
        <v>1734.0</v>
      </c>
      <c r="J1627" s="40" t="s">
        <v>188</v>
      </c>
      <c r="K1627" s="11" t="s">
        <v>188</v>
      </c>
      <c r="L1627" s="29" t="s">
        <v>260</v>
      </c>
      <c r="M1627" s="30" t="s">
        <v>261</v>
      </c>
      <c r="N1627" s="11" t="s">
        <v>264</v>
      </c>
    </row>
    <row r="1628">
      <c r="A1628" s="11" t="s">
        <v>121</v>
      </c>
      <c r="B1628" s="11" t="s">
        <v>20</v>
      </c>
      <c r="C1628" s="11" t="s">
        <v>1484</v>
      </c>
      <c r="D1628" s="11" t="s">
        <v>248</v>
      </c>
      <c r="E1628" s="157" t="s">
        <v>1485</v>
      </c>
      <c r="F1628" s="11" t="s">
        <v>1478</v>
      </c>
      <c r="G1628" s="11" t="s">
        <v>555</v>
      </c>
      <c r="H1628" s="11">
        <v>2004.0</v>
      </c>
      <c r="I1628" s="40">
        <v>2023.0</v>
      </c>
      <c r="J1628" s="40" t="s">
        <v>188</v>
      </c>
      <c r="K1628" s="11" t="s">
        <v>188</v>
      </c>
      <c r="L1628" s="29" t="s">
        <v>260</v>
      </c>
      <c r="M1628" s="30" t="s">
        <v>261</v>
      </c>
      <c r="N1628" s="11" t="s">
        <v>264</v>
      </c>
    </row>
    <row r="1629">
      <c r="A1629" s="11" t="s">
        <v>121</v>
      </c>
      <c r="B1629" s="11" t="s">
        <v>20</v>
      </c>
      <c r="C1629" s="11" t="s">
        <v>1484</v>
      </c>
      <c r="D1629" s="11" t="s">
        <v>248</v>
      </c>
      <c r="E1629" s="157" t="s">
        <v>1485</v>
      </c>
      <c r="F1629" s="11" t="s">
        <v>1478</v>
      </c>
      <c r="G1629" s="11" t="s">
        <v>555</v>
      </c>
      <c r="H1629" s="11">
        <v>2005.0</v>
      </c>
      <c r="I1629" s="40">
        <v>2027.0</v>
      </c>
      <c r="J1629" s="40" t="s">
        <v>188</v>
      </c>
      <c r="K1629" s="11" t="s">
        <v>188</v>
      </c>
      <c r="L1629" s="29" t="s">
        <v>260</v>
      </c>
      <c r="M1629" s="30" t="s">
        <v>261</v>
      </c>
      <c r="N1629" s="11" t="s">
        <v>264</v>
      </c>
    </row>
    <row r="1630">
      <c r="A1630" s="11" t="s">
        <v>121</v>
      </c>
      <c r="B1630" s="11" t="s">
        <v>20</v>
      </c>
      <c r="C1630" s="11" t="s">
        <v>1484</v>
      </c>
      <c r="D1630" s="11" t="s">
        <v>248</v>
      </c>
      <c r="E1630" s="157" t="s">
        <v>1485</v>
      </c>
      <c r="F1630" s="11" t="s">
        <v>1478</v>
      </c>
      <c r="G1630" s="11" t="s">
        <v>555</v>
      </c>
      <c r="H1630" s="11">
        <v>2009.0</v>
      </c>
      <c r="I1630" s="40">
        <v>2614.0</v>
      </c>
      <c r="J1630" s="40" t="s">
        <v>188</v>
      </c>
      <c r="K1630" s="11" t="s">
        <v>188</v>
      </c>
      <c r="L1630" s="29" t="s">
        <v>260</v>
      </c>
      <c r="M1630" s="30" t="s">
        <v>261</v>
      </c>
      <c r="N1630" s="11" t="s">
        <v>264</v>
      </c>
    </row>
    <row r="1631">
      <c r="A1631" s="11" t="s">
        <v>121</v>
      </c>
      <c r="B1631" s="11" t="s">
        <v>20</v>
      </c>
      <c r="C1631" s="11" t="s">
        <v>1484</v>
      </c>
      <c r="D1631" s="11" t="s">
        <v>248</v>
      </c>
      <c r="E1631" s="157" t="s">
        <v>1485</v>
      </c>
      <c r="F1631" s="11" t="s">
        <v>1478</v>
      </c>
      <c r="G1631" s="11" t="s">
        <v>555</v>
      </c>
      <c r="H1631" s="11">
        <v>2011.0</v>
      </c>
      <c r="I1631" s="40">
        <v>2908.0</v>
      </c>
      <c r="J1631" s="40" t="s">
        <v>188</v>
      </c>
      <c r="K1631" s="11" t="s">
        <v>188</v>
      </c>
      <c r="L1631" s="29" t="s">
        <v>260</v>
      </c>
      <c r="M1631" s="30" t="s">
        <v>261</v>
      </c>
      <c r="N1631" s="11" t="s">
        <v>264</v>
      </c>
    </row>
    <row r="1632">
      <c r="A1632" s="11" t="s">
        <v>121</v>
      </c>
      <c r="B1632" s="11" t="s">
        <v>20</v>
      </c>
      <c r="C1632" s="11" t="s">
        <v>1484</v>
      </c>
      <c r="D1632" s="11" t="s">
        <v>248</v>
      </c>
      <c r="E1632" s="157" t="s">
        <v>1485</v>
      </c>
      <c r="F1632" s="11" t="s">
        <v>1478</v>
      </c>
      <c r="G1632" s="11" t="s">
        <v>555</v>
      </c>
      <c r="H1632" s="11">
        <v>2013.0</v>
      </c>
      <c r="I1632" s="40">
        <v>3012.0</v>
      </c>
      <c r="J1632" s="40" t="s">
        <v>188</v>
      </c>
      <c r="K1632" s="11" t="s">
        <v>188</v>
      </c>
      <c r="L1632" s="29" t="s">
        <v>260</v>
      </c>
      <c r="M1632" s="30" t="s">
        <v>261</v>
      </c>
      <c r="N1632" s="11" t="s">
        <v>264</v>
      </c>
    </row>
    <row r="1633">
      <c r="A1633" s="11" t="s">
        <v>121</v>
      </c>
      <c r="B1633" s="11" t="s">
        <v>20</v>
      </c>
      <c r="C1633" s="11" t="s">
        <v>1484</v>
      </c>
      <c r="D1633" s="11" t="s">
        <v>248</v>
      </c>
      <c r="E1633" s="157" t="s">
        <v>1485</v>
      </c>
      <c r="F1633" s="11" t="s">
        <v>1478</v>
      </c>
      <c r="G1633" s="11" t="s">
        <v>555</v>
      </c>
      <c r="H1633" s="11">
        <v>2014.0</v>
      </c>
      <c r="I1633" s="40">
        <v>2685.0</v>
      </c>
      <c r="J1633" s="40" t="s">
        <v>188</v>
      </c>
      <c r="K1633" s="11" t="s">
        <v>188</v>
      </c>
      <c r="L1633" s="29" t="s">
        <v>260</v>
      </c>
      <c r="M1633" s="30" t="s">
        <v>261</v>
      </c>
      <c r="N1633" s="11" t="s">
        <v>264</v>
      </c>
    </row>
    <row r="1634">
      <c r="A1634" s="11" t="s">
        <v>121</v>
      </c>
      <c r="B1634" s="11" t="s">
        <v>20</v>
      </c>
      <c r="C1634" s="11" t="s">
        <v>1484</v>
      </c>
      <c r="D1634" s="11" t="s">
        <v>248</v>
      </c>
      <c r="E1634" s="157" t="s">
        <v>1485</v>
      </c>
      <c r="F1634" s="11" t="s">
        <v>1478</v>
      </c>
      <c r="G1634" s="11" t="s">
        <v>555</v>
      </c>
      <c r="H1634" s="11">
        <v>2015.0</v>
      </c>
      <c r="I1634" s="40">
        <v>2926.0</v>
      </c>
      <c r="J1634" s="40" t="s">
        <v>188</v>
      </c>
      <c r="K1634" s="11">
        <v>3589.0</v>
      </c>
      <c r="L1634" s="29" t="s">
        <v>260</v>
      </c>
      <c r="M1634" s="30" t="s">
        <v>261</v>
      </c>
      <c r="N1634" s="11" t="s">
        <v>264</v>
      </c>
    </row>
    <row r="1635">
      <c r="A1635" s="11" t="s">
        <v>121</v>
      </c>
      <c r="B1635" s="11" t="s">
        <v>20</v>
      </c>
      <c r="C1635" s="11" t="s">
        <v>1484</v>
      </c>
      <c r="D1635" s="11" t="s">
        <v>248</v>
      </c>
      <c r="E1635" s="157" t="s">
        <v>1485</v>
      </c>
      <c r="F1635" s="11" t="s">
        <v>1478</v>
      </c>
      <c r="G1635" s="11" t="s">
        <v>555</v>
      </c>
      <c r="H1635" s="11">
        <v>2016.0</v>
      </c>
      <c r="I1635" s="40">
        <v>3025.0</v>
      </c>
      <c r="J1635" s="40" t="s">
        <v>188</v>
      </c>
      <c r="K1635" s="11" t="s">
        <v>188</v>
      </c>
      <c r="L1635" s="29" t="s">
        <v>260</v>
      </c>
      <c r="M1635" s="30" t="s">
        <v>261</v>
      </c>
      <c r="N1635" s="11" t="s">
        <v>264</v>
      </c>
    </row>
    <row r="1636">
      <c r="A1636" s="11" t="s">
        <v>121</v>
      </c>
      <c r="B1636" s="11" t="s">
        <v>20</v>
      </c>
      <c r="C1636" s="11" t="s">
        <v>1484</v>
      </c>
      <c r="D1636" s="11" t="s">
        <v>248</v>
      </c>
      <c r="E1636" s="157" t="s">
        <v>1485</v>
      </c>
      <c r="F1636" s="11" t="s">
        <v>1478</v>
      </c>
      <c r="G1636" s="11" t="s">
        <v>555</v>
      </c>
      <c r="H1636" s="11">
        <v>2017.0</v>
      </c>
      <c r="I1636" s="40">
        <v>3030.0</v>
      </c>
      <c r="J1636" s="40" t="s">
        <v>188</v>
      </c>
      <c r="K1636" s="11">
        <v>3602.0</v>
      </c>
      <c r="L1636" s="29" t="s">
        <v>260</v>
      </c>
      <c r="M1636" s="30" t="s">
        <v>261</v>
      </c>
      <c r="N1636" s="11" t="s">
        <v>264</v>
      </c>
    </row>
    <row r="1637">
      <c r="A1637" s="11" t="s">
        <v>121</v>
      </c>
      <c r="B1637" s="11" t="s">
        <v>20</v>
      </c>
      <c r="C1637" s="11" t="s">
        <v>1484</v>
      </c>
      <c r="D1637" s="11" t="s">
        <v>248</v>
      </c>
      <c r="E1637" s="157" t="s">
        <v>1485</v>
      </c>
      <c r="F1637" s="11" t="s">
        <v>1478</v>
      </c>
      <c r="G1637" s="11" t="s">
        <v>555</v>
      </c>
      <c r="H1637" s="11">
        <v>2018.0</v>
      </c>
      <c r="I1637" s="40">
        <v>3034.0</v>
      </c>
      <c r="J1637" s="40" t="s">
        <v>188</v>
      </c>
      <c r="K1637" s="11" t="s">
        <v>188</v>
      </c>
      <c r="L1637" s="29" t="s">
        <v>260</v>
      </c>
      <c r="M1637" s="30" t="s">
        <v>261</v>
      </c>
      <c r="N1637" s="11" t="s">
        <v>264</v>
      </c>
    </row>
    <row r="1638">
      <c r="A1638" s="11" t="s">
        <v>121</v>
      </c>
      <c r="B1638" s="11" t="s">
        <v>20</v>
      </c>
      <c r="C1638" s="11" t="s">
        <v>1484</v>
      </c>
      <c r="D1638" s="11" t="s">
        <v>248</v>
      </c>
      <c r="E1638" s="157" t="s">
        <v>1485</v>
      </c>
      <c r="F1638" s="11" t="s">
        <v>1478</v>
      </c>
      <c r="G1638" s="11" t="s">
        <v>555</v>
      </c>
      <c r="H1638" s="11">
        <v>2019.0</v>
      </c>
      <c r="I1638" s="40">
        <v>3229.0</v>
      </c>
      <c r="J1638" s="40" t="s">
        <v>188</v>
      </c>
      <c r="K1638" s="11" t="s">
        <v>188</v>
      </c>
      <c r="L1638" s="29" t="s">
        <v>260</v>
      </c>
      <c r="M1638" s="30" t="s">
        <v>261</v>
      </c>
      <c r="N1638" s="11" t="s">
        <v>264</v>
      </c>
    </row>
    <row r="1639">
      <c r="A1639" s="11" t="s">
        <v>121</v>
      </c>
      <c r="B1639" s="11" t="s">
        <v>20</v>
      </c>
      <c r="C1639" s="11" t="s">
        <v>1486</v>
      </c>
      <c r="D1639" s="11" t="s">
        <v>248</v>
      </c>
      <c r="E1639" s="157" t="s">
        <v>1487</v>
      </c>
      <c r="F1639" s="11" t="s">
        <v>1478</v>
      </c>
      <c r="G1639" s="11" t="s">
        <v>555</v>
      </c>
      <c r="H1639" s="11">
        <v>1978.0</v>
      </c>
      <c r="I1639" s="40">
        <v>568.0</v>
      </c>
      <c r="J1639" s="40" t="s">
        <v>188</v>
      </c>
      <c r="K1639" s="11" t="s">
        <v>188</v>
      </c>
      <c r="L1639" s="29" t="s">
        <v>260</v>
      </c>
      <c r="M1639" s="30" t="s">
        <v>261</v>
      </c>
      <c r="N1639" s="11" t="s">
        <v>264</v>
      </c>
    </row>
    <row r="1640">
      <c r="A1640" s="11" t="s">
        <v>121</v>
      </c>
      <c r="B1640" s="11" t="s">
        <v>20</v>
      </c>
      <c r="C1640" s="11" t="s">
        <v>1486</v>
      </c>
      <c r="D1640" s="11" t="s">
        <v>248</v>
      </c>
      <c r="E1640" s="157" t="s">
        <v>1487</v>
      </c>
      <c r="F1640" s="11" t="s">
        <v>1478</v>
      </c>
      <c r="G1640" s="11" t="s">
        <v>555</v>
      </c>
      <c r="H1640" s="11">
        <v>1989.0</v>
      </c>
      <c r="I1640" s="40">
        <v>1136.0</v>
      </c>
      <c r="J1640" s="40" t="s">
        <v>188</v>
      </c>
      <c r="K1640" s="11">
        <v>1515.0</v>
      </c>
      <c r="L1640" s="29" t="s">
        <v>260</v>
      </c>
      <c r="M1640" s="30" t="s">
        <v>261</v>
      </c>
      <c r="N1640" s="11" t="s">
        <v>264</v>
      </c>
    </row>
    <row r="1641">
      <c r="A1641" s="11" t="s">
        <v>121</v>
      </c>
      <c r="B1641" s="11" t="s">
        <v>20</v>
      </c>
      <c r="C1641" s="11" t="s">
        <v>1486</v>
      </c>
      <c r="D1641" s="11" t="s">
        <v>248</v>
      </c>
      <c r="E1641" s="157" t="s">
        <v>1487</v>
      </c>
      <c r="F1641" s="11" t="s">
        <v>1478</v>
      </c>
      <c r="G1641" s="11" t="s">
        <v>555</v>
      </c>
      <c r="H1641" s="11">
        <v>1990.0</v>
      </c>
      <c r="I1641" s="40">
        <v>1136.0</v>
      </c>
      <c r="J1641" s="40" t="s">
        <v>188</v>
      </c>
      <c r="K1641" s="11">
        <v>1515.0</v>
      </c>
      <c r="L1641" s="29" t="s">
        <v>260</v>
      </c>
      <c r="M1641" s="30" t="s">
        <v>261</v>
      </c>
      <c r="N1641" s="11" t="s">
        <v>264</v>
      </c>
    </row>
    <row r="1642">
      <c r="A1642" s="11" t="s">
        <v>121</v>
      </c>
      <c r="B1642" s="11" t="s">
        <v>20</v>
      </c>
      <c r="C1642" s="11" t="s">
        <v>1486</v>
      </c>
      <c r="D1642" s="11" t="s">
        <v>248</v>
      </c>
      <c r="E1642" s="157" t="s">
        <v>1487</v>
      </c>
      <c r="F1642" s="11" t="s">
        <v>1478</v>
      </c>
      <c r="G1642" s="11" t="s">
        <v>555</v>
      </c>
      <c r="H1642" s="11">
        <v>1991.0</v>
      </c>
      <c r="I1642" s="40">
        <v>1184.0</v>
      </c>
      <c r="J1642" s="40" t="s">
        <v>188</v>
      </c>
      <c r="K1642" s="11">
        <v>1705.0</v>
      </c>
      <c r="L1642" s="29" t="s">
        <v>260</v>
      </c>
      <c r="M1642" s="30" t="s">
        <v>261</v>
      </c>
      <c r="N1642" s="11" t="s">
        <v>264</v>
      </c>
    </row>
    <row r="1643">
      <c r="A1643" s="11" t="s">
        <v>121</v>
      </c>
      <c r="B1643" s="11" t="s">
        <v>20</v>
      </c>
      <c r="C1643" s="11" t="s">
        <v>1486</v>
      </c>
      <c r="D1643" s="11" t="s">
        <v>248</v>
      </c>
      <c r="E1643" s="157" t="s">
        <v>1487</v>
      </c>
      <c r="F1643" s="11" t="s">
        <v>1478</v>
      </c>
      <c r="G1643" s="11" t="s">
        <v>555</v>
      </c>
      <c r="H1643" s="11">
        <v>1993.0</v>
      </c>
      <c r="I1643" s="40">
        <v>1136.0</v>
      </c>
      <c r="J1643" s="40" t="s">
        <v>188</v>
      </c>
      <c r="K1643" s="11" t="s">
        <v>188</v>
      </c>
      <c r="L1643" s="29" t="s">
        <v>260</v>
      </c>
      <c r="M1643" s="30" t="s">
        <v>261</v>
      </c>
      <c r="N1643" s="11" t="s">
        <v>264</v>
      </c>
    </row>
    <row r="1644">
      <c r="A1644" s="11" t="s">
        <v>121</v>
      </c>
      <c r="B1644" s="11" t="s">
        <v>20</v>
      </c>
      <c r="C1644" s="11" t="s">
        <v>1486</v>
      </c>
      <c r="D1644" s="11" t="s">
        <v>248</v>
      </c>
      <c r="E1644" s="157" t="s">
        <v>1487</v>
      </c>
      <c r="F1644" s="11" t="s">
        <v>1478</v>
      </c>
      <c r="G1644" s="11" t="s">
        <v>555</v>
      </c>
      <c r="H1644" s="11">
        <v>1994.0</v>
      </c>
      <c r="I1644" s="40">
        <v>947.0</v>
      </c>
      <c r="J1644" s="40" t="s">
        <v>188</v>
      </c>
      <c r="K1644" s="11" t="s">
        <v>188</v>
      </c>
      <c r="L1644" s="29" t="s">
        <v>260</v>
      </c>
      <c r="M1644" s="30" t="s">
        <v>261</v>
      </c>
      <c r="N1644" s="11" t="s">
        <v>264</v>
      </c>
    </row>
    <row r="1645">
      <c r="A1645" s="11" t="s">
        <v>121</v>
      </c>
      <c r="B1645" s="11" t="s">
        <v>20</v>
      </c>
      <c r="C1645" s="11" t="s">
        <v>1486</v>
      </c>
      <c r="D1645" s="11" t="s">
        <v>248</v>
      </c>
      <c r="E1645" s="157" t="s">
        <v>1487</v>
      </c>
      <c r="F1645" s="11" t="s">
        <v>1478</v>
      </c>
      <c r="G1645" s="11" t="s">
        <v>555</v>
      </c>
      <c r="H1645" s="11">
        <v>1996.0</v>
      </c>
      <c r="I1645" s="40">
        <v>663.0</v>
      </c>
      <c r="J1645" s="40" t="s">
        <v>188</v>
      </c>
      <c r="K1645" s="11" t="s">
        <v>188</v>
      </c>
      <c r="L1645" s="29" t="s">
        <v>260</v>
      </c>
      <c r="M1645" s="30" t="s">
        <v>261</v>
      </c>
      <c r="N1645" s="11" t="s">
        <v>264</v>
      </c>
    </row>
    <row r="1646">
      <c r="A1646" s="11" t="s">
        <v>121</v>
      </c>
      <c r="B1646" s="11" t="s">
        <v>20</v>
      </c>
      <c r="C1646" s="11" t="s">
        <v>1486</v>
      </c>
      <c r="D1646" s="11" t="s">
        <v>248</v>
      </c>
      <c r="E1646" s="157" t="s">
        <v>1487</v>
      </c>
      <c r="F1646" s="11" t="s">
        <v>1478</v>
      </c>
      <c r="G1646" s="11" t="s">
        <v>555</v>
      </c>
      <c r="H1646" s="11">
        <v>1997.0</v>
      </c>
      <c r="I1646" s="40">
        <v>758.0</v>
      </c>
      <c r="J1646" s="40" t="s">
        <v>188</v>
      </c>
      <c r="K1646" s="11" t="s">
        <v>188</v>
      </c>
      <c r="L1646" s="29" t="s">
        <v>260</v>
      </c>
      <c r="M1646" s="30" t="s">
        <v>261</v>
      </c>
      <c r="N1646" s="11" t="s">
        <v>264</v>
      </c>
    </row>
    <row r="1647">
      <c r="A1647" s="11" t="s">
        <v>121</v>
      </c>
      <c r="B1647" s="11" t="s">
        <v>20</v>
      </c>
      <c r="C1647" s="11" t="s">
        <v>1486</v>
      </c>
      <c r="D1647" s="11" t="s">
        <v>248</v>
      </c>
      <c r="E1647" s="157" t="s">
        <v>1487</v>
      </c>
      <c r="F1647" s="11" t="s">
        <v>1478</v>
      </c>
      <c r="G1647" s="11" t="s">
        <v>555</v>
      </c>
      <c r="H1647" s="11">
        <v>1998.0</v>
      </c>
      <c r="I1647" s="40">
        <v>758.0</v>
      </c>
      <c r="J1647" s="40" t="s">
        <v>188</v>
      </c>
      <c r="K1647" s="11" t="s">
        <v>188</v>
      </c>
      <c r="L1647" s="29" t="s">
        <v>260</v>
      </c>
      <c r="M1647" s="30" t="s">
        <v>261</v>
      </c>
      <c r="N1647" s="11" t="s">
        <v>264</v>
      </c>
    </row>
    <row r="1648">
      <c r="A1648" s="11" t="s">
        <v>121</v>
      </c>
      <c r="B1648" s="11" t="s">
        <v>20</v>
      </c>
      <c r="C1648" s="11" t="s">
        <v>1486</v>
      </c>
      <c r="D1648" s="11" t="s">
        <v>248</v>
      </c>
      <c r="E1648" s="157" t="s">
        <v>1487</v>
      </c>
      <c r="F1648" s="11" t="s">
        <v>1478</v>
      </c>
      <c r="G1648" s="11" t="s">
        <v>555</v>
      </c>
      <c r="H1648" s="11">
        <v>2000.0</v>
      </c>
      <c r="I1648" s="40">
        <v>758.0</v>
      </c>
      <c r="J1648" s="40" t="s">
        <v>188</v>
      </c>
      <c r="K1648" s="11" t="s">
        <v>188</v>
      </c>
      <c r="L1648" s="29" t="s">
        <v>260</v>
      </c>
      <c r="M1648" s="30" t="s">
        <v>261</v>
      </c>
      <c r="N1648" s="11" t="s">
        <v>264</v>
      </c>
    </row>
    <row r="1649">
      <c r="A1649" s="11" t="s">
        <v>121</v>
      </c>
      <c r="B1649" s="11" t="s">
        <v>20</v>
      </c>
      <c r="C1649" s="11" t="s">
        <v>1486</v>
      </c>
      <c r="D1649" s="11" t="s">
        <v>248</v>
      </c>
      <c r="E1649" s="157" t="s">
        <v>1487</v>
      </c>
      <c r="F1649" s="11" t="s">
        <v>1478</v>
      </c>
      <c r="G1649" s="11" t="s">
        <v>555</v>
      </c>
      <c r="H1649" s="11">
        <v>2001.0</v>
      </c>
      <c r="I1649" s="40">
        <v>710.0</v>
      </c>
      <c r="J1649" s="40" t="s">
        <v>188</v>
      </c>
      <c r="K1649" s="11" t="s">
        <v>188</v>
      </c>
      <c r="L1649" s="29" t="s">
        <v>260</v>
      </c>
      <c r="M1649" s="30" t="s">
        <v>261</v>
      </c>
      <c r="N1649" s="11" t="s">
        <v>264</v>
      </c>
    </row>
    <row r="1650">
      <c r="A1650" s="11" t="s">
        <v>121</v>
      </c>
      <c r="B1650" s="11" t="s">
        <v>20</v>
      </c>
      <c r="C1650" s="11" t="s">
        <v>1486</v>
      </c>
      <c r="D1650" s="11" t="s">
        <v>248</v>
      </c>
      <c r="E1650" s="157" t="s">
        <v>1487</v>
      </c>
      <c r="F1650" s="11" t="s">
        <v>1478</v>
      </c>
      <c r="G1650" s="11" t="s">
        <v>555</v>
      </c>
      <c r="H1650" s="11">
        <v>2002.0</v>
      </c>
      <c r="I1650" s="40">
        <v>663.0</v>
      </c>
      <c r="J1650" s="40" t="s">
        <v>188</v>
      </c>
      <c r="K1650" s="11" t="s">
        <v>188</v>
      </c>
      <c r="L1650" s="29" t="s">
        <v>260</v>
      </c>
      <c r="M1650" s="30" t="s">
        <v>261</v>
      </c>
      <c r="N1650" s="11" t="s">
        <v>264</v>
      </c>
    </row>
    <row r="1651">
      <c r="A1651" s="11" t="s">
        <v>121</v>
      </c>
      <c r="B1651" s="11" t="s">
        <v>20</v>
      </c>
      <c r="C1651" s="11" t="s">
        <v>1486</v>
      </c>
      <c r="D1651" s="11" t="s">
        <v>248</v>
      </c>
      <c r="E1651" s="157" t="s">
        <v>1487</v>
      </c>
      <c r="F1651" s="11" t="s">
        <v>1478</v>
      </c>
      <c r="G1651" s="11" t="s">
        <v>555</v>
      </c>
      <c r="H1651" s="11">
        <v>2003.0</v>
      </c>
      <c r="I1651" s="40">
        <v>758.0</v>
      </c>
      <c r="J1651" s="40" t="s">
        <v>188</v>
      </c>
      <c r="K1651" s="11" t="s">
        <v>188</v>
      </c>
      <c r="L1651" s="29" t="s">
        <v>260</v>
      </c>
      <c r="M1651" s="30" t="s">
        <v>261</v>
      </c>
      <c r="N1651" s="11" t="s">
        <v>264</v>
      </c>
    </row>
    <row r="1652">
      <c r="A1652" s="11" t="s">
        <v>121</v>
      </c>
      <c r="B1652" s="11" t="s">
        <v>20</v>
      </c>
      <c r="C1652" s="11" t="s">
        <v>1486</v>
      </c>
      <c r="D1652" s="11" t="s">
        <v>248</v>
      </c>
      <c r="E1652" s="157" t="s">
        <v>1487</v>
      </c>
      <c r="F1652" s="11" t="s">
        <v>1478</v>
      </c>
      <c r="G1652" s="11" t="s">
        <v>555</v>
      </c>
      <c r="H1652" s="11">
        <v>2004.0</v>
      </c>
      <c r="I1652" s="40">
        <v>758.0</v>
      </c>
      <c r="J1652" s="40" t="s">
        <v>188</v>
      </c>
      <c r="K1652" s="11" t="s">
        <v>188</v>
      </c>
      <c r="L1652" s="29" t="s">
        <v>260</v>
      </c>
      <c r="M1652" s="30" t="s">
        <v>261</v>
      </c>
      <c r="N1652" s="11" t="s">
        <v>264</v>
      </c>
    </row>
    <row r="1653">
      <c r="A1653" s="11" t="s">
        <v>121</v>
      </c>
      <c r="B1653" s="11" t="s">
        <v>20</v>
      </c>
      <c r="C1653" s="11" t="s">
        <v>1486</v>
      </c>
      <c r="D1653" s="11" t="s">
        <v>248</v>
      </c>
      <c r="E1653" s="157" t="s">
        <v>1487</v>
      </c>
      <c r="F1653" s="11" t="s">
        <v>1478</v>
      </c>
      <c r="G1653" s="11" t="s">
        <v>555</v>
      </c>
      <c r="H1653" s="11">
        <v>2005.0</v>
      </c>
      <c r="I1653" s="40">
        <v>758.0</v>
      </c>
      <c r="J1653" s="40" t="s">
        <v>188</v>
      </c>
      <c r="K1653" s="11" t="s">
        <v>188</v>
      </c>
      <c r="L1653" s="29" t="s">
        <v>260</v>
      </c>
      <c r="M1653" s="30" t="s">
        <v>261</v>
      </c>
      <c r="N1653" s="11" t="s">
        <v>264</v>
      </c>
    </row>
    <row r="1654">
      <c r="A1654" s="11" t="s">
        <v>121</v>
      </c>
      <c r="B1654" s="11" t="s">
        <v>20</v>
      </c>
      <c r="C1654" s="11" t="s">
        <v>1486</v>
      </c>
      <c r="D1654" s="11" t="s">
        <v>248</v>
      </c>
      <c r="E1654" s="157" t="s">
        <v>1487</v>
      </c>
      <c r="F1654" s="11" t="s">
        <v>1478</v>
      </c>
      <c r="G1654" s="11" t="s">
        <v>555</v>
      </c>
      <c r="H1654" s="11">
        <v>2009.0</v>
      </c>
      <c r="I1654" s="40">
        <v>1089.0</v>
      </c>
      <c r="J1654" s="40" t="s">
        <v>188</v>
      </c>
      <c r="K1654" s="11" t="s">
        <v>188</v>
      </c>
      <c r="L1654" s="29" t="s">
        <v>260</v>
      </c>
      <c r="M1654" s="30" t="s">
        <v>261</v>
      </c>
      <c r="N1654" s="11" t="s">
        <v>264</v>
      </c>
    </row>
    <row r="1655">
      <c r="A1655" s="11" t="s">
        <v>121</v>
      </c>
      <c r="B1655" s="11" t="s">
        <v>20</v>
      </c>
      <c r="C1655" s="11" t="s">
        <v>1486</v>
      </c>
      <c r="D1655" s="11" t="s">
        <v>248</v>
      </c>
      <c r="E1655" s="157" t="s">
        <v>1487</v>
      </c>
      <c r="F1655" s="11" t="s">
        <v>1478</v>
      </c>
      <c r="G1655" s="11" t="s">
        <v>555</v>
      </c>
      <c r="H1655" s="11">
        <v>2010.0</v>
      </c>
      <c r="I1655" s="40">
        <v>947.0</v>
      </c>
      <c r="J1655" s="40" t="s">
        <v>188</v>
      </c>
      <c r="K1655" s="11" t="s">
        <v>188</v>
      </c>
      <c r="L1655" s="29" t="s">
        <v>260</v>
      </c>
      <c r="M1655" s="30" t="s">
        <v>261</v>
      </c>
      <c r="N1655" s="11" t="s">
        <v>264</v>
      </c>
    </row>
    <row r="1656">
      <c r="A1656" s="11" t="s">
        <v>121</v>
      </c>
      <c r="B1656" s="11" t="s">
        <v>20</v>
      </c>
      <c r="C1656" s="11" t="s">
        <v>1486</v>
      </c>
      <c r="D1656" s="11" t="s">
        <v>248</v>
      </c>
      <c r="E1656" s="157" t="s">
        <v>1487</v>
      </c>
      <c r="F1656" s="11" t="s">
        <v>1478</v>
      </c>
      <c r="G1656" s="11" t="s">
        <v>555</v>
      </c>
      <c r="H1656" s="11">
        <v>2011.0</v>
      </c>
      <c r="I1656" s="40">
        <v>1136.0</v>
      </c>
      <c r="J1656" s="40" t="s">
        <v>188</v>
      </c>
      <c r="K1656" s="11" t="s">
        <v>188</v>
      </c>
      <c r="L1656" s="29" t="s">
        <v>260</v>
      </c>
      <c r="M1656" s="30" t="s">
        <v>261</v>
      </c>
      <c r="N1656" s="11" t="s">
        <v>264</v>
      </c>
    </row>
    <row r="1657">
      <c r="A1657" s="11" t="s">
        <v>121</v>
      </c>
      <c r="B1657" s="11" t="s">
        <v>20</v>
      </c>
      <c r="C1657" s="11" t="s">
        <v>1486</v>
      </c>
      <c r="D1657" s="11" t="s">
        <v>248</v>
      </c>
      <c r="E1657" s="157" t="s">
        <v>1487</v>
      </c>
      <c r="F1657" s="11" t="s">
        <v>1478</v>
      </c>
      <c r="G1657" s="11" t="s">
        <v>555</v>
      </c>
      <c r="H1657" s="11">
        <v>2013.0</v>
      </c>
      <c r="I1657" s="40">
        <v>1231.0</v>
      </c>
      <c r="J1657" s="40" t="s">
        <v>188</v>
      </c>
      <c r="K1657" s="11" t="s">
        <v>188</v>
      </c>
      <c r="L1657" s="29" t="s">
        <v>260</v>
      </c>
      <c r="M1657" s="30" t="s">
        <v>261</v>
      </c>
      <c r="N1657" s="11" t="s">
        <v>264</v>
      </c>
    </row>
    <row r="1658">
      <c r="A1658" s="11" t="s">
        <v>121</v>
      </c>
      <c r="B1658" s="11" t="s">
        <v>20</v>
      </c>
      <c r="C1658" s="11" t="s">
        <v>1486</v>
      </c>
      <c r="D1658" s="11" t="s">
        <v>248</v>
      </c>
      <c r="E1658" s="157" t="s">
        <v>1487</v>
      </c>
      <c r="F1658" s="11" t="s">
        <v>1478</v>
      </c>
      <c r="G1658" s="11" t="s">
        <v>555</v>
      </c>
      <c r="H1658" s="11">
        <v>2015.0</v>
      </c>
      <c r="I1658" s="40">
        <v>1231.0</v>
      </c>
      <c r="J1658" s="40" t="s">
        <v>188</v>
      </c>
      <c r="K1658" s="11" t="s">
        <v>188</v>
      </c>
      <c r="L1658" s="29" t="s">
        <v>260</v>
      </c>
      <c r="M1658" s="30" t="s">
        <v>261</v>
      </c>
      <c r="N1658" s="11" t="s">
        <v>264</v>
      </c>
    </row>
    <row r="1659">
      <c r="A1659" s="11" t="s">
        <v>121</v>
      </c>
      <c r="B1659" s="11" t="s">
        <v>20</v>
      </c>
      <c r="C1659" s="11" t="s">
        <v>1486</v>
      </c>
      <c r="D1659" s="11" t="s">
        <v>248</v>
      </c>
      <c r="E1659" s="157" t="s">
        <v>1487</v>
      </c>
      <c r="F1659" s="11" t="s">
        <v>1478</v>
      </c>
      <c r="G1659" s="11" t="s">
        <v>555</v>
      </c>
      <c r="H1659" s="11">
        <v>2017.0</v>
      </c>
      <c r="I1659" s="40">
        <v>758.0</v>
      </c>
      <c r="J1659" s="40" t="s">
        <v>188</v>
      </c>
      <c r="K1659" s="11" t="s">
        <v>188</v>
      </c>
      <c r="L1659" s="29" t="s">
        <v>260</v>
      </c>
      <c r="M1659" s="30" t="s">
        <v>261</v>
      </c>
      <c r="N1659" s="11" t="s">
        <v>264</v>
      </c>
    </row>
    <row r="1660">
      <c r="A1660" s="11" t="s">
        <v>121</v>
      </c>
      <c r="B1660" s="11" t="s">
        <v>20</v>
      </c>
      <c r="C1660" s="11" t="s">
        <v>1486</v>
      </c>
      <c r="D1660" s="11" t="s">
        <v>248</v>
      </c>
      <c r="E1660" s="157" t="s">
        <v>1487</v>
      </c>
      <c r="F1660" s="11" t="s">
        <v>1478</v>
      </c>
      <c r="G1660" s="11" t="s">
        <v>555</v>
      </c>
      <c r="H1660" s="11">
        <v>2019.0</v>
      </c>
      <c r="I1660" s="40">
        <v>1184.0</v>
      </c>
      <c r="J1660" s="40" t="s">
        <v>188</v>
      </c>
      <c r="K1660" s="11" t="s">
        <v>188</v>
      </c>
      <c r="L1660" s="29" t="s">
        <v>260</v>
      </c>
      <c r="M1660" s="30" t="s">
        <v>261</v>
      </c>
      <c r="N1660" s="11" t="s">
        <v>264</v>
      </c>
    </row>
    <row r="1661">
      <c r="A1661" s="11" t="s">
        <v>121</v>
      </c>
      <c r="B1661" s="11" t="s">
        <v>20</v>
      </c>
      <c r="C1661" s="11" t="s">
        <v>1488</v>
      </c>
      <c r="D1661" s="11" t="s">
        <v>248</v>
      </c>
      <c r="E1661" s="157" t="s">
        <v>1489</v>
      </c>
      <c r="F1661" s="11" t="s">
        <v>1478</v>
      </c>
      <c r="G1661" s="11" t="s">
        <v>555</v>
      </c>
      <c r="H1661" s="11">
        <v>1978.0</v>
      </c>
      <c r="I1661" s="40">
        <v>17992.0</v>
      </c>
      <c r="J1661" s="40">
        <v>14773.0</v>
      </c>
      <c r="K1661" s="11" t="s">
        <v>188</v>
      </c>
      <c r="L1661" s="29" t="s">
        <v>260</v>
      </c>
      <c r="M1661" s="30" t="s">
        <v>261</v>
      </c>
      <c r="N1661" s="11" t="s">
        <v>264</v>
      </c>
    </row>
    <row r="1662">
      <c r="A1662" s="11" t="s">
        <v>121</v>
      </c>
      <c r="B1662" s="11" t="s">
        <v>20</v>
      </c>
      <c r="C1662" s="11" t="s">
        <v>1488</v>
      </c>
      <c r="D1662" s="11" t="s">
        <v>248</v>
      </c>
      <c r="E1662" s="157" t="s">
        <v>1489</v>
      </c>
      <c r="F1662" s="11" t="s">
        <v>1478</v>
      </c>
      <c r="G1662" s="11" t="s">
        <v>555</v>
      </c>
      <c r="H1662" s="11">
        <v>1979.0</v>
      </c>
      <c r="I1662" s="40">
        <v>18182.0</v>
      </c>
      <c r="J1662" s="40" t="s">
        <v>188</v>
      </c>
      <c r="K1662" s="11">
        <v>22348.0</v>
      </c>
      <c r="L1662" s="29" t="s">
        <v>260</v>
      </c>
      <c r="M1662" s="30" t="s">
        <v>261</v>
      </c>
      <c r="N1662" s="11" t="s">
        <v>264</v>
      </c>
    </row>
    <row r="1663">
      <c r="A1663" s="11" t="s">
        <v>121</v>
      </c>
      <c r="B1663" s="11" t="s">
        <v>20</v>
      </c>
      <c r="C1663" s="11" t="s">
        <v>1488</v>
      </c>
      <c r="D1663" s="11" t="s">
        <v>248</v>
      </c>
      <c r="E1663" s="157" t="s">
        <v>1489</v>
      </c>
      <c r="F1663" s="11" t="s">
        <v>1478</v>
      </c>
      <c r="G1663" s="11" t="s">
        <v>555</v>
      </c>
      <c r="H1663" s="11">
        <v>1984.0</v>
      </c>
      <c r="I1663" s="40">
        <v>12879.0</v>
      </c>
      <c r="J1663" s="40">
        <v>10985.0</v>
      </c>
      <c r="K1663" s="11">
        <v>15341.0</v>
      </c>
      <c r="L1663" s="29" t="s">
        <v>260</v>
      </c>
      <c r="M1663" s="30" t="s">
        <v>261</v>
      </c>
      <c r="N1663" s="11" t="s">
        <v>264</v>
      </c>
    </row>
    <row r="1664">
      <c r="A1664" s="11" t="s">
        <v>121</v>
      </c>
      <c r="B1664" s="11" t="s">
        <v>20</v>
      </c>
      <c r="C1664" s="11" t="s">
        <v>1488</v>
      </c>
      <c r="D1664" s="11" t="s">
        <v>248</v>
      </c>
      <c r="E1664" s="157" t="s">
        <v>1489</v>
      </c>
      <c r="F1664" s="11" t="s">
        <v>1478</v>
      </c>
      <c r="G1664" s="11" t="s">
        <v>555</v>
      </c>
      <c r="H1664" s="11">
        <v>1986.0</v>
      </c>
      <c r="I1664" s="40">
        <v>10985.0</v>
      </c>
      <c r="J1664" s="40">
        <v>9848.0</v>
      </c>
      <c r="K1664" s="11">
        <v>12121.0</v>
      </c>
      <c r="L1664" s="29" t="s">
        <v>260</v>
      </c>
      <c r="M1664" s="30" t="s">
        <v>261</v>
      </c>
      <c r="N1664" s="11" t="s">
        <v>264</v>
      </c>
    </row>
    <row r="1665">
      <c r="A1665" s="11" t="s">
        <v>121</v>
      </c>
      <c r="B1665" s="11" t="s">
        <v>20</v>
      </c>
      <c r="C1665" s="11" t="s">
        <v>1488</v>
      </c>
      <c r="D1665" s="11" t="s">
        <v>248</v>
      </c>
      <c r="E1665" s="157" t="s">
        <v>1489</v>
      </c>
      <c r="F1665" s="11" t="s">
        <v>1478</v>
      </c>
      <c r="G1665" s="11" t="s">
        <v>555</v>
      </c>
      <c r="H1665" s="11">
        <v>1989.0</v>
      </c>
      <c r="I1665" s="40">
        <v>6487.0</v>
      </c>
      <c r="J1665" s="40" t="s">
        <v>188</v>
      </c>
      <c r="K1665" s="11" t="s">
        <v>188</v>
      </c>
      <c r="L1665" s="29" t="s">
        <v>260</v>
      </c>
      <c r="M1665" s="30" t="s">
        <v>261</v>
      </c>
      <c r="N1665" s="11" t="s">
        <v>264</v>
      </c>
    </row>
    <row r="1666">
      <c r="A1666" s="11" t="s">
        <v>121</v>
      </c>
      <c r="B1666" s="11" t="s">
        <v>20</v>
      </c>
      <c r="C1666" s="11" t="s">
        <v>1488</v>
      </c>
      <c r="D1666" s="11" t="s">
        <v>248</v>
      </c>
      <c r="E1666" s="157" t="s">
        <v>1489</v>
      </c>
      <c r="F1666" s="11" t="s">
        <v>1478</v>
      </c>
      <c r="G1666" s="11" t="s">
        <v>555</v>
      </c>
      <c r="H1666" s="11">
        <v>1990.0</v>
      </c>
      <c r="I1666" s="40">
        <v>4924.0</v>
      </c>
      <c r="J1666" s="40" t="s">
        <v>188</v>
      </c>
      <c r="K1666" s="11" t="s">
        <v>188</v>
      </c>
      <c r="L1666" s="29" t="s">
        <v>260</v>
      </c>
      <c r="M1666" s="30" t="s">
        <v>261</v>
      </c>
      <c r="N1666" s="11" t="s">
        <v>264</v>
      </c>
    </row>
    <row r="1667">
      <c r="A1667" s="11" t="s">
        <v>121</v>
      </c>
      <c r="B1667" s="11" t="s">
        <v>20</v>
      </c>
      <c r="C1667" s="11" t="s">
        <v>1488</v>
      </c>
      <c r="D1667" s="11" t="s">
        <v>248</v>
      </c>
      <c r="E1667" s="157" t="s">
        <v>1489</v>
      </c>
      <c r="F1667" s="11" t="s">
        <v>1478</v>
      </c>
      <c r="G1667" s="11" t="s">
        <v>555</v>
      </c>
      <c r="H1667" s="11">
        <v>1991.0</v>
      </c>
      <c r="I1667" s="40">
        <v>4545.0</v>
      </c>
      <c r="J1667" s="40">
        <v>3977.0</v>
      </c>
      <c r="K1667" s="11">
        <v>5303.0</v>
      </c>
      <c r="L1667" s="29" t="s">
        <v>260</v>
      </c>
      <c r="M1667" s="30" t="s">
        <v>261</v>
      </c>
      <c r="N1667" s="11" t="s">
        <v>264</v>
      </c>
    </row>
    <row r="1668">
      <c r="A1668" s="11" t="s">
        <v>121</v>
      </c>
      <c r="B1668" s="11" t="s">
        <v>20</v>
      </c>
      <c r="C1668" s="11" t="s">
        <v>1488</v>
      </c>
      <c r="D1668" s="11" t="s">
        <v>248</v>
      </c>
      <c r="E1668" s="157" t="s">
        <v>1489</v>
      </c>
      <c r="F1668" s="11" t="s">
        <v>1478</v>
      </c>
      <c r="G1668" s="11" t="s">
        <v>555</v>
      </c>
      <c r="H1668" s="11">
        <v>1992.0</v>
      </c>
      <c r="I1668" s="40">
        <v>3598.0</v>
      </c>
      <c r="J1668" s="40" t="s">
        <v>188</v>
      </c>
      <c r="K1668" s="11" t="s">
        <v>188</v>
      </c>
      <c r="L1668" s="29" t="s">
        <v>260</v>
      </c>
      <c r="M1668" s="30" t="s">
        <v>261</v>
      </c>
      <c r="N1668" s="11" t="s">
        <v>264</v>
      </c>
    </row>
    <row r="1669">
      <c r="A1669" s="11" t="s">
        <v>121</v>
      </c>
      <c r="B1669" s="11" t="s">
        <v>20</v>
      </c>
      <c r="C1669" s="11" t="s">
        <v>1488</v>
      </c>
      <c r="D1669" s="11" t="s">
        <v>248</v>
      </c>
      <c r="E1669" s="157" t="s">
        <v>1489</v>
      </c>
      <c r="F1669" s="11" t="s">
        <v>1478</v>
      </c>
      <c r="G1669" s="11" t="s">
        <v>555</v>
      </c>
      <c r="H1669" s="11">
        <v>1993.0</v>
      </c>
      <c r="I1669" s="40">
        <v>3220.0</v>
      </c>
      <c r="J1669" s="40">
        <v>2841.0</v>
      </c>
      <c r="K1669" s="11">
        <v>3788.0</v>
      </c>
      <c r="L1669" s="29" t="s">
        <v>260</v>
      </c>
      <c r="M1669" s="30" t="s">
        <v>261</v>
      </c>
      <c r="N1669" s="11" t="s">
        <v>264</v>
      </c>
    </row>
    <row r="1670">
      <c r="A1670" s="11" t="s">
        <v>121</v>
      </c>
      <c r="B1670" s="11" t="s">
        <v>20</v>
      </c>
      <c r="C1670" s="11" t="s">
        <v>1488</v>
      </c>
      <c r="D1670" s="11" t="s">
        <v>248</v>
      </c>
      <c r="E1670" s="157" t="s">
        <v>1489</v>
      </c>
      <c r="F1670" s="11" t="s">
        <v>1478</v>
      </c>
      <c r="G1670" s="11" t="s">
        <v>555</v>
      </c>
      <c r="H1670" s="11">
        <v>1994.0</v>
      </c>
      <c r="I1670" s="40">
        <v>2983.0</v>
      </c>
      <c r="J1670" s="40" t="s">
        <v>188</v>
      </c>
      <c r="K1670" s="11" t="s">
        <v>188</v>
      </c>
      <c r="L1670" s="29" t="s">
        <v>260</v>
      </c>
      <c r="M1670" s="30" t="s">
        <v>261</v>
      </c>
      <c r="N1670" s="11" t="s">
        <v>264</v>
      </c>
    </row>
    <row r="1671">
      <c r="A1671" s="11" t="s">
        <v>121</v>
      </c>
      <c r="B1671" s="11" t="s">
        <v>20</v>
      </c>
      <c r="C1671" s="11" t="s">
        <v>1488</v>
      </c>
      <c r="D1671" s="11" t="s">
        <v>248</v>
      </c>
      <c r="E1671" s="157" t="s">
        <v>1489</v>
      </c>
      <c r="F1671" s="11" t="s">
        <v>1478</v>
      </c>
      <c r="G1671" s="11" t="s">
        <v>555</v>
      </c>
      <c r="H1671" s="11">
        <v>1996.0</v>
      </c>
      <c r="I1671" s="40">
        <v>2273.0</v>
      </c>
      <c r="J1671" s="40" t="s">
        <v>188</v>
      </c>
      <c r="K1671" s="11">
        <v>2841.0</v>
      </c>
      <c r="L1671" s="29" t="s">
        <v>260</v>
      </c>
      <c r="M1671" s="30" t="s">
        <v>261</v>
      </c>
      <c r="N1671" s="11" t="s">
        <v>264</v>
      </c>
    </row>
    <row r="1672">
      <c r="A1672" s="11" t="s">
        <v>121</v>
      </c>
      <c r="B1672" s="11" t="s">
        <v>20</v>
      </c>
      <c r="C1672" s="11" t="s">
        <v>1488</v>
      </c>
      <c r="D1672" s="11" t="s">
        <v>248</v>
      </c>
      <c r="E1672" s="157" t="s">
        <v>1489</v>
      </c>
      <c r="F1672" s="11" t="s">
        <v>1478</v>
      </c>
      <c r="G1672" s="11" t="s">
        <v>555</v>
      </c>
      <c r="H1672" s="11">
        <v>1997.0</v>
      </c>
      <c r="I1672" s="40">
        <v>2273.0</v>
      </c>
      <c r="J1672" s="40" t="s">
        <v>188</v>
      </c>
      <c r="K1672" s="11" t="s">
        <v>188</v>
      </c>
      <c r="L1672" s="29" t="s">
        <v>260</v>
      </c>
      <c r="M1672" s="30" t="s">
        <v>261</v>
      </c>
      <c r="N1672" s="11" t="s">
        <v>264</v>
      </c>
    </row>
    <row r="1673">
      <c r="A1673" s="11" t="s">
        <v>121</v>
      </c>
      <c r="B1673" s="11" t="s">
        <v>20</v>
      </c>
      <c r="C1673" s="11" t="s">
        <v>1488</v>
      </c>
      <c r="D1673" s="11" t="s">
        <v>248</v>
      </c>
      <c r="E1673" s="157" t="s">
        <v>1489</v>
      </c>
      <c r="F1673" s="11" t="s">
        <v>1478</v>
      </c>
      <c r="G1673" s="11" t="s">
        <v>555</v>
      </c>
      <c r="H1673" s="11">
        <v>1998.0</v>
      </c>
      <c r="I1673" s="40">
        <v>1941.0</v>
      </c>
      <c r="J1673" s="40" t="s">
        <v>188</v>
      </c>
      <c r="K1673" s="11" t="s">
        <v>188</v>
      </c>
      <c r="L1673" s="29" t="s">
        <v>260</v>
      </c>
      <c r="M1673" s="30" t="s">
        <v>261</v>
      </c>
      <c r="N1673" s="11" t="s">
        <v>264</v>
      </c>
    </row>
    <row r="1674">
      <c r="A1674" s="11" t="s">
        <v>121</v>
      </c>
      <c r="B1674" s="11" t="s">
        <v>20</v>
      </c>
      <c r="C1674" s="11" t="s">
        <v>1488</v>
      </c>
      <c r="D1674" s="11" t="s">
        <v>248</v>
      </c>
      <c r="E1674" s="157" t="s">
        <v>1489</v>
      </c>
      <c r="F1674" s="11" t="s">
        <v>1478</v>
      </c>
      <c r="G1674" s="11" t="s">
        <v>555</v>
      </c>
      <c r="H1674" s="11">
        <v>2000.0</v>
      </c>
      <c r="I1674" s="40">
        <v>1989.0</v>
      </c>
      <c r="J1674" s="40" t="s">
        <v>188</v>
      </c>
      <c r="K1674" s="11" t="s">
        <v>188</v>
      </c>
      <c r="L1674" s="29" t="s">
        <v>260</v>
      </c>
      <c r="M1674" s="30" t="s">
        <v>261</v>
      </c>
      <c r="N1674" s="11" t="s">
        <v>264</v>
      </c>
    </row>
    <row r="1675">
      <c r="A1675" s="11" t="s">
        <v>121</v>
      </c>
      <c r="B1675" s="11" t="s">
        <v>20</v>
      </c>
      <c r="C1675" s="11" t="s">
        <v>1488</v>
      </c>
      <c r="D1675" s="11" t="s">
        <v>248</v>
      </c>
      <c r="E1675" s="157" t="s">
        <v>1489</v>
      </c>
      <c r="F1675" s="11" t="s">
        <v>1478</v>
      </c>
      <c r="G1675" s="11" t="s">
        <v>555</v>
      </c>
      <c r="H1675" s="11">
        <v>2001.0</v>
      </c>
      <c r="I1675" s="40">
        <v>1657.0</v>
      </c>
      <c r="J1675" s="40" t="s">
        <v>188</v>
      </c>
      <c r="K1675" s="11" t="s">
        <v>188</v>
      </c>
      <c r="L1675" s="29" t="s">
        <v>260</v>
      </c>
      <c r="M1675" s="30" t="s">
        <v>261</v>
      </c>
      <c r="N1675" s="11" t="s">
        <v>264</v>
      </c>
    </row>
    <row r="1676">
      <c r="A1676" s="11" t="s">
        <v>121</v>
      </c>
      <c r="B1676" s="11" t="s">
        <v>20</v>
      </c>
      <c r="C1676" s="11" t="s">
        <v>1488</v>
      </c>
      <c r="D1676" s="11" t="s">
        <v>248</v>
      </c>
      <c r="E1676" s="157" t="s">
        <v>1489</v>
      </c>
      <c r="F1676" s="11" t="s">
        <v>1478</v>
      </c>
      <c r="G1676" s="11" t="s">
        <v>555</v>
      </c>
      <c r="H1676" s="11">
        <v>2002.0</v>
      </c>
      <c r="I1676" s="40">
        <v>1752.0</v>
      </c>
      <c r="J1676" s="40" t="s">
        <v>188</v>
      </c>
      <c r="K1676" s="11" t="s">
        <v>188</v>
      </c>
      <c r="L1676" s="29" t="s">
        <v>260</v>
      </c>
      <c r="M1676" s="30" t="s">
        <v>261</v>
      </c>
      <c r="N1676" s="11" t="s">
        <v>264</v>
      </c>
    </row>
    <row r="1677">
      <c r="A1677" s="11" t="s">
        <v>121</v>
      </c>
      <c r="B1677" s="11" t="s">
        <v>20</v>
      </c>
      <c r="C1677" s="11" t="s">
        <v>1488</v>
      </c>
      <c r="D1677" s="11" t="s">
        <v>248</v>
      </c>
      <c r="E1677" s="157" t="s">
        <v>1489</v>
      </c>
      <c r="F1677" s="11" t="s">
        <v>1478</v>
      </c>
      <c r="G1677" s="11" t="s">
        <v>555</v>
      </c>
      <c r="H1677" s="11">
        <v>2003.0</v>
      </c>
      <c r="I1677" s="40">
        <v>1705.0</v>
      </c>
      <c r="J1677" s="40" t="s">
        <v>188</v>
      </c>
      <c r="K1677" s="11" t="s">
        <v>188</v>
      </c>
      <c r="L1677" s="29" t="s">
        <v>260</v>
      </c>
      <c r="M1677" s="30" t="s">
        <v>261</v>
      </c>
      <c r="N1677" s="11" t="s">
        <v>264</v>
      </c>
    </row>
    <row r="1678">
      <c r="A1678" s="11" t="s">
        <v>121</v>
      </c>
      <c r="B1678" s="11" t="s">
        <v>20</v>
      </c>
      <c r="C1678" s="11" t="s">
        <v>1488</v>
      </c>
      <c r="D1678" s="11" t="s">
        <v>248</v>
      </c>
      <c r="E1678" s="157" t="s">
        <v>1489</v>
      </c>
      <c r="F1678" s="11" t="s">
        <v>1478</v>
      </c>
      <c r="G1678" s="11" t="s">
        <v>555</v>
      </c>
      <c r="H1678" s="11">
        <v>2004.0</v>
      </c>
      <c r="I1678" s="40">
        <v>1705.0</v>
      </c>
      <c r="J1678" s="40" t="s">
        <v>188</v>
      </c>
      <c r="K1678" s="11" t="s">
        <v>188</v>
      </c>
      <c r="L1678" s="29" t="s">
        <v>260</v>
      </c>
      <c r="M1678" s="30" t="s">
        <v>261</v>
      </c>
      <c r="N1678" s="11" t="s">
        <v>264</v>
      </c>
    </row>
    <row r="1679">
      <c r="A1679" s="11" t="s">
        <v>121</v>
      </c>
      <c r="B1679" s="11" t="s">
        <v>20</v>
      </c>
      <c r="C1679" s="11" t="s">
        <v>1488</v>
      </c>
      <c r="D1679" s="11" t="s">
        <v>248</v>
      </c>
      <c r="E1679" s="157" t="s">
        <v>1489</v>
      </c>
      <c r="F1679" s="11" t="s">
        <v>1478</v>
      </c>
      <c r="G1679" s="11" t="s">
        <v>555</v>
      </c>
      <c r="H1679" s="11">
        <v>2005.0</v>
      </c>
      <c r="I1679" s="40">
        <v>1705.0</v>
      </c>
      <c r="J1679" s="40" t="s">
        <v>188</v>
      </c>
      <c r="K1679" s="11" t="s">
        <v>188</v>
      </c>
      <c r="L1679" s="29" t="s">
        <v>260</v>
      </c>
      <c r="M1679" s="30" t="s">
        <v>261</v>
      </c>
      <c r="N1679" s="11" t="s">
        <v>264</v>
      </c>
    </row>
    <row r="1680">
      <c r="A1680" s="11" t="s">
        <v>121</v>
      </c>
      <c r="B1680" s="11" t="s">
        <v>20</v>
      </c>
      <c r="C1680" s="11" t="s">
        <v>1488</v>
      </c>
      <c r="D1680" s="11" t="s">
        <v>248</v>
      </c>
      <c r="E1680" s="157" t="s">
        <v>1489</v>
      </c>
      <c r="F1680" s="11" t="s">
        <v>1478</v>
      </c>
      <c r="G1680" s="11" t="s">
        <v>555</v>
      </c>
      <c r="H1680" s="11">
        <v>2007.0</v>
      </c>
      <c r="I1680" s="40">
        <v>1894.0</v>
      </c>
      <c r="J1680" s="40" t="s">
        <v>188</v>
      </c>
      <c r="K1680" s="11" t="s">
        <v>188</v>
      </c>
      <c r="L1680" s="29" t="s">
        <v>260</v>
      </c>
      <c r="M1680" s="30" t="s">
        <v>261</v>
      </c>
      <c r="N1680" s="11" t="s">
        <v>264</v>
      </c>
    </row>
    <row r="1681">
      <c r="A1681" s="11" t="s">
        <v>121</v>
      </c>
      <c r="B1681" s="11" t="s">
        <v>20</v>
      </c>
      <c r="C1681" s="11" t="s">
        <v>1488</v>
      </c>
      <c r="D1681" s="11" t="s">
        <v>248</v>
      </c>
      <c r="E1681" s="157" t="s">
        <v>1489</v>
      </c>
      <c r="F1681" s="11" t="s">
        <v>1478</v>
      </c>
      <c r="G1681" s="11" t="s">
        <v>555</v>
      </c>
      <c r="H1681" s="11">
        <v>2009.0</v>
      </c>
      <c r="I1681" s="40">
        <v>1941.0</v>
      </c>
      <c r="J1681" s="40" t="s">
        <v>188</v>
      </c>
      <c r="K1681" s="11" t="s">
        <v>188</v>
      </c>
      <c r="L1681" s="29" t="s">
        <v>260</v>
      </c>
      <c r="M1681" s="30" t="s">
        <v>261</v>
      </c>
      <c r="N1681" s="11" t="s">
        <v>264</v>
      </c>
    </row>
    <row r="1682">
      <c r="A1682" s="11" t="s">
        <v>121</v>
      </c>
      <c r="B1682" s="11" t="s">
        <v>20</v>
      </c>
      <c r="C1682" s="11" t="s">
        <v>1488</v>
      </c>
      <c r="D1682" s="11" t="s">
        <v>248</v>
      </c>
      <c r="E1682" s="157" t="s">
        <v>1489</v>
      </c>
      <c r="F1682" s="11" t="s">
        <v>1478</v>
      </c>
      <c r="G1682" s="11" t="s">
        <v>555</v>
      </c>
      <c r="H1682" s="11">
        <v>2010.0</v>
      </c>
      <c r="I1682" s="40">
        <v>2083.0</v>
      </c>
      <c r="J1682" s="40" t="s">
        <v>188</v>
      </c>
      <c r="K1682" s="11" t="s">
        <v>188</v>
      </c>
      <c r="L1682" s="29" t="s">
        <v>260</v>
      </c>
      <c r="M1682" s="30" t="s">
        <v>261</v>
      </c>
      <c r="N1682" s="11" t="s">
        <v>264</v>
      </c>
    </row>
    <row r="1683">
      <c r="A1683" s="11" t="s">
        <v>121</v>
      </c>
      <c r="B1683" s="11" t="s">
        <v>20</v>
      </c>
      <c r="C1683" s="11" t="s">
        <v>1488</v>
      </c>
      <c r="D1683" s="11" t="s">
        <v>248</v>
      </c>
      <c r="E1683" s="157" t="s">
        <v>1489</v>
      </c>
      <c r="F1683" s="11" t="s">
        <v>1478</v>
      </c>
      <c r="G1683" s="11" t="s">
        <v>555</v>
      </c>
      <c r="H1683" s="11">
        <v>2011.0</v>
      </c>
      <c r="I1683" s="40">
        <v>2273.0</v>
      </c>
      <c r="J1683" s="40" t="s">
        <v>188</v>
      </c>
      <c r="K1683" s="11" t="s">
        <v>188</v>
      </c>
      <c r="L1683" s="29" t="s">
        <v>260</v>
      </c>
      <c r="M1683" s="30" t="s">
        <v>261</v>
      </c>
      <c r="N1683" s="11" t="s">
        <v>264</v>
      </c>
    </row>
    <row r="1684">
      <c r="A1684" s="11" t="s">
        <v>121</v>
      </c>
      <c r="B1684" s="11" t="s">
        <v>20</v>
      </c>
      <c r="C1684" s="11" t="s">
        <v>1488</v>
      </c>
      <c r="D1684" s="11" t="s">
        <v>248</v>
      </c>
      <c r="E1684" s="157" t="s">
        <v>1489</v>
      </c>
      <c r="F1684" s="11" t="s">
        <v>1478</v>
      </c>
      <c r="G1684" s="11" t="s">
        <v>555</v>
      </c>
      <c r="H1684" s="11">
        <v>2013.0</v>
      </c>
      <c r="I1684" s="40">
        <v>2652.0</v>
      </c>
      <c r="J1684" s="40" t="s">
        <v>188</v>
      </c>
      <c r="K1684" s="11" t="s">
        <v>188</v>
      </c>
      <c r="L1684" s="29" t="s">
        <v>260</v>
      </c>
      <c r="M1684" s="30" t="s">
        <v>261</v>
      </c>
      <c r="N1684" s="11" t="s">
        <v>264</v>
      </c>
    </row>
    <row r="1685" ht="1.5" customHeight="1">
      <c r="A1685" s="11" t="s">
        <v>121</v>
      </c>
      <c r="B1685" s="11" t="s">
        <v>20</v>
      </c>
      <c r="C1685" s="11" t="s">
        <v>1488</v>
      </c>
      <c r="D1685" s="11" t="s">
        <v>248</v>
      </c>
      <c r="E1685" s="157" t="s">
        <v>1489</v>
      </c>
      <c r="F1685" s="11" t="s">
        <v>1478</v>
      </c>
      <c r="G1685" s="11" t="s">
        <v>555</v>
      </c>
      <c r="H1685" s="11">
        <v>2015.0</v>
      </c>
      <c r="I1685" s="40">
        <v>2699.0</v>
      </c>
      <c r="J1685" s="40" t="s">
        <v>188</v>
      </c>
      <c r="K1685" s="11" t="s">
        <v>188</v>
      </c>
      <c r="L1685" s="29" t="s">
        <v>260</v>
      </c>
      <c r="M1685" s="30" t="s">
        <v>261</v>
      </c>
      <c r="N1685" s="11" t="s">
        <v>264</v>
      </c>
    </row>
    <row r="1686">
      <c r="A1686" s="11" t="s">
        <v>121</v>
      </c>
      <c r="B1686" s="11" t="s">
        <v>20</v>
      </c>
      <c r="C1686" s="11" t="s">
        <v>1488</v>
      </c>
      <c r="D1686" s="11" t="s">
        <v>248</v>
      </c>
      <c r="E1686" s="157" t="s">
        <v>1489</v>
      </c>
      <c r="F1686" s="11" t="s">
        <v>1478</v>
      </c>
      <c r="G1686" s="11" t="s">
        <v>555</v>
      </c>
      <c r="H1686" s="11">
        <v>2017.0</v>
      </c>
      <c r="I1686" s="40">
        <v>2225.0</v>
      </c>
      <c r="J1686" s="40" t="s">
        <v>188</v>
      </c>
      <c r="K1686" s="11" t="s">
        <v>188</v>
      </c>
      <c r="L1686" s="29" t="s">
        <v>260</v>
      </c>
      <c r="M1686" s="30" t="s">
        <v>261</v>
      </c>
      <c r="N1686" s="11" t="s">
        <v>264</v>
      </c>
    </row>
    <row r="1687">
      <c r="A1687" s="11" t="s">
        <v>121</v>
      </c>
      <c r="B1687" s="11" t="s">
        <v>20</v>
      </c>
      <c r="C1687" s="11" t="s">
        <v>1488</v>
      </c>
      <c r="D1687" s="11" t="s">
        <v>248</v>
      </c>
      <c r="E1687" s="157" t="s">
        <v>1489</v>
      </c>
      <c r="F1687" s="11" t="s">
        <v>1478</v>
      </c>
      <c r="G1687" s="11" t="s">
        <v>555</v>
      </c>
      <c r="H1687" s="11">
        <v>2018.0</v>
      </c>
      <c r="I1687" s="40">
        <v>2557.0</v>
      </c>
      <c r="J1687" s="40" t="s">
        <v>188</v>
      </c>
      <c r="K1687" s="11">
        <v>3220.0</v>
      </c>
      <c r="L1687" s="29" t="s">
        <v>260</v>
      </c>
      <c r="M1687" s="30" t="s">
        <v>261</v>
      </c>
      <c r="N1687" s="11" t="s">
        <v>264</v>
      </c>
    </row>
    <row r="1688">
      <c r="A1688" s="11" t="s">
        <v>121</v>
      </c>
      <c r="B1688" s="11" t="s">
        <v>20</v>
      </c>
      <c r="C1688" s="11" t="s">
        <v>1488</v>
      </c>
      <c r="D1688" s="11" t="s">
        <v>248</v>
      </c>
      <c r="E1688" s="157" t="s">
        <v>1489</v>
      </c>
      <c r="F1688" s="11" t="s">
        <v>1478</v>
      </c>
      <c r="G1688" s="11" t="s">
        <v>555</v>
      </c>
      <c r="H1688" s="11">
        <v>2019.0</v>
      </c>
      <c r="I1688" s="40">
        <v>2699.0</v>
      </c>
      <c r="J1688" s="40" t="s">
        <v>188</v>
      </c>
      <c r="K1688" s="11" t="s">
        <v>188</v>
      </c>
      <c r="L1688" s="29" t="s">
        <v>260</v>
      </c>
      <c r="M1688" s="30" t="s">
        <v>261</v>
      </c>
      <c r="N1688" s="11" t="s">
        <v>264</v>
      </c>
    </row>
    <row r="1689">
      <c r="A1689" s="11" t="s">
        <v>121</v>
      </c>
      <c r="B1689" s="11" t="s">
        <v>20</v>
      </c>
      <c r="C1689" s="11" t="s">
        <v>1476</v>
      </c>
      <c r="D1689" s="11" t="s">
        <v>248</v>
      </c>
      <c r="E1689" s="157" t="s">
        <v>1477</v>
      </c>
      <c r="F1689" s="11" t="s">
        <v>1478</v>
      </c>
      <c r="G1689" s="11" t="s">
        <v>418</v>
      </c>
      <c r="H1689" s="11">
        <v>1978.0</v>
      </c>
      <c r="I1689" s="40">
        <v>17083.0</v>
      </c>
      <c r="J1689" s="40">
        <v>13750.0</v>
      </c>
      <c r="K1689" s="11">
        <v>20833.0</v>
      </c>
      <c r="L1689" s="29" t="s">
        <v>260</v>
      </c>
      <c r="M1689" s="30" t="s">
        <v>261</v>
      </c>
      <c r="N1689" s="11" t="s">
        <v>264</v>
      </c>
    </row>
    <row r="1690">
      <c r="A1690" s="11" t="s">
        <v>121</v>
      </c>
      <c r="B1690" s="11" t="s">
        <v>20</v>
      </c>
      <c r="C1690" s="11" t="s">
        <v>1476</v>
      </c>
      <c r="D1690" s="11" t="s">
        <v>248</v>
      </c>
      <c r="E1690" s="157" t="s">
        <v>1477</v>
      </c>
      <c r="F1690" s="11" t="s">
        <v>1478</v>
      </c>
      <c r="G1690" s="11" t="s">
        <v>418</v>
      </c>
      <c r="H1690" s="11">
        <v>1979.0</v>
      </c>
      <c r="I1690" s="40">
        <v>15833.0</v>
      </c>
      <c r="J1690" s="40">
        <v>12500.0</v>
      </c>
      <c r="K1690" s="11">
        <v>20000.0</v>
      </c>
      <c r="L1690" s="29" t="s">
        <v>260</v>
      </c>
      <c r="M1690" s="30" t="s">
        <v>261</v>
      </c>
      <c r="N1690" s="11" t="s">
        <v>264</v>
      </c>
    </row>
    <row r="1691">
      <c r="A1691" s="11" t="s">
        <v>121</v>
      </c>
      <c r="B1691" s="11" t="s">
        <v>20</v>
      </c>
      <c r="C1691" s="11" t="s">
        <v>1476</v>
      </c>
      <c r="D1691" s="11" t="s">
        <v>248</v>
      </c>
      <c r="E1691" s="157" t="s">
        <v>1477</v>
      </c>
      <c r="F1691" s="11" t="s">
        <v>1478</v>
      </c>
      <c r="G1691" s="11" t="s">
        <v>418</v>
      </c>
      <c r="H1691" s="11">
        <v>1982.0</v>
      </c>
      <c r="I1691" s="40">
        <v>13333.0</v>
      </c>
      <c r="J1691" s="40">
        <v>10417.0</v>
      </c>
      <c r="K1691" s="11">
        <v>15833.0</v>
      </c>
      <c r="L1691" s="29" t="s">
        <v>260</v>
      </c>
      <c r="M1691" s="30" t="s">
        <v>261</v>
      </c>
      <c r="N1691" s="11" t="s">
        <v>264</v>
      </c>
    </row>
    <row r="1692">
      <c r="A1692" s="11" t="s">
        <v>121</v>
      </c>
      <c r="B1692" s="11" t="s">
        <v>20</v>
      </c>
      <c r="C1692" s="11" t="s">
        <v>1476</v>
      </c>
      <c r="D1692" s="11" t="s">
        <v>248</v>
      </c>
      <c r="E1692" s="157" t="s">
        <v>1477</v>
      </c>
      <c r="F1692" s="11" t="s">
        <v>1478</v>
      </c>
      <c r="G1692" s="11" t="s">
        <v>418</v>
      </c>
      <c r="H1692" s="11">
        <v>1983.0</v>
      </c>
      <c r="I1692" s="40">
        <v>12083.0</v>
      </c>
      <c r="J1692" s="40">
        <v>10000.0</v>
      </c>
      <c r="K1692" s="11">
        <v>15000.0</v>
      </c>
      <c r="L1692" s="29" t="s">
        <v>260</v>
      </c>
      <c r="M1692" s="30" t="s">
        <v>261</v>
      </c>
      <c r="N1692" s="11" t="s">
        <v>264</v>
      </c>
    </row>
    <row r="1693">
      <c r="A1693" s="11" t="s">
        <v>121</v>
      </c>
      <c r="B1693" s="11" t="s">
        <v>20</v>
      </c>
      <c r="C1693" s="11" t="s">
        <v>1476</v>
      </c>
      <c r="D1693" s="11" t="s">
        <v>248</v>
      </c>
      <c r="E1693" s="157" t="s">
        <v>1477</v>
      </c>
      <c r="F1693" s="11" t="s">
        <v>1478</v>
      </c>
      <c r="G1693" s="11" t="s">
        <v>418</v>
      </c>
      <c r="H1693" s="11">
        <v>1984.0</v>
      </c>
      <c r="I1693" s="40">
        <v>13542.0</v>
      </c>
      <c r="J1693" s="40">
        <v>12083.0</v>
      </c>
      <c r="K1693" s="11">
        <v>14583.0</v>
      </c>
      <c r="L1693" s="29" t="s">
        <v>260</v>
      </c>
      <c r="M1693" s="30" t="s">
        <v>261</v>
      </c>
      <c r="N1693" s="11" t="s">
        <v>264</v>
      </c>
    </row>
    <row r="1694">
      <c r="A1694" s="11" t="s">
        <v>121</v>
      </c>
      <c r="B1694" s="11" t="s">
        <v>20</v>
      </c>
      <c r="C1694" s="11" t="s">
        <v>1476</v>
      </c>
      <c r="D1694" s="11" t="s">
        <v>248</v>
      </c>
      <c r="E1694" s="157" t="s">
        <v>1477</v>
      </c>
      <c r="F1694" s="11" t="s">
        <v>1478</v>
      </c>
      <c r="G1694" s="11" t="s">
        <v>418</v>
      </c>
      <c r="H1694" s="11">
        <v>1985.0</v>
      </c>
      <c r="I1694" s="40">
        <v>12708.0</v>
      </c>
      <c r="J1694" s="40" t="s">
        <v>188</v>
      </c>
      <c r="K1694" s="11" t="s">
        <v>188</v>
      </c>
      <c r="L1694" s="29" t="s">
        <v>260</v>
      </c>
      <c r="M1694" s="30" t="s">
        <v>261</v>
      </c>
      <c r="N1694" s="11" t="s">
        <v>264</v>
      </c>
    </row>
    <row r="1695">
      <c r="A1695" s="11" t="s">
        <v>121</v>
      </c>
      <c r="B1695" s="11" t="s">
        <v>20</v>
      </c>
      <c r="C1695" s="11" t="s">
        <v>1476</v>
      </c>
      <c r="D1695" s="11" t="s">
        <v>248</v>
      </c>
      <c r="E1695" s="157" t="s">
        <v>1477</v>
      </c>
      <c r="F1695" s="11" t="s">
        <v>1478</v>
      </c>
      <c r="G1695" s="11" t="s">
        <v>418</v>
      </c>
      <c r="H1695" s="11">
        <v>1986.0</v>
      </c>
      <c r="I1695" s="40">
        <v>10417.0</v>
      </c>
      <c r="J1695" s="40" t="s">
        <v>188</v>
      </c>
      <c r="K1695" s="11">
        <v>11667.0</v>
      </c>
      <c r="L1695" s="29" t="s">
        <v>260</v>
      </c>
      <c r="M1695" s="30" t="s">
        <v>261</v>
      </c>
      <c r="N1695" s="11" t="s">
        <v>264</v>
      </c>
    </row>
    <row r="1696">
      <c r="A1696" s="11" t="s">
        <v>121</v>
      </c>
      <c r="B1696" s="11" t="s">
        <v>20</v>
      </c>
      <c r="C1696" s="11" t="s">
        <v>1476</v>
      </c>
      <c r="D1696" s="11" t="s">
        <v>248</v>
      </c>
      <c r="E1696" s="157" t="s">
        <v>1477</v>
      </c>
      <c r="F1696" s="11" t="s">
        <v>1478</v>
      </c>
      <c r="G1696" s="11" t="s">
        <v>418</v>
      </c>
      <c r="H1696" s="11">
        <v>1987.0</v>
      </c>
      <c r="I1696" s="40">
        <v>8333.0</v>
      </c>
      <c r="J1696" s="40">
        <v>7083.0</v>
      </c>
      <c r="K1696" s="11">
        <v>10417.0</v>
      </c>
      <c r="L1696" s="29" t="s">
        <v>260</v>
      </c>
      <c r="M1696" s="30" t="s">
        <v>261</v>
      </c>
      <c r="N1696" s="11" t="s">
        <v>264</v>
      </c>
    </row>
    <row r="1697">
      <c r="A1697" s="11" t="s">
        <v>121</v>
      </c>
      <c r="B1697" s="11" t="s">
        <v>20</v>
      </c>
      <c r="C1697" s="11" t="s">
        <v>1476</v>
      </c>
      <c r="D1697" s="11" t="s">
        <v>248</v>
      </c>
      <c r="E1697" s="157" t="s">
        <v>1477</v>
      </c>
      <c r="F1697" s="11" t="s">
        <v>1478</v>
      </c>
      <c r="G1697" s="11" t="s">
        <v>418</v>
      </c>
      <c r="H1697" s="11">
        <v>1988.0</v>
      </c>
      <c r="I1697" s="40">
        <v>7500.0</v>
      </c>
      <c r="J1697" s="40">
        <v>6250.0</v>
      </c>
      <c r="K1697" s="11">
        <v>9167.0</v>
      </c>
      <c r="L1697" s="29" t="s">
        <v>260</v>
      </c>
      <c r="M1697" s="30" t="s">
        <v>261</v>
      </c>
      <c r="N1697" s="11" t="s">
        <v>264</v>
      </c>
    </row>
    <row r="1698">
      <c r="A1698" s="11" t="s">
        <v>121</v>
      </c>
      <c r="B1698" s="11" t="s">
        <v>20</v>
      </c>
      <c r="C1698" s="11" t="s">
        <v>1476</v>
      </c>
      <c r="D1698" s="11" t="s">
        <v>248</v>
      </c>
      <c r="E1698" s="157" t="s">
        <v>1477</v>
      </c>
      <c r="F1698" s="11" t="s">
        <v>1478</v>
      </c>
      <c r="G1698" s="11" t="s">
        <v>418</v>
      </c>
      <c r="H1698" s="11">
        <v>1989.0</v>
      </c>
      <c r="I1698" s="40">
        <v>4375.0</v>
      </c>
      <c r="J1698" s="40" t="s">
        <v>188</v>
      </c>
      <c r="K1698" s="11" t="s">
        <v>188</v>
      </c>
      <c r="L1698" s="29" t="s">
        <v>260</v>
      </c>
      <c r="M1698" s="30" t="s">
        <v>261</v>
      </c>
      <c r="N1698" s="11" t="s">
        <v>264</v>
      </c>
    </row>
    <row r="1699">
      <c r="A1699" s="11" t="s">
        <v>121</v>
      </c>
      <c r="B1699" s="11" t="s">
        <v>20</v>
      </c>
      <c r="C1699" s="11" t="s">
        <v>1476</v>
      </c>
      <c r="D1699" s="11" t="s">
        <v>248</v>
      </c>
      <c r="E1699" s="157" t="s">
        <v>1477</v>
      </c>
      <c r="F1699" s="11" t="s">
        <v>1478</v>
      </c>
      <c r="G1699" s="11" t="s">
        <v>418</v>
      </c>
      <c r="H1699" s="11">
        <v>1990.0</v>
      </c>
      <c r="I1699" s="40">
        <v>6250.0</v>
      </c>
      <c r="J1699" s="40" t="s">
        <v>188</v>
      </c>
      <c r="K1699" s="11" t="s">
        <v>188</v>
      </c>
      <c r="L1699" s="29" t="s">
        <v>260</v>
      </c>
      <c r="M1699" s="30" t="s">
        <v>261</v>
      </c>
      <c r="N1699" s="11" t="s">
        <v>264</v>
      </c>
    </row>
    <row r="1700">
      <c r="A1700" s="11" t="s">
        <v>121</v>
      </c>
      <c r="B1700" s="11" t="s">
        <v>20</v>
      </c>
      <c r="C1700" s="11" t="s">
        <v>1476</v>
      </c>
      <c r="D1700" s="11" t="s">
        <v>248</v>
      </c>
      <c r="E1700" s="157" t="s">
        <v>1477</v>
      </c>
      <c r="F1700" s="11" t="s">
        <v>1478</v>
      </c>
      <c r="G1700" s="11" t="s">
        <v>418</v>
      </c>
      <c r="H1700" s="11">
        <v>1991.0</v>
      </c>
      <c r="I1700" s="40">
        <v>6250.0</v>
      </c>
      <c r="J1700" s="40" t="s">
        <v>188</v>
      </c>
      <c r="K1700" s="11" t="s">
        <v>188</v>
      </c>
      <c r="L1700" s="29" t="s">
        <v>260</v>
      </c>
      <c r="M1700" s="30" t="s">
        <v>261</v>
      </c>
      <c r="N1700" s="11" t="s">
        <v>264</v>
      </c>
    </row>
    <row r="1701">
      <c r="A1701" s="11" t="s">
        <v>121</v>
      </c>
      <c r="B1701" s="11" t="s">
        <v>20</v>
      </c>
      <c r="C1701" s="11" t="s">
        <v>1476</v>
      </c>
      <c r="D1701" s="11" t="s">
        <v>248</v>
      </c>
      <c r="E1701" s="157" t="s">
        <v>1477</v>
      </c>
      <c r="F1701" s="11" t="s">
        <v>1478</v>
      </c>
      <c r="G1701" s="11" t="s">
        <v>418</v>
      </c>
      <c r="H1701" s="11">
        <v>1992.0</v>
      </c>
      <c r="I1701" s="40">
        <v>6875.0</v>
      </c>
      <c r="J1701" s="40" t="s">
        <v>188</v>
      </c>
      <c r="K1701" s="11" t="s">
        <v>188</v>
      </c>
      <c r="L1701" s="29" t="s">
        <v>260</v>
      </c>
      <c r="M1701" s="30" t="s">
        <v>261</v>
      </c>
      <c r="N1701" s="11" t="s">
        <v>264</v>
      </c>
    </row>
    <row r="1702">
      <c r="A1702" s="11" t="s">
        <v>121</v>
      </c>
      <c r="B1702" s="11" t="s">
        <v>20</v>
      </c>
      <c r="C1702" s="11" t="s">
        <v>1476</v>
      </c>
      <c r="D1702" s="11" t="s">
        <v>248</v>
      </c>
      <c r="E1702" s="157" t="s">
        <v>1477</v>
      </c>
      <c r="F1702" s="11" t="s">
        <v>1478</v>
      </c>
      <c r="G1702" s="11" t="s">
        <v>418</v>
      </c>
      <c r="H1702" s="11">
        <v>1993.0</v>
      </c>
      <c r="I1702" s="40">
        <v>6667.0</v>
      </c>
      <c r="J1702" s="40">
        <v>5417.0</v>
      </c>
      <c r="K1702" s="11">
        <v>8333.0</v>
      </c>
      <c r="L1702" s="29" t="s">
        <v>260</v>
      </c>
      <c r="M1702" s="30" t="s">
        <v>261</v>
      </c>
      <c r="N1702" s="11" t="s">
        <v>264</v>
      </c>
    </row>
    <row r="1703">
      <c r="A1703" s="11" t="s">
        <v>121</v>
      </c>
      <c r="B1703" s="11" t="s">
        <v>20</v>
      </c>
      <c r="C1703" s="11" t="s">
        <v>1476</v>
      </c>
      <c r="D1703" s="11" t="s">
        <v>248</v>
      </c>
      <c r="E1703" s="157" t="s">
        <v>1477</v>
      </c>
      <c r="F1703" s="11" t="s">
        <v>1478</v>
      </c>
      <c r="G1703" s="11" t="s">
        <v>418</v>
      </c>
      <c r="H1703" s="11">
        <v>1994.0</v>
      </c>
      <c r="I1703" s="40">
        <v>6771.0</v>
      </c>
      <c r="J1703" s="40" t="s">
        <v>188</v>
      </c>
      <c r="K1703" s="11" t="s">
        <v>188</v>
      </c>
      <c r="L1703" s="29" t="s">
        <v>260</v>
      </c>
      <c r="M1703" s="30" t="s">
        <v>261</v>
      </c>
      <c r="N1703" s="11" t="s">
        <v>264</v>
      </c>
    </row>
    <row r="1704">
      <c r="A1704" s="11" t="s">
        <v>121</v>
      </c>
      <c r="B1704" s="11" t="s">
        <v>20</v>
      </c>
      <c r="C1704" s="11" t="s">
        <v>1476</v>
      </c>
      <c r="D1704" s="11" t="s">
        <v>248</v>
      </c>
      <c r="E1704" s="157" t="s">
        <v>1477</v>
      </c>
      <c r="F1704" s="11" t="s">
        <v>1478</v>
      </c>
      <c r="G1704" s="11" t="s">
        <v>418</v>
      </c>
      <c r="H1704" s="11">
        <v>1996.0</v>
      </c>
      <c r="I1704" s="40">
        <v>6979.0</v>
      </c>
      <c r="J1704" s="40" t="s">
        <v>188</v>
      </c>
      <c r="K1704" s="11" t="s">
        <v>188</v>
      </c>
      <c r="L1704" s="29" t="s">
        <v>260</v>
      </c>
      <c r="M1704" s="30" t="s">
        <v>261</v>
      </c>
      <c r="N1704" s="11" t="s">
        <v>264</v>
      </c>
    </row>
    <row r="1705">
      <c r="A1705" s="11" t="s">
        <v>121</v>
      </c>
      <c r="B1705" s="11" t="s">
        <v>20</v>
      </c>
      <c r="C1705" s="11" t="s">
        <v>1476</v>
      </c>
      <c r="D1705" s="11" t="s">
        <v>248</v>
      </c>
      <c r="E1705" s="157" t="s">
        <v>1477</v>
      </c>
      <c r="F1705" s="11" t="s">
        <v>1478</v>
      </c>
      <c r="G1705" s="11" t="s">
        <v>418</v>
      </c>
      <c r="H1705" s="11">
        <v>1997.0</v>
      </c>
      <c r="I1705" s="40">
        <v>6562.0</v>
      </c>
      <c r="J1705" s="40" t="s">
        <v>188</v>
      </c>
      <c r="K1705" s="11" t="s">
        <v>188</v>
      </c>
      <c r="L1705" s="29" t="s">
        <v>260</v>
      </c>
      <c r="M1705" s="30" t="s">
        <v>261</v>
      </c>
      <c r="N1705" s="11" t="s">
        <v>264</v>
      </c>
    </row>
    <row r="1706">
      <c r="A1706" s="11" t="s">
        <v>121</v>
      </c>
      <c r="B1706" s="11" t="s">
        <v>20</v>
      </c>
      <c r="C1706" s="11" t="s">
        <v>1476</v>
      </c>
      <c r="D1706" s="11" t="s">
        <v>248</v>
      </c>
      <c r="E1706" s="157" t="s">
        <v>1477</v>
      </c>
      <c r="F1706" s="11" t="s">
        <v>1478</v>
      </c>
      <c r="G1706" s="11" t="s">
        <v>418</v>
      </c>
      <c r="H1706" s="11">
        <v>1998.0</v>
      </c>
      <c r="I1706" s="40">
        <v>6667.0</v>
      </c>
      <c r="J1706" s="40" t="s">
        <v>188</v>
      </c>
      <c r="K1706" s="11" t="s">
        <v>188</v>
      </c>
      <c r="L1706" s="29" t="s">
        <v>260</v>
      </c>
      <c r="M1706" s="30" t="s">
        <v>261</v>
      </c>
      <c r="N1706" s="11" t="s">
        <v>264</v>
      </c>
    </row>
    <row r="1707">
      <c r="A1707" s="11" t="s">
        <v>121</v>
      </c>
      <c r="B1707" s="11" t="s">
        <v>20</v>
      </c>
      <c r="C1707" s="11" t="s">
        <v>1476</v>
      </c>
      <c r="D1707" s="11" t="s">
        <v>248</v>
      </c>
      <c r="E1707" s="157" t="s">
        <v>1477</v>
      </c>
      <c r="F1707" s="11" t="s">
        <v>1478</v>
      </c>
      <c r="G1707" s="11" t="s">
        <v>418</v>
      </c>
      <c r="H1707" s="11">
        <v>1999.0</v>
      </c>
      <c r="I1707" s="40">
        <v>6667.0</v>
      </c>
      <c r="J1707" s="40">
        <v>5000.0</v>
      </c>
      <c r="K1707" s="11">
        <v>8333.0</v>
      </c>
      <c r="L1707" s="29" t="s">
        <v>260</v>
      </c>
      <c r="M1707" s="30" t="s">
        <v>261</v>
      </c>
      <c r="N1707" s="11" t="s">
        <v>264</v>
      </c>
    </row>
    <row r="1708">
      <c r="A1708" s="11" t="s">
        <v>121</v>
      </c>
      <c r="B1708" s="11" t="s">
        <v>20</v>
      </c>
      <c r="C1708" s="11" t="s">
        <v>1476</v>
      </c>
      <c r="D1708" s="11" t="s">
        <v>248</v>
      </c>
      <c r="E1708" s="157" t="s">
        <v>1477</v>
      </c>
      <c r="F1708" s="11" t="s">
        <v>1478</v>
      </c>
      <c r="G1708" s="11" t="s">
        <v>418</v>
      </c>
      <c r="H1708" s="11">
        <v>2000.0</v>
      </c>
      <c r="I1708" s="40">
        <v>5833.0</v>
      </c>
      <c r="J1708" s="40" t="s">
        <v>188</v>
      </c>
      <c r="K1708" s="11" t="s">
        <v>188</v>
      </c>
      <c r="L1708" s="29" t="s">
        <v>260</v>
      </c>
      <c r="M1708" s="30" t="s">
        <v>261</v>
      </c>
      <c r="N1708" s="11" t="s">
        <v>264</v>
      </c>
    </row>
    <row r="1709">
      <c r="A1709" s="11" t="s">
        <v>121</v>
      </c>
      <c r="B1709" s="11" t="s">
        <v>20</v>
      </c>
      <c r="C1709" s="11" t="s">
        <v>1476</v>
      </c>
      <c r="D1709" s="11" t="s">
        <v>248</v>
      </c>
      <c r="E1709" s="157" t="s">
        <v>1477</v>
      </c>
      <c r="F1709" s="11" t="s">
        <v>1478</v>
      </c>
      <c r="G1709" s="11" t="s">
        <v>418</v>
      </c>
      <c r="H1709" s="11">
        <v>2001.0</v>
      </c>
      <c r="I1709" s="40">
        <v>6667.0</v>
      </c>
      <c r="J1709" s="40">
        <v>5000.0</v>
      </c>
      <c r="K1709" s="11">
        <v>8333.0</v>
      </c>
      <c r="L1709" s="29" t="s">
        <v>260</v>
      </c>
      <c r="M1709" s="30" t="s">
        <v>261</v>
      </c>
      <c r="N1709" s="11" t="s">
        <v>264</v>
      </c>
    </row>
    <row r="1710">
      <c r="A1710" s="11" t="s">
        <v>121</v>
      </c>
      <c r="B1710" s="11" t="s">
        <v>20</v>
      </c>
      <c r="C1710" s="11" t="s">
        <v>1476</v>
      </c>
      <c r="D1710" s="11" t="s">
        <v>248</v>
      </c>
      <c r="E1710" s="157" t="s">
        <v>1477</v>
      </c>
      <c r="F1710" s="11" t="s">
        <v>1478</v>
      </c>
      <c r="G1710" s="11" t="s">
        <v>418</v>
      </c>
      <c r="H1710" s="11">
        <v>2002.0</v>
      </c>
      <c r="I1710" s="40">
        <v>6042.0</v>
      </c>
      <c r="J1710" s="40" t="s">
        <v>188</v>
      </c>
      <c r="K1710" s="11" t="s">
        <v>188</v>
      </c>
      <c r="L1710" s="29" t="s">
        <v>260</v>
      </c>
      <c r="M1710" s="30" t="s">
        <v>261</v>
      </c>
      <c r="N1710" s="11" t="s">
        <v>264</v>
      </c>
    </row>
    <row r="1711">
      <c r="A1711" s="11" t="s">
        <v>121</v>
      </c>
      <c r="B1711" s="11" t="s">
        <v>20</v>
      </c>
      <c r="C1711" s="11" t="s">
        <v>1476</v>
      </c>
      <c r="D1711" s="11" t="s">
        <v>248</v>
      </c>
      <c r="E1711" s="157" t="s">
        <v>1477</v>
      </c>
      <c r="F1711" s="11" t="s">
        <v>1478</v>
      </c>
      <c r="G1711" s="11" t="s">
        <v>418</v>
      </c>
      <c r="H1711" s="11">
        <v>2004.0</v>
      </c>
      <c r="I1711" s="40">
        <v>7083.0</v>
      </c>
      <c r="J1711" s="40" t="s">
        <v>188</v>
      </c>
      <c r="K1711" s="11" t="s">
        <v>188</v>
      </c>
      <c r="L1711" s="29" t="s">
        <v>260</v>
      </c>
      <c r="M1711" s="30" t="s">
        <v>261</v>
      </c>
      <c r="N1711" s="11" t="s">
        <v>264</v>
      </c>
    </row>
    <row r="1712">
      <c r="A1712" s="11" t="s">
        <v>121</v>
      </c>
      <c r="B1712" s="11" t="s">
        <v>20</v>
      </c>
      <c r="C1712" s="11" t="s">
        <v>1476</v>
      </c>
      <c r="D1712" s="11" t="s">
        <v>248</v>
      </c>
      <c r="E1712" s="157" t="s">
        <v>1477</v>
      </c>
      <c r="F1712" s="11" t="s">
        <v>1478</v>
      </c>
      <c r="G1712" s="11" t="s">
        <v>418</v>
      </c>
      <c r="H1712" s="11">
        <v>2005.0</v>
      </c>
      <c r="I1712" s="40">
        <v>7083.0</v>
      </c>
      <c r="J1712" s="40" t="s">
        <v>188</v>
      </c>
      <c r="K1712" s="11" t="s">
        <v>188</v>
      </c>
      <c r="L1712" s="29" t="s">
        <v>260</v>
      </c>
      <c r="M1712" s="30" t="s">
        <v>261</v>
      </c>
      <c r="N1712" s="11" t="s">
        <v>264</v>
      </c>
    </row>
    <row r="1713">
      <c r="A1713" s="11" t="s">
        <v>121</v>
      </c>
      <c r="B1713" s="11" t="s">
        <v>20</v>
      </c>
      <c r="C1713" s="11" t="s">
        <v>1476</v>
      </c>
      <c r="D1713" s="11" t="s">
        <v>248</v>
      </c>
      <c r="E1713" s="157" t="s">
        <v>1477</v>
      </c>
      <c r="F1713" s="11" t="s">
        <v>1478</v>
      </c>
      <c r="G1713" s="11" t="s">
        <v>418</v>
      </c>
      <c r="H1713" s="11">
        <v>2006.0</v>
      </c>
      <c r="I1713" s="40">
        <v>7083.0</v>
      </c>
      <c r="J1713" s="40" t="s">
        <v>188</v>
      </c>
      <c r="K1713" s="11" t="s">
        <v>188</v>
      </c>
      <c r="L1713" s="29" t="s">
        <v>260</v>
      </c>
      <c r="M1713" s="30" t="s">
        <v>261</v>
      </c>
      <c r="N1713" s="11" t="s">
        <v>264</v>
      </c>
    </row>
    <row r="1714">
      <c r="A1714" s="11" t="s">
        <v>121</v>
      </c>
      <c r="B1714" s="11" t="s">
        <v>20</v>
      </c>
      <c r="C1714" s="11" t="s">
        <v>1476</v>
      </c>
      <c r="D1714" s="11" t="s">
        <v>248</v>
      </c>
      <c r="E1714" s="157" t="s">
        <v>1477</v>
      </c>
      <c r="F1714" s="11" t="s">
        <v>1478</v>
      </c>
      <c r="G1714" s="11" t="s">
        <v>418</v>
      </c>
      <c r="H1714" s="11">
        <v>2007.0</v>
      </c>
      <c r="I1714" s="40">
        <v>7083.0</v>
      </c>
      <c r="J1714" s="40" t="s">
        <v>188</v>
      </c>
      <c r="K1714" s="11" t="s">
        <v>188</v>
      </c>
      <c r="L1714" s="29" t="s">
        <v>260</v>
      </c>
      <c r="M1714" s="30" t="s">
        <v>261</v>
      </c>
      <c r="N1714" s="11" t="s">
        <v>264</v>
      </c>
    </row>
    <row r="1715">
      <c r="A1715" s="11" t="s">
        <v>121</v>
      </c>
      <c r="B1715" s="11" t="s">
        <v>20</v>
      </c>
      <c r="C1715" s="11" t="s">
        <v>1476</v>
      </c>
      <c r="D1715" s="11" t="s">
        <v>248</v>
      </c>
      <c r="E1715" s="157" t="s">
        <v>1477</v>
      </c>
      <c r="F1715" s="11" t="s">
        <v>1478</v>
      </c>
      <c r="G1715" s="11" t="s">
        <v>418</v>
      </c>
      <c r="H1715" s="11">
        <v>2008.0</v>
      </c>
      <c r="I1715" s="40">
        <v>7500.0</v>
      </c>
      <c r="J1715" s="40" t="s">
        <v>188</v>
      </c>
      <c r="K1715" s="11" t="s">
        <v>188</v>
      </c>
      <c r="L1715" s="29" t="s">
        <v>260</v>
      </c>
      <c r="M1715" s="30" t="s">
        <v>261</v>
      </c>
      <c r="N1715" s="11" t="s">
        <v>264</v>
      </c>
    </row>
    <row r="1716">
      <c r="A1716" s="11" t="s">
        <v>121</v>
      </c>
      <c r="B1716" s="11" t="s">
        <v>20</v>
      </c>
      <c r="C1716" s="11" t="s">
        <v>1476</v>
      </c>
      <c r="D1716" s="11" t="s">
        <v>248</v>
      </c>
      <c r="E1716" s="157" t="s">
        <v>1477</v>
      </c>
      <c r="F1716" s="11" t="s">
        <v>1478</v>
      </c>
      <c r="G1716" s="11" t="s">
        <v>418</v>
      </c>
      <c r="H1716" s="11">
        <v>2009.0</v>
      </c>
      <c r="I1716" s="40">
        <v>7500.0</v>
      </c>
      <c r="J1716" s="40" t="s">
        <v>188</v>
      </c>
      <c r="K1716" s="11" t="s">
        <v>188</v>
      </c>
      <c r="L1716" s="29" t="s">
        <v>260</v>
      </c>
      <c r="M1716" s="30" t="s">
        <v>261</v>
      </c>
      <c r="N1716" s="11" t="s">
        <v>264</v>
      </c>
    </row>
    <row r="1717">
      <c r="A1717" s="11" t="s">
        <v>121</v>
      </c>
      <c r="B1717" s="11" t="s">
        <v>20</v>
      </c>
      <c r="C1717" s="11" t="s">
        <v>1476</v>
      </c>
      <c r="D1717" s="11" t="s">
        <v>248</v>
      </c>
      <c r="E1717" s="157" t="s">
        <v>1477</v>
      </c>
      <c r="F1717" s="11" t="s">
        <v>1478</v>
      </c>
      <c r="G1717" s="11" t="s">
        <v>418</v>
      </c>
      <c r="H1717" s="11">
        <v>2010.0</v>
      </c>
      <c r="I1717" s="40">
        <v>7917.0</v>
      </c>
      <c r="J1717" s="40">
        <v>6667.0</v>
      </c>
      <c r="K1717" s="11">
        <v>9167.0</v>
      </c>
      <c r="L1717" s="29" t="s">
        <v>260</v>
      </c>
      <c r="M1717" s="30" t="s">
        <v>261</v>
      </c>
      <c r="N1717" s="11" t="s">
        <v>264</v>
      </c>
    </row>
    <row r="1718">
      <c r="A1718" s="11" t="s">
        <v>121</v>
      </c>
      <c r="B1718" s="11" t="s">
        <v>20</v>
      </c>
      <c r="C1718" s="11" t="s">
        <v>1476</v>
      </c>
      <c r="D1718" s="11" t="s">
        <v>248</v>
      </c>
      <c r="E1718" s="157" t="s">
        <v>1477</v>
      </c>
      <c r="F1718" s="11" t="s">
        <v>1478</v>
      </c>
      <c r="G1718" s="11" t="s">
        <v>418</v>
      </c>
      <c r="H1718" s="11">
        <v>2011.0</v>
      </c>
      <c r="I1718" s="40">
        <v>7500.0</v>
      </c>
      <c r="J1718" s="40" t="s">
        <v>188</v>
      </c>
      <c r="K1718" s="11" t="s">
        <v>188</v>
      </c>
      <c r="L1718" s="29" t="s">
        <v>260</v>
      </c>
      <c r="M1718" s="30" t="s">
        <v>261</v>
      </c>
      <c r="N1718" s="11" t="s">
        <v>264</v>
      </c>
    </row>
    <row r="1719">
      <c r="A1719" s="11" t="s">
        <v>121</v>
      </c>
      <c r="B1719" s="11" t="s">
        <v>20</v>
      </c>
      <c r="C1719" s="11" t="s">
        <v>1476</v>
      </c>
      <c r="D1719" s="11" t="s">
        <v>248</v>
      </c>
      <c r="E1719" s="157" t="s">
        <v>1477</v>
      </c>
      <c r="F1719" s="11" t="s">
        <v>1478</v>
      </c>
      <c r="G1719" s="11" t="s">
        <v>418</v>
      </c>
      <c r="H1719" s="11">
        <v>2012.0</v>
      </c>
      <c r="I1719" s="40">
        <v>7917.0</v>
      </c>
      <c r="J1719" s="40">
        <v>6667.0</v>
      </c>
      <c r="K1719" s="11">
        <v>9167.0</v>
      </c>
      <c r="L1719" s="29" t="s">
        <v>260</v>
      </c>
      <c r="M1719" s="30" t="s">
        <v>261</v>
      </c>
      <c r="N1719" s="11" t="s">
        <v>264</v>
      </c>
    </row>
    <row r="1720">
      <c r="A1720" s="11" t="s">
        <v>121</v>
      </c>
      <c r="B1720" s="11" t="s">
        <v>20</v>
      </c>
      <c r="C1720" s="11" t="s">
        <v>1476</v>
      </c>
      <c r="D1720" s="11" t="s">
        <v>248</v>
      </c>
      <c r="E1720" s="157" t="s">
        <v>1477</v>
      </c>
      <c r="F1720" s="11" t="s">
        <v>1478</v>
      </c>
      <c r="G1720" s="11" t="s">
        <v>418</v>
      </c>
      <c r="H1720" s="11">
        <v>2013.0</v>
      </c>
      <c r="I1720" s="40">
        <v>7917.0</v>
      </c>
      <c r="J1720" s="40">
        <v>6667.0</v>
      </c>
      <c r="K1720" s="11">
        <v>9583.0</v>
      </c>
      <c r="L1720" s="29" t="s">
        <v>260</v>
      </c>
      <c r="M1720" s="30" t="s">
        <v>261</v>
      </c>
      <c r="N1720" s="11" t="s">
        <v>264</v>
      </c>
    </row>
    <row r="1721">
      <c r="A1721" s="11" t="s">
        <v>121</v>
      </c>
      <c r="B1721" s="11" t="s">
        <v>20</v>
      </c>
      <c r="C1721" s="11" t="s">
        <v>1476</v>
      </c>
      <c r="D1721" s="11" t="s">
        <v>248</v>
      </c>
      <c r="E1721" s="157" t="s">
        <v>1477</v>
      </c>
      <c r="F1721" s="11" t="s">
        <v>1478</v>
      </c>
      <c r="G1721" s="11" t="s">
        <v>418</v>
      </c>
      <c r="H1721" s="11">
        <v>2014.0</v>
      </c>
      <c r="I1721" s="40">
        <v>7812.0</v>
      </c>
      <c r="J1721" s="40" t="s">
        <v>188</v>
      </c>
      <c r="K1721" s="11" t="s">
        <v>188</v>
      </c>
      <c r="L1721" s="29" t="s">
        <v>260</v>
      </c>
      <c r="M1721" s="30" t="s">
        <v>261</v>
      </c>
      <c r="N1721" s="11" t="s">
        <v>264</v>
      </c>
    </row>
    <row r="1722">
      <c r="A1722" s="11" t="s">
        <v>121</v>
      </c>
      <c r="B1722" s="11" t="s">
        <v>20</v>
      </c>
      <c r="C1722" s="11" t="s">
        <v>1476</v>
      </c>
      <c r="D1722" s="11" t="s">
        <v>248</v>
      </c>
      <c r="E1722" s="157" t="s">
        <v>1477</v>
      </c>
      <c r="F1722" s="11" t="s">
        <v>1478</v>
      </c>
      <c r="G1722" s="11" t="s">
        <v>418</v>
      </c>
      <c r="H1722" s="11">
        <v>2015.0</v>
      </c>
      <c r="I1722" s="40">
        <v>8333.0</v>
      </c>
      <c r="J1722" s="40">
        <v>6667.0</v>
      </c>
      <c r="K1722" s="11">
        <v>10000.0</v>
      </c>
      <c r="L1722" s="29" t="s">
        <v>260</v>
      </c>
      <c r="M1722" s="30" t="s">
        <v>261</v>
      </c>
      <c r="N1722" s="11" t="s">
        <v>264</v>
      </c>
    </row>
    <row r="1723">
      <c r="A1723" s="11" t="s">
        <v>121</v>
      </c>
      <c r="B1723" s="11" t="s">
        <v>20</v>
      </c>
      <c r="C1723" s="11" t="s">
        <v>1476</v>
      </c>
      <c r="D1723" s="11" t="s">
        <v>248</v>
      </c>
      <c r="E1723" s="157" t="s">
        <v>1477</v>
      </c>
      <c r="F1723" s="11" t="s">
        <v>1478</v>
      </c>
      <c r="G1723" s="11" t="s">
        <v>418</v>
      </c>
      <c r="H1723" s="11">
        <v>2016.0</v>
      </c>
      <c r="I1723" s="40">
        <v>8333.0</v>
      </c>
      <c r="J1723" s="40" t="s">
        <v>188</v>
      </c>
      <c r="K1723" s="11" t="s">
        <v>188</v>
      </c>
      <c r="L1723" s="29" t="s">
        <v>260</v>
      </c>
      <c r="M1723" s="30" t="s">
        <v>261</v>
      </c>
      <c r="N1723" s="11" t="s">
        <v>264</v>
      </c>
    </row>
    <row r="1724">
      <c r="A1724" s="11" t="s">
        <v>121</v>
      </c>
      <c r="B1724" s="11" t="s">
        <v>20</v>
      </c>
      <c r="C1724" s="11" t="s">
        <v>1476</v>
      </c>
      <c r="D1724" s="11" t="s">
        <v>248</v>
      </c>
      <c r="E1724" s="157" t="s">
        <v>1477</v>
      </c>
      <c r="F1724" s="11" t="s">
        <v>1478</v>
      </c>
      <c r="G1724" s="11" t="s">
        <v>418</v>
      </c>
      <c r="H1724" s="11">
        <v>2017.0</v>
      </c>
      <c r="I1724" s="40">
        <v>8750.0</v>
      </c>
      <c r="J1724" s="40">
        <v>6667.0</v>
      </c>
      <c r="K1724" s="11">
        <v>10833.0</v>
      </c>
      <c r="L1724" s="29" t="s">
        <v>260</v>
      </c>
      <c r="M1724" s="30" t="s">
        <v>261</v>
      </c>
      <c r="N1724" s="11" t="s">
        <v>264</v>
      </c>
    </row>
    <row r="1725">
      <c r="A1725" s="11" t="s">
        <v>121</v>
      </c>
      <c r="B1725" s="11" t="s">
        <v>20</v>
      </c>
      <c r="C1725" s="11" t="s">
        <v>1476</v>
      </c>
      <c r="D1725" s="11" t="s">
        <v>248</v>
      </c>
      <c r="E1725" s="157" t="s">
        <v>1477</v>
      </c>
      <c r="F1725" s="11" t="s">
        <v>1478</v>
      </c>
      <c r="G1725" s="11" t="s">
        <v>418</v>
      </c>
      <c r="H1725" s="11">
        <v>2018.0</v>
      </c>
      <c r="I1725" s="40">
        <v>8750.0</v>
      </c>
      <c r="J1725" s="40" t="s">
        <v>188</v>
      </c>
      <c r="K1725" s="11" t="s">
        <v>188</v>
      </c>
      <c r="L1725" s="29" t="s">
        <v>260</v>
      </c>
      <c r="M1725" s="30" t="s">
        <v>261</v>
      </c>
      <c r="N1725" s="11" t="s">
        <v>264</v>
      </c>
    </row>
    <row r="1726">
      <c r="A1726" s="11" t="s">
        <v>121</v>
      </c>
      <c r="B1726" s="11" t="s">
        <v>20</v>
      </c>
      <c r="C1726" s="11" t="s">
        <v>1480</v>
      </c>
      <c r="D1726" s="11" t="s">
        <v>248</v>
      </c>
      <c r="E1726" s="157" t="s">
        <v>1481</v>
      </c>
      <c r="F1726" s="11" t="s">
        <v>1478</v>
      </c>
      <c r="G1726" s="11" t="s">
        <v>418</v>
      </c>
      <c r="H1726" s="11">
        <v>1978.0</v>
      </c>
      <c r="I1726" s="40">
        <v>28542.0</v>
      </c>
      <c r="J1726" s="40">
        <v>22083.0</v>
      </c>
      <c r="K1726" s="11">
        <v>37083.0</v>
      </c>
      <c r="L1726" s="29" t="s">
        <v>260</v>
      </c>
      <c r="M1726" s="30" t="s">
        <v>261</v>
      </c>
      <c r="N1726" s="11" t="s">
        <v>264</v>
      </c>
    </row>
    <row r="1727">
      <c r="A1727" s="11" t="s">
        <v>121</v>
      </c>
      <c r="B1727" s="11" t="s">
        <v>20</v>
      </c>
      <c r="C1727" s="11" t="s">
        <v>1480</v>
      </c>
      <c r="D1727" s="11" t="s">
        <v>248</v>
      </c>
      <c r="E1727" s="157" t="s">
        <v>1481</v>
      </c>
      <c r="F1727" s="11" t="s">
        <v>1478</v>
      </c>
      <c r="G1727" s="11" t="s">
        <v>418</v>
      </c>
      <c r="H1727" s="11">
        <v>1979.0</v>
      </c>
      <c r="I1727" s="40">
        <v>22396.0</v>
      </c>
      <c r="J1727" s="40" t="s">
        <v>188</v>
      </c>
      <c r="K1727" s="11" t="s">
        <v>188</v>
      </c>
      <c r="L1727" s="29" t="s">
        <v>260</v>
      </c>
      <c r="M1727" s="30" t="s">
        <v>261</v>
      </c>
      <c r="N1727" s="11" t="s">
        <v>264</v>
      </c>
    </row>
    <row r="1728">
      <c r="A1728" s="11" t="s">
        <v>121</v>
      </c>
      <c r="B1728" s="11" t="s">
        <v>20</v>
      </c>
      <c r="C1728" s="11" t="s">
        <v>1480</v>
      </c>
      <c r="D1728" s="11" t="s">
        <v>248</v>
      </c>
      <c r="E1728" s="157" t="s">
        <v>1481</v>
      </c>
      <c r="F1728" s="11" t="s">
        <v>1478</v>
      </c>
      <c r="G1728" s="11" t="s">
        <v>418</v>
      </c>
      <c r="H1728" s="11">
        <v>1985.0</v>
      </c>
      <c r="I1728" s="40">
        <v>8750.0</v>
      </c>
      <c r="J1728" s="40">
        <v>5833.0</v>
      </c>
      <c r="K1728" s="11">
        <v>14583.0</v>
      </c>
      <c r="L1728" s="29" t="s">
        <v>260</v>
      </c>
      <c r="M1728" s="30" t="s">
        <v>261</v>
      </c>
      <c r="N1728" s="11" t="s">
        <v>264</v>
      </c>
    </row>
    <row r="1729">
      <c r="A1729" s="11" t="s">
        <v>121</v>
      </c>
      <c r="B1729" s="11" t="s">
        <v>20</v>
      </c>
      <c r="C1729" s="11" t="s">
        <v>1480</v>
      </c>
      <c r="D1729" s="11" t="s">
        <v>248</v>
      </c>
      <c r="E1729" s="157" t="s">
        <v>1481</v>
      </c>
      <c r="F1729" s="11" t="s">
        <v>1478</v>
      </c>
      <c r="G1729" s="11" t="s">
        <v>418</v>
      </c>
      <c r="H1729" s="11">
        <v>1988.0</v>
      </c>
      <c r="I1729" s="40">
        <v>5521.0</v>
      </c>
      <c r="J1729" s="40" t="s">
        <v>188</v>
      </c>
      <c r="K1729" s="11">
        <v>7083.0</v>
      </c>
      <c r="L1729" s="29" t="s">
        <v>260</v>
      </c>
      <c r="M1729" s="30" t="s">
        <v>261</v>
      </c>
      <c r="N1729" s="11" t="s">
        <v>264</v>
      </c>
    </row>
    <row r="1730">
      <c r="A1730" s="11" t="s">
        <v>121</v>
      </c>
      <c r="B1730" s="11" t="s">
        <v>20</v>
      </c>
      <c r="C1730" s="11" t="s">
        <v>1480</v>
      </c>
      <c r="D1730" s="11" t="s">
        <v>248</v>
      </c>
      <c r="E1730" s="157" t="s">
        <v>1481</v>
      </c>
      <c r="F1730" s="11" t="s">
        <v>1478</v>
      </c>
      <c r="G1730" s="11" t="s">
        <v>418</v>
      </c>
      <c r="H1730" s="11">
        <v>1989.0</v>
      </c>
      <c r="I1730" s="40">
        <v>5833.0</v>
      </c>
      <c r="J1730" s="40" t="s">
        <v>188</v>
      </c>
      <c r="K1730" s="11">
        <v>7083.0</v>
      </c>
      <c r="L1730" s="29" t="s">
        <v>260</v>
      </c>
      <c r="M1730" s="30" t="s">
        <v>261</v>
      </c>
      <c r="N1730" s="11" t="s">
        <v>264</v>
      </c>
    </row>
    <row r="1731">
      <c r="A1731" s="11" t="s">
        <v>121</v>
      </c>
      <c r="B1731" s="11" t="s">
        <v>20</v>
      </c>
      <c r="C1731" s="11" t="s">
        <v>1480</v>
      </c>
      <c r="D1731" s="11" t="s">
        <v>248</v>
      </c>
      <c r="E1731" s="157" t="s">
        <v>1481</v>
      </c>
      <c r="F1731" s="11" t="s">
        <v>1478</v>
      </c>
      <c r="G1731" s="11" t="s">
        <v>418</v>
      </c>
      <c r="H1731" s="11">
        <v>1991.0</v>
      </c>
      <c r="I1731" s="40">
        <v>5000.0</v>
      </c>
      <c r="J1731" s="40" t="s">
        <v>188</v>
      </c>
      <c r="K1731" s="11" t="s">
        <v>188</v>
      </c>
      <c r="L1731" s="29" t="s">
        <v>260</v>
      </c>
      <c r="M1731" s="30" t="s">
        <v>261</v>
      </c>
      <c r="N1731" s="11" t="s">
        <v>264</v>
      </c>
    </row>
    <row r="1732">
      <c r="A1732" s="11" t="s">
        <v>121</v>
      </c>
      <c r="B1732" s="11" t="s">
        <v>20</v>
      </c>
      <c r="C1732" s="11" t="s">
        <v>1480</v>
      </c>
      <c r="D1732" s="11" t="s">
        <v>248</v>
      </c>
      <c r="E1732" s="157" t="s">
        <v>1481</v>
      </c>
      <c r="F1732" s="11" t="s">
        <v>1478</v>
      </c>
      <c r="G1732" s="11" t="s">
        <v>418</v>
      </c>
      <c r="H1732" s="11">
        <v>1992.0</v>
      </c>
      <c r="I1732" s="40">
        <v>4583.0</v>
      </c>
      <c r="J1732" s="40" t="s">
        <v>188</v>
      </c>
      <c r="K1732" s="11" t="s">
        <v>188</v>
      </c>
      <c r="L1732" s="29" t="s">
        <v>260</v>
      </c>
      <c r="M1732" s="30" t="s">
        <v>261</v>
      </c>
      <c r="N1732" s="11" t="s">
        <v>264</v>
      </c>
    </row>
    <row r="1733">
      <c r="A1733" s="11" t="s">
        <v>121</v>
      </c>
      <c r="B1733" s="11" t="s">
        <v>20</v>
      </c>
      <c r="C1733" s="11" t="s">
        <v>1480</v>
      </c>
      <c r="D1733" s="11" t="s">
        <v>248</v>
      </c>
      <c r="E1733" s="157" t="s">
        <v>1481</v>
      </c>
      <c r="F1733" s="11" t="s">
        <v>1478</v>
      </c>
      <c r="G1733" s="11" t="s">
        <v>418</v>
      </c>
      <c r="H1733" s="11">
        <v>1994.0</v>
      </c>
      <c r="I1733" s="40">
        <v>3333.0</v>
      </c>
      <c r="J1733" s="40" t="s">
        <v>188</v>
      </c>
      <c r="K1733" s="11" t="s">
        <v>188</v>
      </c>
      <c r="L1733" s="29" t="s">
        <v>260</v>
      </c>
      <c r="M1733" s="30" t="s">
        <v>261</v>
      </c>
      <c r="N1733" s="11" t="s">
        <v>264</v>
      </c>
    </row>
    <row r="1734">
      <c r="A1734" s="11" t="s">
        <v>121</v>
      </c>
      <c r="B1734" s="11" t="s">
        <v>20</v>
      </c>
      <c r="C1734" s="11" t="s">
        <v>1480</v>
      </c>
      <c r="D1734" s="11" t="s">
        <v>248</v>
      </c>
      <c r="E1734" s="157" t="s">
        <v>1481</v>
      </c>
      <c r="F1734" s="11" t="s">
        <v>1478</v>
      </c>
      <c r="G1734" s="11" t="s">
        <v>418</v>
      </c>
      <c r="H1734" s="11">
        <v>1996.0</v>
      </c>
      <c r="I1734" s="40">
        <v>3333.0</v>
      </c>
      <c r="J1734" s="40" t="s">
        <v>188</v>
      </c>
      <c r="K1734" s="11" t="s">
        <v>188</v>
      </c>
      <c r="L1734" s="29" t="s">
        <v>260</v>
      </c>
      <c r="M1734" s="30" t="s">
        <v>261</v>
      </c>
      <c r="N1734" s="11" t="s">
        <v>264</v>
      </c>
    </row>
    <row r="1735">
      <c r="A1735" s="11" t="s">
        <v>121</v>
      </c>
      <c r="B1735" s="11" t="s">
        <v>20</v>
      </c>
      <c r="C1735" s="11" t="s">
        <v>1480</v>
      </c>
      <c r="D1735" s="11" t="s">
        <v>248</v>
      </c>
      <c r="E1735" s="157" t="s">
        <v>1481</v>
      </c>
      <c r="F1735" s="11" t="s">
        <v>1478</v>
      </c>
      <c r="G1735" s="11" t="s">
        <v>418</v>
      </c>
      <c r="H1735" s="11">
        <v>1998.0</v>
      </c>
      <c r="I1735" s="40">
        <v>2917.0</v>
      </c>
      <c r="J1735" s="40" t="s">
        <v>188</v>
      </c>
      <c r="K1735" s="11" t="s">
        <v>188</v>
      </c>
      <c r="L1735" s="29" t="s">
        <v>260</v>
      </c>
      <c r="M1735" s="30" t="s">
        <v>261</v>
      </c>
      <c r="N1735" s="11" t="s">
        <v>264</v>
      </c>
    </row>
    <row r="1736">
      <c r="A1736" s="11" t="s">
        <v>121</v>
      </c>
      <c r="B1736" s="11" t="s">
        <v>20</v>
      </c>
      <c r="C1736" s="11" t="s">
        <v>1480</v>
      </c>
      <c r="D1736" s="11" t="s">
        <v>248</v>
      </c>
      <c r="E1736" s="157" t="s">
        <v>1481</v>
      </c>
      <c r="F1736" s="11" t="s">
        <v>1478</v>
      </c>
      <c r="G1736" s="11" t="s">
        <v>418</v>
      </c>
      <c r="H1736" s="11">
        <v>2000.0</v>
      </c>
      <c r="I1736" s="40">
        <v>1667.0</v>
      </c>
      <c r="J1736" s="40" t="s">
        <v>188</v>
      </c>
      <c r="K1736" s="11" t="s">
        <v>188</v>
      </c>
      <c r="L1736" s="29" t="s">
        <v>260</v>
      </c>
      <c r="M1736" s="30" t="s">
        <v>261</v>
      </c>
      <c r="N1736" s="11" t="s">
        <v>264</v>
      </c>
    </row>
    <row r="1737">
      <c r="A1737" s="11" t="s">
        <v>121</v>
      </c>
      <c r="B1737" s="11" t="s">
        <v>20</v>
      </c>
      <c r="C1737" s="11" t="s">
        <v>1480</v>
      </c>
      <c r="D1737" s="11" t="s">
        <v>248</v>
      </c>
      <c r="E1737" s="157" t="s">
        <v>1481</v>
      </c>
      <c r="F1737" s="11" t="s">
        <v>1478</v>
      </c>
      <c r="G1737" s="11" t="s">
        <v>418</v>
      </c>
      <c r="H1737" s="11">
        <v>2002.0</v>
      </c>
      <c r="I1737" s="40">
        <v>1042.0</v>
      </c>
      <c r="J1737" s="40" t="s">
        <v>188</v>
      </c>
      <c r="K1737" s="11" t="s">
        <v>188</v>
      </c>
      <c r="L1737" s="29" t="s">
        <v>260</v>
      </c>
      <c r="M1737" s="30" t="s">
        <v>261</v>
      </c>
      <c r="N1737" s="11" t="s">
        <v>264</v>
      </c>
    </row>
    <row r="1738">
      <c r="A1738" s="11" t="s">
        <v>121</v>
      </c>
      <c r="B1738" s="11" t="s">
        <v>20</v>
      </c>
      <c r="C1738" s="11" t="s">
        <v>1480</v>
      </c>
      <c r="D1738" s="11" t="s">
        <v>248</v>
      </c>
      <c r="E1738" s="157" t="s">
        <v>1481</v>
      </c>
      <c r="F1738" s="11" t="s">
        <v>1478</v>
      </c>
      <c r="G1738" s="11" t="s">
        <v>418</v>
      </c>
      <c r="H1738" s="11">
        <v>2004.0</v>
      </c>
      <c r="I1738" s="40">
        <v>1250.0</v>
      </c>
      <c r="J1738" s="40" t="s">
        <v>188</v>
      </c>
      <c r="K1738" s="11" t="s">
        <v>188</v>
      </c>
      <c r="L1738" s="29" t="s">
        <v>260</v>
      </c>
      <c r="M1738" s="30" t="s">
        <v>261</v>
      </c>
      <c r="N1738" s="11" t="s">
        <v>264</v>
      </c>
    </row>
    <row r="1739">
      <c r="A1739" s="11" t="s">
        <v>121</v>
      </c>
      <c r="B1739" s="11" t="s">
        <v>20</v>
      </c>
      <c r="C1739" s="11" t="s">
        <v>1480</v>
      </c>
      <c r="D1739" s="11" t="s">
        <v>248</v>
      </c>
      <c r="E1739" s="157" t="s">
        <v>1481</v>
      </c>
      <c r="F1739" s="11" t="s">
        <v>1478</v>
      </c>
      <c r="G1739" s="11" t="s">
        <v>418</v>
      </c>
      <c r="H1739" s="11">
        <v>2005.0</v>
      </c>
      <c r="I1739" s="40">
        <v>1042.0</v>
      </c>
      <c r="J1739" s="40" t="s">
        <v>188</v>
      </c>
      <c r="K1739" s="11" t="s">
        <v>188</v>
      </c>
      <c r="L1739" s="29" t="s">
        <v>260</v>
      </c>
      <c r="M1739" s="30" t="s">
        <v>261</v>
      </c>
      <c r="N1739" s="11" t="s">
        <v>264</v>
      </c>
    </row>
    <row r="1740">
      <c r="A1740" s="11" t="s">
        <v>121</v>
      </c>
      <c r="B1740" s="11" t="s">
        <v>20</v>
      </c>
      <c r="C1740" s="11" t="s">
        <v>1480</v>
      </c>
      <c r="D1740" s="11" t="s">
        <v>248</v>
      </c>
      <c r="E1740" s="157" t="s">
        <v>1481</v>
      </c>
      <c r="F1740" s="11" t="s">
        <v>1478</v>
      </c>
      <c r="G1740" s="11" t="s">
        <v>418</v>
      </c>
      <c r="H1740" s="11">
        <v>2006.0</v>
      </c>
      <c r="I1740" s="40">
        <v>833.0</v>
      </c>
      <c r="J1740" s="40" t="s">
        <v>188</v>
      </c>
      <c r="K1740" s="11" t="s">
        <v>188</v>
      </c>
      <c r="L1740" s="29" t="s">
        <v>260</v>
      </c>
      <c r="M1740" s="30" t="s">
        <v>261</v>
      </c>
      <c r="N1740" s="11" t="s">
        <v>264</v>
      </c>
    </row>
    <row r="1741">
      <c r="A1741" s="11" t="s">
        <v>121</v>
      </c>
      <c r="B1741" s="11" t="s">
        <v>20</v>
      </c>
      <c r="C1741" s="11" t="s">
        <v>1480</v>
      </c>
      <c r="D1741" s="11" t="s">
        <v>248</v>
      </c>
      <c r="E1741" s="157" t="s">
        <v>1481</v>
      </c>
      <c r="F1741" s="11" t="s">
        <v>1478</v>
      </c>
      <c r="G1741" s="11" t="s">
        <v>418</v>
      </c>
      <c r="H1741" s="11">
        <v>2008.0</v>
      </c>
      <c r="I1741" s="40">
        <v>833.0</v>
      </c>
      <c r="J1741" s="40" t="s">
        <v>188</v>
      </c>
      <c r="K1741" s="11" t="s">
        <v>188</v>
      </c>
      <c r="L1741" s="29" t="s">
        <v>260</v>
      </c>
      <c r="M1741" s="30" t="s">
        <v>261</v>
      </c>
      <c r="N1741" s="11" t="s">
        <v>264</v>
      </c>
    </row>
    <row r="1742">
      <c r="A1742" s="11" t="s">
        <v>121</v>
      </c>
      <c r="B1742" s="11" t="s">
        <v>20</v>
      </c>
      <c r="C1742" s="11" t="s">
        <v>1480</v>
      </c>
      <c r="D1742" s="11" t="s">
        <v>248</v>
      </c>
      <c r="E1742" s="157" t="s">
        <v>1481</v>
      </c>
      <c r="F1742" s="11" t="s">
        <v>1478</v>
      </c>
      <c r="G1742" s="11" t="s">
        <v>418</v>
      </c>
      <c r="H1742" s="11">
        <v>2010.0</v>
      </c>
      <c r="I1742" s="40">
        <v>833.0</v>
      </c>
      <c r="J1742" s="40" t="s">
        <v>188</v>
      </c>
      <c r="K1742" s="11" t="s">
        <v>188</v>
      </c>
      <c r="L1742" s="29" t="s">
        <v>260</v>
      </c>
      <c r="M1742" s="30" t="s">
        <v>261</v>
      </c>
      <c r="N1742" s="11" t="s">
        <v>264</v>
      </c>
    </row>
    <row r="1743">
      <c r="A1743" s="11" t="s">
        <v>121</v>
      </c>
      <c r="B1743" s="11" t="s">
        <v>20</v>
      </c>
      <c r="C1743" s="11" t="s">
        <v>1480</v>
      </c>
      <c r="D1743" s="11" t="s">
        <v>248</v>
      </c>
      <c r="E1743" s="157" t="s">
        <v>1481</v>
      </c>
      <c r="F1743" s="11" t="s">
        <v>1478</v>
      </c>
      <c r="G1743" s="11" t="s">
        <v>418</v>
      </c>
      <c r="H1743" s="11">
        <v>2011.0</v>
      </c>
      <c r="I1743" s="40">
        <v>729.0</v>
      </c>
      <c r="J1743" s="40" t="s">
        <v>188</v>
      </c>
      <c r="K1743" s="11" t="s">
        <v>188</v>
      </c>
      <c r="L1743" s="29" t="s">
        <v>260</v>
      </c>
      <c r="M1743" s="30" t="s">
        <v>261</v>
      </c>
      <c r="N1743" s="11" t="s">
        <v>264</v>
      </c>
    </row>
    <row r="1744">
      <c r="A1744" s="11" t="s">
        <v>121</v>
      </c>
      <c r="B1744" s="11" t="s">
        <v>20</v>
      </c>
      <c r="C1744" s="11" t="s">
        <v>1480</v>
      </c>
      <c r="D1744" s="11" t="s">
        <v>248</v>
      </c>
      <c r="E1744" s="157" t="s">
        <v>1481</v>
      </c>
      <c r="F1744" s="11" t="s">
        <v>1478</v>
      </c>
      <c r="G1744" s="11" t="s">
        <v>418</v>
      </c>
      <c r="H1744" s="11">
        <v>2012.0</v>
      </c>
      <c r="I1744" s="40">
        <v>625.0</v>
      </c>
      <c r="J1744" s="40" t="s">
        <v>188</v>
      </c>
      <c r="K1744" s="11" t="s">
        <v>188</v>
      </c>
      <c r="L1744" s="29" t="s">
        <v>260</v>
      </c>
      <c r="M1744" s="30" t="s">
        <v>261</v>
      </c>
      <c r="N1744" s="11" t="s">
        <v>264</v>
      </c>
    </row>
    <row r="1745">
      <c r="A1745" s="11" t="s">
        <v>121</v>
      </c>
      <c r="B1745" s="11" t="s">
        <v>20</v>
      </c>
      <c r="C1745" s="11" t="s">
        <v>1480</v>
      </c>
      <c r="D1745" s="11" t="s">
        <v>248</v>
      </c>
      <c r="E1745" s="157" t="s">
        <v>1481</v>
      </c>
      <c r="F1745" s="11" t="s">
        <v>1478</v>
      </c>
      <c r="G1745" s="11" t="s">
        <v>418</v>
      </c>
      <c r="H1745" s="11">
        <v>2013.0</v>
      </c>
      <c r="I1745" s="40">
        <v>625.0</v>
      </c>
      <c r="J1745" s="40" t="s">
        <v>188</v>
      </c>
      <c r="K1745" s="11" t="s">
        <v>188</v>
      </c>
      <c r="L1745" s="29" t="s">
        <v>260</v>
      </c>
      <c r="M1745" s="30" t="s">
        <v>261</v>
      </c>
      <c r="N1745" s="11" t="s">
        <v>264</v>
      </c>
    </row>
    <row r="1746">
      <c r="A1746" s="11" t="s">
        <v>121</v>
      </c>
      <c r="B1746" s="11" t="s">
        <v>20</v>
      </c>
      <c r="C1746" s="11" t="s">
        <v>1480</v>
      </c>
      <c r="D1746" s="11" t="s">
        <v>248</v>
      </c>
      <c r="E1746" s="157" t="s">
        <v>1481</v>
      </c>
      <c r="F1746" s="11" t="s">
        <v>1478</v>
      </c>
      <c r="G1746" s="11" t="s">
        <v>418</v>
      </c>
      <c r="H1746" s="11">
        <v>2014.0</v>
      </c>
      <c r="I1746" s="40">
        <v>417.0</v>
      </c>
      <c r="J1746" s="40" t="s">
        <v>188</v>
      </c>
      <c r="K1746" s="11" t="s">
        <v>188</v>
      </c>
      <c r="L1746" s="29" t="s">
        <v>260</v>
      </c>
      <c r="M1746" s="30" t="s">
        <v>261</v>
      </c>
      <c r="N1746" s="11" t="s">
        <v>264</v>
      </c>
    </row>
    <row r="1747">
      <c r="A1747" s="11" t="s">
        <v>121</v>
      </c>
      <c r="B1747" s="11" t="s">
        <v>20</v>
      </c>
      <c r="C1747" s="11" t="s">
        <v>1480</v>
      </c>
      <c r="D1747" s="11" t="s">
        <v>248</v>
      </c>
      <c r="E1747" s="157" t="s">
        <v>1481</v>
      </c>
      <c r="F1747" s="11" t="s">
        <v>1478</v>
      </c>
      <c r="G1747" s="11" t="s">
        <v>418</v>
      </c>
      <c r="H1747" s="11">
        <v>2015.0</v>
      </c>
      <c r="I1747" s="40">
        <v>417.0</v>
      </c>
      <c r="J1747" s="40" t="s">
        <v>188</v>
      </c>
      <c r="K1747" s="11" t="s">
        <v>188</v>
      </c>
      <c r="L1747" s="29" t="s">
        <v>260</v>
      </c>
      <c r="M1747" s="30" t="s">
        <v>261</v>
      </c>
      <c r="N1747" s="11" t="s">
        <v>264</v>
      </c>
    </row>
    <row r="1748">
      <c r="A1748" s="11" t="s">
        <v>121</v>
      </c>
      <c r="B1748" s="11" t="s">
        <v>20</v>
      </c>
      <c r="C1748" s="11" t="s">
        <v>1480</v>
      </c>
      <c r="D1748" s="11" t="s">
        <v>248</v>
      </c>
      <c r="E1748" s="157" t="s">
        <v>1481</v>
      </c>
      <c r="F1748" s="11" t="s">
        <v>1478</v>
      </c>
      <c r="G1748" s="11" t="s">
        <v>418</v>
      </c>
      <c r="H1748" s="11">
        <v>2016.0</v>
      </c>
      <c r="I1748" s="40">
        <v>417.0</v>
      </c>
      <c r="J1748" s="40" t="s">
        <v>188</v>
      </c>
      <c r="K1748" s="11" t="s">
        <v>188</v>
      </c>
      <c r="L1748" s="29" t="s">
        <v>260</v>
      </c>
      <c r="M1748" s="30" t="s">
        <v>261</v>
      </c>
      <c r="N1748" s="11" t="s">
        <v>264</v>
      </c>
    </row>
    <row r="1749">
      <c r="A1749" s="11" t="s">
        <v>121</v>
      </c>
      <c r="B1749" s="11" t="s">
        <v>20</v>
      </c>
      <c r="C1749" s="11" t="s">
        <v>1480</v>
      </c>
      <c r="D1749" s="11" t="s">
        <v>248</v>
      </c>
      <c r="E1749" s="157" t="s">
        <v>1481</v>
      </c>
      <c r="F1749" s="11" t="s">
        <v>1478</v>
      </c>
      <c r="G1749" s="11" t="s">
        <v>418</v>
      </c>
      <c r="H1749" s="11">
        <v>2017.0</v>
      </c>
      <c r="I1749" s="40">
        <v>417.0</v>
      </c>
      <c r="J1749" s="40" t="s">
        <v>188</v>
      </c>
      <c r="K1749" s="11" t="s">
        <v>188</v>
      </c>
      <c r="L1749" s="29" t="s">
        <v>260</v>
      </c>
      <c r="M1749" s="30" t="s">
        <v>261</v>
      </c>
      <c r="N1749" s="11" t="s">
        <v>264</v>
      </c>
    </row>
    <row r="1750">
      <c r="A1750" s="11" t="s">
        <v>121</v>
      </c>
      <c r="B1750" s="11" t="s">
        <v>20</v>
      </c>
      <c r="C1750" s="11" t="s">
        <v>1480</v>
      </c>
      <c r="D1750" s="11" t="s">
        <v>248</v>
      </c>
      <c r="E1750" s="157" t="s">
        <v>1481</v>
      </c>
      <c r="F1750" s="11" t="s">
        <v>1478</v>
      </c>
      <c r="G1750" s="11" t="s">
        <v>418</v>
      </c>
      <c r="H1750" s="11">
        <v>2018.0</v>
      </c>
      <c r="I1750" s="40">
        <v>417.0</v>
      </c>
      <c r="J1750" s="40" t="s">
        <v>188</v>
      </c>
      <c r="K1750" s="11" t="s">
        <v>188</v>
      </c>
      <c r="L1750" s="29" t="s">
        <v>260</v>
      </c>
      <c r="M1750" s="30" t="s">
        <v>261</v>
      </c>
      <c r="N1750" s="11" t="s">
        <v>264</v>
      </c>
    </row>
    <row r="1751">
      <c r="A1751" s="11" t="s">
        <v>121</v>
      </c>
      <c r="B1751" s="11" t="s">
        <v>20</v>
      </c>
      <c r="C1751" s="11" t="s">
        <v>1482</v>
      </c>
      <c r="D1751" s="11" t="s">
        <v>248</v>
      </c>
      <c r="E1751" s="157" t="s">
        <v>1483</v>
      </c>
      <c r="F1751" s="11" t="s">
        <v>1478</v>
      </c>
      <c r="G1751" s="11" t="s">
        <v>418</v>
      </c>
      <c r="H1751" s="11">
        <v>1978.0</v>
      </c>
      <c r="I1751" s="40">
        <v>45067.0</v>
      </c>
      <c r="J1751" s="40">
        <v>37570.0</v>
      </c>
      <c r="K1751" s="11">
        <v>52567.0</v>
      </c>
      <c r="L1751" s="29" t="s">
        <v>260</v>
      </c>
      <c r="M1751" s="30" t="s">
        <v>261</v>
      </c>
      <c r="N1751" s="11" t="s">
        <v>264</v>
      </c>
    </row>
    <row r="1752">
      <c r="A1752" s="11" t="s">
        <v>121</v>
      </c>
      <c r="B1752" s="11" t="s">
        <v>20</v>
      </c>
      <c r="C1752" s="11" t="s">
        <v>1482</v>
      </c>
      <c r="D1752" s="11" t="s">
        <v>248</v>
      </c>
      <c r="E1752" s="157" t="s">
        <v>1483</v>
      </c>
      <c r="F1752" s="11" t="s">
        <v>1478</v>
      </c>
      <c r="G1752" s="11" t="s">
        <v>418</v>
      </c>
      <c r="H1752" s="11">
        <v>1979.0</v>
      </c>
      <c r="I1752" s="40">
        <v>41745.0</v>
      </c>
      <c r="J1752" s="40" t="s">
        <v>188</v>
      </c>
      <c r="K1752" s="11" t="s">
        <v>188</v>
      </c>
      <c r="L1752" s="29" t="s">
        <v>260</v>
      </c>
      <c r="M1752" s="30" t="s">
        <v>261</v>
      </c>
      <c r="N1752" s="11" t="s">
        <v>264</v>
      </c>
    </row>
    <row r="1753">
      <c r="A1753" s="11" t="s">
        <v>121</v>
      </c>
      <c r="B1753" s="11" t="s">
        <v>20</v>
      </c>
      <c r="C1753" s="11" t="s">
        <v>1482</v>
      </c>
      <c r="D1753" s="11" t="s">
        <v>248</v>
      </c>
      <c r="E1753" s="157" t="s">
        <v>1483</v>
      </c>
      <c r="F1753" s="11" t="s">
        <v>1478</v>
      </c>
      <c r="G1753" s="11" t="s">
        <v>418</v>
      </c>
      <c r="H1753" s="11">
        <v>1985.0</v>
      </c>
      <c r="I1753" s="40">
        <v>28264.0</v>
      </c>
      <c r="J1753" s="40" t="s">
        <v>188</v>
      </c>
      <c r="K1753" s="11" t="s">
        <v>188</v>
      </c>
      <c r="L1753" s="29" t="s">
        <v>260</v>
      </c>
      <c r="M1753" s="30" t="s">
        <v>261</v>
      </c>
      <c r="N1753" s="11" t="s">
        <v>264</v>
      </c>
    </row>
    <row r="1754">
      <c r="A1754" s="11" t="s">
        <v>121</v>
      </c>
      <c r="B1754" s="11" t="s">
        <v>20</v>
      </c>
      <c r="C1754" s="11" t="s">
        <v>1482</v>
      </c>
      <c r="D1754" s="11" t="s">
        <v>248</v>
      </c>
      <c r="E1754" s="157" t="s">
        <v>1483</v>
      </c>
      <c r="F1754" s="11" t="s">
        <v>1478</v>
      </c>
      <c r="G1754" s="11" t="s">
        <v>418</v>
      </c>
      <c r="H1754" s="11">
        <v>1987.0</v>
      </c>
      <c r="I1754" s="40">
        <v>16827.0</v>
      </c>
      <c r="J1754" s="40">
        <v>14744.0</v>
      </c>
      <c r="K1754" s="11">
        <v>19327.0</v>
      </c>
      <c r="L1754" s="29" t="s">
        <v>260</v>
      </c>
      <c r="M1754" s="30" t="s">
        <v>261</v>
      </c>
      <c r="N1754" s="11" t="s">
        <v>264</v>
      </c>
    </row>
    <row r="1755">
      <c r="A1755" s="11" t="s">
        <v>121</v>
      </c>
      <c r="B1755" s="11" t="s">
        <v>20</v>
      </c>
      <c r="C1755" s="11" t="s">
        <v>1482</v>
      </c>
      <c r="D1755" s="11" t="s">
        <v>248</v>
      </c>
      <c r="E1755" s="157" t="s">
        <v>1483</v>
      </c>
      <c r="F1755" s="11" t="s">
        <v>1478</v>
      </c>
      <c r="G1755" s="11" t="s">
        <v>418</v>
      </c>
      <c r="H1755" s="11">
        <v>1989.0</v>
      </c>
      <c r="I1755" s="40">
        <v>10178.0</v>
      </c>
      <c r="J1755" s="40" t="s">
        <v>188</v>
      </c>
      <c r="K1755" s="11" t="s">
        <v>188</v>
      </c>
      <c r="L1755" s="29" t="s">
        <v>260</v>
      </c>
      <c r="M1755" s="30" t="s">
        <v>261</v>
      </c>
      <c r="N1755" s="11" t="s">
        <v>264</v>
      </c>
    </row>
    <row r="1756">
      <c r="A1756" s="11" t="s">
        <v>121</v>
      </c>
      <c r="B1756" s="11" t="s">
        <v>20</v>
      </c>
      <c r="C1756" s="11" t="s">
        <v>1482</v>
      </c>
      <c r="D1756" s="11" t="s">
        <v>248</v>
      </c>
      <c r="E1756" s="157" t="s">
        <v>1483</v>
      </c>
      <c r="F1756" s="11" t="s">
        <v>1478</v>
      </c>
      <c r="G1756" s="11" t="s">
        <v>418</v>
      </c>
      <c r="H1756" s="11">
        <v>1990.0</v>
      </c>
      <c r="I1756" s="40">
        <v>11023.0</v>
      </c>
      <c r="J1756" s="40" t="s">
        <v>188</v>
      </c>
      <c r="K1756" s="11" t="s">
        <v>188</v>
      </c>
      <c r="L1756" s="29" t="s">
        <v>260</v>
      </c>
      <c r="M1756" s="30" t="s">
        <v>261</v>
      </c>
      <c r="N1756" s="11" t="s">
        <v>264</v>
      </c>
    </row>
    <row r="1757">
      <c r="A1757" s="11" t="s">
        <v>121</v>
      </c>
      <c r="B1757" s="11" t="s">
        <v>20</v>
      </c>
      <c r="C1757" s="11" t="s">
        <v>1482</v>
      </c>
      <c r="D1757" s="11" t="s">
        <v>248</v>
      </c>
      <c r="E1757" s="157" t="s">
        <v>1483</v>
      </c>
      <c r="F1757" s="11" t="s">
        <v>1478</v>
      </c>
      <c r="G1757" s="11" t="s">
        <v>418</v>
      </c>
      <c r="H1757" s="11">
        <v>1991.0</v>
      </c>
      <c r="I1757" s="40">
        <v>10615.0</v>
      </c>
      <c r="J1757" s="40" t="s">
        <v>188</v>
      </c>
      <c r="K1757" s="11" t="s">
        <v>188</v>
      </c>
      <c r="L1757" s="29" t="s">
        <v>260</v>
      </c>
      <c r="M1757" s="30" t="s">
        <v>261</v>
      </c>
      <c r="N1757" s="11" t="s">
        <v>264</v>
      </c>
    </row>
    <row r="1758">
      <c r="A1758" s="11" t="s">
        <v>121</v>
      </c>
      <c r="B1758" s="11" t="s">
        <v>20</v>
      </c>
      <c r="C1758" s="11" t="s">
        <v>1482</v>
      </c>
      <c r="D1758" s="11" t="s">
        <v>248</v>
      </c>
      <c r="E1758" s="157" t="s">
        <v>1483</v>
      </c>
      <c r="F1758" s="11" t="s">
        <v>1478</v>
      </c>
      <c r="G1758" s="11" t="s">
        <v>418</v>
      </c>
      <c r="H1758" s="11">
        <v>1992.0</v>
      </c>
      <c r="I1758" s="40">
        <v>9376.0</v>
      </c>
      <c r="J1758" s="40" t="s">
        <v>188</v>
      </c>
      <c r="K1758" s="11" t="s">
        <v>188</v>
      </c>
      <c r="L1758" s="29" t="s">
        <v>260</v>
      </c>
      <c r="M1758" s="30" t="s">
        <v>261</v>
      </c>
      <c r="N1758" s="11" t="s">
        <v>264</v>
      </c>
    </row>
    <row r="1759">
      <c r="A1759" s="11" t="s">
        <v>121</v>
      </c>
      <c r="B1759" s="11" t="s">
        <v>20</v>
      </c>
      <c r="C1759" s="11" t="s">
        <v>1482</v>
      </c>
      <c r="D1759" s="11" t="s">
        <v>248</v>
      </c>
      <c r="E1759" s="157" t="s">
        <v>1483</v>
      </c>
      <c r="F1759" s="11" t="s">
        <v>1478</v>
      </c>
      <c r="G1759" s="11" t="s">
        <v>418</v>
      </c>
      <c r="H1759" s="11">
        <v>1994.0</v>
      </c>
      <c r="I1759" s="40">
        <v>8564.0</v>
      </c>
      <c r="J1759" s="40" t="s">
        <v>188</v>
      </c>
      <c r="K1759" s="11" t="s">
        <v>188</v>
      </c>
      <c r="L1759" s="29" t="s">
        <v>260</v>
      </c>
      <c r="M1759" s="30" t="s">
        <v>261</v>
      </c>
      <c r="N1759" s="11" t="s">
        <v>264</v>
      </c>
    </row>
    <row r="1760">
      <c r="A1760" s="11" t="s">
        <v>121</v>
      </c>
      <c r="B1760" s="11" t="s">
        <v>20</v>
      </c>
      <c r="C1760" s="11" t="s">
        <v>1482</v>
      </c>
      <c r="D1760" s="11" t="s">
        <v>248</v>
      </c>
      <c r="E1760" s="157" t="s">
        <v>1483</v>
      </c>
      <c r="F1760" s="11" t="s">
        <v>1478</v>
      </c>
      <c r="G1760" s="11" t="s">
        <v>418</v>
      </c>
      <c r="H1760" s="11">
        <v>1996.0</v>
      </c>
      <c r="I1760" s="40">
        <v>8167.0</v>
      </c>
      <c r="J1760" s="40" t="s">
        <v>188</v>
      </c>
      <c r="K1760" s="11" t="s">
        <v>188</v>
      </c>
      <c r="L1760" s="29" t="s">
        <v>260</v>
      </c>
      <c r="M1760" s="30" t="s">
        <v>261</v>
      </c>
      <c r="N1760" s="11" t="s">
        <v>264</v>
      </c>
    </row>
    <row r="1761">
      <c r="A1761" s="11" t="s">
        <v>121</v>
      </c>
      <c r="B1761" s="11" t="s">
        <v>20</v>
      </c>
      <c r="C1761" s="11" t="s">
        <v>1482</v>
      </c>
      <c r="D1761" s="11" t="s">
        <v>248</v>
      </c>
      <c r="E1761" s="157" t="s">
        <v>1483</v>
      </c>
      <c r="F1761" s="11" t="s">
        <v>1478</v>
      </c>
      <c r="G1761" s="11" t="s">
        <v>418</v>
      </c>
      <c r="H1761" s="11">
        <v>1998.0</v>
      </c>
      <c r="I1761" s="40">
        <v>8604.0</v>
      </c>
      <c r="J1761" s="40" t="s">
        <v>188</v>
      </c>
      <c r="K1761" s="11" t="s">
        <v>188</v>
      </c>
      <c r="L1761" s="29" t="s">
        <v>260</v>
      </c>
      <c r="M1761" s="30" t="s">
        <v>261</v>
      </c>
      <c r="N1761" s="11" t="s">
        <v>264</v>
      </c>
    </row>
    <row r="1762">
      <c r="A1762" s="11" t="s">
        <v>121</v>
      </c>
      <c r="B1762" s="11" t="s">
        <v>20</v>
      </c>
      <c r="C1762" s="11" t="s">
        <v>1482</v>
      </c>
      <c r="D1762" s="11" t="s">
        <v>248</v>
      </c>
      <c r="E1762" s="157" t="s">
        <v>1483</v>
      </c>
      <c r="F1762" s="11" t="s">
        <v>1478</v>
      </c>
      <c r="G1762" s="11" t="s">
        <v>418</v>
      </c>
      <c r="H1762" s="11">
        <v>2000.0</v>
      </c>
      <c r="I1762" s="40">
        <v>7791.0</v>
      </c>
      <c r="J1762" s="40" t="s">
        <v>188</v>
      </c>
      <c r="K1762" s="11" t="s">
        <v>188</v>
      </c>
      <c r="L1762" s="29" t="s">
        <v>260</v>
      </c>
      <c r="M1762" s="30" t="s">
        <v>261</v>
      </c>
      <c r="N1762" s="11" t="s">
        <v>264</v>
      </c>
    </row>
    <row r="1763">
      <c r="A1763" s="11" t="s">
        <v>121</v>
      </c>
      <c r="B1763" s="11" t="s">
        <v>20</v>
      </c>
      <c r="C1763" s="11" t="s">
        <v>1482</v>
      </c>
      <c r="D1763" s="11" t="s">
        <v>248</v>
      </c>
      <c r="E1763" s="157" t="s">
        <v>1483</v>
      </c>
      <c r="F1763" s="11" t="s">
        <v>1478</v>
      </c>
      <c r="G1763" s="11" t="s">
        <v>418</v>
      </c>
      <c r="H1763" s="11">
        <v>2002.0</v>
      </c>
      <c r="I1763" s="40">
        <v>7809.0</v>
      </c>
      <c r="J1763" s="40" t="s">
        <v>188</v>
      </c>
      <c r="K1763" s="11" t="s">
        <v>188</v>
      </c>
      <c r="L1763" s="29" t="s">
        <v>260</v>
      </c>
      <c r="M1763" s="30" t="s">
        <v>261</v>
      </c>
      <c r="N1763" s="11" t="s">
        <v>264</v>
      </c>
    </row>
    <row r="1764">
      <c r="A1764" s="11" t="s">
        <v>121</v>
      </c>
      <c r="B1764" s="11" t="s">
        <v>20</v>
      </c>
      <c r="C1764" s="11" t="s">
        <v>1482</v>
      </c>
      <c r="D1764" s="11" t="s">
        <v>248</v>
      </c>
      <c r="E1764" s="157" t="s">
        <v>1483</v>
      </c>
      <c r="F1764" s="11" t="s">
        <v>1478</v>
      </c>
      <c r="G1764" s="11" t="s">
        <v>418</v>
      </c>
      <c r="H1764" s="11">
        <v>2004.0</v>
      </c>
      <c r="I1764" s="40">
        <v>8246.0</v>
      </c>
      <c r="J1764" s="40" t="s">
        <v>188</v>
      </c>
      <c r="K1764" s="11" t="s">
        <v>188</v>
      </c>
      <c r="L1764" s="29" t="s">
        <v>260</v>
      </c>
      <c r="M1764" s="30" t="s">
        <v>261</v>
      </c>
      <c r="N1764" s="11" t="s">
        <v>264</v>
      </c>
    </row>
    <row r="1765">
      <c r="A1765" s="11" t="s">
        <v>121</v>
      </c>
      <c r="B1765" s="11" t="s">
        <v>20</v>
      </c>
      <c r="C1765" s="11" t="s">
        <v>1482</v>
      </c>
      <c r="D1765" s="11" t="s">
        <v>248</v>
      </c>
      <c r="E1765" s="157" t="s">
        <v>1483</v>
      </c>
      <c r="F1765" s="11" t="s">
        <v>1478</v>
      </c>
      <c r="G1765" s="11" t="s">
        <v>418</v>
      </c>
      <c r="H1765" s="11">
        <v>2005.0</v>
      </c>
      <c r="I1765" s="40">
        <v>7841.0</v>
      </c>
      <c r="J1765" s="40" t="s">
        <v>188</v>
      </c>
      <c r="K1765" s="11" t="s">
        <v>188</v>
      </c>
      <c r="L1765" s="29" t="s">
        <v>260</v>
      </c>
      <c r="M1765" s="30" t="s">
        <v>261</v>
      </c>
      <c r="N1765" s="11" t="s">
        <v>264</v>
      </c>
    </row>
    <row r="1766">
      <c r="A1766" s="11" t="s">
        <v>121</v>
      </c>
      <c r="B1766" s="11" t="s">
        <v>20</v>
      </c>
      <c r="C1766" s="11" t="s">
        <v>1482</v>
      </c>
      <c r="D1766" s="11" t="s">
        <v>248</v>
      </c>
      <c r="E1766" s="157" t="s">
        <v>1483</v>
      </c>
      <c r="F1766" s="11" t="s">
        <v>1478</v>
      </c>
      <c r="G1766" s="11" t="s">
        <v>418</v>
      </c>
      <c r="H1766" s="11">
        <v>2006.0</v>
      </c>
      <c r="I1766" s="40">
        <v>7850.0</v>
      </c>
      <c r="J1766" s="40" t="s">
        <v>188</v>
      </c>
      <c r="K1766" s="11" t="s">
        <v>188</v>
      </c>
      <c r="L1766" s="29" t="s">
        <v>260</v>
      </c>
      <c r="M1766" s="30" t="s">
        <v>261</v>
      </c>
      <c r="N1766" s="11" t="s">
        <v>264</v>
      </c>
    </row>
    <row r="1767">
      <c r="A1767" s="11" t="s">
        <v>121</v>
      </c>
      <c r="B1767" s="11" t="s">
        <v>20</v>
      </c>
      <c r="C1767" s="11" t="s">
        <v>1482</v>
      </c>
      <c r="D1767" s="11" t="s">
        <v>248</v>
      </c>
      <c r="E1767" s="157" t="s">
        <v>1483</v>
      </c>
      <c r="F1767" s="11" t="s">
        <v>1478</v>
      </c>
      <c r="G1767" s="11" t="s">
        <v>418</v>
      </c>
      <c r="H1767" s="11">
        <v>2007.0</v>
      </c>
      <c r="I1767" s="40">
        <v>7442.0</v>
      </c>
      <c r="J1767" s="40" t="s">
        <v>188</v>
      </c>
      <c r="K1767" s="11" t="s">
        <v>188</v>
      </c>
      <c r="L1767" s="29" t="s">
        <v>260</v>
      </c>
      <c r="M1767" s="30" t="s">
        <v>261</v>
      </c>
      <c r="N1767" s="11" t="s">
        <v>264</v>
      </c>
    </row>
    <row r="1768">
      <c r="A1768" s="11" t="s">
        <v>121</v>
      </c>
      <c r="B1768" s="11" t="s">
        <v>20</v>
      </c>
      <c r="C1768" s="11" t="s">
        <v>1482</v>
      </c>
      <c r="D1768" s="11" t="s">
        <v>248</v>
      </c>
      <c r="E1768" s="157" t="s">
        <v>1483</v>
      </c>
      <c r="F1768" s="11" t="s">
        <v>1478</v>
      </c>
      <c r="G1768" s="11" t="s">
        <v>418</v>
      </c>
      <c r="H1768" s="11">
        <v>2008.0</v>
      </c>
      <c r="I1768" s="40">
        <v>7453.0</v>
      </c>
      <c r="J1768" s="40" t="s">
        <v>188</v>
      </c>
      <c r="K1768" s="11" t="s">
        <v>188</v>
      </c>
      <c r="L1768" s="29" t="s">
        <v>260</v>
      </c>
      <c r="M1768" s="30" t="s">
        <v>261</v>
      </c>
      <c r="N1768" s="11" t="s">
        <v>264</v>
      </c>
    </row>
    <row r="1769">
      <c r="A1769" s="11" t="s">
        <v>121</v>
      </c>
      <c r="B1769" s="11" t="s">
        <v>20</v>
      </c>
      <c r="C1769" s="11" t="s">
        <v>1482</v>
      </c>
      <c r="D1769" s="11" t="s">
        <v>248</v>
      </c>
      <c r="E1769" s="157" t="s">
        <v>1483</v>
      </c>
      <c r="F1769" s="11" t="s">
        <v>1478</v>
      </c>
      <c r="G1769" s="11" t="s">
        <v>418</v>
      </c>
      <c r="H1769" s="11">
        <v>2009.0</v>
      </c>
      <c r="I1769" s="40">
        <v>7465.0</v>
      </c>
      <c r="J1769" s="40" t="s">
        <v>188</v>
      </c>
      <c r="K1769" s="11" t="s">
        <v>188</v>
      </c>
      <c r="L1769" s="29" t="s">
        <v>260</v>
      </c>
      <c r="M1769" s="30" t="s">
        <v>261</v>
      </c>
      <c r="N1769" s="11" t="s">
        <v>264</v>
      </c>
    </row>
    <row r="1770">
      <c r="A1770" s="11" t="s">
        <v>121</v>
      </c>
      <c r="B1770" s="11" t="s">
        <v>20</v>
      </c>
      <c r="C1770" s="11" t="s">
        <v>1482</v>
      </c>
      <c r="D1770" s="11" t="s">
        <v>248</v>
      </c>
      <c r="E1770" s="157" t="s">
        <v>1483</v>
      </c>
      <c r="F1770" s="11" t="s">
        <v>1478</v>
      </c>
      <c r="G1770" s="11" t="s">
        <v>418</v>
      </c>
      <c r="H1770" s="11">
        <v>2010.0</v>
      </c>
      <c r="I1770" s="40">
        <v>7682.0</v>
      </c>
      <c r="J1770" s="40" t="s">
        <v>188</v>
      </c>
      <c r="K1770" s="11" t="s">
        <v>188</v>
      </c>
      <c r="L1770" s="29" t="s">
        <v>260</v>
      </c>
      <c r="M1770" s="30" t="s">
        <v>261</v>
      </c>
      <c r="N1770" s="11" t="s">
        <v>264</v>
      </c>
    </row>
    <row r="1771">
      <c r="A1771" s="11" t="s">
        <v>121</v>
      </c>
      <c r="B1771" s="11" t="s">
        <v>20</v>
      </c>
      <c r="C1771" s="11" t="s">
        <v>1482</v>
      </c>
      <c r="D1771" s="11" t="s">
        <v>248</v>
      </c>
      <c r="E1771" s="157" t="s">
        <v>1483</v>
      </c>
      <c r="F1771" s="11" t="s">
        <v>1478</v>
      </c>
      <c r="G1771" s="11" t="s">
        <v>418</v>
      </c>
      <c r="H1771" s="11">
        <v>2011.0</v>
      </c>
      <c r="I1771" s="40">
        <v>7692.0</v>
      </c>
      <c r="J1771" s="40" t="s">
        <v>188</v>
      </c>
      <c r="K1771" s="11" t="s">
        <v>188</v>
      </c>
      <c r="L1771" s="29" t="s">
        <v>260</v>
      </c>
      <c r="M1771" s="30" t="s">
        <v>261</v>
      </c>
      <c r="N1771" s="11" t="s">
        <v>264</v>
      </c>
    </row>
    <row r="1772">
      <c r="A1772" s="11" t="s">
        <v>121</v>
      </c>
      <c r="B1772" s="11" t="s">
        <v>20</v>
      </c>
      <c r="C1772" s="11" t="s">
        <v>1482</v>
      </c>
      <c r="D1772" s="11" t="s">
        <v>248</v>
      </c>
      <c r="E1772" s="157" t="s">
        <v>1483</v>
      </c>
      <c r="F1772" s="11" t="s">
        <v>1478</v>
      </c>
      <c r="G1772" s="11" t="s">
        <v>418</v>
      </c>
      <c r="H1772" s="11">
        <v>2012.0</v>
      </c>
      <c r="I1772" s="40">
        <v>7494.0</v>
      </c>
      <c r="J1772" s="40" t="s">
        <v>188</v>
      </c>
      <c r="K1772" s="11">
        <v>8328.0</v>
      </c>
      <c r="L1772" s="29" t="s">
        <v>260</v>
      </c>
      <c r="M1772" s="30" t="s">
        <v>261</v>
      </c>
      <c r="N1772" s="11" t="s">
        <v>264</v>
      </c>
    </row>
    <row r="1773">
      <c r="A1773" s="11" t="s">
        <v>121</v>
      </c>
      <c r="B1773" s="11" t="s">
        <v>20</v>
      </c>
      <c r="C1773" s="11" t="s">
        <v>1482</v>
      </c>
      <c r="D1773" s="11" t="s">
        <v>248</v>
      </c>
      <c r="E1773" s="157" t="s">
        <v>1483</v>
      </c>
      <c r="F1773" s="11" t="s">
        <v>1478</v>
      </c>
      <c r="G1773" s="11" t="s">
        <v>418</v>
      </c>
      <c r="H1773" s="11">
        <v>2013.0</v>
      </c>
      <c r="I1773" s="40">
        <v>7503.0</v>
      </c>
      <c r="J1773" s="40" t="s">
        <v>188</v>
      </c>
      <c r="K1773" s="11">
        <v>8339.0</v>
      </c>
      <c r="L1773" s="29" t="s">
        <v>260</v>
      </c>
      <c r="M1773" s="30" t="s">
        <v>261</v>
      </c>
      <c r="N1773" s="11" t="s">
        <v>264</v>
      </c>
    </row>
    <row r="1774">
      <c r="A1774" s="11" t="s">
        <v>121</v>
      </c>
      <c r="B1774" s="11" t="s">
        <v>20</v>
      </c>
      <c r="C1774" s="11" t="s">
        <v>1482</v>
      </c>
      <c r="D1774" s="11" t="s">
        <v>248</v>
      </c>
      <c r="E1774" s="157" t="s">
        <v>1483</v>
      </c>
      <c r="F1774" s="11" t="s">
        <v>1478</v>
      </c>
      <c r="G1774" s="11" t="s">
        <v>418</v>
      </c>
      <c r="H1774" s="11">
        <v>2014.0</v>
      </c>
      <c r="I1774" s="40">
        <v>6681.0</v>
      </c>
      <c r="J1774" s="40" t="s">
        <v>188</v>
      </c>
      <c r="K1774" s="11" t="s">
        <v>188</v>
      </c>
      <c r="L1774" s="29" t="s">
        <v>260</v>
      </c>
      <c r="M1774" s="30" t="s">
        <v>261</v>
      </c>
      <c r="N1774" s="11" t="s">
        <v>264</v>
      </c>
    </row>
    <row r="1775">
      <c r="A1775" s="11" t="s">
        <v>121</v>
      </c>
      <c r="B1775" s="11" t="s">
        <v>20</v>
      </c>
      <c r="C1775" s="11" t="s">
        <v>1482</v>
      </c>
      <c r="D1775" s="11" t="s">
        <v>248</v>
      </c>
      <c r="E1775" s="157" t="s">
        <v>1483</v>
      </c>
      <c r="F1775" s="11" t="s">
        <v>1478</v>
      </c>
      <c r="G1775" s="11" t="s">
        <v>418</v>
      </c>
      <c r="H1775" s="11">
        <v>2015.0</v>
      </c>
      <c r="I1775" s="40">
        <v>7107.0</v>
      </c>
      <c r="J1775" s="40" t="s">
        <v>188</v>
      </c>
      <c r="K1775" s="11">
        <v>8357.0</v>
      </c>
      <c r="L1775" s="29" t="s">
        <v>260</v>
      </c>
      <c r="M1775" s="30" t="s">
        <v>261</v>
      </c>
      <c r="N1775" s="11" t="s">
        <v>264</v>
      </c>
    </row>
    <row r="1776">
      <c r="A1776" s="11" t="s">
        <v>121</v>
      </c>
      <c r="B1776" s="11" t="s">
        <v>20</v>
      </c>
      <c r="C1776" s="11" t="s">
        <v>1482</v>
      </c>
      <c r="D1776" s="11" t="s">
        <v>248</v>
      </c>
      <c r="E1776" s="157" t="s">
        <v>1483</v>
      </c>
      <c r="F1776" s="11" t="s">
        <v>1478</v>
      </c>
      <c r="G1776" s="11" t="s">
        <v>418</v>
      </c>
      <c r="H1776" s="11">
        <v>2016.0</v>
      </c>
      <c r="I1776" s="40">
        <v>7535.0</v>
      </c>
      <c r="J1776" s="40" t="s">
        <v>188</v>
      </c>
      <c r="K1776" s="11" t="s">
        <v>188</v>
      </c>
      <c r="L1776" s="29" t="s">
        <v>260</v>
      </c>
      <c r="M1776" s="30" t="s">
        <v>261</v>
      </c>
      <c r="N1776" s="11" t="s">
        <v>264</v>
      </c>
    </row>
    <row r="1777">
      <c r="A1777" s="11" t="s">
        <v>121</v>
      </c>
      <c r="B1777" s="11" t="s">
        <v>20</v>
      </c>
      <c r="C1777" s="11" t="s">
        <v>1482</v>
      </c>
      <c r="D1777" s="11" t="s">
        <v>248</v>
      </c>
      <c r="E1777" s="157" t="s">
        <v>1483</v>
      </c>
      <c r="F1777" s="11" t="s">
        <v>1478</v>
      </c>
      <c r="G1777" s="11" t="s">
        <v>418</v>
      </c>
      <c r="H1777" s="11">
        <v>2017.0</v>
      </c>
      <c r="I1777" s="40">
        <v>7547.0</v>
      </c>
      <c r="J1777" s="40">
        <v>6294.0</v>
      </c>
      <c r="K1777" s="11">
        <v>8797.0</v>
      </c>
      <c r="L1777" s="29" t="s">
        <v>260</v>
      </c>
      <c r="M1777" s="30" t="s">
        <v>261</v>
      </c>
      <c r="N1777" s="11" t="s">
        <v>264</v>
      </c>
    </row>
    <row r="1778">
      <c r="A1778" s="11" t="s">
        <v>121</v>
      </c>
      <c r="B1778" s="11" t="s">
        <v>20</v>
      </c>
      <c r="C1778" s="11" t="s">
        <v>1482</v>
      </c>
      <c r="D1778" s="11" t="s">
        <v>248</v>
      </c>
      <c r="E1778" s="157" t="s">
        <v>1483</v>
      </c>
      <c r="F1778" s="11" t="s">
        <v>1478</v>
      </c>
      <c r="G1778" s="11" t="s">
        <v>418</v>
      </c>
      <c r="H1778" s="11">
        <v>2018.0</v>
      </c>
      <c r="I1778" s="40">
        <v>7555.0</v>
      </c>
      <c r="J1778" s="40" t="s">
        <v>188</v>
      </c>
      <c r="K1778" s="11" t="s">
        <v>188</v>
      </c>
      <c r="L1778" s="29" t="s">
        <v>260</v>
      </c>
      <c r="M1778" s="30" t="s">
        <v>261</v>
      </c>
      <c r="N1778" s="11" t="s">
        <v>264</v>
      </c>
    </row>
    <row r="1779">
      <c r="A1779" s="11" t="s">
        <v>121</v>
      </c>
      <c r="B1779" s="11" t="s">
        <v>20</v>
      </c>
      <c r="C1779" s="11" t="s">
        <v>1486</v>
      </c>
      <c r="D1779" s="11" t="s">
        <v>248</v>
      </c>
      <c r="E1779" s="157" t="s">
        <v>1487</v>
      </c>
      <c r="F1779" s="11" t="s">
        <v>1478</v>
      </c>
      <c r="G1779" s="11" t="s">
        <v>418</v>
      </c>
      <c r="H1779" s="11">
        <v>1978.0</v>
      </c>
      <c r="I1779" s="40">
        <v>9583.0</v>
      </c>
      <c r="J1779" s="40">
        <v>5833.0</v>
      </c>
      <c r="K1779" s="11">
        <v>13333.0</v>
      </c>
      <c r="L1779" s="29" t="s">
        <v>260</v>
      </c>
      <c r="M1779" s="30" t="s">
        <v>261</v>
      </c>
      <c r="N1779" s="11" t="s">
        <v>264</v>
      </c>
    </row>
    <row r="1780">
      <c r="A1780" s="11" t="s">
        <v>121</v>
      </c>
      <c r="B1780" s="11" t="s">
        <v>20</v>
      </c>
      <c r="C1780" s="11" t="s">
        <v>1486</v>
      </c>
      <c r="D1780" s="11" t="s">
        <v>248</v>
      </c>
      <c r="E1780" s="157" t="s">
        <v>1487</v>
      </c>
      <c r="F1780" s="11" t="s">
        <v>1478</v>
      </c>
      <c r="G1780" s="11" t="s">
        <v>418</v>
      </c>
      <c r="H1780" s="11">
        <v>1979.0</v>
      </c>
      <c r="I1780" s="40">
        <v>10000.0</v>
      </c>
      <c r="J1780" s="40">
        <v>6667.0</v>
      </c>
      <c r="K1780" s="11">
        <v>13333.0</v>
      </c>
      <c r="L1780" s="29" t="s">
        <v>260</v>
      </c>
      <c r="M1780" s="30" t="s">
        <v>261</v>
      </c>
      <c r="N1780" s="11" t="s">
        <v>264</v>
      </c>
    </row>
    <row r="1781">
      <c r="A1781" s="11" t="s">
        <v>121</v>
      </c>
      <c r="B1781" s="11" t="s">
        <v>20</v>
      </c>
      <c r="C1781" s="11" t="s">
        <v>1486</v>
      </c>
      <c r="D1781" s="11" t="s">
        <v>248</v>
      </c>
      <c r="E1781" s="157" t="s">
        <v>1487</v>
      </c>
      <c r="F1781" s="11" t="s">
        <v>1478</v>
      </c>
      <c r="G1781" s="11" t="s">
        <v>418</v>
      </c>
      <c r="H1781" s="11">
        <v>1989.0</v>
      </c>
      <c r="I1781" s="40">
        <v>7917.0</v>
      </c>
      <c r="J1781" s="40" t="s">
        <v>188</v>
      </c>
      <c r="K1781" s="11" t="s">
        <v>188</v>
      </c>
      <c r="L1781" s="29" t="s">
        <v>260</v>
      </c>
      <c r="M1781" s="30" t="s">
        <v>261</v>
      </c>
      <c r="N1781" s="11" t="s">
        <v>264</v>
      </c>
    </row>
    <row r="1782">
      <c r="A1782" s="11" t="s">
        <v>121</v>
      </c>
      <c r="B1782" s="11" t="s">
        <v>20</v>
      </c>
      <c r="C1782" s="11" t="s">
        <v>1486</v>
      </c>
      <c r="D1782" s="11" t="s">
        <v>248</v>
      </c>
      <c r="E1782" s="157" t="s">
        <v>1487</v>
      </c>
      <c r="F1782" s="11" t="s">
        <v>1478</v>
      </c>
      <c r="G1782" s="11" t="s">
        <v>418</v>
      </c>
      <c r="H1782" s="11">
        <v>1990.0</v>
      </c>
      <c r="I1782" s="40">
        <v>6250.0</v>
      </c>
      <c r="J1782" s="40" t="s">
        <v>188</v>
      </c>
      <c r="K1782" s="11" t="s">
        <v>188</v>
      </c>
      <c r="L1782" s="29" t="s">
        <v>260</v>
      </c>
      <c r="M1782" s="30" t="s">
        <v>261</v>
      </c>
      <c r="N1782" s="11" t="s">
        <v>264</v>
      </c>
    </row>
    <row r="1783">
      <c r="A1783" s="11" t="s">
        <v>121</v>
      </c>
      <c r="B1783" s="11" t="s">
        <v>20</v>
      </c>
      <c r="C1783" s="11" t="s">
        <v>1486</v>
      </c>
      <c r="D1783" s="11" t="s">
        <v>248</v>
      </c>
      <c r="E1783" s="157" t="s">
        <v>1487</v>
      </c>
      <c r="F1783" s="11" t="s">
        <v>1478</v>
      </c>
      <c r="G1783" s="11" t="s">
        <v>418</v>
      </c>
      <c r="H1783" s="11">
        <v>1991.0</v>
      </c>
      <c r="I1783" s="40">
        <v>5417.0</v>
      </c>
      <c r="J1783" s="40" t="s">
        <v>188</v>
      </c>
      <c r="K1783" s="11" t="s">
        <v>188</v>
      </c>
      <c r="L1783" s="29" t="s">
        <v>260</v>
      </c>
      <c r="M1783" s="30" t="s">
        <v>261</v>
      </c>
      <c r="N1783" s="11" t="s">
        <v>264</v>
      </c>
    </row>
    <row r="1784">
      <c r="A1784" s="11" t="s">
        <v>121</v>
      </c>
      <c r="B1784" s="11" t="s">
        <v>20</v>
      </c>
      <c r="C1784" s="11" t="s">
        <v>1486</v>
      </c>
      <c r="D1784" s="11" t="s">
        <v>248</v>
      </c>
      <c r="E1784" s="157" t="s">
        <v>1487</v>
      </c>
      <c r="F1784" s="11" t="s">
        <v>1478</v>
      </c>
      <c r="G1784" s="11" t="s">
        <v>418</v>
      </c>
      <c r="H1784" s="11">
        <v>1992.0</v>
      </c>
      <c r="I1784" s="40">
        <v>4583.0</v>
      </c>
      <c r="J1784" s="40" t="s">
        <v>188</v>
      </c>
      <c r="K1784" s="11" t="s">
        <v>188</v>
      </c>
      <c r="L1784" s="29" t="s">
        <v>260</v>
      </c>
      <c r="M1784" s="30" t="s">
        <v>261</v>
      </c>
      <c r="N1784" s="11" t="s">
        <v>264</v>
      </c>
    </row>
    <row r="1785">
      <c r="A1785" s="11" t="s">
        <v>121</v>
      </c>
      <c r="B1785" s="11" t="s">
        <v>20</v>
      </c>
      <c r="C1785" s="11" t="s">
        <v>1486</v>
      </c>
      <c r="D1785" s="11" t="s">
        <v>248</v>
      </c>
      <c r="E1785" s="157" t="s">
        <v>1487</v>
      </c>
      <c r="F1785" s="11" t="s">
        <v>1478</v>
      </c>
      <c r="G1785" s="11" t="s">
        <v>418</v>
      </c>
      <c r="H1785" s="11">
        <v>1994.0</v>
      </c>
      <c r="I1785" s="40">
        <v>4271.0</v>
      </c>
      <c r="J1785" s="40" t="s">
        <v>188</v>
      </c>
      <c r="K1785" s="11" t="s">
        <v>188</v>
      </c>
      <c r="L1785" s="29" t="s">
        <v>260</v>
      </c>
      <c r="M1785" s="30" t="s">
        <v>261</v>
      </c>
      <c r="N1785" s="11" t="s">
        <v>264</v>
      </c>
    </row>
    <row r="1786">
      <c r="A1786" s="11" t="s">
        <v>121</v>
      </c>
      <c r="B1786" s="11" t="s">
        <v>20</v>
      </c>
      <c r="C1786" s="11" t="s">
        <v>1486</v>
      </c>
      <c r="D1786" s="11" t="s">
        <v>248</v>
      </c>
      <c r="E1786" s="157" t="s">
        <v>1487</v>
      </c>
      <c r="F1786" s="11" t="s">
        <v>1478</v>
      </c>
      <c r="G1786" s="11" t="s">
        <v>418</v>
      </c>
      <c r="H1786" s="11">
        <v>1996.0</v>
      </c>
      <c r="I1786" s="40">
        <v>2604.0</v>
      </c>
      <c r="J1786" s="40" t="s">
        <v>188</v>
      </c>
      <c r="K1786" s="11" t="s">
        <v>188</v>
      </c>
      <c r="L1786" s="29" t="s">
        <v>260</v>
      </c>
      <c r="M1786" s="30" t="s">
        <v>261</v>
      </c>
      <c r="N1786" s="11" t="s">
        <v>264</v>
      </c>
    </row>
    <row r="1787">
      <c r="A1787" s="11" t="s">
        <v>121</v>
      </c>
      <c r="B1787" s="11" t="s">
        <v>20</v>
      </c>
      <c r="C1787" s="11" t="s">
        <v>1486</v>
      </c>
      <c r="D1787" s="11" t="s">
        <v>248</v>
      </c>
      <c r="E1787" s="157" t="s">
        <v>1487</v>
      </c>
      <c r="F1787" s="11" t="s">
        <v>1478</v>
      </c>
      <c r="G1787" s="11" t="s">
        <v>418</v>
      </c>
      <c r="H1787" s="11">
        <v>1997.0</v>
      </c>
      <c r="I1787" s="40">
        <v>3333.0</v>
      </c>
      <c r="J1787" s="40" t="s">
        <v>188</v>
      </c>
      <c r="K1787" s="11">
        <v>4583.0</v>
      </c>
      <c r="L1787" s="29" t="s">
        <v>260</v>
      </c>
      <c r="M1787" s="30" t="s">
        <v>261</v>
      </c>
      <c r="N1787" s="11" t="s">
        <v>264</v>
      </c>
    </row>
    <row r="1788">
      <c r="A1788" s="11" t="s">
        <v>121</v>
      </c>
      <c r="B1788" s="11" t="s">
        <v>20</v>
      </c>
      <c r="C1788" s="11" t="s">
        <v>1486</v>
      </c>
      <c r="D1788" s="11" t="s">
        <v>248</v>
      </c>
      <c r="E1788" s="157" t="s">
        <v>1487</v>
      </c>
      <c r="F1788" s="11" t="s">
        <v>1478</v>
      </c>
      <c r="G1788" s="11" t="s">
        <v>418</v>
      </c>
      <c r="H1788" s="11">
        <v>1998.0</v>
      </c>
      <c r="I1788" s="40">
        <v>2500.0</v>
      </c>
      <c r="J1788" s="40" t="s">
        <v>188</v>
      </c>
      <c r="K1788" s="11" t="s">
        <v>188</v>
      </c>
      <c r="L1788" s="29" t="s">
        <v>260</v>
      </c>
      <c r="M1788" s="30" t="s">
        <v>261</v>
      </c>
      <c r="N1788" s="11" t="s">
        <v>264</v>
      </c>
    </row>
    <row r="1789">
      <c r="A1789" s="11" t="s">
        <v>121</v>
      </c>
      <c r="B1789" s="11" t="s">
        <v>20</v>
      </c>
      <c r="C1789" s="11" t="s">
        <v>1486</v>
      </c>
      <c r="D1789" s="11" t="s">
        <v>248</v>
      </c>
      <c r="E1789" s="157" t="s">
        <v>1487</v>
      </c>
      <c r="F1789" s="11" t="s">
        <v>1478</v>
      </c>
      <c r="G1789" s="11" t="s">
        <v>418</v>
      </c>
      <c r="H1789" s="11">
        <v>2000.0</v>
      </c>
      <c r="I1789" s="40">
        <v>2500.0</v>
      </c>
      <c r="J1789" s="40" t="s">
        <v>188</v>
      </c>
      <c r="K1789" s="11" t="s">
        <v>188</v>
      </c>
      <c r="L1789" s="29" t="s">
        <v>260</v>
      </c>
      <c r="M1789" s="30" t="s">
        <v>261</v>
      </c>
      <c r="N1789" s="11" t="s">
        <v>264</v>
      </c>
    </row>
    <row r="1790">
      <c r="A1790" s="11" t="s">
        <v>121</v>
      </c>
      <c r="B1790" s="11" t="s">
        <v>20</v>
      </c>
      <c r="C1790" s="11" t="s">
        <v>1486</v>
      </c>
      <c r="D1790" s="11" t="s">
        <v>248</v>
      </c>
      <c r="E1790" s="157" t="s">
        <v>1487</v>
      </c>
      <c r="F1790" s="11" t="s">
        <v>1478</v>
      </c>
      <c r="G1790" s="11" t="s">
        <v>418</v>
      </c>
      <c r="H1790" s="11">
        <v>2002.0</v>
      </c>
      <c r="I1790" s="40">
        <v>3333.0</v>
      </c>
      <c r="J1790" s="40" t="s">
        <v>188</v>
      </c>
      <c r="K1790" s="11" t="s">
        <v>188</v>
      </c>
      <c r="L1790" s="29" t="s">
        <v>260</v>
      </c>
      <c r="M1790" s="30" t="s">
        <v>261</v>
      </c>
      <c r="N1790" s="11" t="s">
        <v>264</v>
      </c>
    </row>
    <row r="1791">
      <c r="A1791" s="11" t="s">
        <v>121</v>
      </c>
      <c r="B1791" s="11" t="s">
        <v>20</v>
      </c>
      <c r="C1791" s="11" t="s">
        <v>1486</v>
      </c>
      <c r="D1791" s="11" t="s">
        <v>248</v>
      </c>
      <c r="E1791" s="157" t="s">
        <v>1487</v>
      </c>
      <c r="F1791" s="11" t="s">
        <v>1478</v>
      </c>
      <c r="G1791" s="11" t="s">
        <v>418</v>
      </c>
      <c r="H1791" s="11">
        <v>2004.0</v>
      </c>
      <c r="I1791" s="40">
        <v>3333.0</v>
      </c>
      <c r="J1791" s="40" t="s">
        <v>188</v>
      </c>
      <c r="K1791" s="11" t="s">
        <v>188</v>
      </c>
      <c r="L1791" s="29" t="s">
        <v>260</v>
      </c>
      <c r="M1791" s="30" t="s">
        <v>261</v>
      </c>
      <c r="N1791" s="11" t="s">
        <v>264</v>
      </c>
    </row>
    <row r="1792">
      <c r="A1792" s="11" t="s">
        <v>121</v>
      </c>
      <c r="B1792" s="11" t="s">
        <v>20</v>
      </c>
      <c r="C1792" s="11" t="s">
        <v>1486</v>
      </c>
      <c r="D1792" s="11" t="s">
        <v>248</v>
      </c>
      <c r="E1792" s="157" t="s">
        <v>1487</v>
      </c>
      <c r="F1792" s="11" t="s">
        <v>1478</v>
      </c>
      <c r="G1792" s="11" t="s">
        <v>418</v>
      </c>
      <c r="H1792" s="11">
        <v>2005.0</v>
      </c>
      <c r="I1792" s="40">
        <v>3750.0</v>
      </c>
      <c r="J1792" s="40" t="s">
        <v>188</v>
      </c>
      <c r="K1792" s="11">
        <v>5000.0</v>
      </c>
      <c r="L1792" s="29" t="s">
        <v>260</v>
      </c>
      <c r="M1792" s="30" t="s">
        <v>261</v>
      </c>
      <c r="N1792" s="11" t="s">
        <v>264</v>
      </c>
    </row>
    <row r="1793">
      <c r="A1793" s="11" t="s">
        <v>121</v>
      </c>
      <c r="B1793" s="11" t="s">
        <v>20</v>
      </c>
      <c r="C1793" s="11" t="s">
        <v>1486</v>
      </c>
      <c r="D1793" s="11" t="s">
        <v>248</v>
      </c>
      <c r="E1793" s="157" t="s">
        <v>1487</v>
      </c>
      <c r="F1793" s="11" t="s">
        <v>1478</v>
      </c>
      <c r="G1793" s="11" t="s">
        <v>418</v>
      </c>
      <c r="H1793" s="11">
        <v>2006.0</v>
      </c>
      <c r="I1793" s="40">
        <v>3750.0</v>
      </c>
      <c r="J1793" s="40" t="s">
        <v>188</v>
      </c>
      <c r="K1793" s="11" t="s">
        <v>188</v>
      </c>
      <c r="L1793" s="29" t="s">
        <v>260</v>
      </c>
      <c r="M1793" s="30" t="s">
        <v>261</v>
      </c>
      <c r="N1793" s="11" t="s">
        <v>264</v>
      </c>
    </row>
    <row r="1794">
      <c r="A1794" s="11" t="s">
        <v>121</v>
      </c>
      <c r="B1794" s="11" t="s">
        <v>20</v>
      </c>
      <c r="C1794" s="11" t="s">
        <v>1486</v>
      </c>
      <c r="D1794" s="11" t="s">
        <v>248</v>
      </c>
      <c r="E1794" s="157" t="s">
        <v>1487</v>
      </c>
      <c r="F1794" s="11" t="s">
        <v>1478</v>
      </c>
      <c r="G1794" s="11" t="s">
        <v>418</v>
      </c>
      <c r="H1794" s="11">
        <v>2007.0</v>
      </c>
      <c r="I1794" s="40">
        <v>3750.0</v>
      </c>
      <c r="J1794" s="40" t="s">
        <v>188</v>
      </c>
      <c r="K1794" s="11" t="s">
        <v>188</v>
      </c>
      <c r="L1794" s="29" t="s">
        <v>260</v>
      </c>
      <c r="M1794" s="30" t="s">
        <v>261</v>
      </c>
      <c r="N1794" s="11" t="s">
        <v>264</v>
      </c>
    </row>
    <row r="1795">
      <c r="A1795" s="11" t="s">
        <v>121</v>
      </c>
      <c r="B1795" s="11" t="s">
        <v>20</v>
      </c>
      <c r="C1795" s="11" t="s">
        <v>1486</v>
      </c>
      <c r="D1795" s="11" t="s">
        <v>248</v>
      </c>
      <c r="E1795" s="157" t="s">
        <v>1487</v>
      </c>
      <c r="F1795" s="11" t="s">
        <v>1478</v>
      </c>
      <c r="G1795" s="11" t="s">
        <v>418</v>
      </c>
      <c r="H1795" s="11">
        <v>2008.0</v>
      </c>
      <c r="I1795" s="40">
        <v>5000.0</v>
      </c>
      <c r="J1795" s="40" t="s">
        <v>188</v>
      </c>
      <c r="K1795" s="11" t="s">
        <v>188</v>
      </c>
      <c r="L1795" s="29" t="s">
        <v>260</v>
      </c>
      <c r="M1795" s="30" t="s">
        <v>261</v>
      </c>
      <c r="N1795" s="11" t="s">
        <v>264</v>
      </c>
    </row>
    <row r="1796">
      <c r="A1796" s="11" t="s">
        <v>121</v>
      </c>
      <c r="B1796" s="11" t="s">
        <v>20</v>
      </c>
      <c r="C1796" s="11" t="s">
        <v>1486</v>
      </c>
      <c r="D1796" s="11" t="s">
        <v>248</v>
      </c>
      <c r="E1796" s="157" t="s">
        <v>1487</v>
      </c>
      <c r="F1796" s="11" t="s">
        <v>1478</v>
      </c>
      <c r="G1796" s="11" t="s">
        <v>418</v>
      </c>
      <c r="H1796" s="11">
        <v>2009.0</v>
      </c>
      <c r="I1796" s="40">
        <v>4167.0</v>
      </c>
      <c r="J1796" s="40" t="s">
        <v>188</v>
      </c>
      <c r="K1796" s="11" t="s">
        <v>188</v>
      </c>
      <c r="L1796" s="29" t="s">
        <v>260</v>
      </c>
      <c r="M1796" s="30" t="s">
        <v>261</v>
      </c>
      <c r="N1796" s="11" t="s">
        <v>264</v>
      </c>
    </row>
    <row r="1797">
      <c r="A1797" s="11" t="s">
        <v>121</v>
      </c>
      <c r="B1797" s="11" t="s">
        <v>20</v>
      </c>
      <c r="C1797" s="11" t="s">
        <v>1486</v>
      </c>
      <c r="D1797" s="11" t="s">
        <v>248</v>
      </c>
      <c r="E1797" s="157" t="s">
        <v>1487</v>
      </c>
      <c r="F1797" s="11" t="s">
        <v>1478</v>
      </c>
      <c r="G1797" s="11" t="s">
        <v>418</v>
      </c>
      <c r="H1797" s="11">
        <v>2010.0</v>
      </c>
      <c r="I1797" s="40">
        <v>4167.0</v>
      </c>
      <c r="J1797" s="40" t="s">
        <v>188</v>
      </c>
      <c r="K1797" s="11" t="s">
        <v>188</v>
      </c>
      <c r="L1797" s="29" t="s">
        <v>260</v>
      </c>
      <c r="M1797" s="30" t="s">
        <v>261</v>
      </c>
      <c r="N1797" s="11" t="s">
        <v>264</v>
      </c>
    </row>
    <row r="1798">
      <c r="A1798" s="11" t="s">
        <v>121</v>
      </c>
      <c r="B1798" s="11" t="s">
        <v>20</v>
      </c>
      <c r="C1798" s="11" t="s">
        <v>1486</v>
      </c>
      <c r="D1798" s="11" t="s">
        <v>248</v>
      </c>
      <c r="E1798" s="157" t="s">
        <v>1487</v>
      </c>
      <c r="F1798" s="11" t="s">
        <v>1478</v>
      </c>
      <c r="G1798" s="11" t="s">
        <v>418</v>
      </c>
      <c r="H1798" s="11">
        <v>2011.0</v>
      </c>
      <c r="I1798" s="40">
        <v>5417.0</v>
      </c>
      <c r="J1798" s="40" t="s">
        <v>188</v>
      </c>
      <c r="K1798" s="11" t="s">
        <v>188</v>
      </c>
      <c r="L1798" s="29" t="s">
        <v>260</v>
      </c>
      <c r="M1798" s="30" t="s">
        <v>261</v>
      </c>
      <c r="N1798" s="11" t="s">
        <v>264</v>
      </c>
    </row>
    <row r="1799">
      <c r="A1799" s="11" t="s">
        <v>121</v>
      </c>
      <c r="B1799" s="11" t="s">
        <v>20</v>
      </c>
      <c r="C1799" s="11" t="s">
        <v>1486</v>
      </c>
      <c r="D1799" s="11" t="s">
        <v>248</v>
      </c>
      <c r="E1799" s="157" t="s">
        <v>1487</v>
      </c>
      <c r="F1799" s="11" t="s">
        <v>1478</v>
      </c>
      <c r="G1799" s="11" t="s">
        <v>418</v>
      </c>
      <c r="H1799" s="11">
        <v>2013.0</v>
      </c>
      <c r="I1799" s="40">
        <v>5417.0</v>
      </c>
      <c r="J1799" s="40" t="s">
        <v>188</v>
      </c>
      <c r="K1799" s="11" t="s">
        <v>188</v>
      </c>
      <c r="L1799" s="29" t="s">
        <v>260</v>
      </c>
      <c r="M1799" s="30" t="s">
        <v>261</v>
      </c>
      <c r="N1799" s="11" t="s">
        <v>264</v>
      </c>
    </row>
    <row r="1800">
      <c r="A1800" s="11" t="s">
        <v>121</v>
      </c>
      <c r="B1800" s="11" t="s">
        <v>20</v>
      </c>
      <c r="C1800" s="11" t="s">
        <v>1486</v>
      </c>
      <c r="D1800" s="11" t="s">
        <v>248</v>
      </c>
      <c r="E1800" s="157" t="s">
        <v>1487</v>
      </c>
      <c r="F1800" s="11" t="s">
        <v>1478</v>
      </c>
      <c r="G1800" s="11" t="s">
        <v>418</v>
      </c>
      <c r="H1800" s="11">
        <v>2015.0</v>
      </c>
      <c r="I1800" s="40">
        <v>6250.0</v>
      </c>
      <c r="J1800" s="40" t="s">
        <v>188</v>
      </c>
      <c r="K1800" s="11" t="s">
        <v>188</v>
      </c>
      <c r="L1800" s="29" t="s">
        <v>260</v>
      </c>
      <c r="M1800" s="30" t="s">
        <v>261</v>
      </c>
      <c r="N1800" s="11" t="s">
        <v>264</v>
      </c>
    </row>
    <row r="1801">
      <c r="A1801" s="11" t="s">
        <v>121</v>
      </c>
      <c r="B1801" s="11" t="s">
        <v>20</v>
      </c>
      <c r="C1801" s="11" t="s">
        <v>1486</v>
      </c>
      <c r="D1801" s="11" t="s">
        <v>248</v>
      </c>
      <c r="E1801" s="157" t="s">
        <v>1487</v>
      </c>
      <c r="F1801" s="11" t="s">
        <v>1478</v>
      </c>
      <c r="G1801" s="11" t="s">
        <v>418</v>
      </c>
      <c r="H1801" s="11">
        <v>2017.0</v>
      </c>
      <c r="I1801" s="40">
        <v>5000.0</v>
      </c>
      <c r="J1801" s="40" t="s">
        <v>188</v>
      </c>
      <c r="K1801" s="11" t="s">
        <v>188</v>
      </c>
      <c r="L1801" s="29" t="s">
        <v>260</v>
      </c>
      <c r="M1801" s="30" t="s">
        <v>261</v>
      </c>
      <c r="N1801" s="11" t="s">
        <v>264</v>
      </c>
    </row>
    <row r="1802">
      <c r="A1802" s="11" t="s">
        <v>121</v>
      </c>
      <c r="B1802" s="11" t="s">
        <v>20</v>
      </c>
      <c r="C1802" s="11" t="s">
        <v>1486</v>
      </c>
      <c r="D1802" s="11" t="s">
        <v>248</v>
      </c>
      <c r="E1802" s="157" t="s">
        <v>1487</v>
      </c>
      <c r="F1802" s="11" t="s">
        <v>1478</v>
      </c>
      <c r="G1802" s="11" t="s">
        <v>418</v>
      </c>
      <c r="H1802" s="11">
        <v>2019.0</v>
      </c>
      <c r="I1802" s="40">
        <v>4167.0</v>
      </c>
      <c r="J1802" s="40" t="s">
        <v>188</v>
      </c>
      <c r="K1802" s="11" t="s">
        <v>188</v>
      </c>
      <c r="L1802" s="29" t="s">
        <v>260</v>
      </c>
      <c r="M1802" s="30" t="s">
        <v>261</v>
      </c>
      <c r="N1802" s="11" t="s">
        <v>264</v>
      </c>
    </row>
    <row r="1803">
      <c r="A1803" s="11" t="s">
        <v>121</v>
      </c>
      <c r="B1803" s="11" t="s">
        <v>20</v>
      </c>
      <c r="C1803" s="11" t="s">
        <v>1484</v>
      </c>
      <c r="D1803" s="11" t="s">
        <v>248</v>
      </c>
      <c r="E1803" s="157" t="s">
        <v>1485</v>
      </c>
      <c r="F1803" s="11" t="s">
        <v>1478</v>
      </c>
      <c r="G1803" s="11" t="s">
        <v>418</v>
      </c>
      <c r="H1803" s="11">
        <v>1978.0</v>
      </c>
      <c r="I1803" s="40">
        <v>18354.0</v>
      </c>
      <c r="J1803" s="40">
        <v>17107.0</v>
      </c>
      <c r="K1803" s="11">
        <v>20021.0</v>
      </c>
      <c r="L1803" s="29" t="s">
        <v>260</v>
      </c>
      <c r="M1803" s="30" t="s">
        <v>261</v>
      </c>
      <c r="N1803" s="11" t="s">
        <v>264</v>
      </c>
    </row>
    <row r="1804">
      <c r="A1804" s="11" t="s">
        <v>121</v>
      </c>
      <c r="B1804" s="11" t="s">
        <v>20</v>
      </c>
      <c r="C1804" s="11" t="s">
        <v>1484</v>
      </c>
      <c r="D1804" s="11" t="s">
        <v>248</v>
      </c>
      <c r="E1804" s="157" t="s">
        <v>1485</v>
      </c>
      <c r="F1804" s="11" t="s">
        <v>1478</v>
      </c>
      <c r="G1804" s="11" t="s">
        <v>418</v>
      </c>
      <c r="H1804" s="11">
        <v>1979.0</v>
      </c>
      <c r="I1804" s="40">
        <v>15030.0</v>
      </c>
      <c r="J1804" s="40">
        <v>13363.0</v>
      </c>
      <c r="K1804" s="11">
        <v>17113.0</v>
      </c>
      <c r="L1804" s="29" t="s">
        <v>260</v>
      </c>
      <c r="M1804" s="30" t="s">
        <v>261</v>
      </c>
      <c r="N1804" s="11" t="s">
        <v>264</v>
      </c>
    </row>
    <row r="1805">
      <c r="A1805" s="11" t="s">
        <v>121</v>
      </c>
      <c r="B1805" s="11" t="s">
        <v>20</v>
      </c>
      <c r="C1805" s="11" t="s">
        <v>1484</v>
      </c>
      <c r="D1805" s="11" t="s">
        <v>248</v>
      </c>
      <c r="E1805" s="157" t="s">
        <v>1485</v>
      </c>
      <c r="F1805" s="11" t="s">
        <v>1478</v>
      </c>
      <c r="G1805" s="11" t="s">
        <v>418</v>
      </c>
      <c r="H1805" s="11">
        <v>1985.0</v>
      </c>
      <c r="I1805" s="40">
        <v>8842.0</v>
      </c>
      <c r="J1805" s="40" t="s">
        <v>188</v>
      </c>
      <c r="K1805" s="11">
        <v>10092.0</v>
      </c>
      <c r="L1805" s="29" t="s">
        <v>260</v>
      </c>
      <c r="M1805" s="30" t="s">
        <v>261</v>
      </c>
      <c r="N1805" s="11" t="s">
        <v>264</v>
      </c>
    </row>
    <row r="1806">
      <c r="A1806" s="11" t="s">
        <v>121</v>
      </c>
      <c r="B1806" s="11" t="s">
        <v>20</v>
      </c>
      <c r="C1806" s="11" t="s">
        <v>1484</v>
      </c>
      <c r="D1806" s="11" t="s">
        <v>248</v>
      </c>
      <c r="E1806" s="157" t="s">
        <v>1485</v>
      </c>
      <c r="F1806" s="11" t="s">
        <v>1478</v>
      </c>
      <c r="G1806" s="11" t="s">
        <v>418</v>
      </c>
      <c r="H1806" s="11">
        <v>1986.0</v>
      </c>
      <c r="I1806" s="40">
        <v>8437.0</v>
      </c>
      <c r="J1806" s="40" t="s">
        <v>188</v>
      </c>
      <c r="K1806" s="11">
        <v>9687.0</v>
      </c>
      <c r="L1806" s="29" t="s">
        <v>260</v>
      </c>
      <c r="M1806" s="30" t="s">
        <v>261</v>
      </c>
      <c r="N1806" s="11" t="s">
        <v>264</v>
      </c>
    </row>
    <row r="1807">
      <c r="A1807" s="11" t="s">
        <v>121</v>
      </c>
      <c r="B1807" s="11" t="s">
        <v>20</v>
      </c>
      <c r="C1807" s="11" t="s">
        <v>1484</v>
      </c>
      <c r="D1807" s="11" t="s">
        <v>248</v>
      </c>
      <c r="E1807" s="157" t="s">
        <v>1485</v>
      </c>
      <c r="F1807" s="11" t="s">
        <v>1478</v>
      </c>
      <c r="G1807" s="11" t="s">
        <v>418</v>
      </c>
      <c r="H1807" s="11">
        <v>1987.0</v>
      </c>
      <c r="I1807" s="40">
        <v>6779.0</v>
      </c>
      <c r="J1807" s="40">
        <v>5529.0</v>
      </c>
      <c r="K1807" s="11">
        <v>8029.0</v>
      </c>
      <c r="L1807" s="29" t="s">
        <v>260</v>
      </c>
      <c r="M1807" s="30" t="s">
        <v>261</v>
      </c>
      <c r="N1807" s="11" t="s">
        <v>264</v>
      </c>
    </row>
    <row r="1808">
      <c r="A1808" s="11" t="s">
        <v>121</v>
      </c>
      <c r="B1808" s="11" t="s">
        <v>20</v>
      </c>
      <c r="C1808" s="11" t="s">
        <v>1484</v>
      </c>
      <c r="D1808" s="11" t="s">
        <v>248</v>
      </c>
      <c r="E1808" s="157" t="s">
        <v>1485</v>
      </c>
      <c r="F1808" s="11" t="s">
        <v>1478</v>
      </c>
      <c r="G1808" s="11" t="s">
        <v>418</v>
      </c>
      <c r="H1808" s="11">
        <v>1988.0</v>
      </c>
      <c r="I1808" s="40">
        <v>7207.0</v>
      </c>
      <c r="J1808" s="40">
        <v>5541.0</v>
      </c>
      <c r="K1808" s="11">
        <v>8871.0</v>
      </c>
      <c r="L1808" s="29" t="s">
        <v>260</v>
      </c>
      <c r="M1808" s="30" t="s">
        <v>261</v>
      </c>
      <c r="N1808" s="11" t="s">
        <v>264</v>
      </c>
    </row>
    <row r="1809">
      <c r="A1809" s="11" t="s">
        <v>121</v>
      </c>
      <c r="B1809" s="11" t="s">
        <v>20</v>
      </c>
      <c r="C1809" s="11" t="s">
        <v>1484</v>
      </c>
      <c r="D1809" s="11" t="s">
        <v>248</v>
      </c>
      <c r="E1809" s="157" t="s">
        <v>1485</v>
      </c>
      <c r="F1809" s="11" t="s">
        <v>1478</v>
      </c>
      <c r="G1809" s="11" t="s">
        <v>418</v>
      </c>
      <c r="H1809" s="11">
        <v>1989.0</v>
      </c>
      <c r="I1809" s="40">
        <v>6175.0</v>
      </c>
      <c r="J1809" s="40" t="s">
        <v>188</v>
      </c>
      <c r="K1809" s="11" t="s">
        <v>188</v>
      </c>
      <c r="L1809" s="29" t="s">
        <v>260</v>
      </c>
      <c r="M1809" s="30" t="s">
        <v>261</v>
      </c>
      <c r="N1809" s="11" t="s">
        <v>264</v>
      </c>
    </row>
    <row r="1810">
      <c r="A1810" s="11" t="s">
        <v>121</v>
      </c>
      <c r="B1810" s="11" t="s">
        <v>20</v>
      </c>
      <c r="C1810" s="11" t="s">
        <v>1484</v>
      </c>
      <c r="D1810" s="11" t="s">
        <v>248</v>
      </c>
      <c r="E1810" s="157" t="s">
        <v>1485</v>
      </c>
      <c r="F1810" s="11" t="s">
        <v>1478</v>
      </c>
      <c r="G1810" s="11" t="s">
        <v>418</v>
      </c>
      <c r="H1810" s="11">
        <v>1990.0</v>
      </c>
      <c r="I1810" s="40">
        <v>5978.0</v>
      </c>
      <c r="J1810" s="40" t="s">
        <v>188</v>
      </c>
      <c r="K1810" s="11">
        <v>7225.0</v>
      </c>
      <c r="L1810" s="29" t="s">
        <v>260</v>
      </c>
      <c r="M1810" s="30" t="s">
        <v>261</v>
      </c>
      <c r="N1810" s="11" t="s">
        <v>264</v>
      </c>
    </row>
    <row r="1811">
      <c r="A1811" s="11" t="s">
        <v>121</v>
      </c>
      <c r="B1811" s="11" t="s">
        <v>20</v>
      </c>
      <c r="C1811" s="11" t="s">
        <v>1484</v>
      </c>
      <c r="D1811" s="11" t="s">
        <v>248</v>
      </c>
      <c r="E1811" s="157" t="s">
        <v>1485</v>
      </c>
      <c r="F1811" s="11" t="s">
        <v>1478</v>
      </c>
      <c r="G1811" s="11" t="s">
        <v>418</v>
      </c>
      <c r="H1811" s="11">
        <v>1991.0</v>
      </c>
      <c r="I1811" s="40">
        <v>5987.0</v>
      </c>
      <c r="J1811" s="40" t="s">
        <v>188</v>
      </c>
      <c r="K1811" s="11">
        <v>7237.0</v>
      </c>
      <c r="L1811" s="29" t="s">
        <v>260</v>
      </c>
      <c r="M1811" s="30" t="s">
        <v>261</v>
      </c>
      <c r="N1811" s="11" t="s">
        <v>264</v>
      </c>
    </row>
    <row r="1812">
      <c r="A1812" s="11" t="s">
        <v>121</v>
      </c>
      <c r="B1812" s="11" t="s">
        <v>20</v>
      </c>
      <c r="C1812" s="11" t="s">
        <v>1484</v>
      </c>
      <c r="D1812" s="11" t="s">
        <v>248</v>
      </c>
      <c r="E1812" s="157" t="s">
        <v>1485</v>
      </c>
      <c r="F1812" s="11" t="s">
        <v>1478</v>
      </c>
      <c r="G1812" s="11" t="s">
        <v>418</v>
      </c>
      <c r="H1812" s="11">
        <v>1992.0</v>
      </c>
      <c r="I1812" s="40">
        <v>5996.0</v>
      </c>
      <c r="J1812" s="40" t="s">
        <v>188</v>
      </c>
      <c r="K1812" s="11" t="s">
        <v>188</v>
      </c>
      <c r="L1812" s="29" t="s">
        <v>260</v>
      </c>
      <c r="M1812" s="30" t="s">
        <v>261</v>
      </c>
      <c r="N1812" s="11" t="s">
        <v>264</v>
      </c>
    </row>
    <row r="1813">
      <c r="A1813" s="11" t="s">
        <v>121</v>
      </c>
      <c r="B1813" s="11" t="s">
        <v>20</v>
      </c>
      <c r="C1813" s="11" t="s">
        <v>1484</v>
      </c>
      <c r="D1813" s="11" t="s">
        <v>248</v>
      </c>
      <c r="E1813" s="157" t="s">
        <v>1485</v>
      </c>
      <c r="F1813" s="11" t="s">
        <v>1478</v>
      </c>
      <c r="G1813" s="11" t="s">
        <v>418</v>
      </c>
      <c r="H1813" s="11">
        <v>1994.0</v>
      </c>
      <c r="I1813" s="40">
        <v>6746.0</v>
      </c>
      <c r="J1813" s="40" t="s">
        <v>188</v>
      </c>
      <c r="K1813" s="11">
        <v>7683.0</v>
      </c>
      <c r="L1813" s="29" t="s">
        <v>260</v>
      </c>
      <c r="M1813" s="30" t="s">
        <v>261</v>
      </c>
      <c r="N1813" s="11" t="s">
        <v>264</v>
      </c>
    </row>
    <row r="1814">
      <c r="A1814" s="11" t="s">
        <v>121</v>
      </c>
      <c r="B1814" s="11" t="s">
        <v>20</v>
      </c>
      <c r="C1814" s="11" t="s">
        <v>1484</v>
      </c>
      <c r="D1814" s="11" t="s">
        <v>248</v>
      </c>
      <c r="E1814" s="157" t="s">
        <v>1485</v>
      </c>
      <c r="F1814" s="11" t="s">
        <v>1478</v>
      </c>
      <c r="G1814" s="11" t="s">
        <v>418</v>
      </c>
      <c r="H1814" s="11">
        <v>1996.0</v>
      </c>
      <c r="I1814" s="40">
        <v>6454.0</v>
      </c>
      <c r="J1814" s="40" t="s">
        <v>188</v>
      </c>
      <c r="K1814" s="11" t="s">
        <v>188</v>
      </c>
      <c r="L1814" s="29" t="s">
        <v>260</v>
      </c>
      <c r="M1814" s="30" t="s">
        <v>261</v>
      </c>
      <c r="N1814" s="11" t="s">
        <v>264</v>
      </c>
    </row>
    <row r="1815">
      <c r="A1815" s="11" t="s">
        <v>121</v>
      </c>
      <c r="B1815" s="11" t="s">
        <v>20</v>
      </c>
      <c r="C1815" s="11" t="s">
        <v>1484</v>
      </c>
      <c r="D1815" s="11" t="s">
        <v>248</v>
      </c>
      <c r="E1815" s="157" t="s">
        <v>1485</v>
      </c>
      <c r="F1815" s="11" t="s">
        <v>1478</v>
      </c>
      <c r="G1815" s="11" t="s">
        <v>418</v>
      </c>
      <c r="H1815" s="11">
        <v>1997.0</v>
      </c>
      <c r="I1815" s="40">
        <v>6463.0</v>
      </c>
      <c r="J1815" s="40" t="s">
        <v>188</v>
      </c>
      <c r="K1815" s="11" t="s">
        <v>188</v>
      </c>
      <c r="L1815" s="29" t="s">
        <v>260</v>
      </c>
      <c r="M1815" s="30" t="s">
        <v>261</v>
      </c>
      <c r="N1815" s="11" t="s">
        <v>264</v>
      </c>
    </row>
    <row r="1816">
      <c r="A1816" s="11" t="s">
        <v>121</v>
      </c>
      <c r="B1816" s="11" t="s">
        <v>20</v>
      </c>
      <c r="C1816" s="11" t="s">
        <v>1484</v>
      </c>
      <c r="D1816" s="11" t="s">
        <v>248</v>
      </c>
      <c r="E1816" s="157" t="s">
        <v>1485</v>
      </c>
      <c r="F1816" s="11" t="s">
        <v>1478</v>
      </c>
      <c r="G1816" s="11" t="s">
        <v>418</v>
      </c>
      <c r="H1816" s="11">
        <v>1998.0</v>
      </c>
      <c r="I1816" s="40">
        <v>6475.0</v>
      </c>
      <c r="J1816" s="40" t="s">
        <v>188</v>
      </c>
      <c r="K1816" s="11" t="s">
        <v>188</v>
      </c>
      <c r="L1816" s="29" t="s">
        <v>260</v>
      </c>
      <c r="M1816" s="30" t="s">
        <v>261</v>
      </c>
      <c r="N1816" s="11" t="s">
        <v>264</v>
      </c>
    </row>
    <row r="1817">
      <c r="A1817" s="11" t="s">
        <v>121</v>
      </c>
      <c r="B1817" s="11" t="s">
        <v>20</v>
      </c>
      <c r="C1817" s="11" t="s">
        <v>1484</v>
      </c>
      <c r="D1817" s="11" t="s">
        <v>248</v>
      </c>
      <c r="E1817" s="157" t="s">
        <v>1485</v>
      </c>
      <c r="F1817" s="11" t="s">
        <v>1478</v>
      </c>
      <c r="G1817" s="11" t="s">
        <v>418</v>
      </c>
      <c r="H1817" s="11">
        <v>2000.0</v>
      </c>
      <c r="I1817" s="40">
        <v>4829.0</v>
      </c>
      <c r="J1817" s="40" t="s">
        <v>188</v>
      </c>
      <c r="K1817" s="11" t="s">
        <v>188</v>
      </c>
      <c r="L1817" s="29" t="s">
        <v>260</v>
      </c>
      <c r="M1817" s="30" t="s">
        <v>261</v>
      </c>
      <c r="N1817" s="11" t="s">
        <v>264</v>
      </c>
    </row>
    <row r="1818">
      <c r="A1818" s="11" t="s">
        <v>121</v>
      </c>
      <c r="B1818" s="11" t="s">
        <v>20</v>
      </c>
      <c r="C1818" s="11" t="s">
        <v>1484</v>
      </c>
      <c r="D1818" s="11" t="s">
        <v>248</v>
      </c>
      <c r="E1818" s="157" t="s">
        <v>1485</v>
      </c>
      <c r="F1818" s="11" t="s">
        <v>1478</v>
      </c>
      <c r="G1818" s="11" t="s">
        <v>418</v>
      </c>
      <c r="H1818" s="11">
        <v>2002.0</v>
      </c>
      <c r="I1818" s="40">
        <v>5683.0</v>
      </c>
      <c r="J1818" s="40" t="s">
        <v>188</v>
      </c>
      <c r="K1818" s="11" t="s">
        <v>188</v>
      </c>
      <c r="L1818" s="29" t="s">
        <v>260</v>
      </c>
      <c r="M1818" s="30" t="s">
        <v>261</v>
      </c>
      <c r="N1818" s="11" t="s">
        <v>264</v>
      </c>
    </row>
    <row r="1819">
      <c r="A1819" s="11" t="s">
        <v>121</v>
      </c>
      <c r="B1819" s="11" t="s">
        <v>20</v>
      </c>
      <c r="C1819" s="11" t="s">
        <v>1484</v>
      </c>
      <c r="D1819" s="11" t="s">
        <v>248</v>
      </c>
      <c r="E1819" s="157" t="s">
        <v>1485</v>
      </c>
      <c r="F1819" s="11" t="s">
        <v>1478</v>
      </c>
      <c r="G1819" s="11" t="s">
        <v>418</v>
      </c>
      <c r="H1819" s="11">
        <v>2004.0</v>
      </c>
      <c r="I1819" s="40">
        <v>6537.0</v>
      </c>
      <c r="J1819" s="40" t="s">
        <v>188</v>
      </c>
      <c r="K1819" s="11" t="s">
        <v>188</v>
      </c>
      <c r="L1819" s="29" t="s">
        <v>260</v>
      </c>
      <c r="M1819" s="30" t="s">
        <v>261</v>
      </c>
      <c r="N1819" s="11" t="s">
        <v>264</v>
      </c>
    </row>
    <row r="1820">
      <c r="A1820" s="11" t="s">
        <v>121</v>
      </c>
      <c r="B1820" s="11" t="s">
        <v>20</v>
      </c>
      <c r="C1820" s="11" t="s">
        <v>1484</v>
      </c>
      <c r="D1820" s="11" t="s">
        <v>248</v>
      </c>
      <c r="E1820" s="157" t="s">
        <v>1485</v>
      </c>
      <c r="F1820" s="11" t="s">
        <v>1478</v>
      </c>
      <c r="G1820" s="11" t="s">
        <v>418</v>
      </c>
      <c r="H1820" s="11">
        <v>2005.0</v>
      </c>
      <c r="I1820" s="40">
        <v>5818.0</v>
      </c>
      <c r="J1820" s="40" t="s">
        <v>188</v>
      </c>
      <c r="K1820" s="11" t="s">
        <v>188</v>
      </c>
      <c r="L1820" s="29" t="s">
        <v>260</v>
      </c>
      <c r="M1820" s="30" t="s">
        <v>261</v>
      </c>
      <c r="N1820" s="11" t="s">
        <v>264</v>
      </c>
    </row>
    <row r="1821">
      <c r="A1821" s="11" t="s">
        <v>121</v>
      </c>
      <c r="B1821" s="11" t="s">
        <v>20</v>
      </c>
      <c r="C1821" s="11" t="s">
        <v>1484</v>
      </c>
      <c r="D1821" s="11" t="s">
        <v>248</v>
      </c>
      <c r="E1821" s="157" t="s">
        <v>1485</v>
      </c>
      <c r="F1821" s="11" t="s">
        <v>1478</v>
      </c>
      <c r="G1821" s="11" t="s">
        <v>418</v>
      </c>
      <c r="H1821" s="11">
        <v>2006.0</v>
      </c>
      <c r="I1821" s="40">
        <v>6557.0</v>
      </c>
      <c r="J1821" s="40" t="s">
        <v>188</v>
      </c>
      <c r="K1821" s="11" t="s">
        <v>188</v>
      </c>
      <c r="L1821" s="29" t="s">
        <v>260</v>
      </c>
      <c r="M1821" s="30" t="s">
        <v>261</v>
      </c>
      <c r="N1821" s="11" t="s">
        <v>264</v>
      </c>
    </row>
    <row r="1822">
      <c r="A1822" s="11" t="s">
        <v>121</v>
      </c>
      <c r="B1822" s="11" t="s">
        <v>20</v>
      </c>
      <c r="C1822" s="11" t="s">
        <v>1484</v>
      </c>
      <c r="D1822" s="11" t="s">
        <v>248</v>
      </c>
      <c r="E1822" s="157" t="s">
        <v>1485</v>
      </c>
      <c r="F1822" s="11" t="s">
        <v>1478</v>
      </c>
      <c r="G1822" s="11" t="s">
        <v>418</v>
      </c>
      <c r="H1822" s="11">
        <v>2007.0</v>
      </c>
      <c r="I1822" s="40">
        <v>6983.0</v>
      </c>
      <c r="J1822" s="40" t="s">
        <v>188</v>
      </c>
      <c r="K1822" s="11" t="s">
        <v>188</v>
      </c>
      <c r="L1822" s="29" t="s">
        <v>260</v>
      </c>
      <c r="M1822" s="30" t="s">
        <v>261</v>
      </c>
      <c r="N1822" s="11" t="s">
        <v>264</v>
      </c>
    </row>
    <row r="1823">
      <c r="A1823" s="11" t="s">
        <v>121</v>
      </c>
      <c r="B1823" s="11" t="s">
        <v>20</v>
      </c>
      <c r="C1823" s="11" t="s">
        <v>1484</v>
      </c>
      <c r="D1823" s="11" t="s">
        <v>248</v>
      </c>
      <c r="E1823" s="157" t="s">
        <v>1485</v>
      </c>
      <c r="F1823" s="11" t="s">
        <v>1478</v>
      </c>
      <c r="G1823" s="11" t="s">
        <v>418</v>
      </c>
      <c r="H1823" s="11">
        <v>2008.0</v>
      </c>
      <c r="I1823" s="40">
        <v>6995.0</v>
      </c>
      <c r="J1823" s="40" t="s">
        <v>188</v>
      </c>
      <c r="K1823" s="11" t="s">
        <v>188</v>
      </c>
      <c r="L1823" s="29" t="s">
        <v>260</v>
      </c>
      <c r="M1823" s="30" t="s">
        <v>261</v>
      </c>
      <c r="N1823" s="11" t="s">
        <v>264</v>
      </c>
    </row>
    <row r="1824">
      <c r="A1824" s="11" t="s">
        <v>121</v>
      </c>
      <c r="B1824" s="11" t="s">
        <v>20</v>
      </c>
      <c r="C1824" s="11" t="s">
        <v>1484</v>
      </c>
      <c r="D1824" s="11" t="s">
        <v>248</v>
      </c>
      <c r="E1824" s="157" t="s">
        <v>1485</v>
      </c>
      <c r="F1824" s="11" t="s">
        <v>1478</v>
      </c>
      <c r="G1824" s="11" t="s">
        <v>418</v>
      </c>
      <c r="H1824" s="11">
        <v>2009.0</v>
      </c>
      <c r="I1824" s="40">
        <v>7420.0</v>
      </c>
      <c r="J1824" s="40" t="s">
        <v>188</v>
      </c>
      <c r="K1824" s="11" t="s">
        <v>188</v>
      </c>
      <c r="L1824" s="29" t="s">
        <v>260</v>
      </c>
      <c r="M1824" s="30" t="s">
        <v>261</v>
      </c>
      <c r="N1824" s="11" t="s">
        <v>264</v>
      </c>
    </row>
    <row r="1825">
      <c r="A1825" s="11" t="s">
        <v>121</v>
      </c>
      <c r="B1825" s="11" t="s">
        <v>20</v>
      </c>
      <c r="C1825" s="11" t="s">
        <v>1484</v>
      </c>
      <c r="D1825" s="11" t="s">
        <v>248</v>
      </c>
      <c r="E1825" s="157" t="s">
        <v>1485</v>
      </c>
      <c r="F1825" s="11" t="s">
        <v>1478</v>
      </c>
      <c r="G1825" s="11" t="s">
        <v>418</v>
      </c>
      <c r="H1825" s="11">
        <v>2010.0</v>
      </c>
      <c r="I1825" s="40">
        <v>7849.0</v>
      </c>
      <c r="J1825" s="40">
        <v>6599.0</v>
      </c>
      <c r="K1825" s="11">
        <v>9932.0</v>
      </c>
      <c r="L1825" s="29" t="s">
        <v>260</v>
      </c>
      <c r="M1825" s="30" t="s">
        <v>261</v>
      </c>
      <c r="N1825" s="11" t="s">
        <v>264</v>
      </c>
    </row>
    <row r="1826">
      <c r="A1826" s="11" t="s">
        <v>121</v>
      </c>
      <c r="B1826" s="11" t="s">
        <v>20</v>
      </c>
      <c r="C1826" s="11" t="s">
        <v>1484</v>
      </c>
      <c r="D1826" s="11" t="s">
        <v>248</v>
      </c>
      <c r="E1826" s="157" t="s">
        <v>1485</v>
      </c>
      <c r="F1826" s="11" t="s">
        <v>1478</v>
      </c>
      <c r="G1826" s="11" t="s">
        <v>418</v>
      </c>
      <c r="H1826" s="11">
        <v>2011.0</v>
      </c>
      <c r="I1826" s="40">
        <v>8899.0</v>
      </c>
      <c r="J1826" s="40" t="s">
        <v>188</v>
      </c>
      <c r="K1826" s="11" t="s">
        <v>188</v>
      </c>
      <c r="L1826" s="29" t="s">
        <v>260</v>
      </c>
      <c r="M1826" s="30" t="s">
        <v>261</v>
      </c>
      <c r="N1826" s="11" t="s">
        <v>264</v>
      </c>
    </row>
    <row r="1827">
      <c r="A1827" s="11" t="s">
        <v>121</v>
      </c>
      <c r="B1827" s="11" t="s">
        <v>20</v>
      </c>
      <c r="C1827" s="11" t="s">
        <v>1484</v>
      </c>
      <c r="D1827" s="11" t="s">
        <v>248</v>
      </c>
      <c r="E1827" s="157" t="s">
        <v>1485</v>
      </c>
      <c r="F1827" s="11" t="s">
        <v>1478</v>
      </c>
      <c r="G1827" s="11" t="s">
        <v>418</v>
      </c>
      <c r="H1827" s="11">
        <v>2013.0</v>
      </c>
      <c r="I1827" s="40">
        <v>8712.0</v>
      </c>
      <c r="J1827" s="40" t="s">
        <v>188</v>
      </c>
      <c r="K1827" s="11" t="s">
        <v>188</v>
      </c>
      <c r="L1827" s="29" t="s">
        <v>260</v>
      </c>
      <c r="M1827" s="30" t="s">
        <v>261</v>
      </c>
      <c r="N1827" s="11" t="s">
        <v>264</v>
      </c>
    </row>
    <row r="1828">
      <c r="A1828" s="11" t="s">
        <v>121</v>
      </c>
      <c r="B1828" s="11" t="s">
        <v>20</v>
      </c>
      <c r="C1828" s="11" t="s">
        <v>1484</v>
      </c>
      <c r="D1828" s="11" t="s">
        <v>248</v>
      </c>
      <c r="E1828" s="157" t="s">
        <v>1485</v>
      </c>
      <c r="F1828" s="11" t="s">
        <v>1478</v>
      </c>
      <c r="G1828" s="11" t="s">
        <v>418</v>
      </c>
      <c r="H1828" s="11">
        <v>2014.0</v>
      </c>
      <c r="I1828" s="40">
        <v>8409.0</v>
      </c>
      <c r="J1828" s="40" t="s">
        <v>188</v>
      </c>
      <c r="K1828" s="11" t="s">
        <v>188</v>
      </c>
      <c r="L1828" s="29" t="s">
        <v>260</v>
      </c>
      <c r="M1828" s="30" t="s">
        <v>261</v>
      </c>
      <c r="N1828" s="11" t="s">
        <v>264</v>
      </c>
    </row>
    <row r="1829">
      <c r="A1829" s="11" t="s">
        <v>121</v>
      </c>
      <c r="B1829" s="11" t="s">
        <v>20</v>
      </c>
      <c r="C1829" s="11" t="s">
        <v>1484</v>
      </c>
      <c r="D1829" s="11" t="s">
        <v>248</v>
      </c>
      <c r="E1829" s="157" t="s">
        <v>1485</v>
      </c>
      <c r="F1829" s="11" t="s">
        <v>1478</v>
      </c>
      <c r="G1829" s="11" t="s">
        <v>418</v>
      </c>
      <c r="H1829" s="11">
        <v>2015.0</v>
      </c>
      <c r="I1829" s="40">
        <v>8732.0</v>
      </c>
      <c r="J1829" s="40">
        <v>7066.0</v>
      </c>
      <c r="K1829" s="11">
        <v>11232.0</v>
      </c>
      <c r="L1829" s="29" t="s">
        <v>260</v>
      </c>
      <c r="M1829" s="30" t="s">
        <v>261</v>
      </c>
      <c r="N1829" s="11" t="s">
        <v>264</v>
      </c>
    </row>
    <row r="1830">
      <c r="A1830" s="11" t="s">
        <v>121</v>
      </c>
      <c r="B1830" s="11" t="s">
        <v>20</v>
      </c>
      <c r="C1830" s="11" t="s">
        <v>1484</v>
      </c>
      <c r="D1830" s="11" t="s">
        <v>248</v>
      </c>
      <c r="E1830" s="157" t="s">
        <v>1485</v>
      </c>
      <c r="F1830" s="11" t="s">
        <v>1478</v>
      </c>
      <c r="G1830" s="11" t="s">
        <v>418</v>
      </c>
      <c r="H1830" s="11">
        <v>2016.0</v>
      </c>
      <c r="I1830" s="40">
        <v>8743.0</v>
      </c>
      <c r="J1830" s="40" t="s">
        <v>188</v>
      </c>
      <c r="K1830" s="11" t="s">
        <v>188</v>
      </c>
      <c r="L1830" s="29" t="s">
        <v>260</v>
      </c>
      <c r="M1830" s="30" t="s">
        <v>261</v>
      </c>
      <c r="N1830" s="11" t="s">
        <v>264</v>
      </c>
    </row>
    <row r="1831">
      <c r="A1831" s="11" t="s">
        <v>121</v>
      </c>
      <c r="B1831" s="11" t="s">
        <v>20</v>
      </c>
      <c r="C1831" s="11" t="s">
        <v>1484</v>
      </c>
      <c r="D1831" s="11" t="s">
        <v>248</v>
      </c>
      <c r="E1831" s="157" t="s">
        <v>1485</v>
      </c>
      <c r="F1831" s="11" t="s">
        <v>1478</v>
      </c>
      <c r="G1831" s="11" t="s">
        <v>418</v>
      </c>
      <c r="H1831" s="11">
        <v>2017.0</v>
      </c>
      <c r="I1831" s="40">
        <v>9170.0</v>
      </c>
      <c r="J1831" s="40" t="s">
        <v>188</v>
      </c>
      <c r="K1831" s="11">
        <v>10420.0</v>
      </c>
      <c r="L1831" s="29" t="s">
        <v>260</v>
      </c>
      <c r="M1831" s="30" t="s">
        <v>261</v>
      </c>
      <c r="N1831" s="11" t="s">
        <v>264</v>
      </c>
    </row>
    <row r="1832">
      <c r="A1832" s="11" t="s">
        <v>121</v>
      </c>
      <c r="B1832" s="11" t="s">
        <v>20</v>
      </c>
      <c r="C1832" s="11" t="s">
        <v>1484</v>
      </c>
      <c r="D1832" s="11" t="s">
        <v>248</v>
      </c>
      <c r="E1832" s="157" t="s">
        <v>1485</v>
      </c>
      <c r="F1832" s="11" t="s">
        <v>1478</v>
      </c>
      <c r="G1832" s="11" t="s">
        <v>418</v>
      </c>
      <c r="H1832" s="11">
        <v>2018.0</v>
      </c>
      <c r="I1832" s="40">
        <v>9178.0</v>
      </c>
      <c r="J1832" s="40">
        <v>7928.0</v>
      </c>
      <c r="K1832" s="11">
        <v>11262.0</v>
      </c>
      <c r="L1832" s="29" t="s">
        <v>260</v>
      </c>
      <c r="M1832" s="30" t="s">
        <v>261</v>
      </c>
      <c r="N1832" s="11" t="s">
        <v>264</v>
      </c>
    </row>
    <row r="1833">
      <c r="A1833" s="11" t="s">
        <v>121</v>
      </c>
      <c r="B1833" s="11" t="s">
        <v>20</v>
      </c>
      <c r="C1833" s="11" t="s">
        <v>1484</v>
      </c>
      <c r="D1833" s="11" t="s">
        <v>248</v>
      </c>
      <c r="E1833" s="157" t="s">
        <v>1485</v>
      </c>
      <c r="F1833" s="11" t="s">
        <v>1478</v>
      </c>
      <c r="G1833" s="11" t="s">
        <v>418</v>
      </c>
      <c r="H1833" s="11">
        <v>2019.0</v>
      </c>
      <c r="I1833" s="40">
        <v>9086.0</v>
      </c>
      <c r="J1833" s="40" t="s">
        <v>188</v>
      </c>
      <c r="K1833" s="11" t="s">
        <v>188</v>
      </c>
      <c r="L1833" s="29" t="s">
        <v>260</v>
      </c>
      <c r="M1833" s="30" t="s">
        <v>261</v>
      </c>
      <c r="N1833" s="11" t="s">
        <v>264</v>
      </c>
    </row>
    <row r="1834">
      <c r="A1834" s="11" t="s">
        <v>121</v>
      </c>
      <c r="B1834" s="11" t="s">
        <v>20</v>
      </c>
      <c r="C1834" s="11" t="s">
        <v>1488</v>
      </c>
      <c r="D1834" s="11" t="s">
        <v>248</v>
      </c>
      <c r="E1834" s="157" t="s">
        <v>1489</v>
      </c>
      <c r="F1834" s="11" t="s">
        <v>1478</v>
      </c>
      <c r="G1834" s="11" t="s">
        <v>418</v>
      </c>
      <c r="H1834" s="11">
        <v>1978.0</v>
      </c>
      <c r="I1834" s="40">
        <v>37571.0</v>
      </c>
      <c r="J1834" s="40">
        <v>33404.0</v>
      </c>
      <c r="K1834" s="11">
        <v>41740.0</v>
      </c>
      <c r="L1834" s="29" t="s">
        <v>260</v>
      </c>
      <c r="M1834" s="30" t="s">
        <v>261</v>
      </c>
      <c r="N1834" s="11" t="s">
        <v>264</v>
      </c>
    </row>
    <row r="1835">
      <c r="A1835" s="11" t="s">
        <v>121</v>
      </c>
      <c r="B1835" s="11" t="s">
        <v>20</v>
      </c>
      <c r="C1835" s="11" t="s">
        <v>1488</v>
      </c>
      <c r="D1835" s="11" t="s">
        <v>248</v>
      </c>
      <c r="E1835" s="157" t="s">
        <v>1489</v>
      </c>
      <c r="F1835" s="11" t="s">
        <v>1478</v>
      </c>
      <c r="G1835" s="11" t="s">
        <v>418</v>
      </c>
      <c r="H1835" s="11">
        <v>1979.0</v>
      </c>
      <c r="I1835" s="40">
        <v>37999.0</v>
      </c>
      <c r="J1835" s="40">
        <v>33832.0</v>
      </c>
      <c r="K1835" s="11">
        <v>42165.0</v>
      </c>
      <c r="L1835" s="29" t="s">
        <v>260</v>
      </c>
      <c r="M1835" s="30" t="s">
        <v>261</v>
      </c>
      <c r="N1835" s="11" t="s">
        <v>264</v>
      </c>
    </row>
    <row r="1836">
      <c r="A1836" s="11" t="s">
        <v>121</v>
      </c>
      <c r="B1836" s="11" t="s">
        <v>20</v>
      </c>
      <c r="C1836" s="11" t="s">
        <v>1488</v>
      </c>
      <c r="D1836" s="11" t="s">
        <v>248</v>
      </c>
      <c r="E1836" s="157" t="s">
        <v>1489</v>
      </c>
      <c r="F1836" s="11" t="s">
        <v>1478</v>
      </c>
      <c r="G1836" s="11" t="s">
        <v>418</v>
      </c>
      <c r="H1836" s="11">
        <v>1985.0</v>
      </c>
      <c r="I1836" s="40">
        <v>27435.0</v>
      </c>
      <c r="J1836" s="40" t="s">
        <v>188</v>
      </c>
      <c r="K1836" s="11">
        <v>28477.0</v>
      </c>
      <c r="L1836" s="29" t="s">
        <v>260</v>
      </c>
      <c r="M1836" s="30" t="s">
        <v>261</v>
      </c>
      <c r="N1836" s="11" t="s">
        <v>264</v>
      </c>
    </row>
    <row r="1837">
      <c r="A1837" s="11" t="s">
        <v>121</v>
      </c>
      <c r="B1837" s="11" t="s">
        <v>20</v>
      </c>
      <c r="C1837" s="11" t="s">
        <v>1488</v>
      </c>
      <c r="D1837" s="11" t="s">
        <v>248</v>
      </c>
      <c r="E1837" s="157" t="s">
        <v>1489</v>
      </c>
      <c r="F1837" s="11" t="s">
        <v>1478</v>
      </c>
      <c r="G1837" s="11" t="s">
        <v>418</v>
      </c>
      <c r="H1837" s="11">
        <v>1986.0</v>
      </c>
      <c r="I1837" s="40">
        <v>23903.0</v>
      </c>
      <c r="J1837" s="40">
        <v>21819.0</v>
      </c>
      <c r="K1837" s="11">
        <v>26403.0</v>
      </c>
      <c r="L1837" s="29" t="s">
        <v>260</v>
      </c>
      <c r="M1837" s="30" t="s">
        <v>261</v>
      </c>
      <c r="N1837" s="11" t="s">
        <v>264</v>
      </c>
    </row>
    <row r="1838">
      <c r="A1838" s="11" t="s">
        <v>121</v>
      </c>
      <c r="B1838" s="11" t="s">
        <v>20</v>
      </c>
      <c r="C1838" s="11" t="s">
        <v>1488</v>
      </c>
      <c r="D1838" s="11" t="s">
        <v>248</v>
      </c>
      <c r="E1838" s="157" t="s">
        <v>1489</v>
      </c>
      <c r="F1838" s="11" t="s">
        <v>1478</v>
      </c>
      <c r="G1838" s="11" t="s">
        <v>418</v>
      </c>
      <c r="H1838" s="11">
        <v>1988.0</v>
      </c>
      <c r="I1838" s="40">
        <v>15173.0</v>
      </c>
      <c r="J1838" s="40">
        <v>13506.0</v>
      </c>
      <c r="K1838" s="11">
        <v>16840.0</v>
      </c>
      <c r="L1838" s="29" t="s">
        <v>260</v>
      </c>
      <c r="M1838" s="30" t="s">
        <v>261</v>
      </c>
      <c r="N1838" s="11" t="s">
        <v>264</v>
      </c>
    </row>
    <row r="1839">
      <c r="A1839" s="11" t="s">
        <v>121</v>
      </c>
      <c r="B1839" s="11" t="s">
        <v>20</v>
      </c>
      <c r="C1839" s="11" t="s">
        <v>1488</v>
      </c>
      <c r="D1839" s="11" t="s">
        <v>248</v>
      </c>
      <c r="E1839" s="157" t="s">
        <v>1489</v>
      </c>
      <c r="F1839" s="11" t="s">
        <v>1478</v>
      </c>
      <c r="G1839" s="11" t="s">
        <v>418</v>
      </c>
      <c r="H1839" s="11">
        <v>1989.0</v>
      </c>
      <c r="I1839" s="40">
        <v>12268.0</v>
      </c>
      <c r="J1839" s="40" t="s">
        <v>188</v>
      </c>
      <c r="K1839" s="11" t="s">
        <v>188</v>
      </c>
      <c r="L1839" s="29" t="s">
        <v>260</v>
      </c>
      <c r="M1839" s="30" t="s">
        <v>261</v>
      </c>
      <c r="N1839" s="11" t="s">
        <v>264</v>
      </c>
    </row>
    <row r="1840">
      <c r="A1840" s="11" t="s">
        <v>121</v>
      </c>
      <c r="B1840" s="11" t="s">
        <v>20</v>
      </c>
      <c r="C1840" s="11" t="s">
        <v>1488</v>
      </c>
      <c r="D1840" s="11" t="s">
        <v>248</v>
      </c>
      <c r="E1840" s="157" t="s">
        <v>1489</v>
      </c>
      <c r="F1840" s="11" t="s">
        <v>1478</v>
      </c>
      <c r="G1840" s="11" t="s">
        <v>418</v>
      </c>
      <c r="H1840" s="11">
        <v>1990.0</v>
      </c>
      <c r="I1840" s="40">
        <v>10402.0</v>
      </c>
      <c r="J1840" s="40" t="s">
        <v>188</v>
      </c>
      <c r="K1840" s="11" t="s">
        <v>188</v>
      </c>
      <c r="L1840" s="29" t="s">
        <v>260</v>
      </c>
      <c r="M1840" s="30" t="s">
        <v>261</v>
      </c>
      <c r="N1840" s="11" t="s">
        <v>264</v>
      </c>
    </row>
    <row r="1841">
      <c r="A1841" s="11" t="s">
        <v>121</v>
      </c>
      <c r="B1841" s="11" t="s">
        <v>20</v>
      </c>
      <c r="C1841" s="11" t="s">
        <v>1488</v>
      </c>
      <c r="D1841" s="11" t="s">
        <v>248</v>
      </c>
      <c r="E1841" s="157" t="s">
        <v>1489</v>
      </c>
      <c r="F1841" s="11" t="s">
        <v>1478</v>
      </c>
      <c r="G1841" s="11" t="s">
        <v>418</v>
      </c>
      <c r="H1841" s="11">
        <v>1991.0</v>
      </c>
      <c r="I1841" s="40">
        <v>8953.0</v>
      </c>
      <c r="J1841" s="40" t="s">
        <v>188</v>
      </c>
      <c r="K1841" s="11" t="s">
        <v>188</v>
      </c>
      <c r="L1841" s="29" t="s">
        <v>260</v>
      </c>
      <c r="M1841" s="30" t="s">
        <v>261</v>
      </c>
      <c r="N1841" s="11" t="s">
        <v>264</v>
      </c>
    </row>
    <row r="1842">
      <c r="A1842" s="11" t="s">
        <v>121</v>
      </c>
      <c r="B1842" s="11" t="s">
        <v>20</v>
      </c>
      <c r="C1842" s="11" t="s">
        <v>1488</v>
      </c>
      <c r="D1842" s="11" t="s">
        <v>248</v>
      </c>
      <c r="E1842" s="157" t="s">
        <v>1489</v>
      </c>
      <c r="F1842" s="11" t="s">
        <v>1478</v>
      </c>
      <c r="G1842" s="11" t="s">
        <v>418</v>
      </c>
      <c r="H1842" s="11">
        <v>1992.0</v>
      </c>
      <c r="I1842" s="40">
        <v>8548.0</v>
      </c>
      <c r="J1842" s="40" t="s">
        <v>188</v>
      </c>
      <c r="K1842" s="11" t="s">
        <v>188</v>
      </c>
      <c r="L1842" s="29" t="s">
        <v>260</v>
      </c>
      <c r="M1842" s="30" t="s">
        <v>261</v>
      </c>
      <c r="N1842" s="11" t="s">
        <v>264</v>
      </c>
    </row>
    <row r="1843">
      <c r="A1843" s="11" t="s">
        <v>121</v>
      </c>
      <c r="B1843" s="11" t="s">
        <v>20</v>
      </c>
      <c r="C1843" s="11" t="s">
        <v>1488</v>
      </c>
      <c r="D1843" s="11" t="s">
        <v>248</v>
      </c>
      <c r="E1843" s="157" t="s">
        <v>1489</v>
      </c>
      <c r="F1843" s="11" t="s">
        <v>1478</v>
      </c>
      <c r="G1843" s="11" t="s">
        <v>418</v>
      </c>
      <c r="H1843" s="11">
        <v>1994.0</v>
      </c>
      <c r="I1843" s="40">
        <v>7735.0</v>
      </c>
      <c r="J1843" s="40" t="s">
        <v>188</v>
      </c>
      <c r="K1843" s="11" t="s">
        <v>188</v>
      </c>
      <c r="L1843" s="29" t="s">
        <v>260</v>
      </c>
      <c r="M1843" s="30" t="s">
        <v>261</v>
      </c>
      <c r="N1843" s="11" t="s">
        <v>264</v>
      </c>
    </row>
    <row r="1844">
      <c r="A1844" s="11" t="s">
        <v>121</v>
      </c>
      <c r="B1844" s="11" t="s">
        <v>20</v>
      </c>
      <c r="C1844" s="11" t="s">
        <v>1488</v>
      </c>
      <c r="D1844" s="11" t="s">
        <v>248</v>
      </c>
      <c r="E1844" s="157" t="s">
        <v>1489</v>
      </c>
      <c r="F1844" s="11" t="s">
        <v>1478</v>
      </c>
      <c r="G1844" s="11" t="s">
        <v>418</v>
      </c>
      <c r="H1844" s="11">
        <v>1996.0</v>
      </c>
      <c r="I1844" s="40">
        <v>6505.0</v>
      </c>
      <c r="J1844" s="40" t="s">
        <v>188</v>
      </c>
      <c r="K1844" s="11" t="s">
        <v>188</v>
      </c>
      <c r="L1844" s="29" t="s">
        <v>260</v>
      </c>
      <c r="M1844" s="30" t="s">
        <v>261</v>
      </c>
      <c r="N1844" s="11" t="s">
        <v>264</v>
      </c>
    </row>
    <row r="1845">
      <c r="A1845" s="11" t="s">
        <v>121</v>
      </c>
      <c r="B1845" s="11" t="s">
        <v>20</v>
      </c>
      <c r="C1845" s="11" t="s">
        <v>1488</v>
      </c>
      <c r="D1845" s="11" t="s">
        <v>248</v>
      </c>
      <c r="E1845" s="157" t="s">
        <v>1489</v>
      </c>
      <c r="F1845" s="11" t="s">
        <v>1478</v>
      </c>
      <c r="G1845" s="11" t="s">
        <v>418</v>
      </c>
      <c r="H1845" s="11">
        <v>1997.0</v>
      </c>
      <c r="I1845" s="40">
        <v>5889.0</v>
      </c>
      <c r="J1845" s="40" t="s">
        <v>188</v>
      </c>
      <c r="K1845" s="11" t="s">
        <v>188</v>
      </c>
      <c r="L1845" s="29" t="s">
        <v>260</v>
      </c>
      <c r="M1845" s="30" t="s">
        <v>261</v>
      </c>
      <c r="N1845" s="11" t="s">
        <v>264</v>
      </c>
    </row>
    <row r="1846">
      <c r="A1846" s="11" t="s">
        <v>121</v>
      </c>
      <c r="B1846" s="11" t="s">
        <v>20</v>
      </c>
      <c r="C1846" s="11" t="s">
        <v>1488</v>
      </c>
      <c r="D1846" s="11" t="s">
        <v>248</v>
      </c>
      <c r="E1846" s="157" t="s">
        <v>1489</v>
      </c>
      <c r="F1846" s="11" t="s">
        <v>1478</v>
      </c>
      <c r="G1846" s="11" t="s">
        <v>418</v>
      </c>
      <c r="H1846" s="11">
        <v>1998.0</v>
      </c>
      <c r="I1846" s="40">
        <v>5692.0</v>
      </c>
      <c r="J1846" s="40" t="s">
        <v>188</v>
      </c>
      <c r="K1846" s="11" t="s">
        <v>188</v>
      </c>
      <c r="L1846" s="29" t="s">
        <v>260</v>
      </c>
      <c r="M1846" s="30" t="s">
        <v>261</v>
      </c>
      <c r="N1846" s="11" t="s">
        <v>264</v>
      </c>
    </row>
    <row r="1847">
      <c r="A1847" s="11" t="s">
        <v>121</v>
      </c>
      <c r="B1847" s="11" t="s">
        <v>20</v>
      </c>
      <c r="C1847" s="11" t="s">
        <v>1488</v>
      </c>
      <c r="D1847" s="11" t="s">
        <v>248</v>
      </c>
      <c r="E1847" s="157" t="s">
        <v>1489</v>
      </c>
      <c r="F1847" s="11" t="s">
        <v>1478</v>
      </c>
      <c r="G1847" s="11" t="s">
        <v>418</v>
      </c>
      <c r="H1847" s="11">
        <v>2000.0</v>
      </c>
      <c r="I1847" s="40">
        <v>5713.0</v>
      </c>
      <c r="J1847" s="40" t="s">
        <v>188</v>
      </c>
      <c r="K1847" s="11" t="s">
        <v>188</v>
      </c>
      <c r="L1847" s="29" t="s">
        <v>260</v>
      </c>
      <c r="M1847" s="30" t="s">
        <v>261</v>
      </c>
      <c r="N1847" s="11" t="s">
        <v>264</v>
      </c>
    </row>
    <row r="1848">
      <c r="A1848" s="11" t="s">
        <v>121</v>
      </c>
      <c r="B1848" s="11" t="s">
        <v>20</v>
      </c>
      <c r="C1848" s="11" t="s">
        <v>1488</v>
      </c>
      <c r="D1848" s="11" t="s">
        <v>248</v>
      </c>
      <c r="E1848" s="157" t="s">
        <v>1489</v>
      </c>
      <c r="F1848" s="11" t="s">
        <v>1478</v>
      </c>
      <c r="G1848" s="11" t="s">
        <v>418</v>
      </c>
      <c r="H1848" s="11">
        <v>2002.0</v>
      </c>
      <c r="I1848" s="40">
        <v>5524.0</v>
      </c>
      <c r="J1848" s="40" t="s">
        <v>188</v>
      </c>
      <c r="K1848" s="11" t="s">
        <v>188</v>
      </c>
      <c r="L1848" s="29" t="s">
        <v>260</v>
      </c>
      <c r="M1848" s="30" t="s">
        <v>261</v>
      </c>
      <c r="N1848" s="11" t="s">
        <v>264</v>
      </c>
    </row>
    <row r="1849">
      <c r="A1849" s="11" t="s">
        <v>121</v>
      </c>
      <c r="B1849" s="11" t="s">
        <v>20</v>
      </c>
      <c r="C1849" s="11" t="s">
        <v>1488</v>
      </c>
      <c r="D1849" s="11" t="s">
        <v>248</v>
      </c>
      <c r="E1849" s="157" t="s">
        <v>1489</v>
      </c>
      <c r="F1849" s="11" t="s">
        <v>1478</v>
      </c>
      <c r="G1849" s="11" t="s">
        <v>418</v>
      </c>
      <c r="H1849" s="11">
        <v>2004.0</v>
      </c>
      <c r="I1849" s="40">
        <v>5335.0</v>
      </c>
      <c r="J1849" s="40" t="s">
        <v>188</v>
      </c>
      <c r="K1849" s="11" t="s">
        <v>188</v>
      </c>
      <c r="L1849" s="29" t="s">
        <v>260</v>
      </c>
      <c r="M1849" s="30" t="s">
        <v>261</v>
      </c>
      <c r="N1849" s="11" t="s">
        <v>264</v>
      </c>
    </row>
    <row r="1850">
      <c r="A1850" s="11" t="s">
        <v>121</v>
      </c>
      <c r="B1850" s="11" t="s">
        <v>20</v>
      </c>
      <c r="C1850" s="11" t="s">
        <v>1488</v>
      </c>
      <c r="D1850" s="11" t="s">
        <v>248</v>
      </c>
      <c r="E1850" s="157" t="s">
        <v>1489</v>
      </c>
      <c r="F1850" s="11" t="s">
        <v>1478</v>
      </c>
      <c r="G1850" s="11" t="s">
        <v>418</v>
      </c>
      <c r="H1850" s="11">
        <v>2005.0</v>
      </c>
      <c r="I1850" s="40">
        <v>6180.0</v>
      </c>
      <c r="J1850" s="40" t="s">
        <v>188</v>
      </c>
      <c r="K1850" s="11" t="s">
        <v>188</v>
      </c>
      <c r="L1850" s="29" t="s">
        <v>260</v>
      </c>
      <c r="M1850" s="30" t="s">
        <v>261</v>
      </c>
      <c r="N1850" s="11" t="s">
        <v>264</v>
      </c>
    </row>
    <row r="1851">
      <c r="A1851" s="11" t="s">
        <v>121</v>
      </c>
      <c r="B1851" s="11" t="s">
        <v>20</v>
      </c>
      <c r="C1851" s="11" t="s">
        <v>1488</v>
      </c>
      <c r="D1851" s="11" t="s">
        <v>248</v>
      </c>
      <c r="E1851" s="157" t="s">
        <v>1489</v>
      </c>
      <c r="F1851" s="11" t="s">
        <v>1478</v>
      </c>
      <c r="G1851" s="11" t="s">
        <v>418</v>
      </c>
      <c r="H1851" s="11">
        <v>2006.0</v>
      </c>
      <c r="I1851" s="40">
        <v>5877.0</v>
      </c>
      <c r="J1851" s="40" t="s">
        <v>188</v>
      </c>
      <c r="K1851" s="11" t="s">
        <v>188</v>
      </c>
      <c r="L1851" s="29" t="s">
        <v>260</v>
      </c>
      <c r="M1851" s="30" t="s">
        <v>261</v>
      </c>
      <c r="N1851" s="11" t="s">
        <v>264</v>
      </c>
    </row>
    <row r="1852">
      <c r="A1852" s="11" t="s">
        <v>121</v>
      </c>
      <c r="B1852" s="11" t="s">
        <v>20</v>
      </c>
      <c r="C1852" s="11" t="s">
        <v>1488</v>
      </c>
      <c r="D1852" s="11" t="s">
        <v>248</v>
      </c>
      <c r="E1852" s="157" t="s">
        <v>1489</v>
      </c>
      <c r="F1852" s="11" t="s">
        <v>1478</v>
      </c>
      <c r="G1852" s="11" t="s">
        <v>418</v>
      </c>
      <c r="H1852" s="11">
        <v>2007.0</v>
      </c>
      <c r="I1852" s="40">
        <v>5888.0</v>
      </c>
      <c r="J1852" s="40" t="s">
        <v>188</v>
      </c>
      <c r="K1852" s="11" t="s">
        <v>188</v>
      </c>
      <c r="L1852" s="29" t="s">
        <v>260</v>
      </c>
      <c r="M1852" s="30" t="s">
        <v>261</v>
      </c>
      <c r="N1852" s="11" t="s">
        <v>264</v>
      </c>
    </row>
    <row r="1853">
      <c r="A1853" s="11" t="s">
        <v>121</v>
      </c>
      <c r="B1853" s="11" t="s">
        <v>20</v>
      </c>
      <c r="C1853" s="11" t="s">
        <v>1488</v>
      </c>
      <c r="D1853" s="11" t="s">
        <v>248</v>
      </c>
      <c r="E1853" s="157" t="s">
        <v>1489</v>
      </c>
      <c r="F1853" s="11" t="s">
        <v>1478</v>
      </c>
      <c r="G1853" s="11" t="s">
        <v>418</v>
      </c>
      <c r="H1853" s="11">
        <v>2008.0</v>
      </c>
      <c r="I1853" s="40">
        <v>5584.0</v>
      </c>
      <c r="J1853" s="40" t="s">
        <v>188</v>
      </c>
      <c r="K1853" s="11" t="s">
        <v>188</v>
      </c>
      <c r="L1853" s="29" t="s">
        <v>260</v>
      </c>
      <c r="M1853" s="30" t="s">
        <v>261</v>
      </c>
      <c r="N1853" s="11" t="s">
        <v>264</v>
      </c>
    </row>
    <row r="1854">
      <c r="A1854" s="11" t="s">
        <v>121</v>
      </c>
      <c r="B1854" s="11" t="s">
        <v>20</v>
      </c>
      <c r="C1854" s="11" t="s">
        <v>1488</v>
      </c>
      <c r="D1854" s="11" t="s">
        <v>248</v>
      </c>
      <c r="E1854" s="157" t="s">
        <v>1489</v>
      </c>
      <c r="F1854" s="11" t="s">
        <v>1478</v>
      </c>
      <c r="G1854" s="11" t="s">
        <v>418</v>
      </c>
      <c r="H1854" s="11">
        <v>2009.0</v>
      </c>
      <c r="I1854" s="40">
        <v>6221.0</v>
      </c>
      <c r="J1854" s="40" t="s">
        <v>188</v>
      </c>
      <c r="K1854" s="11" t="s">
        <v>188</v>
      </c>
      <c r="L1854" s="29" t="s">
        <v>260</v>
      </c>
      <c r="M1854" s="30" t="s">
        <v>261</v>
      </c>
      <c r="N1854" s="11" t="s">
        <v>264</v>
      </c>
    </row>
    <row r="1855">
      <c r="A1855" s="11" t="s">
        <v>121</v>
      </c>
      <c r="B1855" s="11" t="s">
        <v>20</v>
      </c>
      <c r="C1855" s="11" t="s">
        <v>1488</v>
      </c>
      <c r="D1855" s="11" t="s">
        <v>248</v>
      </c>
      <c r="E1855" s="157" t="s">
        <v>1489</v>
      </c>
      <c r="F1855" s="11" t="s">
        <v>1478</v>
      </c>
      <c r="G1855" s="11" t="s">
        <v>418</v>
      </c>
      <c r="H1855" s="11">
        <v>2010.0</v>
      </c>
      <c r="I1855" s="40">
        <v>5396.0</v>
      </c>
      <c r="J1855" s="40" t="s">
        <v>188</v>
      </c>
      <c r="K1855" s="11" t="s">
        <v>188</v>
      </c>
      <c r="L1855" s="29" t="s">
        <v>260</v>
      </c>
      <c r="M1855" s="30" t="s">
        <v>261</v>
      </c>
      <c r="N1855" s="11" t="s">
        <v>264</v>
      </c>
    </row>
    <row r="1856">
      <c r="A1856" s="11" t="s">
        <v>121</v>
      </c>
      <c r="B1856" s="11" t="s">
        <v>20</v>
      </c>
      <c r="C1856" s="11" t="s">
        <v>1488</v>
      </c>
      <c r="D1856" s="11" t="s">
        <v>248</v>
      </c>
      <c r="E1856" s="157" t="s">
        <v>1489</v>
      </c>
      <c r="F1856" s="11" t="s">
        <v>1478</v>
      </c>
      <c r="G1856" s="11" t="s">
        <v>418</v>
      </c>
      <c r="H1856" s="11">
        <v>2011.0</v>
      </c>
      <c r="I1856" s="40">
        <v>7075.0</v>
      </c>
      <c r="J1856" s="40" t="s">
        <v>188</v>
      </c>
      <c r="K1856" s="11" t="s">
        <v>188</v>
      </c>
      <c r="L1856" s="29" t="s">
        <v>260</v>
      </c>
      <c r="M1856" s="30" t="s">
        <v>261</v>
      </c>
      <c r="N1856" s="11" t="s">
        <v>264</v>
      </c>
    </row>
    <row r="1857">
      <c r="A1857" s="11" t="s">
        <v>121</v>
      </c>
      <c r="B1857" s="11" t="s">
        <v>20</v>
      </c>
      <c r="C1857" s="11" t="s">
        <v>1488</v>
      </c>
      <c r="D1857" s="11" t="s">
        <v>248</v>
      </c>
      <c r="E1857" s="157" t="s">
        <v>1489</v>
      </c>
      <c r="F1857" s="11" t="s">
        <v>1478</v>
      </c>
      <c r="G1857" s="11" t="s">
        <v>418</v>
      </c>
      <c r="H1857" s="11">
        <v>2013.0</v>
      </c>
      <c r="I1857" s="40">
        <v>7928.0</v>
      </c>
      <c r="J1857" s="40" t="s">
        <v>188</v>
      </c>
      <c r="K1857" s="11" t="s">
        <v>188</v>
      </c>
      <c r="L1857" s="29" t="s">
        <v>260</v>
      </c>
      <c r="M1857" s="30" t="s">
        <v>261</v>
      </c>
      <c r="N1857" s="11" t="s">
        <v>264</v>
      </c>
    </row>
    <row r="1858">
      <c r="A1858" s="11" t="s">
        <v>121</v>
      </c>
      <c r="B1858" s="11" t="s">
        <v>20</v>
      </c>
      <c r="C1858" s="11" t="s">
        <v>1488</v>
      </c>
      <c r="D1858" s="11" t="s">
        <v>248</v>
      </c>
      <c r="E1858" s="157" t="s">
        <v>1489</v>
      </c>
      <c r="F1858" s="11" t="s">
        <v>1478</v>
      </c>
      <c r="G1858" s="11" t="s">
        <v>418</v>
      </c>
      <c r="H1858" s="11">
        <v>2015.0</v>
      </c>
      <c r="I1858" s="40">
        <v>8781.0</v>
      </c>
      <c r="J1858" s="40" t="s">
        <v>188</v>
      </c>
      <c r="K1858" s="11" t="s">
        <v>188</v>
      </c>
      <c r="L1858" s="29" t="s">
        <v>260</v>
      </c>
      <c r="M1858" s="30" t="s">
        <v>261</v>
      </c>
      <c r="N1858" s="11" t="s">
        <v>264</v>
      </c>
    </row>
    <row r="1859">
      <c r="A1859" s="11" t="s">
        <v>121</v>
      </c>
      <c r="B1859" s="11" t="s">
        <v>20</v>
      </c>
      <c r="C1859" s="11" t="s">
        <v>1488</v>
      </c>
      <c r="D1859" s="11" t="s">
        <v>248</v>
      </c>
      <c r="E1859" s="157" t="s">
        <v>1489</v>
      </c>
      <c r="F1859" s="11" t="s">
        <v>1478</v>
      </c>
      <c r="G1859" s="11" t="s">
        <v>418</v>
      </c>
      <c r="H1859" s="11">
        <v>2017.0</v>
      </c>
      <c r="I1859" s="40">
        <v>9739.0</v>
      </c>
      <c r="J1859" s="40" t="s">
        <v>188</v>
      </c>
      <c r="K1859" s="11" t="s">
        <v>188</v>
      </c>
      <c r="L1859" s="29" t="s">
        <v>260</v>
      </c>
      <c r="M1859" s="30" t="s">
        <v>261</v>
      </c>
      <c r="N1859" s="11" t="s">
        <v>264</v>
      </c>
    </row>
    <row r="1860">
      <c r="A1860" s="11" t="s">
        <v>121</v>
      </c>
      <c r="B1860" s="11" t="s">
        <v>20</v>
      </c>
      <c r="C1860" s="11" t="s">
        <v>1488</v>
      </c>
      <c r="D1860" s="11" t="s">
        <v>248</v>
      </c>
      <c r="E1860" s="157" t="s">
        <v>1489</v>
      </c>
      <c r="F1860" s="11" t="s">
        <v>1478</v>
      </c>
      <c r="G1860" s="11" t="s">
        <v>418</v>
      </c>
      <c r="H1860" s="11">
        <v>2018.0</v>
      </c>
      <c r="I1860" s="40">
        <v>8812.0</v>
      </c>
      <c r="J1860" s="40">
        <v>7562.0</v>
      </c>
      <c r="K1860" s="11">
        <v>10062.0</v>
      </c>
      <c r="L1860" s="29" t="s">
        <v>260</v>
      </c>
      <c r="M1860" s="30" t="s">
        <v>261</v>
      </c>
      <c r="N1860" s="11" t="s">
        <v>264</v>
      </c>
    </row>
    <row r="1861">
      <c r="A1861" s="11" t="s">
        <v>121</v>
      </c>
      <c r="B1861" s="11" t="s">
        <v>20</v>
      </c>
      <c r="C1861" s="11" t="s">
        <v>1488</v>
      </c>
      <c r="D1861" s="11" t="s">
        <v>248</v>
      </c>
      <c r="E1861" s="157" t="s">
        <v>1489</v>
      </c>
      <c r="F1861" s="11" t="s">
        <v>1478</v>
      </c>
      <c r="G1861" s="11" t="s">
        <v>418</v>
      </c>
      <c r="H1861" s="11">
        <v>2019.0</v>
      </c>
      <c r="I1861" s="40">
        <v>8198.0</v>
      </c>
      <c r="J1861" s="40" t="s">
        <v>188</v>
      </c>
      <c r="K1861" s="11" t="s">
        <v>188</v>
      </c>
      <c r="L1861" s="29" t="s">
        <v>260</v>
      </c>
      <c r="M1861" s="30" t="s">
        <v>261</v>
      </c>
      <c r="N1861" s="11" t="s">
        <v>264</v>
      </c>
    </row>
    <row r="1862">
      <c r="A1862" s="45" t="s">
        <v>1241</v>
      </c>
      <c r="B1862" s="45" t="s">
        <v>20</v>
      </c>
      <c r="C1862" s="45" t="s">
        <v>1229</v>
      </c>
      <c r="D1862" s="45" t="s">
        <v>603</v>
      </c>
      <c r="E1862" s="11" t="s">
        <v>1380</v>
      </c>
      <c r="F1862" s="25" t="s">
        <v>257</v>
      </c>
      <c r="G1862" s="45" t="s">
        <v>1053</v>
      </c>
      <c r="H1862" s="47">
        <v>1991.0</v>
      </c>
      <c r="I1862" s="48">
        <v>35812.0</v>
      </c>
      <c r="J1862" s="48">
        <v>14801.0</v>
      </c>
      <c r="K1862" s="29">
        <v>88342.0</v>
      </c>
      <c r="L1862" s="29" t="s">
        <v>939</v>
      </c>
      <c r="M1862" s="110" t="s">
        <v>1490</v>
      </c>
      <c r="N1862" s="52"/>
      <c r="O1862" s="25" t="s">
        <v>1233</v>
      </c>
      <c r="P1862" s="51"/>
      <c r="Q1862" s="51"/>
      <c r="R1862" s="51"/>
      <c r="S1862" s="51"/>
      <c r="T1862" s="51"/>
      <c r="U1862" s="51"/>
      <c r="V1862" s="51"/>
      <c r="W1862" s="51"/>
      <c r="X1862" s="51"/>
      <c r="Y1862" s="51"/>
      <c r="Z1862" s="51"/>
      <c r="AA1862" s="51"/>
      <c r="AB1862" s="51"/>
      <c r="AC1862" s="51"/>
      <c r="AD1862" s="51"/>
      <c r="AE1862" s="51"/>
      <c r="AF1862" s="51"/>
      <c r="AG1862" s="51"/>
      <c r="AH1862" s="51"/>
    </row>
    <row r="1863">
      <c r="A1863" s="45" t="s">
        <v>1241</v>
      </c>
      <c r="B1863" s="45" t="s">
        <v>20</v>
      </c>
      <c r="C1863" s="45" t="s">
        <v>1229</v>
      </c>
      <c r="D1863" s="45" t="s">
        <v>603</v>
      </c>
      <c r="E1863" s="11" t="s">
        <v>1380</v>
      </c>
      <c r="F1863" s="25" t="s">
        <v>257</v>
      </c>
      <c r="G1863" s="45" t="s">
        <v>1053</v>
      </c>
      <c r="H1863" s="47">
        <v>1993.0</v>
      </c>
      <c r="I1863" s="48">
        <v>28838.0</v>
      </c>
      <c r="J1863" s="48">
        <v>12106.0</v>
      </c>
      <c r="K1863" s="29">
        <v>67359.0</v>
      </c>
      <c r="L1863" s="29" t="s">
        <v>939</v>
      </c>
      <c r="M1863" s="110" t="s">
        <v>1490</v>
      </c>
      <c r="N1863" s="52"/>
      <c r="O1863" s="25" t="s">
        <v>1233</v>
      </c>
      <c r="P1863" s="51"/>
      <c r="Q1863" s="51"/>
      <c r="R1863" s="51"/>
      <c r="S1863" s="51"/>
      <c r="T1863" s="51"/>
      <c r="U1863" s="51"/>
      <c r="V1863" s="51"/>
      <c r="W1863" s="51"/>
      <c r="X1863" s="51"/>
      <c r="Y1863" s="51"/>
      <c r="Z1863" s="51"/>
      <c r="AA1863" s="51"/>
      <c r="AB1863" s="51"/>
      <c r="AC1863" s="51"/>
      <c r="AD1863" s="51"/>
      <c r="AE1863" s="51"/>
      <c r="AF1863" s="51"/>
      <c r="AG1863" s="51"/>
      <c r="AH1863" s="51"/>
    </row>
    <row r="1864">
      <c r="A1864" s="45" t="s">
        <v>1241</v>
      </c>
      <c r="B1864" s="45" t="s">
        <v>20</v>
      </c>
      <c r="C1864" s="45" t="s">
        <v>1229</v>
      </c>
      <c r="D1864" s="45" t="s">
        <v>603</v>
      </c>
      <c r="E1864" s="11" t="s">
        <v>1380</v>
      </c>
      <c r="F1864" s="25" t="s">
        <v>257</v>
      </c>
      <c r="G1864" s="45" t="s">
        <v>1053</v>
      </c>
      <c r="H1864" s="47">
        <v>1996.0</v>
      </c>
      <c r="I1864" s="48">
        <v>8648.0</v>
      </c>
      <c r="J1864" s="48">
        <v>3589.0</v>
      </c>
      <c r="K1864" s="29">
        <v>21877.0</v>
      </c>
      <c r="L1864" s="29" t="s">
        <v>939</v>
      </c>
      <c r="M1864" s="110" t="s">
        <v>1490</v>
      </c>
      <c r="N1864" s="52"/>
      <c r="O1864" s="25"/>
      <c r="P1864" s="51"/>
      <c r="Q1864" s="51"/>
      <c r="R1864" s="51"/>
      <c r="S1864" s="51"/>
      <c r="T1864" s="51"/>
      <c r="U1864" s="51"/>
      <c r="V1864" s="51"/>
      <c r="W1864" s="51"/>
      <c r="X1864" s="51"/>
      <c r="Y1864" s="51"/>
      <c r="Z1864" s="51"/>
      <c r="AA1864" s="51"/>
      <c r="AB1864" s="51"/>
      <c r="AC1864" s="51"/>
      <c r="AD1864" s="51"/>
      <c r="AE1864" s="51"/>
      <c r="AF1864" s="51"/>
      <c r="AG1864" s="51"/>
      <c r="AH1864" s="51"/>
    </row>
    <row r="1865">
      <c r="A1865" s="45" t="s">
        <v>1241</v>
      </c>
      <c r="B1865" s="45" t="s">
        <v>20</v>
      </c>
      <c r="C1865" s="45" t="s">
        <v>1229</v>
      </c>
      <c r="D1865" s="45" t="s">
        <v>603</v>
      </c>
      <c r="E1865" s="11" t="s">
        <v>1380</v>
      </c>
      <c r="F1865" s="25" t="s">
        <v>257</v>
      </c>
      <c r="G1865" s="45" t="s">
        <v>1053</v>
      </c>
      <c r="H1865" s="47">
        <v>2001.0</v>
      </c>
      <c r="I1865" s="48">
        <v>28953.0</v>
      </c>
      <c r="J1865" s="48">
        <v>9498.0</v>
      </c>
      <c r="K1865" s="29">
        <v>89264.0</v>
      </c>
      <c r="L1865" s="29" t="s">
        <v>939</v>
      </c>
      <c r="M1865" s="110" t="s">
        <v>1490</v>
      </c>
      <c r="N1865" s="52"/>
      <c r="O1865" s="25"/>
      <c r="P1865" s="51"/>
      <c r="Q1865" s="51"/>
      <c r="R1865" s="51"/>
      <c r="S1865" s="51"/>
      <c r="T1865" s="51"/>
      <c r="U1865" s="51"/>
      <c r="V1865" s="51"/>
      <c r="W1865" s="51"/>
      <c r="X1865" s="51"/>
      <c r="Y1865" s="51"/>
      <c r="Z1865" s="51"/>
      <c r="AA1865" s="51"/>
      <c r="AB1865" s="51"/>
      <c r="AC1865" s="51"/>
      <c r="AD1865" s="51"/>
      <c r="AE1865" s="51"/>
      <c r="AF1865" s="51"/>
      <c r="AG1865" s="51"/>
      <c r="AH1865" s="51"/>
    </row>
    <row r="1866">
      <c r="A1866" s="45" t="s">
        <v>1241</v>
      </c>
      <c r="B1866" s="45" t="s">
        <v>20</v>
      </c>
      <c r="C1866" s="45" t="s">
        <v>1229</v>
      </c>
      <c r="D1866" s="45" t="s">
        <v>603</v>
      </c>
      <c r="E1866" s="11" t="s">
        <v>1380</v>
      </c>
      <c r="F1866" s="25" t="s">
        <v>257</v>
      </c>
      <c r="G1866" s="45" t="s">
        <v>1053</v>
      </c>
      <c r="H1866" s="47">
        <v>2005.0</v>
      </c>
      <c r="I1866" s="48">
        <v>61696.0</v>
      </c>
      <c r="J1866" s="48">
        <v>26287.0</v>
      </c>
      <c r="K1866" s="29">
        <v>144186.0</v>
      </c>
      <c r="L1866" s="29" t="s">
        <v>939</v>
      </c>
      <c r="M1866" s="110" t="s">
        <v>1490</v>
      </c>
      <c r="N1866" s="52"/>
      <c r="O1866" s="25"/>
      <c r="P1866" s="51"/>
      <c r="Q1866" s="51"/>
      <c r="R1866" s="51"/>
      <c r="S1866" s="51"/>
      <c r="T1866" s="51"/>
      <c r="U1866" s="51"/>
      <c r="V1866" s="51"/>
      <c r="W1866" s="51"/>
      <c r="X1866" s="51"/>
      <c r="Y1866" s="51"/>
      <c r="Z1866" s="51"/>
      <c r="AA1866" s="51"/>
      <c r="AB1866" s="51"/>
      <c r="AC1866" s="51"/>
      <c r="AD1866" s="51"/>
      <c r="AE1866" s="51"/>
      <c r="AF1866" s="51"/>
      <c r="AG1866" s="51"/>
      <c r="AH1866" s="51"/>
    </row>
    <row r="1867">
      <c r="A1867" s="45" t="s">
        <v>1241</v>
      </c>
      <c r="B1867" s="45" t="s">
        <v>20</v>
      </c>
      <c r="C1867" s="45" t="s">
        <v>1229</v>
      </c>
      <c r="D1867" s="45" t="s">
        <v>603</v>
      </c>
      <c r="E1867" s="11" t="s">
        <v>1380</v>
      </c>
      <c r="F1867" s="25" t="s">
        <v>257</v>
      </c>
      <c r="G1867" s="45" t="s">
        <v>1053</v>
      </c>
      <c r="H1867" s="47">
        <v>2008.0</v>
      </c>
      <c r="I1867" s="48">
        <v>9210.0</v>
      </c>
      <c r="J1867" s="48">
        <v>5708.0</v>
      </c>
      <c r="K1867" s="29">
        <v>17318.0</v>
      </c>
      <c r="L1867" s="29" t="s">
        <v>939</v>
      </c>
      <c r="M1867" s="110" t="s">
        <v>1490</v>
      </c>
      <c r="N1867" s="52"/>
      <c r="O1867" s="25"/>
      <c r="P1867" s="51"/>
      <c r="Q1867" s="51"/>
      <c r="R1867" s="51"/>
      <c r="S1867" s="51"/>
      <c r="T1867" s="51"/>
      <c r="U1867" s="51"/>
      <c r="V1867" s="51"/>
      <c r="W1867" s="51"/>
      <c r="X1867" s="51"/>
      <c r="Y1867" s="51"/>
      <c r="Z1867" s="51"/>
      <c r="AA1867" s="51"/>
      <c r="AB1867" s="51"/>
      <c r="AC1867" s="51"/>
      <c r="AD1867" s="51"/>
      <c r="AE1867" s="51"/>
      <c r="AF1867" s="51"/>
      <c r="AG1867" s="51"/>
      <c r="AH1867" s="51"/>
    </row>
    <row r="1868">
      <c r="A1868" s="45" t="s">
        <v>1241</v>
      </c>
      <c r="B1868" s="45" t="s">
        <v>20</v>
      </c>
      <c r="C1868" s="45" t="s">
        <v>1229</v>
      </c>
      <c r="D1868" s="45" t="s">
        <v>603</v>
      </c>
      <c r="E1868" s="11" t="s">
        <v>1380</v>
      </c>
      <c r="F1868" s="25" t="s">
        <v>257</v>
      </c>
      <c r="G1868" s="45" t="s">
        <v>1053</v>
      </c>
      <c r="H1868" s="47">
        <v>2014.0</v>
      </c>
      <c r="I1868" s="48">
        <v>90619.0</v>
      </c>
      <c r="J1868" s="48">
        <v>57546.0</v>
      </c>
      <c r="K1868" s="29">
        <v>143927.0</v>
      </c>
      <c r="L1868" s="29" t="s">
        <v>939</v>
      </c>
      <c r="M1868" s="110" t="s">
        <v>1490</v>
      </c>
      <c r="N1868" s="52"/>
      <c r="O1868" s="25"/>
      <c r="P1868" s="51"/>
      <c r="Q1868" s="51"/>
      <c r="R1868" s="51"/>
      <c r="S1868" s="51"/>
      <c r="T1868" s="51"/>
      <c r="U1868" s="51"/>
      <c r="V1868" s="51"/>
      <c r="W1868" s="51"/>
      <c r="X1868" s="51"/>
      <c r="Y1868" s="51"/>
      <c r="Z1868" s="51"/>
      <c r="AA1868" s="51"/>
      <c r="AB1868" s="51"/>
      <c r="AC1868" s="51"/>
      <c r="AD1868" s="51"/>
      <c r="AE1868" s="51"/>
      <c r="AF1868" s="51"/>
      <c r="AG1868" s="51"/>
      <c r="AH1868" s="51"/>
    </row>
    <row r="1869">
      <c r="A1869" s="45" t="s">
        <v>1241</v>
      </c>
      <c r="B1869" s="45" t="s">
        <v>20</v>
      </c>
      <c r="C1869" s="45" t="s">
        <v>1245</v>
      </c>
      <c r="D1869" s="45" t="s">
        <v>603</v>
      </c>
      <c r="E1869" s="11" t="s">
        <v>1381</v>
      </c>
      <c r="F1869" s="25" t="s">
        <v>257</v>
      </c>
      <c r="G1869" s="45" t="s">
        <v>1053</v>
      </c>
      <c r="H1869" s="47">
        <v>2002.0</v>
      </c>
      <c r="I1869" s="48">
        <v>33896.0</v>
      </c>
      <c r="J1869" s="48">
        <v>15826.0</v>
      </c>
      <c r="K1869" s="29">
        <v>72600.0</v>
      </c>
      <c r="L1869" s="29" t="s">
        <v>81</v>
      </c>
      <c r="M1869" s="110" t="s">
        <v>1491</v>
      </c>
      <c r="N1869" s="52"/>
      <c r="O1869" s="25"/>
      <c r="P1869" s="51"/>
      <c r="Q1869" s="51"/>
      <c r="R1869" s="51"/>
      <c r="S1869" s="51"/>
      <c r="T1869" s="51"/>
      <c r="U1869" s="51"/>
      <c r="V1869" s="51"/>
      <c r="W1869" s="51"/>
      <c r="X1869" s="51"/>
      <c r="Y1869" s="51"/>
      <c r="Z1869" s="51"/>
      <c r="AA1869" s="51"/>
      <c r="AB1869" s="51"/>
      <c r="AC1869" s="51"/>
      <c r="AD1869" s="51"/>
      <c r="AE1869" s="51"/>
      <c r="AF1869" s="51"/>
      <c r="AG1869" s="51"/>
      <c r="AH1869" s="51"/>
    </row>
    <row r="1870">
      <c r="A1870" s="45" t="s">
        <v>1241</v>
      </c>
      <c r="B1870" s="45" t="s">
        <v>20</v>
      </c>
      <c r="C1870" s="45" t="s">
        <v>1245</v>
      </c>
      <c r="D1870" s="45" t="s">
        <v>603</v>
      </c>
      <c r="E1870" s="11" t="s">
        <v>1381</v>
      </c>
      <c r="F1870" s="25" t="s">
        <v>257</v>
      </c>
      <c r="G1870" s="45" t="s">
        <v>1053</v>
      </c>
      <c r="H1870" s="47">
        <v>2010.0</v>
      </c>
      <c r="I1870" s="48">
        <v>61029.0</v>
      </c>
      <c r="J1870" s="48">
        <v>31113.0</v>
      </c>
      <c r="K1870" s="29">
        <v>119708.0</v>
      </c>
      <c r="L1870" s="29" t="s">
        <v>81</v>
      </c>
      <c r="M1870" s="110" t="s">
        <v>1491</v>
      </c>
      <c r="N1870" s="52"/>
      <c r="O1870" s="25"/>
      <c r="P1870" s="51"/>
      <c r="Q1870" s="51"/>
      <c r="R1870" s="51"/>
      <c r="S1870" s="51"/>
      <c r="T1870" s="51"/>
      <c r="U1870" s="51"/>
      <c r="V1870" s="51"/>
      <c r="W1870" s="51"/>
      <c r="X1870" s="51"/>
      <c r="Y1870" s="51"/>
      <c r="Z1870" s="51"/>
      <c r="AA1870" s="51"/>
      <c r="AB1870" s="51"/>
      <c r="AC1870" s="51"/>
      <c r="AD1870" s="51"/>
      <c r="AE1870" s="51"/>
      <c r="AF1870" s="51"/>
      <c r="AG1870" s="51"/>
      <c r="AH1870" s="51"/>
    </row>
    <row r="1871">
      <c r="A1871" s="45" t="s">
        <v>1241</v>
      </c>
      <c r="B1871" s="45" t="s">
        <v>20</v>
      </c>
      <c r="C1871" s="45" t="s">
        <v>1245</v>
      </c>
      <c r="D1871" s="45" t="s">
        <v>603</v>
      </c>
      <c r="E1871" s="11" t="s">
        <v>1381</v>
      </c>
      <c r="F1871" s="25" t="s">
        <v>257</v>
      </c>
      <c r="G1871" s="45" t="s">
        <v>1053</v>
      </c>
      <c r="H1871" s="47">
        <v>2017.0</v>
      </c>
      <c r="I1871" s="48">
        <v>34271.0</v>
      </c>
      <c r="J1871" s="48">
        <v>18481.0</v>
      </c>
      <c r="K1871" s="29">
        <v>63552.0</v>
      </c>
      <c r="L1871" s="29" t="s">
        <v>81</v>
      </c>
      <c r="M1871" s="110" t="s">
        <v>1491</v>
      </c>
      <c r="N1871" s="52"/>
      <c r="O1871" s="25"/>
      <c r="P1871" s="51"/>
      <c r="Q1871" s="51"/>
      <c r="R1871" s="51"/>
      <c r="S1871" s="51"/>
      <c r="T1871" s="51"/>
      <c r="U1871" s="51"/>
      <c r="V1871" s="51"/>
      <c r="W1871" s="51"/>
      <c r="X1871" s="51"/>
      <c r="Y1871" s="51"/>
      <c r="Z1871" s="51"/>
      <c r="AA1871" s="51"/>
      <c r="AB1871" s="51"/>
      <c r="AC1871" s="51"/>
      <c r="AD1871" s="51"/>
      <c r="AE1871" s="51"/>
      <c r="AF1871" s="51"/>
      <c r="AG1871" s="51"/>
      <c r="AH1871" s="51"/>
    </row>
    <row r="1872">
      <c r="A1872" s="45" t="s">
        <v>1241</v>
      </c>
      <c r="B1872" s="45" t="s">
        <v>20</v>
      </c>
      <c r="C1872" s="45" t="s">
        <v>1245</v>
      </c>
      <c r="D1872" s="45" t="s">
        <v>603</v>
      </c>
      <c r="E1872" s="11" t="s">
        <v>1381</v>
      </c>
      <c r="F1872" s="25" t="s">
        <v>436</v>
      </c>
      <c r="G1872" s="45" t="s">
        <v>1053</v>
      </c>
      <c r="H1872" s="47">
        <v>2002.0</v>
      </c>
      <c r="I1872" s="48">
        <v>35817.0</v>
      </c>
      <c r="J1872" s="48">
        <v>23384.0</v>
      </c>
      <c r="K1872" s="29">
        <v>54861.0</v>
      </c>
      <c r="L1872" s="29" t="s">
        <v>81</v>
      </c>
      <c r="M1872" s="110" t="s">
        <v>1491</v>
      </c>
      <c r="N1872" s="52"/>
      <c r="O1872" s="25"/>
      <c r="P1872" s="51"/>
      <c r="Q1872" s="51"/>
      <c r="R1872" s="51"/>
      <c r="S1872" s="51"/>
      <c r="T1872" s="51"/>
      <c r="U1872" s="51"/>
      <c r="V1872" s="51"/>
      <c r="W1872" s="51"/>
      <c r="X1872" s="51"/>
      <c r="Y1872" s="51"/>
      <c r="Z1872" s="51"/>
      <c r="AA1872" s="51"/>
      <c r="AB1872" s="51"/>
      <c r="AC1872" s="51"/>
      <c r="AD1872" s="51"/>
      <c r="AE1872" s="51"/>
      <c r="AF1872" s="51"/>
      <c r="AG1872" s="51"/>
      <c r="AH1872" s="51"/>
    </row>
    <row r="1873">
      <c r="A1873" s="45" t="s">
        <v>1241</v>
      </c>
      <c r="B1873" s="45" t="s">
        <v>20</v>
      </c>
      <c r="C1873" s="45" t="s">
        <v>1245</v>
      </c>
      <c r="D1873" s="45" t="s">
        <v>603</v>
      </c>
      <c r="E1873" s="11" t="s">
        <v>1381</v>
      </c>
      <c r="F1873" s="25" t="s">
        <v>436</v>
      </c>
      <c r="G1873" s="45" t="s">
        <v>1053</v>
      </c>
      <c r="H1873" s="47">
        <v>2010.0</v>
      </c>
      <c r="I1873" s="48">
        <v>36886.0</v>
      </c>
      <c r="J1873" s="48">
        <v>24004.0</v>
      </c>
      <c r="K1873" s="29">
        <v>56681.0</v>
      </c>
      <c r="L1873" s="29" t="s">
        <v>81</v>
      </c>
      <c r="M1873" s="110" t="s">
        <v>1491</v>
      </c>
      <c r="N1873" s="52"/>
      <c r="O1873" s="25"/>
      <c r="P1873" s="51"/>
      <c r="Q1873" s="51"/>
      <c r="R1873" s="51"/>
      <c r="S1873" s="51"/>
      <c r="T1873" s="51"/>
      <c r="U1873" s="51"/>
      <c r="V1873" s="51"/>
      <c r="W1873" s="51"/>
      <c r="X1873" s="51"/>
      <c r="Y1873" s="51"/>
      <c r="Z1873" s="51"/>
      <c r="AA1873" s="51"/>
      <c r="AB1873" s="51"/>
      <c r="AC1873" s="51"/>
      <c r="AD1873" s="51"/>
      <c r="AE1873" s="51"/>
      <c r="AF1873" s="51"/>
      <c r="AG1873" s="51"/>
      <c r="AH1873" s="51"/>
    </row>
    <row r="1874">
      <c r="A1874" s="45" t="s">
        <v>1241</v>
      </c>
      <c r="B1874" s="45" t="s">
        <v>20</v>
      </c>
      <c r="C1874" s="45" t="s">
        <v>1245</v>
      </c>
      <c r="D1874" s="45" t="s">
        <v>603</v>
      </c>
      <c r="E1874" s="11" t="s">
        <v>1381</v>
      </c>
      <c r="F1874" s="25" t="s">
        <v>436</v>
      </c>
      <c r="G1874" s="45" t="s">
        <v>1053</v>
      </c>
      <c r="H1874" s="47">
        <v>2017.0</v>
      </c>
      <c r="I1874" s="48">
        <v>35179.0</v>
      </c>
      <c r="J1874" s="48">
        <v>22416.0</v>
      </c>
      <c r="K1874" s="29">
        <v>55209.0</v>
      </c>
      <c r="L1874" s="29" t="s">
        <v>81</v>
      </c>
      <c r="M1874" s="110" t="s">
        <v>1491</v>
      </c>
      <c r="N1874" s="52"/>
      <c r="O1874" s="25"/>
      <c r="P1874" s="51"/>
      <c r="Q1874" s="51"/>
      <c r="R1874" s="51"/>
      <c r="S1874" s="51"/>
      <c r="T1874" s="51"/>
      <c r="U1874" s="51"/>
      <c r="V1874" s="51"/>
      <c r="W1874" s="51"/>
      <c r="X1874" s="51"/>
      <c r="Y1874" s="51"/>
      <c r="Z1874" s="51"/>
      <c r="AA1874" s="51"/>
      <c r="AB1874" s="51"/>
      <c r="AC1874" s="51"/>
      <c r="AD1874" s="51"/>
      <c r="AE1874" s="51"/>
      <c r="AF1874" s="51"/>
      <c r="AG1874" s="51"/>
      <c r="AH1874" s="51"/>
    </row>
    <row r="1875">
      <c r="A1875" s="45" t="s">
        <v>1241</v>
      </c>
      <c r="B1875" s="11" t="s">
        <v>20</v>
      </c>
      <c r="C1875" s="45" t="s">
        <v>1229</v>
      </c>
      <c r="D1875" s="11" t="s">
        <v>603</v>
      </c>
      <c r="E1875" s="11" t="s">
        <v>1380</v>
      </c>
      <c r="F1875" s="11" t="s">
        <v>157</v>
      </c>
      <c r="G1875" s="11" t="s">
        <v>158</v>
      </c>
      <c r="H1875" s="11">
        <v>1996.0</v>
      </c>
      <c r="I1875" s="40">
        <v>17758.0</v>
      </c>
      <c r="J1875" s="40">
        <v>9826.0</v>
      </c>
      <c r="K1875" s="41">
        <v>32093.0</v>
      </c>
      <c r="L1875" s="11" t="s">
        <v>160</v>
      </c>
      <c r="M1875" s="67" t="s">
        <v>583</v>
      </c>
      <c r="N1875" s="11" t="s">
        <v>585</v>
      </c>
    </row>
    <row r="1876">
      <c r="A1876" s="45" t="s">
        <v>1241</v>
      </c>
      <c r="B1876" s="11" t="s">
        <v>20</v>
      </c>
      <c r="C1876" s="45" t="s">
        <v>1229</v>
      </c>
      <c r="D1876" s="11" t="s">
        <v>603</v>
      </c>
      <c r="E1876" s="11" t="s">
        <v>1380</v>
      </c>
      <c r="F1876" s="11" t="s">
        <v>157</v>
      </c>
      <c r="G1876" s="11" t="s">
        <v>158</v>
      </c>
      <c r="H1876" s="11">
        <v>2001.0</v>
      </c>
      <c r="I1876" s="40">
        <v>26215.0</v>
      </c>
      <c r="J1876" s="40">
        <v>17235.0</v>
      </c>
      <c r="K1876" s="41">
        <v>39875.0</v>
      </c>
      <c r="L1876" s="11" t="s">
        <v>160</v>
      </c>
      <c r="M1876" s="67" t="s">
        <v>583</v>
      </c>
      <c r="N1876" s="11" t="s">
        <v>585</v>
      </c>
    </row>
    <row r="1877">
      <c r="A1877" s="45" t="s">
        <v>1241</v>
      </c>
      <c r="B1877" s="11" t="s">
        <v>20</v>
      </c>
      <c r="C1877" s="45" t="s">
        <v>1229</v>
      </c>
      <c r="D1877" s="11" t="s">
        <v>603</v>
      </c>
      <c r="E1877" s="11" t="s">
        <v>1380</v>
      </c>
      <c r="F1877" s="11" t="s">
        <v>157</v>
      </c>
      <c r="G1877" s="11" t="s">
        <v>158</v>
      </c>
      <c r="H1877" s="11">
        <v>2005.0</v>
      </c>
      <c r="I1877" s="40">
        <v>47974.0</v>
      </c>
      <c r="J1877" s="40">
        <v>23765.0</v>
      </c>
      <c r="K1877" s="41">
        <v>96843.0</v>
      </c>
      <c r="L1877" s="11" t="s">
        <v>160</v>
      </c>
      <c r="M1877" s="67" t="s">
        <v>583</v>
      </c>
      <c r="N1877" s="11" t="s">
        <v>585</v>
      </c>
    </row>
    <row r="1878">
      <c r="A1878" s="45" t="s">
        <v>1241</v>
      </c>
      <c r="B1878" s="11" t="s">
        <v>20</v>
      </c>
      <c r="C1878" s="45" t="s">
        <v>1229</v>
      </c>
      <c r="D1878" s="11" t="s">
        <v>603</v>
      </c>
      <c r="E1878" s="11" t="s">
        <v>1380</v>
      </c>
      <c r="F1878" s="11" t="s">
        <v>157</v>
      </c>
      <c r="G1878" s="11" t="s">
        <v>158</v>
      </c>
      <c r="H1878" s="11">
        <v>2008.0</v>
      </c>
      <c r="I1878" s="40">
        <v>46563.0</v>
      </c>
      <c r="J1878" s="40">
        <v>24714.0</v>
      </c>
      <c r="K1878" s="41">
        <v>87727.0</v>
      </c>
      <c r="L1878" s="11" t="s">
        <v>160</v>
      </c>
      <c r="M1878" s="67" t="s">
        <v>583</v>
      </c>
      <c r="N1878" s="11" t="s">
        <v>585</v>
      </c>
    </row>
    <row r="1879">
      <c r="A1879" s="45" t="s">
        <v>1241</v>
      </c>
      <c r="B1879" s="11" t="s">
        <v>20</v>
      </c>
      <c r="C1879" s="45" t="s">
        <v>1229</v>
      </c>
      <c r="D1879" s="11" t="s">
        <v>603</v>
      </c>
      <c r="E1879" s="11" t="s">
        <v>1380</v>
      </c>
      <c r="F1879" s="11" t="s">
        <v>157</v>
      </c>
      <c r="G1879" s="11" t="s">
        <v>158</v>
      </c>
      <c r="H1879" s="11">
        <v>2014.0</v>
      </c>
      <c r="I1879" s="40">
        <v>70107.0</v>
      </c>
      <c r="J1879" s="40">
        <v>36762.0</v>
      </c>
      <c r="K1879" s="41">
        <v>133696.0</v>
      </c>
      <c r="L1879" s="11" t="s">
        <v>160</v>
      </c>
      <c r="M1879" s="67" t="s">
        <v>583</v>
      </c>
      <c r="N1879" s="11" t="s">
        <v>585</v>
      </c>
    </row>
    <row r="1880">
      <c r="A1880" s="45" t="s">
        <v>1241</v>
      </c>
      <c r="B1880" s="11" t="s">
        <v>20</v>
      </c>
      <c r="C1880" s="45" t="s">
        <v>1229</v>
      </c>
      <c r="D1880" s="11" t="s">
        <v>603</v>
      </c>
      <c r="E1880" s="11" t="s">
        <v>1380</v>
      </c>
      <c r="F1880" s="11" t="s">
        <v>157</v>
      </c>
      <c r="G1880" s="11" t="s">
        <v>158</v>
      </c>
      <c r="H1880" s="11">
        <v>2018.0</v>
      </c>
      <c r="I1880" s="40">
        <v>29988.0</v>
      </c>
      <c r="J1880" s="40">
        <v>16913.0</v>
      </c>
      <c r="K1880" s="41">
        <v>53170.0</v>
      </c>
      <c r="L1880" s="11" t="s">
        <v>160</v>
      </c>
      <c r="M1880" s="67" t="s">
        <v>583</v>
      </c>
      <c r="N1880" s="11" t="s">
        <v>585</v>
      </c>
    </row>
    <row r="1881">
      <c r="A1881" s="11"/>
      <c r="B1881" s="11"/>
      <c r="C1881" s="11"/>
      <c r="D1881" s="11"/>
      <c r="E1881" s="11"/>
      <c r="F1881" s="11"/>
      <c r="G1881" s="11"/>
      <c r="H1881" s="11"/>
      <c r="I1881" s="40"/>
      <c r="J1881" s="40"/>
      <c r="K1881" s="11"/>
      <c r="L1881" s="11"/>
    </row>
    <row r="1882">
      <c r="A1882" s="80"/>
      <c r="B1882" s="80"/>
      <c r="C1882" s="80"/>
      <c r="D1882" s="80"/>
      <c r="E1882" s="80"/>
      <c r="F1882" s="59"/>
      <c r="G1882" s="59"/>
      <c r="H1882" s="83"/>
      <c r="I1882" s="76"/>
      <c r="J1882" s="76"/>
      <c r="K1882" s="81"/>
      <c r="L1882" s="82"/>
      <c r="M1882" s="54"/>
      <c r="N1882" s="54"/>
      <c r="O1882" s="54"/>
      <c r="P1882" s="54"/>
      <c r="Q1882" s="54"/>
      <c r="R1882" s="54"/>
      <c r="S1882" s="54"/>
      <c r="T1882" s="54"/>
      <c r="U1882" s="54"/>
      <c r="V1882" s="54"/>
      <c r="W1882" s="54"/>
      <c r="X1882" s="54"/>
      <c r="Y1882" s="54"/>
      <c r="Z1882" s="54"/>
      <c r="AA1882" s="54"/>
      <c r="AB1882" s="54"/>
      <c r="AC1882" s="54"/>
      <c r="AD1882" s="54"/>
      <c r="AE1882" s="54"/>
      <c r="AF1882" s="54"/>
      <c r="AG1882" s="54"/>
      <c r="AH1882" s="54"/>
    </row>
    <row r="1883">
      <c r="A1883" s="80"/>
      <c r="B1883" s="80"/>
      <c r="C1883" s="80"/>
      <c r="D1883" s="80"/>
      <c r="E1883" s="80"/>
      <c r="F1883" s="59"/>
      <c r="G1883" s="59"/>
      <c r="H1883" s="83"/>
      <c r="I1883" s="76"/>
      <c r="J1883" s="76"/>
      <c r="K1883" s="81"/>
      <c r="L1883" s="82"/>
      <c r="M1883" s="54"/>
      <c r="N1883" s="54"/>
      <c r="O1883" s="54"/>
      <c r="P1883" s="54"/>
      <c r="Q1883" s="54"/>
      <c r="R1883" s="54"/>
      <c r="S1883" s="54"/>
      <c r="T1883" s="54"/>
      <c r="U1883" s="54"/>
      <c r="V1883" s="54"/>
      <c r="W1883" s="54"/>
      <c r="X1883" s="54"/>
      <c r="Y1883" s="54"/>
      <c r="Z1883" s="54"/>
      <c r="AA1883" s="54"/>
      <c r="AB1883" s="54"/>
      <c r="AC1883" s="54"/>
      <c r="AD1883" s="54"/>
      <c r="AE1883" s="54"/>
      <c r="AF1883" s="54"/>
      <c r="AG1883" s="54"/>
      <c r="AH1883" s="54"/>
    </row>
    <row r="1884">
      <c r="A1884" s="80"/>
      <c r="B1884" s="80"/>
      <c r="C1884" s="80"/>
      <c r="D1884" s="80"/>
      <c r="E1884" s="80"/>
      <c r="F1884" s="59"/>
      <c r="G1884" s="59"/>
      <c r="H1884" s="83"/>
      <c r="I1884" s="76"/>
      <c r="J1884" s="76"/>
      <c r="K1884" s="81"/>
      <c r="L1884" s="82"/>
      <c r="M1884" s="54"/>
      <c r="N1884" s="54"/>
      <c r="O1884" s="54"/>
      <c r="P1884" s="54"/>
      <c r="Q1884" s="54"/>
      <c r="R1884" s="54"/>
      <c r="S1884" s="54"/>
      <c r="T1884" s="54"/>
      <c r="U1884" s="54"/>
      <c r="V1884" s="54"/>
      <c r="W1884" s="54"/>
      <c r="X1884" s="54"/>
      <c r="Y1884" s="54"/>
      <c r="Z1884" s="54"/>
      <c r="AA1884" s="54"/>
      <c r="AB1884" s="54"/>
      <c r="AC1884" s="54"/>
      <c r="AD1884" s="54"/>
      <c r="AE1884" s="54"/>
      <c r="AF1884" s="54"/>
      <c r="AG1884" s="54"/>
      <c r="AH1884" s="54"/>
    </row>
    <row r="1885">
      <c r="A1885" s="80"/>
      <c r="B1885" s="80"/>
      <c r="C1885" s="80"/>
      <c r="D1885" s="80"/>
      <c r="E1885" s="80"/>
      <c r="F1885" s="59"/>
      <c r="G1885" s="59"/>
      <c r="H1885" s="83"/>
      <c r="I1885" s="76"/>
      <c r="J1885" s="76"/>
      <c r="K1885" s="81"/>
      <c r="L1885" s="82"/>
      <c r="M1885" s="54"/>
      <c r="N1885" s="54"/>
      <c r="O1885" s="54"/>
      <c r="P1885" s="54"/>
      <c r="Q1885" s="54"/>
      <c r="R1885" s="54"/>
      <c r="S1885" s="54"/>
      <c r="T1885" s="54"/>
      <c r="U1885" s="54"/>
      <c r="V1885" s="54"/>
      <c r="W1885" s="54"/>
      <c r="X1885" s="54"/>
      <c r="Y1885" s="54"/>
      <c r="Z1885" s="54"/>
      <c r="AA1885" s="54"/>
      <c r="AB1885" s="54"/>
      <c r="AC1885" s="54"/>
      <c r="AD1885" s="54"/>
      <c r="AE1885" s="54"/>
      <c r="AF1885" s="54"/>
      <c r="AG1885" s="54"/>
      <c r="AH1885" s="54"/>
    </row>
    <row r="1886">
      <c r="A1886" s="80"/>
      <c r="B1886" s="80"/>
      <c r="C1886" s="80"/>
      <c r="D1886" s="80"/>
      <c r="E1886" s="80"/>
      <c r="F1886" s="59"/>
      <c r="G1886" s="59"/>
      <c r="H1886" s="83"/>
      <c r="I1886" s="76"/>
      <c r="J1886" s="76"/>
      <c r="K1886" s="81"/>
      <c r="L1886" s="82"/>
      <c r="M1886" s="54"/>
      <c r="N1886" s="54"/>
      <c r="O1886" s="54"/>
      <c r="P1886" s="54"/>
      <c r="Q1886" s="54"/>
      <c r="R1886" s="54"/>
      <c r="S1886" s="54"/>
      <c r="T1886" s="54"/>
      <c r="U1886" s="54"/>
      <c r="V1886" s="54"/>
      <c r="W1886" s="54"/>
      <c r="X1886" s="54"/>
      <c r="Y1886" s="54"/>
      <c r="Z1886" s="54"/>
      <c r="AA1886" s="54"/>
      <c r="AB1886" s="54"/>
      <c r="AC1886" s="54"/>
      <c r="AD1886" s="54"/>
      <c r="AE1886" s="54"/>
      <c r="AF1886" s="54"/>
      <c r="AG1886" s="54"/>
      <c r="AH1886" s="54"/>
    </row>
    <row r="1887">
      <c r="A1887" s="80"/>
      <c r="B1887" s="80"/>
      <c r="C1887" s="80"/>
      <c r="D1887" s="80"/>
      <c r="E1887" s="80"/>
      <c r="F1887" s="59"/>
      <c r="G1887" s="59"/>
      <c r="H1887" s="83"/>
      <c r="I1887" s="76"/>
      <c r="J1887" s="76"/>
      <c r="K1887" s="81"/>
      <c r="L1887" s="82"/>
      <c r="M1887" s="54"/>
      <c r="N1887" s="54"/>
      <c r="O1887" s="54"/>
      <c r="P1887" s="54"/>
      <c r="Q1887" s="54"/>
      <c r="R1887" s="54"/>
      <c r="S1887" s="54"/>
      <c r="T1887" s="54"/>
      <c r="U1887" s="54"/>
      <c r="V1887" s="54"/>
      <c r="W1887" s="54"/>
      <c r="X1887" s="54"/>
      <c r="Y1887" s="54"/>
      <c r="Z1887" s="54"/>
      <c r="AA1887" s="54"/>
      <c r="AB1887" s="54"/>
      <c r="AC1887" s="54"/>
      <c r="AD1887" s="54"/>
      <c r="AE1887" s="54"/>
      <c r="AF1887" s="54"/>
      <c r="AG1887" s="54"/>
      <c r="AH1887" s="54"/>
    </row>
    <row r="1888">
      <c r="A1888" s="80"/>
      <c r="B1888" s="80"/>
      <c r="C1888" s="80"/>
      <c r="D1888" s="80"/>
      <c r="E1888" s="80"/>
      <c r="F1888" s="59"/>
      <c r="G1888" s="59"/>
      <c r="H1888" s="83"/>
      <c r="I1888" s="76"/>
      <c r="J1888" s="76"/>
      <c r="K1888" s="81"/>
      <c r="L1888" s="82"/>
      <c r="M1888" s="54"/>
      <c r="N1888" s="54"/>
      <c r="O1888" s="54"/>
      <c r="P1888" s="54"/>
      <c r="Q1888" s="54"/>
      <c r="R1888" s="54"/>
      <c r="S1888" s="54"/>
      <c r="T1888" s="54"/>
      <c r="U1888" s="54"/>
      <c r="V1888" s="54"/>
      <c r="W1888" s="54"/>
      <c r="X1888" s="54"/>
      <c r="Y1888" s="54"/>
      <c r="Z1888" s="54"/>
      <c r="AA1888" s="54"/>
      <c r="AB1888" s="54"/>
      <c r="AC1888" s="54"/>
      <c r="AD1888" s="54"/>
      <c r="AE1888" s="54"/>
      <c r="AF1888" s="54"/>
      <c r="AG1888" s="54"/>
      <c r="AH1888" s="54"/>
    </row>
    <row r="1889">
      <c r="A1889" s="80"/>
      <c r="B1889" s="80"/>
      <c r="C1889" s="80"/>
      <c r="D1889" s="80"/>
      <c r="E1889" s="80"/>
      <c r="F1889" s="59"/>
      <c r="G1889" s="59"/>
      <c r="H1889" s="83"/>
      <c r="I1889" s="76"/>
      <c r="J1889" s="76"/>
      <c r="K1889" s="81"/>
      <c r="L1889" s="82"/>
      <c r="M1889" s="54"/>
      <c r="N1889" s="54"/>
      <c r="O1889" s="54"/>
      <c r="P1889" s="54"/>
      <c r="Q1889" s="54"/>
      <c r="R1889" s="54"/>
      <c r="S1889" s="54"/>
      <c r="T1889" s="54"/>
      <c r="U1889" s="54"/>
      <c r="V1889" s="54"/>
      <c r="W1889" s="54"/>
      <c r="X1889" s="54"/>
      <c r="Y1889" s="54"/>
      <c r="Z1889" s="54"/>
      <c r="AA1889" s="54"/>
      <c r="AB1889" s="54"/>
      <c r="AC1889" s="54"/>
      <c r="AD1889" s="54"/>
      <c r="AE1889" s="54"/>
      <c r="AF1889" s="54"/>
      <c r="AG1889" s="54"/>
      <c r="AH1889" s="54"/>
    </row>
    <row r="1890">
      <c r="A1890" s="80"/>
      <c r="B1890" s="80"/>
      <c r="C1890" s="80"/>
      <c r="D1890" s="80"/>
      <c r="E1890" s="80"/>
      <c r="F1890" s="59"/>
      <c r="G1890" s="59"/>
      <c r="H1890" s="83"/>
      <c r="I1890" s="76"/>
      <c r="J1890" s="76"/>
      <c r="K1890" s="81"/>
      <c r="L1890" s="82"/>
      <c r="M1890" s="54"/>
      <c r="N1890" s="54"/>
      <c r="O1890" s="54"/>
      <c r="P1890" s="54"/>
      <c r="Q1890" s="54"/>
      <c r="R1890" s="54"/>
      <c r="S1890" s="54"/>
      <c r="T1890" s="54"/>
      <c r="U1890" s="54"/>
      <c r="V1890" s="54"/>
      <c r="W1890" s="54"/>
      <c r="X1890" s="54"/>
      <c r="Y1890" s="54"/>
      <c r="Z1890" s="54"/>
      <c r="AA1890" s="54"/>
      <c r="AB1890" s="54"/>
      <c r="AC1890" s="54"/>
      <c r="AD1890" s="54"/>
      <c r="AE1890" s="54"/>
      <c r="AF1890" s="54"/>
      <c r="AG1890" s="54"/>
      <c r="AH1890" s="54"/>
    </row>
    <row r="1891">
      <c r="A1891" s="80"/>
      <c r="B1891" s="80"/>
      <c r="C1891" s="80"/>
      <c r="D1891" s="80"/>
      <c r="E1891" s="80"/>
      <c r="F1891" s="59"/>
      <c r="G1891" s="59"/>
      <c r="H1891" s="83"/>
      <c r="I1891" s="76"/>
      <c r="J1891" s="76"/>
      <c r="K1891" s="81"/>
      <c r="L1891" s="82"/>
      <c r="M1891" s="54"/>
      <c r="N1891" s="54"/>
      <c r="O1891" s="54"/>
      <c r="P1891" s="54"/>
      <c r="Q1891" s="54"/>
      <c r="R1891" s="54"/>
      <c r="S1891" s="54"/>
      <c r="T1891" s="54"/>
      <c r="U1891" s="54"/>
      <c r="V1891" s="54"/>
      <c r="W1891" s="54"/>
      <c r="X1891" s="54"/>
      <c r="Y1891" s="54"/>
      <c r="Z1891" s="54"/>
      <c r="AA1891" s="54"/>
      <c r="AB1891" s="54"/>
      <c r="AC1891" s="54"/>
      <c r="AD1891" s="54"/>
      <c r="AE1891" s="54"/>
      <c r="AF1891" s="54"/>
      <c r="AG1891" s="54"/>
      <c r="AH1891" s="54"/>
    </row>
    <row r="1892">
      <c r="A1892" s="80"/>
      <c r="B1892" s="80"/>
      <c r="C1892" s="80"/>
      <c r="D1892" s="80"/>
      <c r="E1892" s="80"/>
      <c r="F1892" s="59"/>
      <c r="G1892" s="59"/>
      <c r="H1892" s="83"/>
      <c r="I1892" s="76"/>
      <c r="J1892" s="76"/>
      <c r="K1892" s="81"/>
      <c r="L1892" s="82"/>
      <c r="M1892" s="54"/>
      <c r="N1892" s="54"/>
      <c r="O1892" s="54"/>
      <c r="P1892" s="54"/>
      <c r="Q1892" s="54"/>
      <c r="R1892" s="54"/>
      <c r="S1892" s="54"/>
      <c r="T1892" s="54"/>
      <c r="U1892" s="54"/>
      <c r="V1892" s="54"/>
      <c r="W1892" s="54"/>
      <c r="X1892" s="54"/>
      <c r="Y1892" s="54"/>
      <c r="Z1892" s="54"/>
      <c r="AA1892" s="54"/>
      <c r="AB1892" s="54"/>
      <c r="AC1892" s="54"/>
      <c r="AD1892" s="54"/>
      <c r="AE1892" s="54"/>
      <c r="AF1892" s="54"/>
      <c r="AG1892" s="54"/>
      <c r="AH1892" s="54"/>
    </row>
    <row r="1893">
      <c r="A1893" s="80"/>
      <c r="B1893" s="80"/>
      <c r="C1893" s="80"/>
      <c r="D1893" s="80"/>
      <c r="E1893" s="80"/>
      <c r="F1893" s="59"/>
      <c r="G1893" s="59"/>
      <c r="H1893" s="83"/>
      <c r="I1893" s="76"/>
      <c r="J1893" s="76"/>
      <c r="K1893" s="81"/>
      <c r="L1893" s="82"/>
      <c r="M1893" s="54"/>
      <c r="N1893" s="54"/>
      <c r="O1893" s="54"/>
      <c r="P1893" s="54"/>
      <c r="Q1893" s="54"/>
      <c r="R1893" s="54"/>
      <c r="S1893" s="54"/>
      <c r="T1893" s="54"/>
      <c r="U1893" s="54"/>
      <c r="V1893" s="54"/>
      <c r="W1893" s="54"/>
      <c r="X1893" s="54"/>
      <c r="Y1893" s="54"/>
      <c r="Z1893" s="54"/>
      <c r="AA1893" s="54"/>
      <c r="AB1893" s="54"/>
      <c r="AC1893" s="54"/>
      <c r="AD1893" s="54"/>
      <c r="AE1893" s="54"/>
      <c r="AF1893" s="54"/>
      <c r="AG1893" s="54"/>
      <c r="AH1893" s="54"/>
    </row>
    <row r="1894">
      <c r="A1894" s="80"/>
      <c r="B1894" s="80"/>
      <c r="C1894" s="80"/>
      <c r="D1894" s="80"/>
      <c r="E1894" s="80"/>
      <c r="F1894" s="59"/>
      <c r="G1894" s="59"/>
      <c r="H1894" s="83"/>
      <c r="I1894" s="76"/>
      <c r="J1894" s="76"/>
      <c r="K1894" s="81"/>
      <c r="L1894" s="82"/>
      <c r="M1894" s="54"/>
      <c r="N1894" s="54"/>
      <c r="O1894" s="54"/>
      <c r="P1894" s="54"/>
      <c r="Q1894" s="54"/>
      <c r="R1894" s="54"/>
      <c r="S1894" s="54"/>
      <c r="T1894" s="54"/>
      <c r="U1894" s="54"/>
      <c r="V1894" s="54"/>
      <c r="W1894" s="54"/>
      <c r="X1894" s="54"/>
      <c r="Y1894" s="54"/>
      <c r="Z1894" s="54"/>
      <c r="AA1894" s="54"/>
      <c r="AB1894" s="54"/>
      <c r="AC1894" s="54"/>
      <c r="AD1894" s="54"/>
      <c r="AE1894" s="54"/>
      <c r="AF1894" s="54"/>
      <c r="AG1894" s="54"/>
      <c r="AH1894" s="54"/>
    </row>
    <row r="1895">
      <c r="A1895" s="80"/>
      <c r="B1895" s="80"/>
      <c r="C1895" s="80"/>
      <c r="D1895" s="80"/>
      <c r="E1895" s="80"/>
      <c r="F1895" s="59"/>
      <c r="G1895" s="59"/>
      <c r="H1895" s="83"/>
      <c r="I1895" s="76"/>
      <c r="J1895" s="76"/>
      <c r="K1895" s="81"/>
      <c r="L1895" s="82"/>
      <c r="M1895" s="54"/>
      <c r="N1895" s="54"/>
      <c r="O1895" s="54"/>
      <c r="P1895" s="54"/>
      <c r="Q1895" s="54"/>
      <c r="R1895" s="54"/>
      <c r="S1895" s="54"/>
      <c r="T1895" s="54"/>
      <c r="U1895" s="54"/>
      <c r="V1895" s="54"/>
      <c r="W1895" s="54"/>
      <c r="X1895" s="54"/>
      <c r="Y1895" s="54"/>
      <c r="Z1895" s="54"/>
      <c r="AA1895" s="54"/>
      <c r="AB1895" s="54"/>
      <c r="AC1895" s="54"/>
      <c r="AD1895" s="54"/>
      <c r="AE1895" s="54"/>
      <c r="AF1895" s="54"/>
      <c r="AG1895" s="54"/>
      <c r="AH1895" s="54"/>
    </row>
    <row r="1896">
      <c r="A1896" s="80"/>
      <c r="B1896" s="80"/>
      <c r="C1896" s="80"/>
      <c r="D1896" s="80"/>
      <c r="E1896" s="80"/>
      <c r="F1896" s="59"/>
      <c r="G1896" s="59"/>
      <c r="H1896" s="83"/>
      <c r="I1896" s="76"/>
      <c r="J1896" s="76"/>
      <c r="K1896" s="81"/>
      <c r="L1896" s="82"/>
      <c r="M1896" s="54"/>
      <c r="N1896" s="54"/>
      <c r="O1896" s="54"/>
      <c r="P1896" s="54"/>
      <c r="Q1896" s="54"/>
      <c r="R1896" s="54"/>
      <c r="S1896" s="54"/>
      <c r="T1896" s="54"/>
      <c r="U1896" s="54"/>
      <c r="V1896" s="54"/>
      <c r="W1896" s="54"/>
      <c r="X1896" s="54"/>
      <c r="Y1896" s="54"/>
      <c r="Z1896" s="54"/>
      <c r="AA1896" s="54"/>
      <c r="AB1896" s="54"/>
      <c r="AC1896" s="54"/>
      <c r="AD1896" s="54"/>
      <c r="AE1896" s="54"/>
      <c r="AF1896" s="54"/>
      <c r="AG1896" s="54"/>
      <c r="AH1896" s="54"/>
    </row>
    <row r="1897">
      <c r="A1897" s="80"/>
      <c r="B1897" s="80"/>
      <c r="C1897" s="80"/>
      <c r="D1897" s="80"/>
      <c r="E1897" s="80"/>
      <c r="F1897" s="59"/>
      <c r="G1897" s="59"/>
      <c r="H1897" s="83"/>
      <c r="I1897" s="76"/>
      <c r="J1897" s="76"/>
      <c r="K1897" s="81"/>
      <c r="L1897" s="82"/>
      <c r="M1897" s="54"/>
      <c r="N1897" s="54"/>
      <c r="O1897" s="54"/>
      <c r="P1897" s="54"/>
      <c r="Q1897" s="54"/>
      <c r="R1897" s="54"/>
      <c r="S1897" s="54"/>
      <c r="T1897" s="54"/>
      <c r="U1897" s="54"/>
      <c r="V1897" s="54"/>
      <c r="W1897" s="54"/>
      <c r="X1897" s="54"/>
      <c r="Y1897" s="54"/>
      <c r="Z1897" s="54"/>
      <c r="AA1897" s="54"/>
      <c r="AB1897" s="54"/>
      <c r="AC1897" s="54"/>
      <c r="AD1897" s="54"/>
      <c r="AE1897" s="54"/>
      <c r="AF1897" s="54"/>
      <c r="AG1897" s="54"/>
      <c r="AH1897" s="54"/>
    </row>
    <row r="1898">
      <c r="A1898" s="80"/>
      <c r="B1898" s="80"/>
      <c r="C1898" s="80"/>
      <c r="D1898" s="80"/>
      <c r="E1898" s="80"/>
      <c r="F1898" s="59"/>
      <c r="G1898" s="59"/>
      <c r="H1898" s="83"/>
      <c r="I1898" s="76"/>
      <c r="J1898" s="76"/>
      <c r="K1898" s="81"/>
      <c r="L1898" s="82"/>
      <c r="M1898" s="54"/>
      <c r="N1898" s="54"/>
      <c r="O1898" s="54"/>
      <c r="P1898" s="54"/>
      <c r="Q1898" s="54"/>
      <c r="R1898" s="54"/>
      <c r="S1898" s="54"/>
      <c r="T1898" s="54"/>
      <c r="U1898" s="54"/>
      <c r="V1898" s="54"/>
      <c r="W1898" s="54"/>
      <c r="X1898" s="54"/>
      <c r="Y1898" s="54"/>
      <c r="Z1898" s="54"/>
      <c r="AA1898" s="54"/>
      <c r="AB1898" s="54"/>
      <c r="AC1898" s="54"/>
      <c r="AD1898" s="54"/>
      <c r="AE1898" s="54"/>
      <c r="AF1898" s="54"/>
      <c r="AG1898" s="54"/>
      <c r="AH1898" s="54"/>
    </row>
    <row r="1899">
      <c r="A1899" s="80"/>
      <c r="B1899" s="80"/>
      <c r="C1899" s="80"/>
      <c r="D1899" s="80"/>
      <c r="E1899" s="80"/>
      <c r="F1899" s="59"/>
      <c r="G1899" s="59"/>
      <c r="H1899" s="83"/>
      <c r="I1899" s="76"/>
      <c r="J1899" s="76"/>
      <c r="K1899" s="81"/>
      <c r="L1899" s="82"/>
      <c r="M1899" s="54"/>
      <c r="N1899" s="54"/>
      <c r="O1899" s="54"/>
      <c r="P1899" s="54"/>
      <c r="Q1899" s="54"/>
      <c r="R1899" s="54"/>
      <c r="S1899" s="54"/>
      <c r="T1899" s="54"/>
      <c r="U1899" s="54"/>
      <c r="V1899" s="54"/>
      <c r="W1899" s="54"/>
      <c r="X1899" s="54"/>
      <c r="Y1899" s="54"/>
      <c r="Z1899" s="54"/>
      <c r="AA1899" s="54"/>
      <c r="AB1899" s="54"/>
      <c r="AC1899" s="54"/>
      <c r="AD1899" s="54"/>
      <c r="AE1899" s="54"/>
      <c r="AF1899" s="54"/>
      <c r="AG1899" s="54"/>
      <c r="AH1899" s="54"/>
    </row>
    <row r="1900">
      <c r="A1900" s="80"/>
      <c r="B1900" s="80"/>
      <c r="C1900" s="80"/>
      <c r="D1900" s="80"/>
      <c r="E1900" s="80"/>
      <c r="F1900" s="59"/>
      <c r="G1900" s="59"/>
      <c r="H1900" s="83"/>
      <c r="I1900" s="76"/>
      <c r="J1900" s="76"/>
      <c r="K1900" s="81"/>
      <c r="L1900" s="82"/>
      <c r="M1900" s="54"/>
      <c r="N1900" s="54"/>
      <c r="O1900" s="54"/>
      <c r="P1900" s="54"/>
      <c r="Q1900" s="54"/>
      <c r="R1900" s="54"/>
      <c r="S1900" s="54"/>
      <c r="T1900" s="54"/>
      <c r="U1900" s="54"/>
      <c r="V1900" s="54"/>
      <c r="W1900" s="54"/>
      <c r="X1900" s="54"/>
      <c r="Y1900" s="54"/>
      <c r="Z1900" s="54"/>
      <c r="AA1900" s="54"/>
      <c r="AB1900" s="54"/>
      <c r="AC1900" s="54"/>
      <c r="AD1900" s="54"/>
      <c r="AE1900" s="54"/>
      <c r="AF1900" s="54"/>
      <c r="AG1900" s="54"/>
      <c r="AH1900" s="54"/>
    </row>
    <row r="1901">
      <c r="A1901" s="80"/>
      <c r="B1901" s="80"/>
      <c r="C1901" s="80"/>
      <c r="D1901" s="80"/>
      <c r="E1901" s="80"/>
      <c r="F1901" s="59"/>
      <c r="G1901" s="59"/>
      <c r="H1901" s="83"/>
      <c r="I1901" s="76"/>
      <c r="J1901" s="76"/>
      <c r="K1901" s="81"/>
      <c r="L1901" s="82"/>
      <c r="M1901" s="54"/>
      <c r="N1901" s="54"/>
      <c r="O1901" s="54"/>
      <c r="P1901" s="54"/>
      <c r="Q1901" s="54"/>
      <c r="R1901" s="54"/>
      <c r="S1901" s="54"/>
      <c r="T1901" s="54"/>
      <c r="U1901" s="54"/>
      <c r="V1901" s="54"/>
      <c r="W1901" s="54"/>
      <c r="X1901" s="54"/>
      <c r="Y1901" s="54"/>
      <c r="Z1901" s="54"/>
      <c r="AA1901" s="54"/>
      <c r="AB1901" s="54"/>
      <c r="AC1901" s="54"/>
      <c r="AD1901" s="54"/>
      <c r="AE1901" s="54"/>
      <c r="AF1901" s="54"/>
      <c r="AG1901" s="54"/>
      <c r="AH1901" s="54"/>
    </row>
    <row r="1902">
      <c r="A1902" s="80"/>
      <c r="B1902" s="80"/>
      <c r="C1902" s="80"/>
      <c r="D1902" s="80"/>
      <c r="E1902" s="80"/>
      <c r="F1902" s="59"/>
      <c r="G1902" s="59"/>
      <c r="H1902" s="83"/>
      <c r="I1902" s="76"/>
      <c r="J1902" s="76"/>
      <c r="K1902" s="81"/>
      <c r="L1902" s="82"/>
      <c r="M1902" s="54"/>
      <c r="N1902" s="54"/>
      <c r="O1902" s="54"/>
      <c r="P1902" s="54"/>
      <c r="Q1902" s="54"/>
      <c r="R1902" s="54"/>
      <c r="S1902" s="54"/>
      <c r="T1902" s="54"/>
      <c r="U1902" s="54"/>
      <c r="V1902" s="54"/>
      <c r="W1902" s="54"/>
      <c r="X1902" s="54"/>
      <c r="Y1902" s="54"/>
      <c r="Z1902" s="54"/>
      <c r="AA1902" s="54"/>
      <c r="AB1902" s="54"/>
      <c r="AC1902" s="54"/>
      <c r="AD1902" s="54"/>
      <c r="AE1902" s="54"/>
      <c r="AF1902" s="54"/>
      <c r="AG1902" s="54"/>
      <c r="AH1902" s="54"/>
    </row>
    <row r="1903">
      <c r="A1903" s="80"/>
      <c r="B1903" s="80"/>
      <c r="C1903" s="80"/>
      <c r="D1903" s="80"/>
      <c r="E1903" s="80"/>
      <c r="F1903" s="59"/>
      <c r="G1903" s="59"/>
      <c r="H1903" s="83"/>
      <c r="I1903" s="76"/>
      <c r="J1903" s="76"/>
      <c r="K1903" s="81"/>
      <c r="L1903" s="82"/>
      <c r="M1903" s="54"/>
      <c r="N1903" s="54"/>
      <c r="O1903" s="54"/>
      <c r="P1903" s="54"/>
      <c r="Q1903" s="54"/>
      <c r="R1903" s="54"/>
      <c r="S1903" s="54"/>
      <c r="T1903" s="54"/>
      <c r="U1903" s="54"/>
      <c r="V1903" s="54"/>
      <c r="W1903" s="54"/>
      <c r="X1903" s="54"/>
      <c r="Y1903" s="54"/>
      <c r="Z1903" s="54"/>
      <c r="AA1903" s="54"/>
      <c r="AB1903" s="54"/>
      <c r="AC1903" s="54"/>
      <c r="AD1903" s="54"/>
      <c r="AE1903" s="54"/>
      <c r="AF1903" s="54"/>
      <c r="AG1903" s="54"/>
      <c r="AH1903" s="54"/>
    </row>
    <row r="1904">
      <c r="A1904" s="80"/>
      <c r="B1904" s="80"/>
      <c r="C1904" s="80"/>
      <c r="D1904" s="80"/>
      <c r="E1904" s="80"/>
      <c r="F1904" s="59"/>
      <c r="G1904" s="59"/>
      <c r="H1904" s="83"/>
      <c r="I1904" s="76"/>
      <c r="J1904" s="76"/>
      <c r="K1904" s="81"/>
      <c r="L1904" s="82"/>
      <c r="M1904" s="54"/>
      <c r="N1904" s="54"/>
      <c r="O1904" s="54"/>
      <c r="P1904" s="54"/>
      <c r="Q1904" s="54"/>
      <c r="R1904" s="54"/>
      <c r="S1904" s="54"/>
      <c r="T1904" s="54"/>
      <c r="U1904" s="54"/>
      <c r="V1904" s="54"/>
      <c r="W1904" s="54"/>
      <c r="X1904" s="54"/>
      <c r="Y1904" s="54"/>
      <c r="Z1904" s="54"/>
      <c r="AA1904" s="54"/>
      <c r="AB1904" s="54"/>
      <c r="AC1904" s="54"/>
      <c r="AD1904" s="54"/>
      <c r="AE1904" s="54"/>
      <c r="AF1904" s="54"/>
      <c r="AG1904" s="54"/>
      <c r="AH1904" s="54"/>
    </row>
    <row r="1905">
      <c r="A1905" s="80"/>
      <c r="B1905" s="80"/>
      <c r="C1905" s="80"/>
      <c r="D1905" s="80"/>
      <c r="E1905" s="80"/>
      <c r="F1905" s="59"/>
      <c r="G1905" s="59"/>
      <c r="H1905" s="83"/>
      <c r="I1905" s="76"/>
      <c r="J1905" s="76"/>
      <c r="K1905" s="81"/>
      <c r="L1905" s="82"/>
      <c r="M1905" s="54"/>
      <c r="N1905" s="54"/>
      <c r="O1905" s="54"/>
      <c r="P1905" s="54"/>
      <c r="Q1905" s="54"/>
      <c r="R1905" s="54"/>
      <c r="S1905" s="54"/>
      <c r="T1905" s="54"/>
      <c r="U1905" s="54"/>
      <c r="V1905" s="54"/>
      <c r="W1905" s="54"/>
      <c r="X1905" s="54"/>
      <c r="Y1905" s="54"/>
      <c r="Z1905" s="54"/>
      <c r="AA1905" s="54"/>
      <c r="AB1905" s="54"/>
      <c r="AC1905" s="54"/>
      <c r="AD1905" s="54"/>
      <c r="AE1905" s="54"/>
      <c r="AF1905" s="54"/>
      <c r="AG1905" s="54"/>
      <c r="AH1905" s="54"/>
    </row>
    <row r="1906">
      <c r="A1906" s="80"/>
      <c r="B1906" s="80"/>
      <c r="C1906" s="80"/>
      <c r="D1906" s="80"/>
      <c r="E1906" s="80"/>
      <c r="F1906" s="59"/>
      <c r="G1906" s="59"/>
      <c r="H1906" s="83"/>
      <c r="I1906" s="76"/>
      <c r="J1906" s="76"/>
      <c r="K1906" s="81"/>
      <c r="L1906" s="82"/>
      <c r="M1906" s="54"/>
      <c r="N1906" s="54"/>
      <c r="O1906" s="54"/>
      <c r="P1906" s="54"/>
      <c r="Q1906" s="54"/>
      <c r="R1906" s="54"/>
      <c r="S1906" s="54"/>
      <c r="T1906" s="54"/>
      <c r="U1906" s="54"/>
      <c r="V1906" s="54"/>
      <c r="W1906" s="54"/>
      <c r="X1906" s="54"/>
      <c r="Y1906" s="54"/>
      <c r="Z1906" s="54"/>
      <c r="AA1906" s="54"/>
      <c r="AB1906" s="54"/>
      <c r="AC1906" s="54"/>
      <c r="AD1906" s="54"/>
      <c r="AE1906" s="54"/>
      <c r="AF1906" s="54"/>
      <c r="AG1906" s="54"/>
      <c r="AH1906" s="54"/>
    </row>
    <row r="1907">
      <c r="A1907" s="80"/>
      <c r="B1907" s="80"/>
      <c r="C1907" s="80"/>
      <c r="D1907" s="80"/>
      <c r="E1907" s="80"/>
      <c r="F1907" s="59"/>
      <c r="G1907" s="59"/>
      <c r="H1907" s="83"/>
      <c r="I1907" s="76"/>
      <c r="J1907" s="76"/>
      <c r="K1907" s="81"/>
      <c r="L1907" s="82"/>
      <c r="M1907" s="54"/>
      <c r="N1907" s="54"/>
      <c r="O1907" s="54"/>
      <c r="P1907" s="54"/>
      <c r="Q1907" s="54"/>
      <c r="R1907" s="54"/>
      <c r="S1907" s="54"/>
      <c r="T1907" s="54"/>
      <c r="U1907" s="54"/>
      <c r="V1907" s="54"/>
      <c r="W1907" s="54"/>
      <c r="X1907" s="54"/>
      <c r="Y1907" s="54"/>
      <c r="Z1907" s="54"/>
      <c r="AA1907" s="54"/>
      <c r="AB1907" s="54"/>
      <c r="AC1907" s="54"/>
      <c r="AD1907" s="54"/>
      <c r="AE1907" s="54"/>
      <c r="AF1907" s="54"/>
      <c r="AG1907" s="54"/>
      <c r="AH1907" s="54"/>
    </row>
    <row r="1908">
      <c r="A1908" s="80"/>
      <c r="B1908" s="80"/>
      <c r="C1908" s="80"/>
      <c r="D1908" s="80"/>
      <c r="E1908" s="80"/>
      <c r="F1908" s="59"/>
      <c r="G1908" s="59"/>
      <c r="H1908" s="83"/>
      <c r="I1908" s="76"/>
      <c r="J1908" s="76"/>
      <c r="K1908" s="81"/>
      <c r="L1908" s="82"/>
      <c r="M1908" s="54"/>
      <c r="N1908" s="54"/>
      <c r="O1908" s="54"/>
      <c r="P1908" s="54"/>
      <c r="Q1908" s="54"/>
      <c r="R1908" s="54"/>
      <c r="S1908" s="54"/>
      <c r="T1908" s="54"/>
      <c r="U1908" s="54"/>
      <c r="V1908" s="54"/>
      <c r="W1908" s="54"/>
      <c r="X1908" s="54"/>
      <c r="Y1908" s="54"/>
      <c r="Z1908" s="54"/>
      <c r="AA1908" s="54"/>
      <c r="AB1908" s="54"/>
      <c r="AC1908" s="54"/>
      <c r="AD1908" s="54"/>
      <c r="AE1908" s="54"/>
      <c r="AF1908" s="54"/>
      <c r="AG1908" s="54"/>
      <c r="AH1908" s="54"/>
    </row>
    <row r="1909">
      <c r="A1909" s="80"/>
      <c r="B1909" s="80"/>
      <c r="C1909" s="80"/>
      <c r="D1909" s="80"/>
      <c r="E1909" s="80"/>
      <c r="F1909" s="59"/>
      <c r="G1909" s="59"/>
      <c r="H1909" s="83"/>
      <c r="I1909" s="76"/>
      <c r="J1909" s="76"/>
      <c r="K1909" s="81"/>
      <c r="L1909" s="82"/>
      <c r="M1909" s="54"/>
      <c r="N1909" s="54"/>
      <c r="O1909" s="54"/>
      <c r="P1909" s="54"/>
      <c r="Q1909" s="54"/>
      <c r="R1909" s="54"/>
      <c r="S1909" s="54"/>
      <c r="T1909" s="54"/>
      <c r="U1909" s="54"/>
      <c r="V1909" s="54"/>
      <c r="W1909" s="54"/>
      <c r="X1909" s="54"/>
      <c r="Y1909" s="54"/>
      <c r="Z1909" s="54"/>
      <c r="AA1909" s="54"/>
      <c r="AB1909" s="54"/>
      <c r="AC1909" s="54"/>
      <c r="AD1909" s="54"/>
      <c r="AE1909" s="54"/>
      <c r="AF1909" s="54"/>
      <c r="AG1909" s="54"/>
      <c r="AH1909" s="54"/>
    </row>
    <row r="1910">
      <c r="A1910" s="80"/>
      <c r="B1910" s="80"/>
      <c r="C1910" s="80"/>
      <c r="D1910" s="80"/>
      <c r="E1910" s="80"/>
      <c r="F1910" s="59"/>
      <c r="G1910" s="59"/>
      <c r="H1910" s="83"/>
      <c r="I1910" s="76"/>
      <c r="J1910" s="76"/>
      <c r="K1910" s="81"/>
      <c r="L1910" s="82"/>
      <c r="M1910" s="54"/>
      <c r="N1910" s="54"/>
      <c r="O1910" s="54"/>
      <c r="P1910" s="54"/>
      <c r="Q1910" s="54"/>
      <c r="R1910" s="54"/>
      <c r="S1910" s="54"/>
      <c r="T1910" s="54"/>
      <c r="U1910" s="54"/>
      <c r="V1910" s="54"/>
      <c r="W1910" s="54"/>
      <c r="X1910" s="54"/>
      <c r="Y1910" s="54"/>
      <c r="Z1910" s="54"/>
      <c r="AA1910" s="54"/>
      <c r="AB1910" s="54"/>
      <c r="AC1910" s="54"/>
      <c r="AD1910" s="54"/>
      <c r="AE1910" s="54"/>
      <c r="AF1910" s="54"/>
      <c r="AG1910" s="54"/>
      <c r="AH1910" s="54"/>
    </row>
    <row r="1911">
      <c r="A1911" s="80"/>
      <c r="B1911" s="80"/>
      <c r="C1911" s="80"/>
      <c r="D1911" s="80"/>
      <c r="E1911" s="80"/>
      <c r="F1911" s="59"/>
      <c r="G1911" s="59"/>
      <c r="H1911" s="83"/>
      <c r="I1911" s="76"/>
      <c r="J1911" s="76"/>
      <c r="K1911" s="81"/>
      <c r="L1911" s="82"/>
      <c r="M1911" s="54"/>
      <c r="N1911" s="54"/>
      <c r="O1911" s="54"/>
      <c r="P1911" s="54"/>
      <c r="Q1911" s="54"/>
      <c r="R1911" s="54"/>
      <c r="S1911" s="54"/>
      <c r="T1911" s="54"/>
      <c r="U1911" s="54"/>
      <c r="V1911" s="54"/>
      <c r="W1911" s="54"/>
      <c r="X1911" s="54"/>
      <c r="Y1911" s="54"/>
      <c r="Z1911" s="54"/>
      <c r="AA1911" s="54"/>
      <c r="AB1911" s="54"/>
      <c r="AC1911" s="54"/>
      <c r="AD1911" s="54"/>
      <c r="AE1911" s="54"/>
      <c r="AF1911" s="54"/>
      <c r="AG1911" s="54"/>
      <c r="AH1911" s="54"/>
    </row>
    <row r="1912">
      <c r="A1912" s="80"/>
      <c r="B1912" s="80"/>
      <c r="C1912" s="80"/>
      <c r="D1912" s="80"/>
      <c r="E1912" s="80"/>
      <c r="F1912" s="59"/>
      <c r="G1912" s="59"/>
      <c r="H1912" s="83"/>
      <c r="I1912" s="76"/>
      <c r="J1912" s="76"/>
      <c r="K1912" s="81"/>
      <c r="L1912" s="82"/>
      <c r="M1912" s="54"/>
      <c r="N1912" s="54"/>
      <c r="O1912" s="54"/>
      <c r="P1912" s="54"/>
      <c r="Q1912" s="54"/>
      <c r="R1912" s="54"/>
      <c r="S1912" s="54"/>
      <c r="T1912" s="54"/>
      <c r="U1912" s="54"/>
      <c r="V1912" s="54"/>
      <c r="W1912" s="54"/>
      <c r="X1912" s="54"/>
      <c r="Y1912" s="54"/>
      <c r="Z1912" s="54"/>
      <c r="AA1912" s="54"/>
      <c r="AB1912" s="54"/>
      <c r="AC1912" s="54"/>
      <c r="AD1912" s="54"/>
      <c r="AE1912" s="54"/>
      <c r="AF1912" s="54"/>
      <c r="AG1912" s="54"/>
      <c r="AH1912" s="54"/>
    </row>
    <row r="1913">
      <c r="A1913" s="80"/>
      <c r="B1913" s="80"/>
      <c r="C1913" s="80"/>
      <c r="D1913" s="80"/>
      <c r="E1913" s="80"/>
      <c r="F1913" s="59"/>
      <c r="G1913" s="59"/>
      <c r="H1913" s="83"/>
      <c r="I1913" s="76"/>
      <c r="J1913" s="76"/>
      <c r="K1913" s="81"/>
      <c r="L1913" s="82"/>
      <c r="M1913" s="54"/>
      <c r="N1913" s="54"/>
      <c r="O1913" s="54"/>
      <c r="P1913" s="54"/>
      <c r="Q1913" s="54"/>
      <c r="R1913" s="54"/>
      <c r="S1913" s="54"/>
      <c r="T1913" s="54"/>
      <c r="U1913" s="54"/>
      <c r="V1913" s="54"/>
      <c r="W1913" s="54"/>
      <c r="X1913" s="54"/>
      <c r="Y1913" s="54"/>
      <c r="Z1913" s="54"/>
      <c r="AA1913" s="54"/>
      <c r="AB1913" s="54"/>
      <c r="AC1913" s="54"/>
      <c r="AD1913" s="54"/>
      <c r="AE1913" s="54"/>
      <c r="AF1913" s="54"/>
      <c r="AG1913" s="54"/>
      <c r="AH1913" s="54"/>
    </row>
    <row r="1914">
      <c r="A1914" s="80"/>
      <c r="B1914" s="80"/>
      <c r="C1914" s="80"/>
      <c r="D1914" s="80"/>
      <c r="E1914" s="80"/>
      <c r="F1914" s="59"/>
      <c r="G1914" s="59"/>
      <c r="H1914" s="83"/>
      <c r="I1914" s="76"/>
      <c r="J1914" s="76"/>
      <c r="K1914" s="81"/>
      <c r="L1914" s="82"/>
      <c r="M1914" s="54"/>
      <c r="N1914" s="54"/>
      <c r="O1914" s="54"/>
      <c r="P1914" s="54"/>
      <c r="Q1914" s="54"/>
      <c r="R1914" s="54"/>
      <c r="S1914" s="54"/>
      <c r="T1914" s="54"/>
      <c r="U1914" s="54"/>
      <c r="V1914" s="54"/>
      <c r="W1914" s="54"/>
      <c r="X1914" s="54"/>
      <c r="Y1914" s="54"/>
      <c r="Z1914" s="54"/>
      <c r="AA1914" s="54"/>
      <c r="AB1914" s="54"/>
      <c r="AC1914" s="54"/>
      <c r="AD1914" s="54"/>
      <c r="AE1914" s="54"/>
      <c r="AF1914" s="54"/>
      <c r="AG1914" s="54"/>
      <c r="AH1914" s="54"/>
    </row>
    <row r="1915">
      <c r="A1915" s="80"/>
      <c r="B1915" s="80"/>
      <c r="C1915" s="80"/>
      <c r="D1915" s="80"/>
      <c r="E1915" s="80"/>
      <c r="F1915" s="59"/>
      <c r="G1915" s="59"/>
      <c r="H1915" s="83"/>
      <c r="I1915" s="76"/>
      <c r="J1915" s="76"/>
      <c r="K1915" s="81"/>
      <c r="L1915" s="82"/>
      <c r="M1915" s="54"/>
      <c r="N1915" s="54"/>
      <c r="O1915" s="54"/>
      <c r="P1915" s="54"/>
      <c r="Q1915" s="54"/>
      <c r="R1915" s="54"/>
      <c r="S1915" s="54"/>
      <c r="T1915" s="54"/>
      <c r="U1915" s="54"/>
      <c r="V1915" s="54"/>
      <c r="W1915" s="54"/>
      <c r="X1915" s="54"/>
      <c r="Y1915" s="54"/>
      <c r="Z1915" s="54"/>
      <c r="AA1915" s="54"/>
      <c r="AB1915" s="54"/>
      <c r="AC1915" s="54"/>
      <c r="AD1915" s="54"/>
      <c r="AE1915" s="54"/>
      <c r="AF1915" s="54"/>
      <c r="AG1915" s="54"/>
      <c r="AH1915" s="54"/>
    </row>
    <row r="1916">
      <c r="A1916" s="80"/>
      <c r="B1916" s="80"/>
      <c r="C1916" s="80"/>
      <c r="D1916" s="80"/>
      <c r="E1916" s="80"/>
      <c r="F1916" s="59"/>
      <c r="G1916" s="59"/>
      <c r="H1916" s="83"/>
      <c r="I1916" s="76"/>
      <c r="J1916" s="76"/>
      <c r="K1916" s="81"/>
      <c r="L1916" s="82"/>
      <c r="M1916" s="54"/>
      <c r="N1916" s="54"/>
      <c r="O1916" s="54"/>
      <c r="P1916" s="54"/>
      <c r="Q1916" s="54"/>
      <c r="R1916" s="54"/>
      <c r="S1916" s="54"/>
      <c r="T1916" s="54"/>
      <c r="U1916" s="54"/>
      <c r="V1916" s="54"/>
      <c r="W1916" s="54"/>
      <c r="X1916" s="54"/>
      <c r="Y1916" s="54"/>
      <c r="Z1916" s="54"/>
      <c r="AA1916" s="54"/>
      <c r="AB1916" s="54"/>
      <c r="AC1916" s="54"/>
      <c r="AD1916" s="54"/>
      <c r="AE1916" s="54"/>
      <c r="AF1916" s="54"/>
      <c r="AG1916" s="54"/>
      <c r="AH1916" s="54"/>
    </row>
    <row r="1917">
      <c r="A1917" s="80"/>
      <c r="B1917" s="80"/>
      <c r="C1917" s="80"/>
      <c r="D1917" s="80"/>
      <c r="E1917" s="80"/>
      <c r="F1917" s="59"/>
      <c r="G1917" s="59"/>
      <c r="H1917" s="83"/>
      <c r="I1917" s="76"/>
      <c r="J1917" s="76"/>
      <c r="K1917" s="81"/>
      <c r="L1917" s="82"/>
      <c r="M1917" s="54"/>
      <c r="N1917" s="54"/>
      <c r="O1917" s="54"/>
      <c r="P1917" s="54"/>
      <c r="Q1917" s="54"/>
      <c r="R1917" s="54"/>
      <c r="S1917" s="54"/>
      <c r="T1917" s="54"/>
      <c r="U1917" s="54"/>
      <c r="V1917" s="54"/>
      <c r="W1917" s="54"/>
      <c r="X1917" s="54"/>
      <c r="Y1917" s="54"/>
      <c r="Z1917" s="54"/>
      <c r="AA1917" s="54"/>
      <c r="AB1917" s="54"/>
      <c r="AC1917" s="54"/>
      <c r="AD1917" s="54"/>
      <c r="AE1917" s="54"/>
      <c r="AF1917" s="54"/>
      <c r="AG1917" s="54"/>
      <c r="AH1917" s="54"/>
    </row>
    <row r="1918">
      <c r="A1918" s="80"/>
      <c r="B1918" s="80"/>
      <c r="C1918" s="80"/>
      <c r="D1918" s="80"/>
      <c r="E1918" s="80"/>
      <c r="F1918" s="59"/>
      <c r="G1918" s="59"/>
      <c r="H1918" s="83"/>
      <c r="I1918" s="76"/>
      <c r="J1918" s="76"/>
      <c r="K1918" s="81"/>
      <c r="L1918" s="82"/>
      <c r="M1918" s="54"/>
      <c r="N1918" s="54"/>
      <c r="O1918" s="54"/>
      <c r="P1918" s="54"/>
      <c r="Q1918" s="54"/>
      <c r="R1918" s="54"/>
      <c r="S1918" s="54"/>
      <c r="T1918" s="54"/>
      <c r="U1918" s="54"/>
      <c r="V1918" s="54"/>
      <c r="W1918" s="54"/>
      <c r="X1918" s="54"/>
      <c r="Y1918" s="54"/>
      <c r="Z1918" s="54"/>
      <c r="AA1918" s="54"/>
      <c r="AB1918" s="54"/>
      <c r="AC1918" s="54"/>
      <c r="AD1918" s="54"/>
      <c r="AE1918" s="54"/>
      <c r="AF1918" s="54"/>
      <c r="AG1918" s="54"/>
      <c r="AH1918" s="54"/>
    </row>
    <row r="1919">
      <c r="A1919" s="80"/>
      <c r="B1919" s="80"/>
      <c r="C1919" s="80"/>
      <c r="D1919" s="80"/>
      <c r="E1919" s="80"/>
      <c r="F1919" s="59"/>
      <c r="G1919" s="59"/>
      <c r="H1919" s="83"/>
      <c r="I1919" s="76"/>
      <c r="J1919" s="76"/>
      <c r="K1919" s="81"/>
      <c r="L1919" s="82"/>
      <c r="M1919" s="54"/>
      <c r="N1919" s="54"/>
      <c r="O1919" s="54"/>
      <c r="P1919" s="54"/>
      <c r="Q1919" s="54"/>
      <c r="R1919" s="54"/>
      <c r="S1919" s="54"/>
      <c r="T1919" s="54"/>
      <c r="U1919" s="54"/>
      <c r="V1919" s="54"/>
      <c r="W1919" s="54"/>
      <c r="X1919" s="54"/>
      <c r="Y1919" s="54"/>
      <c r="Z1919" s="54"/>
      <c r="AA1919" s="54"/>
      <c r="AB1919" s="54"/>
      <c r="AC1919" s="54"/>
      <c r="AD1919" s="54"/>
      <c r="AE1919" s="54"/>
      <c r="AF1919" s="54"/>
      <c r="AG1919" s="54"/>
      <c r="AH1919" s="54"/>
    </row>
    <row r="1920">
      <c r="A1920" s="80"/>
      <c r="B1920" s="80"/>
      <c r="C1920" s="80"/>
      <c r="D1920" s="80"/>
      <c r="E1920" s="80"/>
      <c r="F1920" s="59"/>
      <c r="G1920" s="59"/>
      <c r="H1920" s="83"/>
      <c r="I1920" s="76"/>
      <c r="J1920" s="76"/>
      <c r="K1920" s="81"/>
      <c r="L1920" s="82"/>
      <c r="M1920" s="54"/>
      <c r="N1920" s="54"/>
      <c r="O1920" s="54"/>
      <c r="P1920" s="54"/>
      <c r="Q1920" s="54"/>
      <c r="R1920" s="54"/>
      <c r="S1920" s="54"/>
      <c r="T1920" s="54"/>
      <c r="U1920" s="54"/>
      <c r="V1920" s="54"/>
      <c r="W1920" s="54"/>
      <c r="X1920" s="54"/>
      <c r="Y1920" s="54"/>
      <c r="Z1920" s="54"/>
      <c r="AA1920" s="54"/>
      <c r="AB1920" s="54"/>
      <c r="AC1920" s="54"/>
      <c r="AD1920" s="54"/>
      <c r="AE1920" s="54"/>
      <c r="AF1920" s="54"/>
      <c r="AG1920" s="54"/>
      <c r="AH1920" s="54"/>
    </row>
    <row r="1921">
      <c r="A1921" s="80"/>
      <c r="B1921" s="80"/>
      <c r="C1921" s="80"/>
      <c r="D1921" s="80"/>
      <c r="E1921" s="80"/>
      <c r="F1921" s="59"/>
      <c r="G1921" s="59"/>
      <c r="H1921" s="83"/>
      <c r="I1921" s="76"/>
      <c r="J1921" s="76"/>
      <c r="K1921" s="81"/>
      <c r="L1921" s="82"/>
      <c r="M1921" s="54"/>
      <c r="N1921" s="54"/>
      <c r="O1921" s="54"/>
      <c r="P1921" s="54"/>
      <c r="Q1921" s="54"/>
      <c r="R1921" s="54"/>
      <c r="S1921" s="54"/>
      <c r="T1921" s="54"/>
      <c r="U1921" s="54"/>
      <c r="V1921" s="54"/>
      <c r="W1921" s="54"/>
      <c r="X1921" s="54"/>
      <c r="Y1921" s="54"/>
      <c r="Z1921" s="54"/>
      <c r="AA1921" s="54"/>
      <c r="AB1921" s="54"/>
      <c r="AC1921" s="54"/>
      <c r="AD1921" s="54"/>
      <c r="AE1921" s="54"/>
      <c r="AF1921" s="54"/>
      <c r="AG1921" s="54"/>
      <c r="AH1921" s="54"/>
    </row>
    <row r="1922">
      <c r="A1922" s="80"/>
      <c r="B1922" s="80"/>
      <c r="C1922" s="80"/>
      <c r="D1922" s="80"/>
      <c r="E1922" s="80"/>
      <c r="F1922" s="59"/>
      <c r="G1922" s="59"/>
      <c r="H1922" s="83"/>
      <c r="I1922" s="76"/>
      <c r="J1922" s="76"/>
      <c r="K1922" s="81"/>
      <c r="L1922" s="82"/>
      <c r="M1922" s="54"/>
      <c r="N1922" s="54"/>
      <c r="O1922" s="54"/>
      <c r="P1922" s="54"/>
      <c r="Q1922" s="54"/>
      <c r="R1922" s="54"/>
      <c r="S1922" s="54"/>
      <c r="T1922" s="54"/>
      <c r="U1922" s="54"/>
      <c r="V1922" s="54"/>
      <c r="W1922" s="54"/>
      <c r="X1922" s="54"/>
      <c r="Y1922" s="54"/>
      <c r="Z1922" s="54"/>
      <c r="AA1922" s="54"/>
      <c r="AB1922" s="54"/>
      <c r="AC1922" s="54"/>
      <c r="AD1922" s="54"/>
      <c r="AE1922" s="54"/>
      <c r="AF1922" s="54"/>
      <c r="AG1922" s="54"/>
      <c r="AH1922" s="54"/>
    </row>
    <row r="1923">
      <c r="A1923" s="80"/>
      <c r="B1923" s="80"/>
      <c r="C1923" s="80"/>
      <c r="D1923" s="80"/>
      <c r="E1923" s="80"/>
      <c r="F1923" s="59"/>
      <c r="G1923" s="59"/>
      <c r="H1923" s="83"/>
      <c r="I1923" s="76"/>
      <c r="J1923" s="76"/>
      <c r="K1923" s="81"/>
      <c r="L1923" s="82"/>
      <c r="M1923" s="54"/>
      <c r="N1923" s="54"/>
      <c r="O1923" s="54"/>
      <c r="P1923" s="54"/>
      <c r="Q1923" s="54"/>
      <c r="R1923" s="54"/>
      <c r="S1923" s="54"/>
      <c r="T1923" s="54"/>
      <c r="U1923" s="54"/>
      <c r="V1923" s="54"/>
      <c r="W1923" s="54"/>
      <c r="X1923" s="54"/>
      <c r="Y1923" s="54"/>
      <c r="Z1923" s="54"/>
      <c r="AA1923" s="54"/>
      <c r="AB1923" s="54"/>
      <c r="AC1923" s="54"/>
      <c r="AD1923" s="54"/>
      <c r="AE1923" s="54"/>
      <c r="AF1923" s="54"/>
      <c r="AG1923" s="54"/>
      <c r="AH1923" s="54"/>
    </row>
    <row r="1924">
      <c r="A1924" s="80"/>
      <c r="B1924" s="80"/>
      <c r="C1924" s="80"/>
      <c r="D1924" s="80"/>
      <c r="E1924" s="80"/>
      <c r="F1924" s="59"/>
      <c r="G1924" s="59"/>
      <c r="H1924" s="83"/>
      <c r="I1924" s="76"/>
      <c r="J1924" s="76"/>
      <c r="K1924" s="81"/>
      <c r="L1924" s="82"/>
      <c r="M1924" s="54"/>
      <c r="N1924" s="54"/>
      <c r="O1924" s="54"/>
      <c r="P1924" s="54"/>
      <c r="Q1924" s="54"/>
      <c r="R1924" s="54"/>
      <c r="S1924" s="54"/>
      <c r="T1924" s="54"/>
      <c r="U1924" s="54"/>
      <c r="V1924" s="54"/>
      <c r="W1924" s="54"/>
      <c r="X1924" s="54"/>
      <c r="Y1924" s="54"/>
      <c r="Z1924" s="54"/>
      <c r="AA1924" s="54"/>
      <c r="AB1924" s="54"/>
      <c r="AC1924" s="54"/>
      <c r="AD1924" s="54"/>
      <c r="AE1924" s="54"/>
      <c r="AF1924" s="54"/>
      <c r="AG1924" s="54"/>
      <c r="AH1924" s="54"/>
    </row>
    <row r="1925">
      <c r="A1925" s="80"/>
      <c r="B1925" s="80"/>
      <c r="C1925" s="80"/>
      <c r="D1925" s="80"/>
      <c r="E1925" s="80"/>
      <c r="F1925" s="59"/>
      <c r="G1925" s="59"/>
      <c r="H1925" s="83"/>
      <c r="I1925" s="76"/>
      <c r="J1925" s="76"/>
      <c r="K1925" s="81"/>
      <c r="L1925" s="82"/>
      <c r="M1925" s="54"/>
      <c r="N1925" s="54"/>
      <c r="O1925" s="54"/>
      <c r="P1925" s="54"/>
      <c r="Q1925" s="54"/>
      <c r="R1925" s="54"/>
      <c r="S1925" s="54"/>
      <c r="T1925" s="54"/>
      <c r="U1925" s="54"/>
      <c r="V1925" s="54"/>
      <c r="W1925" s="54"/>
      <c r="X1925" s="54"/>
      <c r="Y1925" s="54"/>
      <c r="Z1925" s="54"/>
      <c r="AA1925" s="54"/>
      <c r="AB1925" s="54"/>
      <c r="AC1925" s="54"/>
      <c r="AD1925" s="54"/>
      <c r="AE1925" s="54"/>
      <c r="AF1925" s="54"/>
      <c r="AG1925" s="54"/>
      <c r="AH1925" s="54"/>
    </row>
    <row r="1926">
      <c r="A1926" s="80"/>
      <c r="B1926" s="80"/>
      <c r="C1926" s="80"/>
      <c r="D1926" s="80"/>
      <c r="E1926" s="80"/>
      <c r="F1926" s="59"/>
      <c r="G1926" s="59"/>
      <c r="H1926" s="83"/>
      <c r="I1926" s="76"/>
      <c r="J1926" s="76"/>
      <c r="K1926" s="81"/>
      <c r="L1926" s="82"/>
      <c r="M1926" s="54"/>
      <c r="N1926" s="54"/>
      <c r="O1926" s="54"/>
      <c r="P1926" s="54"/>
      <c r="Q1926" s="54"/>
      <c r="R1926" s="54"/>
      <c r="S1926" s="54"/>
      <c r="T1926" s="54"/>
      <c r="U1926" s="54"/>
      <c r="V1926" s="54"/>
      <c r="W1926" s="54"/>
      <c r="X1926" s="54"/>
      <c r="Y1926" s="54"/>
      <c r="Z1926" s="54"/>
      <c r="AA1926" s="54"/>
      <c r="AB1926" s="54"/>
      <c r="AC1926" s="54"/>
      <c r="AD1926" s="54"/>
      <c r="AE1926" s="54"/>
      <c r="AF1926" s="54"/>
      <c r="AG1926" s="54"/>
      <c r="AH1926" s="54"/>
    </row>
    <row r="1927">
      <c r="A1927" s="80"/>
      <c r="B1927" s="80"/>
      <c r="C1927" s="80"/>
      <c r="D1927" s="80"/>
      <c r="E1927" s="80"/>
      <c r="F1927" s="59"/>
      <c r="G1927" s="59"/>
      <c r="H1927" s="83"/>
      <c r="I1927" s="76"/>
      <c r="J1927" s="76"/>
      <c r="K1927" s="81"/>
      <c r="L1927" s="82"/>
      <c r="M1927" s="54"/>
      <c r="N1927" s="54"/>
      <c r="O1927" s="54"/>
      <c r="P1927" s="54"/>
      <c r="Q1927" s="54"/>
      <c r="R1927" s="54"/>
      <c r="S1927" s="54"/>
      <c r="T1927" s="54"/>
      <c r="U1927" s="54"/>
      <c r="V1927" s="54"/>
      <c r="W1927" s="54"/>
      <c r="X1927" s="54"/>
      <c r="Y1927" s="54"/>
      <c r="Z1927" s="54"/>
      <c r="AA1927" s="54"/>
      <c r="AB1927" s="54"/>
      <c r="AC1927" s="54"/>
      <c r="AD1927" s="54"/>
      <c r="AE1927" s="54"/>
      <c r="AF1927" s="54"/>
      <c r="AG1927" s="54"/>
      <c r="AH1927" s="54"/>
    </row>
    <row r="1928">
      <c r="A1928" s="80"/>
      <c r="B1928" s="80"/>
      <c r="C1928" s="80"/>
      <c r="D1928" s="80"/>
      <c r="E1928" s="80"/>
      <c r="F1928" s="59"/>
      <c r="G1928" s="59"/>
      <c r="H1928" s="83"/>
      <c r="I1928" s="76"/>
      <c r="J1928" s="76"/>
      <c r="K1928" s="81"/>
      <c r="L1928" s="82"/>
      <c r="M1928" s="54"/>
      <c r="N1928" s="54"/>
      <c r="O1928" s="54"/>
      <c r="P1928" s="54"/>
      <c r="Q1928" s="54"/>
      <c r="R1928" s="54"/>
      <c r="S1928" s="54"/>
      <c r="T1928" s="54"/>
      <c r="U1928" s="54"/>
      <c r="V1928" s="54"/>
      <c r="W1928" s="54"/>
      <c r="X1928" s="54"/>
      <c r="Y1928" s="54"/>
      <c r="Z1928" s="54"/>
      <c r="AA1928" s="54"/>
      <c r="AB1928" s="54"/>
      <c r="AC1928" s="54"/>
      <c r="AD1928" s="54"/>
      <c r="AE1928" s="54"/>
      <c r="AF1928" s="54"/>
      <c r="AG1928" s="54"/>
      <c r="AH1928" s="54"/>
    </row>
    <row r="1929">
      <c r="A1929" s="80"/>
      <c r="B1929" s="80"/>
      <c r="C1929" s="80"/>
      <c r="D1929" s="80"/>
      <c r="E1929" s="80"/>
      <c r="F1929" s="59"/>
      <c r="G1929" s="59"/>
      <c r="H1929" s="83"/>
      <c r="I1929" s="76"/>
      <c r="J1929" s="76"/>
      <c r="K1929" s="81"/>
      <c r="L1929" s="82"/>
      <c r="M1929" s="54"/>
      <c r="N1929" s="54"/>
      <c r="O1929" s="54"/>
      <c r="P1929" s="54"/>
      <c r="Q1929" s="54"/>
      <c r="R1929" s="54"/>
      <c r="S1929" s="54"/>
      <c r="T1929" s="54"/>
      <c r="U1929" s="54"/>
      <c r="V1929" s="54"/>
      <c r="W1929" s="54"/>
      <c r="X1929" s="54"/>
      <c r="Y1929" s="54"/>
      <c r="Z1929" s="54"/>
      <c r="AA1929" s="54"/>
      <c r="AB1929" s="54"/>
      <c r="AC1929" s="54"/>
      <c r="AD1929" s="54"/>
      <c r="AE1929" s="54"/>
      <c r="AF1929" s="54"/>
      <c r="AG1929" s="54"/>
      <c r="AH1929" s="54"/>
    </row>
    <row r="1930">
      <c r="A1930" s="80"/>
      <c r="B1930" s="80"/>
      <c r="C1930" s="80"/>
      <c r="D1930" s="80"/>
      <c r="E1930" s="80"/>
      <c r="F1930" s="59"/>
      <c r="G1930" s="59"/>
      <c r="H1930" s="83"/>
      <c r="I1930" s="76"/>
      <c r="J1930" s="76"/>
      <c r="K1930" s="81"/>
      <c r="L1930" s="82"/>
      <c r="M1930" s="54"/>
      <c r="N1930" s="54"/>
      <c r="O1930" s="54"/>
      <c r="P1930" s="54"/>
      <c r="Q1930" s="54"/>
      <c r="R1930" s="54"/>
      <c r="S1930" s="54"/>
      <c r="T1930" s="54"/>
      <c r="U1930" s="54"/>
      <c r="V1930" s="54"/>
      <c r="W1930" s="54"/>
      <c r="X1930" s="54"/>
      <c r="Y1930" s="54"/>
      <c r="Z1930" s="54"/>
      <c r="AA1930" s="54"/>
      <c r="AB1930" s="54"/>
      <c r="AC1930" s="54"/>
      <c r="AD1930" s="54"/>
      <c r="AE1930" s="54"/>
      <c r="AF1930" s="54"/>
      <c r="AG1930" s="54"/>
      <c r="AH1930" s="54"/>
    </row>
    <row r="1931">
      <c r="A1931" s="80"/>
      <c r="B1931" s="80"/>
      <c r="C1931" s="80"/>
      <c r="D1931" s="80"/>
      <c r="E1931" s="80"/>
      <c r="F1931" s="59"/>
      <c r="G1931" s="59"/>
      <c r="H1931" s="83"/>
      <c r="I1931" s="76"/>
      <c r="J1931" s="76"/>
      <c r="K1931" s="81"/>
      <c r="L1931" s="82"/>
      <c r="M1931" s="54"/>
      <c r="N1931" s="54"/>
      <c r="O1931" s="54"/>
      <c r="P1931" s="54"/>
      <c r="Q1931" s="54"/>
      <c r="R1931" s="54"/>
      <c r="S1931" s="54"/>
      <c r="T1931" s="54"/>
      <c r="U1931" s="54"/>
      <c r="V1931" s="54"/>
      <c r="W1931" s="54"/>
      <c r="X1931" s="54"/>
      <c r="Y1931" s="54"/>
      <c r="Z1931" s="54"/>
      <c r="AA1931" s="54"/>
      <c r="AB1931" s="54"/>
      <c r="AC1931" s="54"/>
      <c r="AD1931" s="54"/>
      <c r="AE1931" s="54"/>
      <c r="AF1931" s="54"/>
      <c r="AG1931" s="54"/>
      <c r="AH1931" s="54"/>
    </row>
    <row r="1932">
      <c r="A1932" s="80"/>
      <c r="B1932" s="80"/>
      <c r="C1932" s="80"/>
      <c r="D1932" s="80"/>
      <c r="E1932" s="80"/>
      <c r="F1932" s="59"/>
      <c r="G1932" s="59"/>
      <c r="H1932" s="83"/>
      <c r="I1932" s="76"/>
      <c r="J1932" s="76"/>
      <c r="K1932" s="81"/>
      <c r="L1932" s="82"/>
      <c r="M1932" s="54"/>
      <c r="N1932" s="54"/>
      <c r="O1932" s="54"/>
      <c r="P1932" s="54"/>
      <c r="Q1932" s="54"/>
      <c r="R1932" s="54"/>
      <c r="S1932" s="54"/>
      <c r="T1932" s="54"/>
      <c r="U1932" s="54"/>
      <c r="V1932" s="54"/>
      <c r="W1932" s="54"/>
      <c r="X1932" s="54"/>
      <c r="Y1932" s="54"/>
      <c r="Z1932" s="54"/>
      <c r="AA1932" s="54"/>
      <c r="AB1932" s="54"/>
      <c r="AC1932" s="54"/>
      <c r="AD1932" s="54"/>
      <c r="AE1932" s="54"/>
      <c r="AF1932" s="54"/>
      <c r="AG1932" s="54"/>
      <c r="AH1932" s="54"/>
    </row>
    <row r="1933">
      <c r="A1933" s="80"/>
      <c r="B1933" s="80"/>
      <c r="C1933" s="80"/>
      <c r="D1933" s="80"/>
      <c r="E1933" s="80"/>
      <c r="F1933" s="59"/>
      <c r="G1933" s="59"/>
      <c r="H1933" s="83"/>
      <c r="I1933" s="76"/>
      <c r="J1933" s="76"/>
      <c r="K1933" s="81"/>
      <c r="L1933" s="82"/>
      <c r="M1933" s="54"/>
      <c r="N1933" s="54"/>
      <c r="O1933" s="54"/>
      <c r="P1933" s="54"/>
      <c r="Q1933" s="54"/>
      <c r="R1933" s="54"/>
      <c r="S1933" s="54"/>
      <c r="T1933" s="54"/>
      <c r="U1933" s="54"/>
      <c r="V1933" s="54"/>
      <c r="W1933" s="54"/>
      <c r="X1933" s="54"/>
      <c r="Y1933" s="54"/>
      <c r="Z1933" s="54"/>
      <c r="AA1933" s="54"/>
      <c r="AB1933" s="54"/>
      <c r="AC1933" s="54"/>
      <c r="AD1933" s="54"/>
      <c r="AE1933" s="54"/>
      <c r="AF1933" s="54"/>
      <c r="AG1933" s="54"/>
      <c r="AH1933" s="54"/>
    </row>
    <row r="1934">
      <c r="A1934" s="80"/>
      <c r="B1934" s="80"/>
      <c r="C1934" s="80"/>
      <c r="D1934" s="80"/>
      <c r="E1934" s="80"/>
      <c r="F1934" s="59"/>
      <c r="G1934" s="59"/>
      <c r="H1934" s="83"/>
      <c r="I1934" s="76"/>
      <c r="J1934" s="76"/>
      <c r="K1934" s="81"/>
      <c r="L1934" s="82"/>
      <c r="M1934" s="54"/>
      <c r="N1934" s="54"/>
      <c r="O1934" s="54"/>
      <c r="P1934" s="54"/>
      <c r="Q1934" s="54"/>
      <c r="R1934" s="54"/>
      <c r="S1934" s="54"/>
      <c r="T1934" s="54"/>
      <c r="U1934" s="54"/>
      <c r="V1934" s="54"/>
      <c r="W1934" s="54"/>
      <c r="X1934" s="54"/>
      <c r="Y1934" s="54"/>
      <c r="Z1934" s="54"/>
      <c r="AA1934" s="54"/>
      <c r="AB1934" s="54"/>
      <c r="AC1934" s="54"/>
      <c r="AD1934" s="54"/>
      <c r="AE1934" s="54"/>
      <c r="AF1934" s="54"/>
      <c r="AG1934" s="54"/>
      <c r="AH1934" s="54"/>
    </row>
    <row r="1935">
      <c r="A1935" s="80"/>
      <c r="B1935" s="80"/>
      <c r="C1935" s="80"/>
      <c r="D1935" s="80"/>
      <c r="E1935" s="80"/>
      <c r="F1935" s="59"/>
      <c r="G1935" s="59"/>
      <c r="H1935" s="83"/>
      <c r="I1935" s="76"/>
      <c r="J1935" s="76"/>
      <c r="K1935" s="81"/>
      <c r="L1935" s="82"/>
      <c r="M1935" s="54"/>
      <c r="N1935" s="54"/>
      <c r="O1935" s="54"/>
      <c r="P1935" s="54"/>
      <c r="Q1935" s="54"/>
      <c r="R1935" s="54"/>
      <c r="S1935" s="54"/>
      <c r="T1935" s="54"/>
      <c r="U1935" s="54"/>
      <c r="V1935" s="54"/>
      <c r="W1935" s="54"/>
      <c r="X1935" s="54"/>
      <c r="Y1935" s="54"/>
      <c r="Z1935" s="54"/>
      <c r="AA1935" s="54"/>
      <c r="AB1935" s="54"/>
      <c r="AC1935" s="54"/>
      <c r="AD1935" s="54"/>
      <c r="AE1935" s="54"/>
      <c r="AF1935" s="54"/>
      <c r="AG1935" s="54"/>
      <c r="AH1935" s="54"/>
    </row>
    <row r="1936">
      <c r="A1936" s="80"/>
      <c r="B1936" s="80"/>
      <c r="C1936" s="80"/>
      <c r="D1936" s="80"/>
      <c r="E1936" s="80"/>
      <c r="F1936" s="59"/>
      <c r="G1936" s="59"/>
      <c r="H1936" s="83"/>
      <c r="I1936" s="76"/>
      <c r="J1936" s="76"/>
      <c r="K1936" s="81"/>
      <c r="L1936" s="82"/>
      <c r="M1936" s="54"/>
      <c r="N1936" s="54"/>
      <c r="O1936" s="54"/>
      <c r="P1936" s="54"/>
      <c r="Q1936" s="54"/>
      <c r="R1936" s="54"/>
      <c r="S1936" s="54"/>
      <c r="T1936" s="54"/>
      <c r="U1936" s="54"/>
      <c r="V1936" s="54"/>
      <c r="W1936" s="54"/>
      <c r="X1936" s="54"/>
      <c r="Y1936" s="54"/>
      <c r="Z1936" s="54"/>
      <c r="AA1936" s="54"/>
      <c r="AB1936" s="54"/>
      <c r="AC1936" s="54"/>
      <c r="AD1936" s="54"/>
      <c r="AE1936" s="54"/>
      <c r="AF1936" s="54"/>
      <c r="AG1936" s="54"/>
      <c r="AH1936" s="54"/>
    </row>
    <row r="1937">
      <c r="A1937" s="80"/>
      <c r="B1937" s="80"/>
      <c r="C1937" s="80"/>
      <c r="D1937" s="80"/>
      <c r="E1937" s="80"/>
      <c r="F1937" s="59"/>
      <c r="G1937" s="59"/>
      <c r="H1937" s="83"/>
      <c r="I1937" s="76"/>
      <c r="J1937" s="76"/>
      <c r="K1937" s="81"/>
      <c r="L1937" s="82"/>
      <c r="M1937" s="54"/>
      <c r="N1937" s="54"/>
      <c r="O1937" s="54"/>
      <c r="P1937" s="54"/>
      <c r="Q1937" s="54"/>
      <c r="R1937" s="54"/>
      <c r="S1937" s="54"/>
      <c r="T1937" s="54"/>
      <c r="U1937" s="54"/>
      <c r="V1937" s="54"/>
      <c r="W1937" s="54"/>
      <c r="X1937" s="54"/>
      <c r="Y1937" s="54"/>
      <c r="Z1937" s="54"/>
      <c r="AA1937" s="54"/>
      <c r="AB1937" s="54"/>
      <c r="AC1937" s="54"/>
      <c r="AD1937" s="54"/>
      <c r="AE1937" s="54"/>
      <c r="AF1937" s="54"/>
      <c r="AG1937" s="54"/>
      <c r="AH1937" s="54"/>
    </row>
    <row r="1938">
      <c r="A1938" s="80"/>
      <c r="B1938" s="80"/>
      <c r="C1938" s="80"/>
      <c r="D1938" s="80"/>
      <c r="E1938" s="80"/>
      <c r="F1938" s="59"/>
      <c r="G1938" s="59"/>
      <c r="H1938" s="83"/>
      <c r="I1938" s="76"/>
      <c r="J1938" s="76"/>
      <c r="K1938" s="81"/>
      <c r="L1938" s="82"/>
      <c r="M1938" s="54"/>
      <c r="N1938" s="54"/>
      <c r="O1938" s="54"/>
      <c r="P1938" s="54"/>
      <c r="Q1938" s="54"/>
      <c r="R1938" s="54"/>
      <c r="S1938" s="54"/>
      <c r="T1938" s="54"/>
      <c r="U1938" s="54"/>
      <c r="V1938" s="54"/>
      <c r="W1938" s="54"/>
      <c r="X1938" s="54"/>
      <c r="Y1938" s="54"/>
      <c r="Z1938" s="54"/>
      <c r="AA1938" s="54"/>
      <c r="AB1938" s="54"/>
      <c r="AC1938" s="54"/>
      <c r="AD1938" s="54"/>
      <c r="AE1938" s="54"/>
      <c r="AF1938" s="54"/>
      <c r="AG1938" s="54"/>
      <c r="AH1938" s="54"/>
    </row>
    <row r="1939">
      <c r="A1939" s="80"/>
      <c r="B1939" s="80"/>
      <c r="C1939" s="80"/>
      <c r="D1939" s="80"/>
      <c r="E1939" s="80"/>
      <c r="F1939" s="59"/>
      <c r="G1939" s="59"/>
      <c r="H1939" s="83"/>
      <c r="I1939" s="76"/>
      <c r="J1939" s="76"/>
      <c r="K1939" s="81"/>
      <c r="L1939" s="82"/>
      <c r="M1939" s="54"/>
      <c r="N1939" s="54"/>
      <c r="O1939" s="54"/>
      <c r="P1939" s="54"/>
      <c r="Q1939" s="54"/>
      <c r="R1939" s="54"/>
      <c r="S1939" s="54"/>
      <c r="T1939" s="54"/>
      <c r="U1939" s="54"/>
      <c r="V1939" s="54"/>
      <c r="W1939" s="54"/>
      <c r="X1939" s="54"/>
      <c r="Y1939" s="54"/>
      <c r="Z1939" s="54"/>
      <c r="AA1939" s="54"/>
      <c r="AB1939" s="54"/>
      <c r="AC1939" s="54"/>
      <c r="AD1939" s="54"/>
      <c r="AE1939" s="54"/>
      <c r="AF1939" s="54"/>
      <c r="AG1939" s="54"/>
      <c r="AH1939" s="54"/>
    </row>
    <row r="1940">
      <c r="A1940" s="80"/>
      <c r="B1940" s="80"/>
      <c r="C1940" s="80"/>
      <c r="D1940" s="80"/>
      <c r="E1940" s="80"/>
      <c r="F1940" s="59"/>
      <c r="G1940" s="59"/>
      <c r="H1940" s="83"/>
      <c r="I1940" s="76"/>
      <c r="J1940" s="76"/>
      <c r="K1940" s="81"/>
      <c r="L1940" s="82"/>
      <c r="M1940" s="54"/>
      <c r="N1940" s="54"/>
      <c r="O1940" s="54"/>
      <c r="P1940" s="54"/>
      <c r="Q1940" s="54"/>
      <c r="R1940" s="54"/>
      <c r="S1940" s="54"/>
      <c r="T1940" s="54"/>
      <c r="U1940" s="54"/>
      <c r="V1940" s="54"/>
      <c r="W1940" s="54"/>
      <c r="X1940" s="54"/>
      <c r="Y1940" s="54"/>
      <c r="Z1940" s="54"/>
      <c r="AA1940" s="54"/>
      <c r="AB1940" s="54"/>
      <c r="AC1940" s="54"/>
      <c r="AD1940" s="54"/>
      <c r="AE1940" s="54"/>
      <c r="AF1940" s="54"/>
      <c r="AG1940" s="54"/>
      <c r="AH1940" s="54"/>
    </row>
    <row r="1941">
      <c r="A1941" s="80"/>
      <c r="B1941" s="80"/>
      <c r="C1941" s="80"/>
      <c r="D1941" s="80"/>
      <c r="E1941" s="80"/>
      <c r="F1941" s="59"/>
      <c r="G1941" s="59"/>
      <c r="H1941" s="83"/>
      <c r="I1941" s="76"/>
      <c r="J1941" s="76"/>
      <c r="K1941" s="81"/>
      <c r="L1941" s="82"/>
      <c r="M1941" s="54"/>
      <c r="N1941" s="54"/>
      <c r="O1941" s="54"/>
      <c r="P1941" s="54"/>
      <c r="Q1941" s="54"/>
      <c r="R1941" s="54"/>
      <c r="S1941" s="54"/>
      <c r="T1941" s="54"/>
      <c r="U1941" s="54"/>
      <c r="V1941" s="54"/>
      <c r="W1941" s="54"/>
      <c r="X1941" s="54"/>
      <c r="Y1941" s="54"/>
      <c r="Z1941" s="54"/>
      <c r="AA1941" s="54"/>
      <c r="AB1941" s="54"/>
      <c r="AC1941" s="54"/>
      <c r="AD1941" s="54"/>
      <c r="AE1941" s="54"/>
      <c r="AF1941" s="54"/>
      <c r="AG1941" s="54"/>
      <c r="AH1941" s="54"/>
    </row>
    <row r="1942">
      <c r="A1942" s="80"/>
      <c r="B1942" s="80"/>
      <c r="C1942" s="80"/>
      <c r="D1942" s="80"/>
      <c r="E1942" s="80"/>
      <c r="F1942" s="59"/>
      <c r="G1942" s="59"/>
      <c r="H1942" s="83"/>
      <c r="I1942" s="76"/>
      <c r="J1942" s="76"/>
      <c r="K1942" s="81"/>
      <c r="L1942" s="82"/>
      <c r="M1942" s="54"/>
      <c r="N1942" s="54"/>
      <c r="O1942" s="54"/>
      <c r="P1942" s="54"/>
      <c r="Q1942" s="54"/>
      <c r="R1942" s="54"/>
      <c r="S1942" s="54"/>
      <c r="T1942" s="54"/>
      <c r="U1942" s="54"/>
      <c r="V1942" s="54"/>
      <c r="W1942" s="54"/>
      <c r="X1942" s="54"/>
      <c r="Y1942" s="54"/>
      <c r="Z1942" s="54"/>
      <c r="AA1942" s="54"/>
      <c r="AB1942" s="54"/>
      <c r="AC1942" s="54"/>
      <c r="AD1942" s="54"/>
      <c r="AE1942" s="54"/>
      <c r="AF1942" s="54"/>
      <c r="AG1942" s="54"/>
      <c r="AH1942" s="54"/>
    </row>
    <row r="1943">
      <c r="A1943" s="80"/>
      <c r="B1943" s="80"/>
      <c r="C1943" s="80"/>
      <c r="D1943" s="80"/>
      <c r="E1943" s="80"/>
      <c r="F1943" s="59"/>
      <c r="G1943" s="59"/>
      <c r="H1943" s="83"/>
      <c r="I1943" s="76"/>
      <c r="J1943" s="76"/>
      <c r="K1943" s="81"/>
      <c r="L1943" s="82"/>
      <c r="M1943" s="54"/>
      <c r="N1943" s="54"/>
      <c r="O1943" s="54"/>
      <c r="P1943" s="54"/>
      <c r="Q1943" s="54"/>
      <c r="R1943" s="54"/>
      <c r="S1943" s="54"/>
      <c r="T1943" s="54"/>
      <c r="U1943" s="54"/>
      <c r="V1943" s="54"/>
      <c r="W1943" s="54"/>
      <c r="X1943" s="54"/>
      <c r="Y1943" s="54"/>
      <c r="Z1943" s="54"/>
      <c r="AA1943" s="54"/>
      <c r="AB1943" s="54"/>
      <c r="AC1943" s="54"/>
      <c r="AD1943" s="54"/>
      <c r="AE1943" s="54"/>
      <c r="AF1943" s="54"/>
      <c r="AG1943" s="54"/>
      <c r="AH1943" s="54"/>
    </row>
    <row r="1944">
      <c r="A1944" s="80"/>
      <c r="B1944" s="80"/>
      <c r="C1944" s="80"/>
      <c r="D1944" s="80"/>
      <c r="E1944" s="80"/>
      <c r="F1944" s="59"/>
      <c r="G1944" s="59"/>
      <c r="H1944" s="83"/>
      <c r="I1944" s="76"/>
      <c r="J1944" s="76"/>
      <c r="K1944" s="81"/>
      <c r="L1944" s="82"/>
      <c r="M1944" s="54"/>
      <c r="N1944" s="54"/>
      <c r="O1944" s="54"/>
      <c r="P1944" s="54"/>
      <c r="Q1944" s="54"/>
      <c r="R1944" s="54"/>
      <c r="S1944" s="54"/>
      <c r="T1944" s="54"/>
      <c r="U1944" s="54"/>
      <c r="V1944" s="54"/>
      <c r="W1944" s="54"/>
      <c r="X1944" s="54"/>
      <c r="Y1944" s="54"/>
      <c r="Z1944" s="54"/>
      <c r="AA1944" s="54"/>
      <c r="AB1944" s="54"/>
      <c r="AC1944" s="54"/>
      <c r="AD1944" s="54"/>
      <c r="AE1944" s="54"/>
      <c r="AF1944" s="54"/>
      <c r="AG1944" s="54"/>
      <c r="AH1944" s="54"/>
    </row>
    <row r="1945">
      <c r="A1945" s="80"/>
      <c r="B1945" s="80"/>
      <c r="C1945" s="80"/>
      <c r="D1945" s="80"/>
      <c r="E1945" s="80"/>
      <c r="F1945" s="59"/>
      <c r="G1945" s="59"/>
      <c r="H1945" s="83"/>
      <c r="I1945" s="76"/>
      <c r="J1945" s="76"/>
      <c r="K1945" s="81"/>
      <c r="L1945" s="82"/>
      <c r="M1945" s="54"/>
      <c r="N1945" s="54"/>
      <c r="O1945" s="54"/>
      <c r="P1945" s="54"/>
      <c r="Q1945" s="54"/>
      <c r="R1945" s="54"/>
      <c r="S1945" s="54"/>
      <c r="T1945" s="54"/>
      <c r="U1945" s="54"/>
      <c r="V1945" s="54"/>
      <c r="W1945" s="54"/>
      <c r="X1945" s="54"/>
      <c r="Y1945" s="54"/>
      <c r="Z1945" s="54"/>
      <c r="AA1945" s="54"/>
      <c r="AB1945" s="54"/>
      <c r="AC1945" s="54"/>
      <c r="AD1945" s="54"/>
      <c r="AE1945" s="54"/>
      <c r="AF1945" s="54"/>
      <c r="AG1945" s="54"/>
      <c r="AH1945" s="54"/>
    </row>
    <row r="1946">
      <c r="A1946" s="80"/>
      <c r="B1946" s="80"/>
      <c r="C1946" s="80"/>
      <c r="D1946" s="80"/>
      <c r="E1946" s="80"/>
      <c r="F1946" s="59"/>
      <c r="G1946" s="59"/>
      <c r="H1946" s="83"/>
      <c r="I1946" s="76"/>
      <c r="J1946" s="76"/>
      <c r="K1946" s="81"/>
      <c r="L1946" s="82"/>
      <c r="M1946" s="54"/>
      <c r="N1946" s="54"/>
      <c r="O1946" s="54"/>
      <c r="P1946" s="54"/>
      <c r="Q1946" s="54"/>
      <c r="R1946" s="54"/>
      <c r="S1946" s="54"/>
      <c r="T1946" s="54"/>
      <c r="U1946" s="54"/>
      <c r="V1946" s="54"/>
      <c r="W1946" s="54"/>
      <c r="X1946" s="54"/>
      <c r="Y1946" s="54"/>
      <c r="Z1946" s="54"/>
      <c r="AA1946" s="54"/>
      <c r="AB1946" s="54"/>
      <c r="AC1946" s="54"/>
      <c r="AD1946" s="54"/>
      <c r="AE1946" s="54"/>
      <c r="AF1946" s="54"/>
      <c r="AG1946" s="54"/>
      <c r="AH1946" s="54"/>
    </row>
    <row r="1947">
      <c r="A1947" s="80"/>
      <c r="B1947" s="80"/>
      <c r="C1947" s="80"/>
      <c r="D1947" s="80"/>
      <c r="E1947" s="80"/>
      <c r="F1947" s="59"/>
      <c r="G1947" s="59"/>
      <c r="H1947" s="83"/>
      <c r="I1947" s="76"/>
      <c r="J1947" s="76"/>
      <c r="K1947" s="81"/>
      <c r="L1947" s="82"/>
      <c r="M1947" s="54"/>
      <c r="N1947" s="54"/>
      <c r="O1947" s="54"/>
      <c r="P1947" s="54"/>
      <c r="Q1947" s="54"/>
      <c r="R1947" s="54"/>
      <c r="S1947" s="54"/>
      <c r="T1947" s="54"/>
      <c r="U1947" s="54"/>
      <c r="V1947" s="54"/>
      <c r="W1947" s="54"/>
      <c r="X1947" s="54"/>
      <c r="Y1947" s="54"/>
      <c r="Z1947" s="54"/>
      <c r="AA1947" s="54"/>
      <c r="AB1947" s="54"/>
      <c r="AC1947" s="54"/>
      <c r="AD1947" s="54"/>
      <c r="AE1947" s="54"/>
      <c r="AF1947" s="54"/>
      <c r="AG1947" s="54"/>
      <c r="AH1947" s="54"/>
    </row>
    <row r="1948">
      <c r="A1948" s="80"/>
      <c r="B1948" s="80"/>
      <c r="C1948" s="80"/>
      <c r="D1948" s="80"/>
      <c r="E1948" s="80"/>
      <c r="F1948" s="59"/>
      <c r="G1948" s="59"/>
      <c r="H1948" s="83"/>
      <c r="I1948" s="76"/>
      <c r="J1948" s="76"/>
      <c r="K1948" s="81"/>
      <c r="L1948" s="82"/>
      <c r="M1948" s="54"/>
      <c r="N1948" s="54"/>
      <c r="O1948" s="54"/>
      <c r="P1948" s="54"/>
      <c r="Q1948" s="54"/>
      <c r="R1948" s="54"/>
      <c r="S1948" s="54"/>
      <c r="T1948" s="54"/>
      <c r="U1948" s="54"/>
      <c r="V1948" s="54"/>
      <c r="W1948" s="54"/>
      <c r="X1948" s="54"/>
      <c r="Y1948" s="54"/>
      <c r="Z1948" s="54"/>
      <c r="AA1948" s="54"/>
      <c r="AB1948" s="54"/>
      <c r="AC1948" s="54"/>
      <c r="AD1948" s="54"/>
      <c r="AE1948" s="54"/>
      <c r="AF1948" s="54"/>
      <c r="AG1948" s="54"/>
      <c r="AH1948" s="54"/>
    </row>
    <row r="1949">
      <c r="A1949" s="80"/>
      <c r="B1949" s="80"/>
      <c r="C1949" s="80"/>
      <c r="D1949" s="80"/>
      <c r="E1949" s="80"/>
      <c r="F1949" s="59"/>
      <c r="G1949" s="59"/>
      <c r="H1949" s="83"/>
      <c r="I1949" s="76"/>
      <c r="J1949" s="76"/>
      <c r="K1949" s="81"/>
      <c r="L1949" s="82"/>
      <c r="M1949" s="54"/>
      <c r="N1949" s="54"/>
      <c r="O1949" s="54"/>
      <c r="P1949" s="54"/>
      <c r="Q1949" s="54"/>
      <c r="R1949" s="54"/>
      <c r="S1949" s="54"/>
      <c r="T1949" s="54"/>
      <c r="U1949" s="54"/>
      <c r="V1949" s="54"/>
      <c r="W1949" s="54"/>
      <c r="X1949" s="54"/>
      <c r="Y1949" s="54"/>
      <c r="Z1949" s="54"/>
      <c r="AA1949" s="54"/>
      <c r="AB1949" s="54"/>
      <c r="AC1949" s="54"/>
      <c r="AD1949" s="54"/>
      <c r="AE1949" s="54"/>
      <c r="AF1949" s="54"/>
      <c r="AG1949" s="54"/>
      <c r="AH1949" s="54"/>
    </row>
    <row r="1950">
      <c r="A1950" s="80"/>
      <c r="B1950" s="80"/>
      <c r="C1950" s="80"/>
      <c r="D1950" s="80"/>
      <c r="E1950" s="80"/>
      <c r="F1950" s="59"/>
      <c r="G1950" s="59"/>
      <c r="H1950" s="83"/>
      <c r="I1950" s="76"/>
      <c r="J1950" s="76"/>
      <c r="K1950" s="81"/>
      <c r="L1950" s="82"/>
      <c r="M1950" s="54"/>
      <c r="N1950" s="54"/>
      <c r="O1950" s="54"/>
      <c r="P1950" s="54"/>
      <c r="Q1950" s="54"/>
      <c r="R1950" s="54"/>
      <c r="S1950" s="54"/>
      <c r="T1950" s="54"/>
      <c r="U1950" s="54"/>
      <c r="V1950" s="54"/>
      <c r="W1950" s="54"/>
      <c r="X1950" s="54"/>
      <c r="Y1950" s="54"/>
      <c r="Z1950" s="54"/>
      <c r="AA1950" s="54"/>
      <c r="AB1950" s="54"/>
      <c r="AC1950" s="54"/>
      <c r="AD1950" s="54"/>
      <c r="AE1950" s="54"/>
      <c r="AF1950" s="54"/>
      <c r="AG1950" s="54"/>
      <c r="AH1950" s="54"/>
    </row>
    <row r="1951">
      <c r="A1951" s="80"/>
      <c r="B1951" s="80"/>
      <c r="C1951" s="80"/>
      <c r="D1951" s="80"/>
      <c r="E1951" s="80"/>
      <c r="F1951" s="59"/>
      <c r="G1951" s="59"/>
      <c r="H1951" s="83"/>
      <c r="I1951" s="76"/>
      <c r="J1951" s="76"/>
      <c r="K1951" s="81"/>
      <c r="L1951" s="82"/>
      <c r="M1951" s="54"/>
      <c r="N1951" s="54"/>
      <c r="O1951" s="54"/>
      <c r="P1951" s="54"/>
      <c r="Q1951" s="54"/>
      <c r="R1951" s="54"/>
      <c r="S1951" s="54"/>
      <c r="T1951" s="54"/>
      <c r="U1951" s="54"/>
      <c r="V1951" s="54"/>
      <c r="W1951" s="54"/>
      <c r="X1951" s="54"/>
      <c r="Y1951" s="54"/>
      <c r="Z1951" s="54"/>
      <c r="AA1951" s="54"/>
      <c r="AB1951" s="54"/>
      <c r="AC1951" s="54"/>
      <c r="AD1951" s="54"/>
      <c r="AE1951" s="54"/>
      <c r="AF1951" s="54"/>
      <c r="AG1951" s="54"/>
      <c r="AH1951" s="54"/>
    </row>
    <row r="1952">
      <c r="A1952" s="80"/>
      <c r="B1952" s="80"/>
      <c r="C1952" s="80"/>
      <c r="D1952" s="80"/>
      <c r="E1952" s="80"/>
      <c r="F1952" s="59"/>
      <c r="G1952" s="59"/>
      <c r="H1952" s="83"/>
      <c r="I1952" s="76"/>
      <c r="J1952" s="76"/>
      <c r="K1952" s="81"/>
      <c r="L1952" s="82"/>
      <c r="M1952" s="54"/>
      <c r="N1952" s="54"/>
      <c r="O1952" s="54"/>
      <c r="P1952" s="54"/>
      <c r="Q1952" s="54"/>
      <c r="R1952" s="54"/>
      <c r="S1952" s="54"/>
      <c r="T1952" s="54"/>
      <c r="U1952" s="54"/>
      <c r="V1952" s="54"/>
      <c r="W1952" s="54"/>
      <c r="X1952" s="54"/>
      <c r="Y1952" s="54"/>
      <c r="Z1952" s="54"/>
      <c r="AA1952" s="54"/>
      <c r="AB1952" s="54"/>
      <c r="AC1952" s="54"/>
      <c r="AD1952" s="54"/>
      <c r="AE1952" s="54"/>
      <c r="AF1952" s="54"/>
      <c r="AG1952" s="54"/>
      <c r="AH1952" s="54"/>
    </row>
    <row r="1953">
      <c r="A1953" s="80"/>
      <c r="B1953" s="80"/>
      <c r="C1953" s="80"/>
      <c r="D1953" s="80"/>
      <c r="E1953" s="80"/>
      <c r="F1953" s="59"/>
      <c r="G1953" s="59"/>
      <c r="H1953" s="83"/>
      <c r="I1953" s="76"/>
      <c r="J1953" s="76"/>
      <c r="K1953" s="81"/>
      <c r="L1953" s="82"/>
      <c r="M1953" s="54"/>
      <c r="N1953" s="54"/>
      <c r="O1953" s="54"/>
      <c r="P1953" s="54"/>
      <c r="Q1953" s="54"/>
      <c r="R1953" s="54"/>
      <c r="S1953" s="54"/>
      <c r="T1953" s="54"/>
      <c r="U1953" s="54"/>
      <c r="V1953" s="54"/>
      <c r="W1953" s="54"/>
      <c r="X1953" s="54"/>
      <c r="Y1953" s="54"/>
      <c r="Z1953" s="54"/>
      <c r="AA1953" s="54"/>
      <c r="AB1953" s="54"/>
      <c r="AC1953" s="54"/>
      <c r="AD1953" s="54"/>
      <c r="AE1953" s="54"/>
      <c r="AF1953" s="54"/>
      <c r="AG1953" s="54"/>
      <c r="AH1953" s="54"/>
    </row>
    <row r="1954">
      <c r="A1954" s="80"/>
      <c r="B1954" s="80"/>
      <c r="C1954" s="80"/>
      <c r="D1954" s="80"/>
      <c r="E1954" s="80"/>
      <c r="F1954" s="59"/>
      <c r="G1954" s="59"/>
      <c r="H1954" s="83"/>
      <c r="I1954" s="76"/>
      <c r="J1954" s="76"/>
      <c r="K1954" s="81"/>
      <c r="L1954" s="82"/>
      <c r="M1954" s="54"/>
      <c r="N1954" s="54"/>
      <c r="O1954" s="54"/>
      <c r="P1954" s="54"/>
      <c r="Q1954" s="54"/>
      <c r="R1954" s="54"/>
      <c r="S1954" s="54"/>
      <c r="T1954" s="54"/>
      <c r="U1954" s="54"/>
      <c r="V1954" s="54"/>
      <c r="W1954" s="54"/>
      <c r="X1954" s="54"/>
      <c r="Y1954" s="54"/>
      <c r="Z1954" s="54"/>
      <c r="AA1954" s="54"/>
      <c r="AB1954" s="54"/>
      <c r="AC1954" s="54"/>
      <c r="AD1954" s="54"/>
      <c r="AE1954" s="54"/>
      <c r="AF1954" s="54"/>
      <c r="AG1954" s="54"/>
      <c r="AH1954" s="54"/>
    </row>
    <row r="1955">
      <c r="A1955" s="80"/>
      <c r="B1955" s="80"/>
      <c r="C1955" s="80"/>
      <c r="D1955" s="80"/>
      <c r="E1955" s="80"/>
      <c r="F1955" s="59"/>
      <c r="G1955" s="59"/>
      <c r="H1955" s="83"/>
      <c r="I1955" s="76"/>
      <c r="J1955" s="76"/>
      <c r="K1955" s="81"/>
      <c r="L1955" s="82"/>
      <c r="M1955" s="54"/>
      <c r="N1955" s="54"/>
      <c r="O1955" s="54"/>
      <c r="P1955" s="54"/>
      <c r="Q1955" s="54"/>
      <c r="R1955" s="54"/>
      <c r="S1955" s="54"/>
      <c r="T1955" s="54"/>
      <c r="U1955" s="54"/>
      <c r="V1955" s="54"/>
      <c r="W1955" s="54"/>
      <c r="X1955" s="54"/>
      <c r="Y1955" s="54"/>
      <c r="Z1955" s="54"/>
      <c r="AA1955" s="54"/>
      <c r="AB1955" s="54"/>
      <c r="AC1955" s="54"/>
      <c r="AD1955" s="54"/>
      <c r="AE1955" s="54"/>
      <c r="AF1955" s="54"/>
      <c r="AG1955" s="54"/>
      <c r="AH1955" s="54"/>
    </row>
    <row r="1956">
      <c r="A1956" s="80"/>
      <c r="B1956" s="80"/>
      <c r="C1956" s="80"/>
      <c r="D1956" s="80"/>
      <c r="E1956" s="80"/>
      <c r="F1956" s="59"/>
      <c r="G1956" s="59"/>
      <c r="H1956" s="83"/>
      <c r="I1956" s="76"/>
      <c r="J1956" s="76"/>
      <c r="K1956" s="81"/>
      <c r="L1956" s="82"/>
      <c r="M1956" s="54"/>
      <c r="N1956" s="54"/>
      <c r="O1956" s="54"/>
      <c r="P1956" s="54"/>
      <c r="Q1956" s="54"/>
      <c r="R1956" s="54"/>
      <c r="S1956" s="54"/>
      <c r="T1956" s="54"/>
      <c r="U1956" s="54"/>
      <c r="V1956" s="54"/>
      <c r="W1956" s="54"/>
      <c r="X1956" s="54"/>
      <c r="Y1956" s="54"/>
      <c r="Z1956" s="54"/>
      <c r="AA1956" s="54"/>
      <c r="AB1956" s="54"/>
      <c r="AC1956" s="54"/>
      <c r="AD1956" s="54"/>
      <c r="AE1956" s="54"/>
      <c r="AF1956" s="54"/>
      <c r="AG1956" s="54"/>
      <c r="AH1956" s="54"/>
    </row>
    <row r="1957">
      <c r="A1957" s="80"/>
      <c r="B1957" s="80"/>
      <c r="C1957" s="80"/>
      <c r="D1957" s="80"/>
      <c r="E1957" s="80"/>
      <c r="F1957" s="59"/>
      <c r="G1957" s="59"/>
      <c r="H1957" s="83"/>
      <c r="I1957" s="76"/>
      <c r="J1957" s="76"/>
      <c r="K1957" s="81"/>
      <c r="L1957" s="82"/>
      <c r="M1957" s="54"/>
      <c r="N1957" s="54"/>
      <c r="O1957" s="54"/>
      <c r="P1957" s="54"/>
      <c r="Q1957" s="54"/>
      <c r="R1957" s="54"/>
      <c r="S1957" s="54"/>
      <c r="T1957" s="54"/>
      <c r="U1957" s="54"/>
      <c r="V1957" s="54"/>
      <c r="W1957" s="54"/>
      <c r="X1957" s="54"/>
      <c r="Y1957" s="54"/>
      <c r="Z1957" s="54"/>
      <c r="AA1957" s="54"/>
      <c r="AB1957" s="54"/>
      <c r="AC1957" s="54"/>
      <c r="AD1957" s="54"/>
      <c r="AE1957" s="54"/>
      <c r="AF1957" s="54"/>
      <c r="AG1957" s="54"/>
      <c r="AH1957" s="54"/>
    </row>
    <row r="1958">
      <c r="A1958" s="80"/>
      <c r="B1958" s="80"/>
      <c r="C1958" s="80"/>
      <c r="D1958" s="80"/>
      <c r="E1958" s="80"/>
      <c r="F1958" s="59"/>
      <c r="G1958" s="59"/>
      <c r="H1958" s="83"/>
      <c r="I1958" s="76"/>
      <c r="J1958" s="76"/>
      <c r="K1958" s="81"/>
      <c r="L1958" s="82"/>
      <c r="M1958" s="54"/>
      <c r="N1958" s="54"/>
      <c r="O1958" s="54"/>
      <c r="P1958" s="54"/>
      <c r="Q1958" s="54"/>
      <c r="R1958" s="54"/>
      <c r="S1958" s="54"/>
      <c r="T1958" s="54"/>
      <c r="U1958" s="54"/>
      <c r="V1958" s="54"/>
      <c r="W1958" s="54"/>
      <c r="X1958" s="54"/>
      <c r="Y1958" s="54"/>
      <c r="Z1958" s="54"/>
      <c r="AA1958" s="54"/>
      <c r="AB1958" s="54"/>
      <c r="AC1958" s="54"/>
      <c r="AD1958" s="54"/>
      <c r="AE1958" s="54"/>
      <c r="AF1958" s="54"/>
      <c r="AG1958" s="54"/>
      <c r="AH1958" s="54"/>
    </row>
    <row r="1959">
      <c r="A1959" s="80"/>
      <c r="B1959" s="80"/>
      <c r="C1959" s="80"/>
      <c r="D1959" s="80"/>
      <c r="E1959" s="80"/>
      <c r="F1959" s="59"/>
      <c r="G1959" s="59"/>
      <c r="H1959" s="83"/>
      <c r="I1959" s="76"/>
      <c r="J1959" s="76"/>
      <c r="K1959" s="81"/>
      <c r="L1959" s="82"/>
      <c r="M1959" s="54"/>
      <c r="N1959" s="54"/>
      <c r="O1959" s="54"/>
      <c r="P1959" s="54"/>
      <c r="Q1959" s="54"/>
      <c r="R1959" s="54"/>
      <c r="S1959" s="54"/>
      <c r="T1959" s="54"/>
      <c r="U1959" s="54"/>
      <c r="V1959" s="54"/>
      <c r="W1959" s="54"/>
      <c r="X1959" s="54"/>
      <c r="Y1959" s="54"/>
      <c r="Z1959" s="54"/>
      <c r="AA1959" s="54"/>
      <c r="AB1959" s="54"/>
      <c r="AC1959" s="54"/>
      <c r="AD1959" s="54"/>
      <c r="AE1959" s="54"/>
      <c r="AF1959" s="54"/>
      <c r="AG1959" s="54"/>
      <c r="AH1959" s="54"/>
    </row>
    <row r="1960">
      <c r="A1960" s="80"/>
      <c r="B1960" s="80"/>
      <c r="C1960" s="80"/>
      <c r="D1960" s="80"/>
      <c r="E1960" s="80"/>
      <c r="F1960" s="59"/>
      <c r="G1960" s="59"/>
      <c r="H1960" s="83"/>
      <c r="I1960" s="76"/>
      <c r="J1960" s="76"/>
      <c r="K1960" s="81"/>
      <c r="L1960" s="82"/>
      <c r="M1960" s="54"/>
      <c r="N1960" s="54"/>
      <c r="O1960" s="54"/>
      <c r="P1960" s="54"/>
      <c r="Q1960" s="54"/>
      <c r="R1960" s="54"/>
      <c r="S1960" s="54"/>
      <c r="T1960" s="54"/>
      <c r="U1960" s="54"/>
      <c r="V1960" s="54"/>
      <c r="W1960" s="54"/>
      <c r="X1960" s="54"/>
      <c r="Y1960" s="54"/>
      <c r="Z1960" s="54"/>
      <c r="AA1960" s="54"/>
      <c r="AB1960" s="54"/>
      <c r="AC1960" s="54"/>
      <c r="AD1960" s="54"/>
      <c r="AE1960" s="54"/>
      <c r="AF1960" s="54"/>
      <c r="AG1960" s="54"/>
      <c r="AH1960" s="54"/>
    </row>
    <row r="1961">
      <c r="A1961" s="80"/>
      <c r="B1961" s="80"/>
      <c r="C1961" s="80"/>
      <c r="D1961" s="80"/>
      <c r="E1961" s="80"/>
      <c r="F1961" s="59"/>
      <c r="G1961" s="59"/>
      <c r="H1961" s="83"/>
      <c r="I1961" s="76"/>
      <c r="J1961" s="76"/>
      <c r="K1961" s="81"/>
      <c r="L1961" s="82"/>
      <c r="M1961" s="54"/>
      <c r="N1961" s="54"/>
      <c r="O1961" s="54"/>
      <c r="P1961" s="54"/>
      <c r="Q1961" s="54"/>
      <c r="R1961" s="54"/>
      <c r="S1961" s="54"/>
      <c r="T1961" s="54"/>
      <c r="U1961" s="54"/>
      <c r="V1961" s="54"/>
      <c r="W1961" s="54"/>
      <c r="X1961" s="54"/>
      <c r="Y1961" s="54"/>
      <c r="Z1961" s="54"/>
      <c r="AA1961" s="54"/>
      <c r="AB1961" s="54"/>
      <c r="AC1961" s="54"/>
      <c r="AD1961" s="54"/>
      <c r="AE1961" s="54"/>
      <c r="AF1961" s="54"/>
      <c r="AG1961" s="54"/>
      <c r="AH1961" s="54"/>
    </row>
    <row r="1962">
      <c r="A1962" s="80"/>
      <c r="B1962" s="80"/>
      <c r="C1962" s="80"/>
      <c r="D1962" s="80"/>
      <c r="E1962" s="80"/>
      <c r="F1962" s="59"/>
      <c r="G1962" s="59"/>
      <c r="H1962" s="83"/>
      <c r="I1962" s="76"/>
      <c r="J1962" s="76"/>
      <c r="K1962" s="81"/>
      <c r="L1962" s="82"/>
      <c r="M1962" s="54"/>
      <c r="N1962" s="54"/>
      <c r="O1962" s="54"/>
      <c r="P1962" s="54"/>
      <c r="Q1962" s="54"/>
      <c r="R1962" s="54"/>
      <c r="S1962" s="54"/>
      <c r="T1962" s="54"/>
      <c r="U1962" s="54"/>
      <c r="V1962" s="54"/>
      <c r="W1962" s="54"/>
      <c r="X1962" s="54"/>
      <c r="Y1962" s="54"/>
      <c r="Z1962" s="54"/>
      <c r="AA1962" s="54"/>
      <c r="AB1962" s="54"/>
      <c r="AC1962" s="54"/>
      <c r="AD1962" s="54"/>
      <c r="AE1962" s="54"/>
      <c r="AF1962" s="54"/>
      <c r="AG1962" s="54"/>
      <c r="AH1962" s="54"/>
    </row>
    <row r="1963">
      <c r="A1963" s="80"/>
      <c r="B1963" s="80"/>
      <c r="C1963" s="80"/>
      <c r="D1963" s="80"/>
      <c r="E1963" s="80"/>
      <c r="F1963" s="59"/>
      <c r="G1963" s="59"/>
      <c r="H1963" s="83"/>
      <c r="I1963" s="76"/>
      <c r="J1963" s="76"/>
      <c r="K1963" s="81"/>
      <c r="L1963" s="82"/>
      <c r="M1963" s="54"/>
      <c r="N1963" s="54"/>
      <c r="O1963" s="54"/>
      <c r="P1963" s="54"/>
      <c r="Q1963" s="54"/>
      <c r="R1963" s="54"/>
      <c r="S1963" s="54"/>
      <c r="T1963" s="54"/>
      <c r="U1963" s="54"/>
      <c r="V1963" s="54"/>
      <c r="W1963" s="54"/>
      <c r="X1963" s="54"/>
      <c r="Y1963" s="54"/>
      <c r="Z1963" s="54"/>
      <c r="AA1963" s="54"/>
      <c r="AB1963" s="54"/>
      <c r="AC1963" s="54"/>
      <c r="AD1963" s="54"/>
      <c r="AE1963" s="54"/>
      <c r="AF1963" s="54"/>
      <c r="AG1963" s="54"/>
      <c r="AH1963" s="54"/>
    </row>
    <row r="1964">
      <c r="A1964" s="80"/>
      <c r="B1964" s="80"/>
      <c r="C1964" s="80"/>
      <c r="D1964" s="80"/>
      <c r="E1964" s="80"/>
      <c r="F1964" s="59"/>
      <c r="G1964" s="59"/>
      <c r="H1964" s="83"/>
      <c r="I1964" s="76"/>
      <c r="J1964" s="76"/>
      <c r="K1964" s="81"/>
      <c r="L1964" s="82"/>
      <c r="M1964" s="54"/>
      <c r="N1964" s="54"/>
      <c r="O1964" s="54"/>
      <c r="P1964" s="54"/>
      <c r="Q1964" s="54"/>
      <c r="R1964" s="54"/>
      <c r="S1964" s="54"/>
      <c r="T1964" s="54"/>
      <c r="U1964" s="54"/>
      <c r="V1964" s="54"/>
      <c r="W1964" s="54"/>
      <c r="X1964" s="54"/>
      <c r="Y1964" s="54"/>
      <c r="Z1964" s="54"/>
      <c r="AA1964" s="54"/>
      <c r="AB1964" s="54"/>
      <c r="AC1964" s="54"/>
      <c r="AD1964" s="54"/>
      <c r="AE1964" s="54"/>
      <c r="AF1964" s="54"/>
      <c r="AG1964" s="54"/>
      <c r="AH1964" s="54"/>
    </row>
    <row r="1965">
      <c r="A1965" s="80"/>
      <c r="B1965" s="80"/>
      <c r="C1965" s="80"/>
      <c r="D1965" s="80"/>
      <c r="E1965" s="80"/>
      <c r="F1965" s="59"/>
      <c r="G1965" s="59"/>
      <c r="H1965" s="83"/>
      <c r="I1965" s="76"/>
      <c r="J1965" s="76"/>
      <c r="K1965" s="81"/>
      <c r="L1965" s="82"/>
      <c r="M1965" s="54"/>
      <c r="N1965" s="54"/>
      <c r="O1965" s="54"/>
      <c r="P1965" s="54"/>
      <c r="Q1965" s="54"/>
      <c r="R1965" s="54"/>
      <c r="S1965" s="54"/>
      <c r="T1965" s="54"/>
      <c r="U1965" s="54"/>
      <c r="V1965" s="54"/>
      <c r="W1965" s="54"/>
      <c r="X1965" s="54"/>
      <c r="Y1965" s="54"/>
      <c r="Z1965" s="54"/>
      <c r="AA1965" s="54"/>
      <c r="AB1965" s="54"/>
      <c r="AC1965" s="54"/>
      <c r="AD1965" s="54"/>
      <c r="AE1965" s="54"/>
      <c r="AF1965" s="54"/>
      <c r="AG1965" s="54"/>
      <c r="AH1965" s="54"/>
    </row>
    <row r="1966">
      <c r="A1966" s="80"/>
      <c r="B1966" s="80"/>
      <c r="C1966" s="80"/>
      <c r="D1966" s="80"/>
      <c r="E1966" s="80"/>
      <c r="F1966" s="59"/>
      <c r="G1966" s="59"/>
      <c r="H1966" s="83"/>
      <c r="I1966" s="76"/>
      <c r="J1966" s="76"/>
      <c r="K1966" s="81"/>
      <c r="L1966" s="82"/>
      <c r="M1966" s="54"/>
      <c r="N1966" s="54"/>
      <c r="O1966" s="54"/>
      <c r="P1966" s="54"/>
      <c r="Q1966" s="54"/>
      <c r="R1966" s="54"/>
      <c r="S1966" s="54"/>
      <c r="T1966" s="54"/>
      <c r="U1966" s="54"/>
      <c r="V1966" s="54"/>
      <c r="W1966" s="54"/>
      <c r="X1966" s="54"/>
      <c r="Y1966" s="54"/>
      <c r="Z1966" s="54"/>
      <c r="AA1966" s="54"/>
      <c r="AB1966" s="54"/>
      <c r="AC1966" s="54"/>
      <c r="AD1966" s="54"/>
      <c r="AE1966" s="54"/>
      <c r="AF1966" s="54"/>
      <c r="AG1966" s="54"/>
      <c r="AH1966" s="54"/>
    </row>
    <row r="1967">
      <c r="A1967" s="80"/>
      <c r="B1967" s="80"/>
      <c r="C1967" s="80"/>
      <c r="D1967" s="80"/>
      <c r="E1967" s="80"/>
      <c r="F1967" s="59"/>
      <c r="G1967" s="59"/>
      <c r="H1967" s="83"/>
      <c r="I1967" s="76"/>
      <c r="J1967" s="76"/>
      <c r="K1967" s="81"/>
      <c r="L1967" s="82"/>
      <c r="M1967" s="54"/>
      <c r="N1967" s="54"/>
      <c r="O1967" s="54"/>
      <c r="P1967" s="54"/>
      <c r="Q1967" s="54"/>
      <c r="R1967" s="54"/>
      <c r="S1967" s="54"/>
      <c r="T1967" s="54"/>
      <c r="U1967" s="54"/>
      <c r="V1967" s="54"/>
      <c r="W1967" s="54"/>
      <c r="X1967" s="54"/>
      <c r="Y1967" s="54"/>
      <c r="Z1967" s="54"/>
      <c r="AA1967" s="54"/>
      <c r="AB1967" s="54"/>
      <c r="AC1967" s="54"/>
      <c r="AD1967" s="54"/>
      <c r="AE1967" s="54"/>
      <c r="AF1967" s="54"/>
      <c r="AG1967" s="54"/>
      <c r="AH1967" s="54"/>
    </row>
    <row r="1968">
      <c r="A1968" s="80"/>
      <c r="B1968" s="80"/>
      <c r="C1968" s="80"/>
      <c r="D1968" s="80"/>
      <c r="E1968" s="80"/>
      <c r="F1968" s="59"/>
      <c r="G1968" s="59"/>
      <c r="H1968" s="83"/>
      <c r="I1968" s="76"/>
      <c r="J1968" s="76"/>
      <c r="K1968" s="81"/>
      <c r="L1968" s="82"/>
      <c r="M1968" s="54"/>
      <c r="N1968" s="54"/>
      <c r="O1968" s="54"/>
      <c r="P1968" s="54"/>
      <c r="Q1968" s="54"/>
      <c r="R1968" s="54"/>
      <c r="S1968" s="54"/>
      <c r="T1968" s="54"/>
      <c r="U1968" s="54"/>
      <c r="V1968" s="54"/>
      <c r="W1968" s="54"/>
      <c r="X1968" s="54"/>
      <c r="Y1968" s="54"/>
      <c r="Z1968" s="54"/>
      <c r="AA1968" s="54"/>
      <c r="AB1968" s="54"/>
      <c r="AC1968" s="54"/>
      <c r="AD1968" s="54"/>
      <c r="AE1968" s="54"/>
      <c r="AF1968" s="54"/>
      <c r="AG1968" s="54"/>
      <c r="AH1968" s="54"/>
    </row>
    <row r="1969">
      <c r="A1969" s="80"/>
      <c r="B1969" s="80"/>
      <c r="C1969" s="80"/>
      <c r="D1969" s="80"/>
      <c r="E1969" s="80"/>
      <c r="F1969" s="59"/>
      <c r="G1969" s="59"/>
      <c r="H1969" s="83"/>
      <c r="I1969" s="76"/>
      <c r="J1969" s="76"/>
      <c r="K1969" s="81"/>
      <c r="L1969" s="82"/>
      <c r="M1969" s="54"/>
      <c r="N1969" s="54"/>
      <c r="O1969" s="54"/>
      <c r="P1969" s="54"/>
      <c r="Q1969" s="54"/>
      <c r="R1969" s="54"/>
      <c r="S1969" s="54"/>
      <c r="T1969" s="54"/>
      <c r="U1969" s="54"/>
      <c r="V1969" s="54"/>
      <c r="W1969" s="54"/>
      <c r="X1969" s="54"/>
      <c r="Y1969" s="54"/>
      <c r="Z1969" s="54"/>
      <c r="AA1969" s="54"/>
      <c r="AB1969" s="54"/>
      <c r="AC1969" s="54"/>
      <c r="AD1969" s="54"/>
      <c r="AE1969" s="54"/>
      <c r="AF1969" s="54"/>
      <c r="AG1969" s="54"/>
      <c r="AH1969" s="54"/>
    </row>
    <row r="1970">
      <c r="A1970" s="80"/>
      <c r="B1970" s="80"/>
      <c r="C1970" s="80"/>
      <c r="D1970" s="80"/>
      <c r="E1970" s="80"/>
      <c r="F1970" s="59"/>
      <c r="G1970" s="59"/>
      <c r="H1970" s="83"/>
      <c r="I1970" s="76"/>
      <c r="J1970" s="76"/>
      <c r="K1970" s="81"/>
      <c r="L1970" s="82"/>
      <c r="M1970" s="54"/>
      <c r="N1970" s="54"/>
      <c r="O1970" s="54"/>
      <c r="P1970" s="54"/>
      <c r="Q1970" s="54"/>
      <c r="R1970" s="54"/>
      <c r="S1970" s="54"/>
      <c r="T1970" s="54"/>
      <c r="U1970" s="54"/>
      <c r="V1970" s="54"/>
      <c r="W1970" s="54"/>
      <c r="X1970" s="54"/>
      <c r="Y1970" s="54"/>
      <c r="Z1970" s="54"/>
      <c r="AA1970" s="54"/>
      <c r="AB1970" s="54"/>
      <c r="AC1970" s="54"/>
      <c r="AD1970" s="54"/>
      <c r="AE1970" s="54"/>
      <c r="AF1970" s="54"/>
      <c r="AG1970" s="54"/>
      <c r="AH1970" s="54"/>
    </row>
    <row r="1971">
      <c r="A1971" s="80"/>
      <c r="B1971" s="80"/>
      <c r="C1971" s="80"/>
      <c r="D1971" s="80"/>
      <c r="E1971" s="80"/>
      <c r="F1971" s="59"/>
      <c r="G1971" s="59"/>
      <c r="H1971" s="83"/>
      <c r="I1971" s="76"/>
      <c r="J1971" s="76"/>
      <c r="K1971" s="81"/>
      <c r="L1971" s="82"/>
      <c r="M1971" s="54"/>
      <c r="N1971" s="54"/>
      <c r="O1971" s="54"/>
      <c r="P1971" s="54"/>
      <c r="Q1971" s="54"/>
      <c r="R1971" s="54"/>
      <c r="S1971" s="54"/>
      <c r="T1971" s="54"/>
      <c r="U1971" s="54"/>
      <c r="V1971" s="54"/>
      <c r="W1971" s="54"/>
      <c r="X1971" s="54"/>
      <c r="Y1971" s="54"/>
      <c r="Z1971" s="54"/>
      <c r="AA1971" s="54"/>
      <c r="AB1971" s="54"/>
      <c r="AC1971" s="54"/>
      <c r="AD1971" s="54"/>
      <c r="AE1971" s="54"/>
      <c r="AF1971" s="54"/>
      <c r="AG1971" s="54"/>
      <c r="AH1971" s="54"/>
    </row>
    <row r="1972">
      <c r="A1972" s="80"/>
      <c r="B1972" s="80"/>
      <c r="C1972" s="80"/>
      <c r="D1972" s="80"/>
      <c r="E1972" s="80"/>
      <c r="F1972" s="59"/>
      <c r="G1972" s="59"/>
      <c r="H1972" s="83"/>
      <c r="I1972" s="76"/>
      <c r="J1972" s="76"/>
      <c r="K1972" s="81"/>
      <c r="L1972" s="82"/>
      <c r="M1972" s="54"/>
      <c r="N1972" s="54"/>
      <c r="O1972" s="54"/>
      <c r="P1972" s="54"/>
      <c r="Q1972" s="54"/>
      <c r="R1972" s="54"/>
      <c r="S1972" s="54"/>
      <c r="T1972" s="54"/>
      <c r="U1972" s="54"/>
      <c r="V1972" s="54"/>
      <c r="W1972" s="54"/>
      <c r="X1972" s="54"/>
      <c r="Y1972" s="54"/>
      <c r="Z1972" s="54"/>
      <c r="AA1972" s="54"/>
      <c r="AB1972" s="54"/>
      <c r="AC1972" s="54"/>
      <c r="AD1972" s="54"/>
      <c r="AE1972" s="54"/>
      <c r="AF1972" s="54"/>
      <c r="AG1972" s="54"/>
      <c r="AH1972" s="54"/>
    </row>
    <row r="1973">
      <c r="A1973" s="80"/>
      <c r="B1973" s="80"/>
      <c r="C1973" s="80"/>
      <c r="D1973" s="80"/>
      <c r="E1973" s="80"/>
      <c r="F1973" s="59"/>
      <c r="G1973" s="59"/>
      <c r="H1973" s="83"/>
      <c r="I1973" s="76"/>
      <c r="J1973" s="76"/>
      <c r="K1973" s="81"/>
      <c r="L1973" s="82"/>
      <c r="M1973" s="54"/>
      <c r="N1973" s="54"/>
      <c r="O1973" s="54"/>
      <c r="P1973" s="54"/>
      <c r="Q1973" s="54"/>
      <c r="R1973" s="54"/>
      <c r="S1973" s="54"/>
      <c r="T1973" s="54"/>
      <c r="U1973" s="54"/>
      <c r="V1973" s="54"/>
      <c r="W1973" s="54"/>
      <c r="X1973" s="54"/>
      <c r="Y1973" s="54"/>
      <c r="Z1973" s="54"/>
      <c r="AA1973" s="54"/>
      <c r="AB1973" s="54"/>
      <c r="AC1973" s="54"/>
      <c r="AD1973" s="54"/>
      <c r="AE1973" s="54"/>
      <c r="AF1973" s="54"/>
      <c r="AG1973" s="54"/>
      <c r="AH1973" s="54"/>
    </row>
    <row r="1974">
      <c r="A1974" s="80"/>
      <c r="B1974" s="80"/>
      <c r="C1974" s="80"/>
      <c r="D1974" s="80"/>
      <c r="E1974" s="80"/>
      <c r="F1974" s="59"/>
      <c r="G1974" s="59"/>
      <c r="H1974" s="83"/>
      <c r="I1974" s="76"/>
      <c r="J1974" s="76"/>
      <c r="K1974" s="81"/>
      <c r="L1974" s="82"/>
      <c r="M1974" s="54"/>
      <c r="N1974" s="54"/>
      <c r="O1974" s="54"/>
      <c r="P1974" s="54"/>
      <c r="Q1974" s="54"/>
      <c r="R1974" s="54"/>
      <c r="S1974" s="54"/>
      <c r="T1974" s="54"/>
      <c r="U1974" s="54"/>
      <c r="V1974" s="54"/>
      <c r="W1974" s="54"/>
      <c r="X1974" s="54"/>
      <c r="Y1974" s="54"/>
      <c r="Z1974" s="54"/>
      <c r="AA1974" s="54"/>
      <c r="AB1974" s="54"/>
      <c r="AC1974" s="54"/>
      <c r="AD1974" s="54"/>
      <c r="AE1974" s="54"/>
      <c r="AF1974" s="54"/>
      <c r="AG1974" s="54"/>
      <c r="AH1974" s="54"/>
    </row>
    <row r="1975">
      <c r="A1975" s="80"/>
      <c r="B1975" s="80"/>
      <c r="C1975" s="80"/>
      <c r="D1975" s="80"/>
      <c r="E1975" s="80"/>
      <c r="F1975" s="59"/>
      <c r="G1975" s="59"/>
      <c r="H1975" s="83"/>
      <c r="I1975" s="76"/>
      <c r="J1975" s="76"/>
      <c r="K1975" s="81"/>
      <c r="L1975" s="82"/>
      <c r="M1975" s="54"/>
      <c r="N1975" s="54"/>
      <c r="O1975" s="54"/>
      <c r="P1975" s="54"/>
      <c r="Q1975" s="54"/>
      <c r="R1975" s="54"/>
      <c r="S1975" s="54"/>
      <c r="T1975" s="54"/>
      <c r="U1975" s="54"/>
      <c r="V1975" s="54"/>
      <c r="W1975" s="54"/>
      <c r="X1975" s="54"/>
      <c r="Y1975" s="54"/>
      <c r="Z1975" s="54"/>
      <c r="AA1975" s="54"/>
      <c r="AB1975" s="54"/>
      <c r="AC1975" s="54"/>
      <c r="AD1975" s="54"/>
      <c r="AE1975" s="54"/>
      <c r="AF1975" s="54"/>
      <c r="AG1975" s="54"/>
      <c r="AH1975" s="54"/>
    </row>
    <row r="1976">
      <c r="A1976" s="80"/>
      <c r="B1976" s="80"/>
      <c r="C1976" s="80"/>
      <c r="D1976" s="80"/>
      <c r="E1976" s="80"/>
      <c r="F1976" s="59"/>
      <c r="G1976" s="59"/>
      <c r="H1976" s="83"/>
      <c r="I1976" s="76"/>
      <c r="J1976" s="76"/>
      <c r="K1976" s="81"/>
      <c r="L1976" s="82"/>
      <c r="M1976" s="54"/>
      <c r="N1976" s="54"/>
      <c r="O1976" s="54"/>
      <c r="P1976" s="54"/>
      <c r="Q1976" s="54"/>
      <c r="R1976" s="54"/>
      <c r="S1976" s="54"/>
      <c r="T1976" s="54"/>
      <c r="U1976" s="54"/>
      <c r="V1976" s="54"/>
      <c r="W1976" s="54"/>
      <c r="X1976" s="54"/>
      <c r="Y1976" s="54"/>
      <c r="Z1976" s="54"/>
      <c r="AA1976" s="54"/>
      <c r="AB1976" s="54"/>
      <c r="AC1976" s="54"/>
      <c r="AD1976" s="54"/>
      <c r="AE1976" s="54"/>
      <c r="AF1976" s="54"/>
      <c r="AG1976" s="54"/>
      <c r="AH1976" s="54"/>
    </row>
    <row r="1977">
      <c r="A1977" s="80"/>
      <c r="B1977" s="80"/>
      <c r="C1977" s="80"/>
      <c r="D1977" s="80"/>
      <c r="E1977" s="80"/>
      <c r="F1977" s="59"/>
      <c r="G1977" s="59"/>
      <c r="H1977" s="83"/>
      <c r="I1977" s="76"/>
      <c r="J1977" s="76"/>
      <c r="K1977" s="81"/>
      <c r="L1977" s="82"/>
      <c r="M1977" s="54"/>
      <c r="N1977" s="54"/>
      <c r="O1977" s="54"/>
      <c r="P1977" s="54"/>
      <c r="Q1977" s="54"/>
      <c r="R1977" s="54"/>
      <c r="S1977" s="54"/>
      <c r="T1977" s="54"/>
      <c r="U1977" s="54"/>
      <c r="V1977" s="54"/>
      <c r="W1977" s="54"/>
      <c r="X1977" s="54"/>
      <c r="Y1977" s="54"/>
      <c r="Z1977" s="54"/>
      <c r="AA1977" s="54"/>
      <c r="AB1977" s="54"/>
      <c r="AC1977" s="54"/>
      <c r="AD1977" s="54"/>
      <c r="AE1977" s="54"/>
      <c r="AF1977" s="54"/>
      <c r="AG1977" s="54"/>
      <c r="AH1977" s="54"/>
    </row>
    <row r="1978">
      <c r="A1978" s="80"/>
      <c r="B1978" s="80"/>
      <c r="C1978" s="80"/>
      <c r="D1978" s="80"/>
      <c r="E1978" s="80"/>
      <c r="F1978" s="59"/>
      <c r="G1978" s="59"/>
      <c r="H1978" s="83"/>
      <c r="I1978" s="76"/>
      <c r="J1978" s="76"/>
      <c r="K1978" s="81"/>
      <c r="L1978" s="82"/>
      <c r="M1978" s="54"/>
      <c r="N1978" s="54"/>
      <c r="O1978" s="54"/>
      <c r="P1978" s="54"/>
      <c r="Q1978" s="54"/>
      <c r="R1978" s="54"/>
      <c r="S1978" s="54"/>
      <c r="T1978" s="54"/>
      <c r="U1978" s="54"/>
      <c r="V1978" s="54"/>
      <c r="W1978" s="54"/>
      <c r="X1978" s="54"/>
      <c r="Y1978" s="54"/>
      <c r="Z1978" s="54"/>
      <c r="AA1978" s="54"/>
      <c r="AB1978" s="54"/>
      <c r="AC1978" s="54"/>
      <c r="AD1978" s="54"/>
      <c r="AE1978" s="54"/>
      <c r="AF1978" s="54"/>
      <c r="AG1978" s="54"/>
      <c r="AH1978" s="54"/>
    </row>
    <row r="1979">
      <c r="A1979" s="80"/>
      <c r="B1979" s="80"/>
      <c r="C1979" s="80"/>
      <c r="D1979" s="80"/>
      <c r="E1979" s="80"/>
      <c r="F1979" s="59"/>
      <c r="G1979" s="59"/>
      <c r="H1979" s="83"/>
      <c r="I1979" s="76"/>
      <c r="J1979" s="76"/>
      <c r="K1979" s="81"/>
      <c r="L1979" s="82"/>
      <c r="M1979" s="54"/>
      <c r="N1979" s="54"/>
      <c r="O1979" s="54"/>
      <c r="P1979" s="54"/>
      <c r="Q1979" s="54"/>
      <c r="R1979" s="54"/>
      <c r="S1979" s="54"/>
      <c r="T1979" s="54"/>
      <c r="U1979" s="54"/>
      <c r="V1979" s="54"/>
      <c r="W1979" s="54"/>
      <c r="X1979" s="54"/>
      <c r="Y1979" s="54"/>
      <c r="Z1979" s="54"/>
      <c r="AA1979" s="54"/>
      <c r="AB1979" s="54"/>
      <c r="AC1979" s="54"/>
      <c r="AD1979" s="54"/>
      <c r="AE1979" s="54"/>
      <c r="AF1979" s="54"/>
      <c r="AG1979" s="54"/>
      <c r="AH1979" s="54"/>
    </row>
    <row r="1980">
      <c r="A1980" s="80"/>
      <c r="B1980" s="80"/>
      <c r="C1980" s="80"/>
      <c r="D1980" s="80"/>
      <c r="E1980" s="80"/>
      <c r="F1980" s="59"/>
      <c r="G1980" s="59"/>
      <c r="H1980" s="83"/>
      <c r="I1980" s="76"/>
      <c r="J1980" s="76"/>
      <c r="K1980" s="81"/>
      <c r="L1980" s="82"/>
      <c r="M1980" s="54"/>
      <c r="N1980" s="54"/>
      <c r="O1980" s="54"/>
      <c r="P1980" s="54"/>
      <c r="Q1980" s="54"/>
      <c r="R1980" s="54"/>
      <c r="S1980" s="54"/>
      <c r="T1980" s="54"/>
      <c r="U1980" s="54"/>
      <c r="V1980" s="54"/>
      <c r="W1980" s="54"/>
      <c r="X1980" s="54"/>
      <c r="Y1980" s="54"/>
      <c r="Z1980" s="54"/>
      <c r="AA1980" s="54"/>
      <c r="AB1980" s="54"/>
      <c r="AC1980" s="54"/>
      <c r="AD1980" s="54"/>
      <c r="AE1980" s="54"/>
      <c r="AF1980" s="54"/>
      <c r="AG1980" s="54"/>
      <c r="AH1980" s="54"/>
    </row>
    <row r="1981">
      <c r="A1981" s="80"/>
      <c r="B1981" s="80"/>
      <c r="C1981" s="80"/>
      <c r="D1981" s="80"/>
      <c r="E1981" s="80"/>
      <c r="F1981" s="59"/>
      <c r="G1981" s="59"/>
      <c r="H1981" s="83"/>
      <c r="I1981" s="76"/>
      <c r="J1981" s="76"/>
      <c r="K1981" s="81"/>
      <c r="L1981" s="82"/>
      <c r="M1981" s="54"/>
      <c r="N1981" s="54"/>
      <c r="O1981" s="54"/>
      <c r="P1981" s="54"/>
      <c r="Q1981" s="54"/>
      <c r="R1981" s="54"/>
      <c r="S1981" s="54"/>
      <c r="T1981" s="54"/>
      <c r="U1981" s="54"/>
      <c r="V1981" s="54"/>
      <c r="W1981" s="54"/>
      <c r="X1981" s="54"/>
      <c r="Y1981" s="54"/>
      <c r="Z1981" s="54"/>
      <c r="AA1981" s="54"/>
      <c r="AB1981" s="54"/>
      <c r="AC1981" s="54"/>
      <c r="AD1981" s="54"/>
      <c r="AE1981" s="54"/>
      <c r="AF1981" s="54"/>
      <c r="AG1981" s="54"/>
      <c r="AH1981" s="54"/>
    </row>
    <row r="1982">
      <c r="A1982" s="80"/>
      <c r="B1982" s="80"/>
      <c r="C1982" s="80"/>
      <c r="D1982" s="80"/>
      <c r="E1982" s="80"/>
      <c r="F1982" s="59"/>
      <c r="G1982" s="59"/>
      <c r="H1982" s="83"/>
      <c r="I1982" s="76"/>
      <c r="J1982" s="76"/>
      <c r="K1982" s="81"/>
      <c r="L1982" s="82"/>
      <c r="M1982" s="54"/>
      <c r="N1982" s="54"/>
      <c r="O1982" s="54"/>
      <c r="P1982" s="54"/>
      <c r="Q1982" s="54"/>
      <c r="R1982" s="54"/>
      <c r="S1982" s="54"/>
      <c r="T1982" s="54"/>
      <c r="U1982" s="54"/>
      <c r="V1982" s="54"/>
      <c r="W1982" s="54"/>
      <c r="X1982" s="54"/>
      <c r="Y1982" s="54"/>
      <c r="Z1982" s="54"/>
      <c r="AA1982" s="54"/>
      <c r="AB1982" s="54"/>
      <c r="AC1982" s="54"/>
      <c r="AD1982" s="54"/>
      <c r="AE1982" s="54"/>
      <c r="AF1982" s="54"/>
      <c r="AG1982" s="54"/>
      <c r="AH1982" s="54"/>
    </row>
    <row r="1983">
      <c r="A1983" s="80"/>
      <c r="B1983" s="80"/>
      <c r="C1983" s="80"/>
      <c r="D1983" s="80"/>
      <c r="E1983" s="80"/>
      <c r="F1983" s="59"/>
      <c r="G1983" s="59"/>
      <c r="H1983" s="83"/>
      <c r="I1983" s="76"/>
      <c r="J1983" s="76"/>
      <c r="K1983" s="81"/>
      <c r="L1983" s="82"/>
      <c r="M1983" s="54"/>
      <c r="N1983" s="54"/>
      <c r="O1983" s="54"/>
      <c r="P1983" s="54"/>
      <c r="Q1983" s="54"/>
      <c r="R1983" s="54"/>
      <c r="S1983" s="54"/>
      <c r="T1983" s="54"/>
      <c r="U1983" s="54"/>
      <c r="V1983" s="54"/>
      <c r="W1983" s="54"/>
      <c r="X1983" s="54"/>
      <c r="Y1983" s="54"/>
      <c r="Z1983" s="54"/>
      <c r="AA1983" s="54"/>
      <c r="AB1983" s="54"/>
      <c r="AC1983" s="54"/>
      <c r="AD1983" s="54"/>
      <c r="AE1983" s="54"/>
      <c r="AF1983" s="54"/>
      <c r="AG1983" s="54"/>
      <c r="AH1983" s="54"/>
    </row>
    <row r="1984">
      <c r="A1984" s="80"/>
      <c r="B1984" s="80"/>
      <c r="C1984" s="80"/>
      <c r="D1984" s="80"/>
      <c r="E1984" s="80"/>
      <c r="F1984" s="59"/>
      <c r="G1984" s="59"/>
      <c r="H1984" s="83"/>
      <c r="I1984" s="76"/>
      <c r="J1984" s="76"/>
      <c r="K1984" s="81"/>
      <c r="L1984" s="82"/>
      <c r="M1984" s="54"/>
      <c r="N1984" s="54"/>
      <c r="O1984" s="54"/>
      <c r="P1984" s="54"/>
      <c r="Q1984" s="54"/>
      <c r="R1984" s="54"/>
      <c r="S1984" s="54"/>
      <c r="T1984" s="54"/>
      <c r="U1984" s="54"/>
      <c r="V1984" s="54"/>
      <c r="W1984" s="54"/>
      <c r="X1984" s="54"/>
      <c r="Y1984" s="54"/>
      <c r="Z1984" s="54"/>
      <c r="AA1984" s="54"/>
      <c r="AB1984" s="54"/>
      <c r="AC1984" s="54"/>
      <c r="AD1984" s="54"/>
      <c r="AE1984" s="54"/>
      <c r="AF1984" s="54"/>
      <c r="AG1984" s="54"/>
      <c r="AH1984" s="54"/>
    </row>
    <row r="1985">
      <c r="A1985" s="80"/>
      <c r="B1985" s="80"/>
      <c r="C1985" s="80"/>
      <c r="D1985" s="80"/>
      <c r="E1985" s="80"/>
      <c r="F1985" s="59"/>
      <c r="G1985" s="59"/>
      <c r="H1985" s="83"/>
      <c r="I1985" s="76"/>
      <c r="J1985" s="76"/>
      <c r="K1985" s="81"/>
      <c r="L1985" s="82"/>
      <c r="M1985" s="54"/>
      <c r="N1985" s="54"/>
      <c r="O1985" s="54"/>
      <c r="P1985" s="54"/>
      <c r="Q1985" s="54"/>
      <c r="R1985" s="54"/>
      <c r="S1985" s="54"/>
      <c r="T1985" s="54"/>
      <c r="U1985" s="54"/>
      <c r="V1985" s="54"/>
      <c r="W1985" s="54"/>
      <c r="X1985" s="54"/>
      <c r="Y1985" s="54"/>
      <c r="Z1985" s="54"/>
      <c r="AA1985" s="54"/>
      <c r="AB1985" s="54"/>
      <c r="AC1985" s="54"/>
      <c r="AD1985" s="54"/>
      <c r="AE1985" s="54"/>
      <c r="AF1985" s="54"/>
      <c r="AG1985" s="54"/>
      <c r="AH1985" s="54"/>
    </row>
    <row r="1986">
      <c r="A1986" s="80"/>
      <c r="B1986" s="80"/>
      <c r="C1986" s="80"/>
      <c r="D1986" s="80"/>
      <c r="E1986" s="80"/>
      <c r="F1986" s="59"/>
      <c r="G1986" s="59"/>
      <c r="H1986" s="83"/>
      <c r="I1986" s="76"/>
      <c r="J1986" s="76"/>
      <c r="K1986" s="81"/>
      <c r="L1986" s="82"/>
      <c r="M1986" s="54"/>
      <c r="N1986" s="54"/>
      <c r="O1986" s="54"/>
      <c r="P1986" s="54"/>
      <c r="Q1986" s="54"/>
      <c r="R1986" s="54"/>
      <c r="S1986" s="54"/>
      <c r="T1986" s="54"/>
      <c r="U1986" s="54"/>
      <c r="V1986" s="54"/>
      <c r="W1986" s="54"/>
      <c r="X1986" s="54"/>
      <c r="Y1986" s="54"/>
      <c r="Z1986" s="54"/>
      <c r="AA1986" s="54"/>
      <c r="AB1986" s="54"/>
      <c r="AC1986" s="54"/>
      <c r="AD1986" s="54"/>
      <c r="AE1986" s="54"/>
      <c r="AF1986" s="54"/>
      <c r="AG1986" s="54"/>
      <c r="AH1986" s="54"/>
    </row>
    <row r="1987">
      <c r="A1987" s="80"/>
      <c r="B1987" s="80"/>
      <c r="C1987" s="80"/>
      <c r="D1987" s="80"/>
      <c r="E1987" s="80"/>
      <c r="F1987" s="59"/>
      <c r="G1987" s="59"/>
      <c r="H1987" s="83"/>
      <c r="I1987" s="76"/>
      <c r="J1987" s="76"/>
      <c r="K1987" s="81"/>
      <c r="L1987" s="82"/>
      <c r="M1987" s="54"/>
      <c r="N1987" s="54"/>
      <c r="O1987" s="54"/>
      <c r="P1987" s="54"/>
      <c r="Q1987" s="54"/>
      <c r="R1987" s="54"/>
      <c r="S1987" s="54"/>
      <c r="T1987" s="54"/>
      <c r="U1987" s="54"/>
      <c r="V1987" s="54"/>
      <c r="W1987" s="54"/>
      <c r="X1987" s="54"/>
      <c r="Y1987" s="54"/>
      <c r="Z1987" s="54"/>
      <c r="AA1987" s="54"/>
      <c r="AB1987" s="54"/>
      <c r="AC1987" s="54"/>
      <c r="AD1987" s="54"/>
      <c r="AE1987" s="54"/>
      <c r="AF1987" s="54"/>
      <c r="AG1987" s="54"/>
      <c r="AH1987" s="54"/>
    </row>
    <row r="1988">
      <c r="A1988" s="80"/>
      <c r="B1988" s="80"/>
      <c r="C1988" s="80"/>
      <c r="D1988" s="80"/>
      <c r="E1988" s="80"/>
      <c r="F1988" s="59"/>
      <c r="G1988" s="59"/>
      <c r="H1988" s="83"/>
      <c r="I1988" s="76"/>
      <c r="J1988" s="76"/>
      <c r="K1988" s="81"/>
      <c r="L1988" s="82"/>
      <c r="M1988" s="54"/>
      <c r="N1988" s="54"/>
      <c r="O1988" s="54"/>
      <c r="P1988" s="54"/>
      <c r="Q1988" s="54"/>
      <c r="R1988" s="54"/>
      <c r="S1988" s="54"/>
      <c r="T1988" s="54"/>
      <c r="U1988" s="54"/>
      <c r="V1988" s="54"/>
      <c r="W1988" s="54"/>
      <c r="X1988" s="54"/>
      <c r="Y1988" s="54"/>
      <c r="Z1988" s="54"/>
      <c r="AA1988" s="54"/>
      <c r="AB1988" s="54"/>
      <c r="AC1988" s="54"/>
      <c r="AD1988" s="54"/>
      <c r="AE1988" s="54"/>
      <c r="AF1988" s="54"/>
      <c r="AG1988" s="54"/>
      <c r="AH1988" s="54"/>
    </row>
    <row r="1989">
      <c r="A1989" s="80"/>
      <c r="B1989" s="80"/>
      <c r="C1989" s="80"/>
      <c r="D1989" s="80"/>
      <c r="E1989" s="80"/>
      <c r="F1989" s="59"/>
      <c r="G1989" s="59"/>
      <c r="H1989" s="83"/>
      <c r="I1989" s="76"/>
      <c r="J1989" s="76"/>
      <c r="K1989" s="81"/>
      <c r="L1989" s="82"/>
      <c r="M1989" s="54"/>
      <c r="N1989" s="54"/>
      <c r="O1989" s="54"/>
      <c r="P1989" s="54"/>
      <c r="Q1989" s="54"/>
      <c r="R1989" s="54"/>
      <c r="S1989" s="54"/>
      <c r="T1989" s="54"/>
      <c r="U1989" s="54"/>
      <c r="V1989" s="54"/>
      <c r="W1989" s="54"/>
      <c r="X1989" s="54"/>
      <c r="Y1989" s="54"/>
      <c r="Z1989" s="54"/>
      <c r="AA1989" s="54"/>
      <c r="AB1989" s="54"/>
      <c r="AC1989" s="54"/>
      <c r="AD1989" s="54"/>
      <c r="AE1989" s="54"/>
      <c r="AF1989" s="54"/>
      <c r="AG1989" s="54"/>
      <c r="AH1989" s="54"/>
    </row>
    <row r="1990">
      <c r="A1990" s="80"/>
      <c r="B1990" s="80"/>
      <c r="C1990" s="80"/>
      <c r="D1990" s="80"/>
      <c r="E1990" s="80"/>
      <c r="F1990" s="59"/>
      <c r="G1990" s="59"/>
      <c r="H1990" s="83"/>
      <c r="I1990" s="76"/>
      <c r="J1990" s="76"/>
      <c r="K1990" s="81"/>
      <c r="L1990" s="82"/>
      <c r="M1990" s="54"/>
      <c r="N1990" s="54"/>
      <c r="O1990" s="54"/>
      <c r="P1990" s="54"/>
      <c r="Q1990" s="54"/>
      <c r="R1990" s="54"/>
      <c r="S1990" s="54"/>
      <c r="T1990" s="54"/>
      <c r="U1990" s="54"/>
      <c r="V1990" s="54"/>
      <c r="W1990" s="54"/>
      <c r="X1990" s="54"/>
      <c r="Y1990" s="54"/>
      <c r="Z1990" s="54"/>
      <c r="AA1990" s="54"/>
      <c r="AB1990" s="54"/>
      <c r="AC1990" s="54"/>
      <c r="AD1990" s="54"/>
      <c r="AE1990" s="54"/>
      <c r="AF1990" s="54"/>
      <c r="AG1990" s="54"/>
      <c r="AH1990" s="54"/>
    </row>
    <row r="1991">
      <c r="A1991" s="80"/>
      <c r="B1991" s="80"/>
      <c r="C1991" s="80"/>
      <c r="D1991" s="80"/>
      <c r="E1991" s="80"/>
      <c r="F1991" s="59"/>
      <c r="G1991" s="59"/>
      <c r="H1991" s="83"/>
      <c r="I1991" s="76"/>
      <c r="J1991" s="76"/>
      <c r="K1991" s="81"/>
      <c r="L1991" s="82"/>
      <c r="M1991" s="54"/>
      <c r="N1991" s="54"/>
      <c r="O1991" s="54"/>
      <c r="P1991" s="54"/>
      <c r="Q1991" s="54"/>
      <c r="R1991" s="54"/>
      <c r="S1991" s="54"/>
      <c r="T1991" s="54"/>
      <c r="U1991" s="54"/>
      <c r="V1991" s="54"/>
      <c r="W1991" s="54"/>
      <c r="X1991" s="54"/>
      <c r="Y1991" s="54"/>
      <c r="Z1991" s="54"/>
      <c r="AA1991" s="54"/>
      <c r="AB1991" s="54"/>
      <c r="AC1991" s="54"/>
      <c r="AD1991" s="54"/>
      <c r="AE1991" s="54"/>
      <c r="AF1991" s="54"/>
      <c r="AG1991" s="54"/>
      <c r="AH1991" s="54"/>
    </row>
    <row r="1992">
      <c r="A1992" s="80"/>
      <c r="B1992" s="80"/>
      <c r="C1992" s="80"/>
      <c r="D1992" s="80"/>
      <c r="E1992" s="80"/>
      <c r="F1992" s="59"/>
      <c r="G1992" s="59"/>
      <c r="H1992" s="83"/>
      <c r="I1992" s="76"/>
      <c r="J1992" s="76"/>
      <c r="K1992" s="81"/>
      <c r="L1992" s="82"/>
      <c r="M1992" s="54"/>
      <c r="N1992" s="54"/>
      <c r="O1992" s="54"/>
      <c r="P1992" s="54"/>
      <c r="Q1992" s="54"/>
      <c r="R1992" s="54"/>
      <c r="S1992" s="54"/>
      <c r="T1992" s="54"/>
      <c r="U1992" s="54"/>
      <c r="V1992" s="54"/>
      <c r="W1992" s="54"/>
      <c r="X1992" s="54"/>
      <c r="Y1992" s="54"/>
      <c r="Z1992" s="54"/>
      <c r="AA1992" s="54"/>
      <c r="AB1992" s="54"/>
      <c r="AC1992" s="54"/>
      <c r="AD1992" s="54"/>
      <c r="AE1992" s="54"/>
      <c r="AF1992" s="54"/>
      <c r="AG1992" s="54"/>
      <c r="AH1992" s="54"/>
    </row>
    <row r="1993">
      <c r="A1993" s="80"/>
      <c r="B1993" s="80"/>
      <c r="C1993" s="80"/>
      <c r="D1993" s="80"/>
      <c r="E1993" s="80"/>
      <c r="F1993" s="59"/>
      <c r="G1993" s="59"/>
      <c r="H1993" s="83"/>
      <c r="I1993" s="76"/>
      <c r="J1993" s="76"/>
      <c r="K1993" s="81"/>
      <c r="L1993" s="82"/>
      <c r="M1993" s="54"/>
      <c r="N1993" s="54"/>
      <c r="O1993" s="54"/>
      <c r="P1993" s="54"/>
      <c r="Q1993" s="54"/>
      <c r="R1993" s="54"/>
      <c r="S1993" s="54"/>
      <c r="T1993" s="54"/>
      <c r="U1993" s="54"/>
      <c r="V1993" s="54"/>
      <c r="W1993" s="54"/>
      <c r="X1993" s="54"/>
      <c r="Y1993" s="54"/>
      <c r="Z1993" s="54"/>
      <c r="AA1993" s="54"/>
      <c r="AB1993" s="54"/>
      <c r="AC1993" s="54"/>
      <c r="AD1993" s="54"/>
      <c r="AE1993" s="54"/>
      <c r="AF1993" s="54"/>
      <c r="AG1993" s="54"/>
      <c r="AH1993" s="54"/>
    </row>
    <row r="1994">
      <c r="A1994" s="80"/>
      <c r="B1994" s="80"/>
      <c r="C1994" s="80"/>
      <c r="D1994" s="80"/>
      <c r="E1994" s="80"/>
      <c r="F1994" s="59"/>
      <c r="G1994" s="59"/>
      <c r="H1994" s="83"/>
      <c r="I1994" s="76"/>
      <c r="J1994" s="76"/>
      <c r="K1994" s="81"/>
      <c r="L1994" s="82"/>
      <c r="M1994" s="54"/>
      <c r="N1994" s="54"/>
      <c r="O1994" s="54"/>
      <c r="P1994" s="54"/>
      <c r="Q1994" s="54"/>
      <c r="R1994" s="54"/>
      <c r="S1994" s="54"/>
      <c r="T1994" s="54"/>
      <c r="U1994" s="54"/>
      <c r="V1994" s="54"/>
      <c r="W1994" s="54"/>
      <c r="X1994" s="54"/>
      <c r="Y1994" s="54"/>
      <c r="Z1994" s="54"/>
      <c r="AA1994" s="54"/>
      <c r="AB1994" s="54"/>
      <c r="AC1994" s="54"/>
      <c r="AD1994" s="54"/>
      <c r="AE1994" s="54"/>
      <c r="AF1994" s="54"/>
      <c r="AG1994" s="54"/>
      <c r="AH1994" s="54"/>
    </row>
    <row r="1995">
      <c r="A1995" s="80"/>
      <c r="B1995" s="80"/>
      <c r="C1995" s="80"/>
      <c r="D1995" s="80"/>
      <c r="E1995" s="80"/>
      <c r="F1995" s="59"/>
      <c r="G1995" s="59"/>
      <c r="H1995" s="83"/>
      <c r="I1995" s="76"/>
      <c r="J1995" s="76"/>
      <c r="K1995" s="81"/>
      <c r="L1995" s="82"/>
      <c r="M1995" s="54"/>
      <c r="N1995" s="54"/>
      <c r="O1995" s="54"/>
      <c r="P1995" s="54"/>
      <c r="Q1995" s="54"/>
      <c r="R1995" s="54"/>
      <c r="S1995" s="54"/>
      <c r="T1995" s="54"/>
      <c r="U1995" s="54"/>
      <c r="V1995" s="54"/>
      <c r="W1995" s="54"/>
      <c r="X1995" s="54"/>
      <c r="Y1995" s="54"/>
      <c r="Z1995" s="54"/>
      <c r="AA1995" s="54"/>
      <c r="AB1995" s="54"/>
      <c r="AC1995" s="54"/>
      <c r="AD1995" s="54"/>
      <c r="AE1995" s="54"/>
      <c r="AF1995" s="54"/>
      <c r="AG1995" s="54"/>
      <c r="AH1995" s="54"/>
    </row>
    <row r="1996">
      <c r="A1996" s="80"/>
      <c r="B1996" s="80"/>
      <c r="C1996" s="80"/>
      <c r="D1996" s="80"/>
      <c r="E1996" s="80"/>
      <c r="F1996" s="59"/>
      <c r="G1996" s="59"/>
      <c r="H1996" s="83"/>
      <c r="I1996" s="76"/>
      <c r="J1996" s="76"/>
      <c r="K1996" s="81"/>
      <c r="L1996" s="82"/>
      <c r="M1996" s="54"/>
      <c r="N1996" s="54"/>
      <c r="O1996" s="54"/>
      <c r="P1996" s="54"/>
      <c r="Q1996" s="54"/>
      <c r="R1996" s="54"/>
      <c r="S1996" s="54"/>
      <c r="T1996" s="54"/>
      <c r="U1996" s="54"/>
      <c r="V1996" s="54"/>
      <c r="W1996" s="54"/>
      <c r="X1996" s="54"/>
      <c r="Y1996" s="54"/>
      <c r="Z1996" s="54"/>
      <c r="AA1996" s="54"/>
      <c r="AB1996" s="54"/>
      <c r="AC1996" s="54"/>
      <c r="AD1996" s="54"/>
      <c r="AE1996" s="54"/>
      <c r="AF1996" s="54"/>
      <c r="AG1996" s="54"/>
      <c r="AH1996" s="54"/>
    </row>
    <row r="1997">
      <c r="A1997" s="80"/>
      <c r="B1997" s="80"/>
      <c r="C1997" s="80"/>
      <c r="D1997" s="80"/>
      <c r="E1997" s="80"/>
      <c r="F1997" s="59"/>
      <c r="G1997" s="59"/>
      <c r="H1997" s="83"/>
      <c r="I1997" s="76"/>
      <c r="J1997" s="76"/>
      <c r="K1997" s="81"/>
      <c r="L1997" s="82"/>
      <c r="M1997" s="54"/>
      <c r="N1997" s="54"/>
      <c r="O1997" s="54"/>
      <c r="P1997" s="54"/>
      <c r="Q1997" s="54"/>
      <c r="R1997" s="54"/>
      <c r="S1997" s="54"/>
      <c r="T1997" s="54"/>
      <c r="U1997" s="54"/>
      <c r="V1997" s="54"/>
      <c r="W1997" s="54"/>
      <c r="X1997" s="54"/>
      <c r="Y1997" s="54"/>
      <c r="Z1997" s="54"/>
      <c r="AA1997" s="54"/>
      <c r="AB1997" s="54"/>
      <c r="AC1997" s="54"/>
      <c r="AD1997" s="54"/>
      <c r="AE1997" s="54"/>
      <c r="AF1997" s="54"/>
      <c r="AG1997" s="54"/>
      <c r="AH1997" s="54"/>
    </row>
    <row r="1998">
      <c r="A1998" s="80"/>
      <c r="B1998" s="80"/>
      <c r="C1998" s="80"/>
      <c r="D1998" s="80"/>
      <c r="E1998" s="80"/>
      <c r="F1998" s="59"/>
      <c r="G1998" s="59"/>
      <c r="H1998" s="83"/>
      <c r="I1998" s="76"/>
      <c r="J1998" s="76"/>
      <c r="K1998" s="81"/>
      <c r="L1998" s="82"/>
      <c r="M1998" s="54"/>
      <c r="N1998" s="54"/>
      <c r="O1998" s="54"/>
      <c r="P1998" s="54"/>
      <c r="Q1998" s="54"/>
      <c r="R1998" s="54"/>
      <c r="S1998" s="54"/>
      <c r="T1998" s="54"/>
      <c r="U1998" s="54"/>
      <c r="V1998" s="54"/>
      <c r="W1998" s="54"/>
      <c r="X1998" s="54"/>
      <c r="Y1998" s="54"/>
      <c r="Z1998" s="54"/>
      <c r="AA1998" s="54"/>
      <c r="AB1998" s="54"/>
      <c r="AC1998" s="54"/>
      <c r="AD1998" s="54"/>
      <c r="AE1998" s="54"/>
      <c r="AF1998" s="54"/>
      <c r="AG1998" s="54"/>
      <c r="AH1998" s="54"/>
    </row>
    <row r="1999">
      <c r="A1999" s="80"/>
      <c r="B1999" s="80"/>
      <c r="C1999" s="80"/>
      <c r="D1999" s="80"/>
      <c r="E1999" s="80"/>
      <c r="F1999" s="59"/>
      <c r="G1999" s="59"/>
      <c r="H1999" s="83"/>
      <c r="I1999" s="76"/>
      <c r="J1999" s="76"/>
      <c r="K1999" s="81"/>
      <c r="L1999" s="82"/>
      <c r="M1999" s="54"/>
      <c r="N1999" s="54"/>
      <c r="O1999" s="54"/>
      <c r="P1999" s="54"/>
      <c r="Q1999" s="54"/>
      <c r="R1999" s="54"/>
      <c r="S1999" s="54"/>
      <c r="T1999" s="54"/>
      <c r="U1999" s="54"/>
      <c r="V1999" s="54"/>
      <c r="W1999" s="54"/>
      <c r="X1999" s="54"/>
      <c r="Y1999" s="54"/>
      <c r="Z1999" s="54"/>
      <c r="AA1999" s="54"/>
      <c r="AB1999" s="54"/>
      <c r="AC1999" s="54"/>
      <c r="AD1999" s="54"/>
      <c r="AE1999" s="54"/>
      <c r="AF1999" s="54"/>
      <c r="AG1999" s="54"/>
      <c r="AH1999" s="54"/>
    </row>
    <row r="2000">
      <c r="A2000" s="80"/>
      <c r="B2000" s="80"/>
      <c r="C2000" s="80"/>
      <c r="D2000" s="80"/>
      <c r="E2000" s="80"/>
      <c r="F2000" s="59"/>
      <c r="G2000" s="59"/>
      <c r="H2000" s="83"/>
      <c r="I2000" s="76"/>
      <c r="J2000" s="76"/>
      <c r="K2000" s="81"/>
      <c r="L2000" s="82"/>
      <c r="M2000" s="54"/>
      <c r="N2000" s="54"/>
      <c r="O2000" s="54"/>
      <c r="P2000" s="54"/>
      <c r="Q2000" s="54"/>
      <c r="R2000" s="54"/>
      <c r="S2000" s="54"/>
      <c r="T2000" s="54"/>
      <c r="U2000" s="54"/>
      <c r="V2000" s="54"/>
      <c r="W2000" s="54"/>
      <c r="X2000" s="54"/>
      <c r="Y2000" s="54"/>
      <c r="Z2000" s="54"/>
      <c r="AA2000" s="54"/>
      <c r="AB2000" s="54"/>
      <c r="AC2000" s="54"/>
      <c r="AD2000" s="54"/>
      <c r="AE2000" s="54"/>
      <c r="AF2000" s="54"/>
      <c r="AG2000" s="54"/>
      <c r="AH2000" s="54"/>
    </row>
    <row r="2001">
      <c r="A2001" s="80"/>
      <c r="B2001" s="80"/>
      <c r="C2001" s="80"/>
      <c r="D2001" s="80"/>
      <c r="E2001" s="80"/>
      <c r="F2001" s="59"/>
      <c r="G2001" s="59"/>
      <c r="H2001" s="83"/>
      <c r="I2001" s="76"/>
      <c r="J2001" s="76"/>
      <c r="K2001" s="81"/>
      <c r="L2001" s="82"/>
      <c r="M2001" s="54"/>
      <c r="N2001" s="54"/>
      <c r="O2001" s="54"/>
      <c r="P2001" s="54"/>
      <c r="Q2001" s="54"/>
      <c r="R2001" s="54"/>
      <c r="S2001" s="54"/>
      <c r="T2001" s="54"/>
      <c r="U2001" s="54"/>
      <c r="V2001" s="54"/>
      <c r="W2001" s="54"/>
      <c r="X2001" s="54"/>
      <c r="Y2001" s="54"/>
      <c r="Z2001" s="54"/>
      <c r="AA2001" s="54"/>
      <c r="AB2001" s="54"/>
      <c r="AC2001" s="54"/>
      <c r="AD2001" s="54"/>
      <c r="AE2001" s="54"/>
      <c r="AF2001" s="54"/>
      <c r="AG2001" s="54"/>
      <c r="AH2001" s="54"/>
    </row>
    <row r="2002">
      <c r="A2002" s="80"/>
      <c r="B2002" s="80"/>
      <c r="C2002" s="80"/>
      <c r="D2002" s="80"/>
      <c r="E2002" s="80"/>
      <c r="F2002" s="59"/>
      <c r="G2002" s="59"/>
      <c r="H2002" s="83"/>
      <c r="I2002" s="76"/>
      <c r="J2002" s="76"/>
      <c r="K2002" s="81"/>
      <c r="L2002" s="82"/>
      <c r="M2002" s="54"/>
      <c r="N2002" s="54"/>
      <c r="O2002" s="54"/>
      <c r="P2002" s="54"/>
      <c r="Q2002" s="54"/>
      <c r="R2002" s="54"/>
      <c r="S2002" s="54"/>
      <c r="T2002" s="54"/>
      <c r="U2002" s="54"/>
      <c r="V2002" s="54"/>
      <c r="W2002" s="54"/>
      <c r="X2002" s="54"/>
      <c r="Y2002" s="54"/>
      <c r="Z2002" s="54"/>
      <c r="AA2002" s="54"/>
      <c r="AB2002" s="54"/>
      <c r="AC2002" s="54"/>
      <c r="AD2002" s="54"/>
      <c r="AE2002" s="54"/>
      <c r="AF2002" s="54"/>
      <c r="AG2002" s="54"/>
      <c r="AH2002" s="54"/>
    </row>
    <row r="2003">
      <c r="A2003" s="80"/>
      <c r="B2003" s="80"/>
      <c r="C2003" s="80"/>
      <c r="D2003" s="80"/>
      <c r="E2003" s="80"/>
      <c r="F2003" s="59"/>
      <c r="G2003" s="59"/>
      <c r="H2003" s="83"/>
      <c r="I2003" s="76"/>
      <c r="J2003" s="76"/>
      <c r="K2003" s="81"/>
      <c r="L2003" s="82"/>
      <c r="M2003" s="54"/>
      <c r="N2003" s="54"/>
      <c r="O2003" s="54"/>
      <c r="P2003" s="54"/>
      <c r="Q2003" s="54"/>
      <c r="R2003" s="54"/>
      <c r="S2003" s="54"/>
      <c r="T2003" s="54"/>
      <c r="U2003" s="54"/>
      <c r="V2003" s="54"/>
      <c r="W2003" s="54"/>
      <c r="X2003" s="54"/>
      <c r="Y2003" s="54"/>
      <c r="Z2003" s="54"/>
      <c r="AA2003" s="54"/>
      <c r="AB2003" s="54"/>
      <c r="AC2003" s="54"/>
      <c r="AD2003" s="54"/>
      <c r="AE2003" s="54"/>
      <c r="AF2003" s="54"/>
      <c r="AG2003" s="54"/>
      <c r="AH2003" s="54"/>
    </row>
    <row r="2004">
      <c r="A2004" s="80"/>
      <c r="B2004" s="80"/>
      <c r="C2004" s="80"/>
      <c r="D2004" s="80"/>
      <c r="E2004" s="80"/>
      <c r="F2004" s="59"/>
      <c r="G2004" s="59"/>
      <c r="H2004" s="83"/>
      <c r="I2004" s="76"/>
      <c r="J2004" s="76"/>
      <c r="K2004" s="81"/>
      <c r="L2004" s="82"/>
      <c r="M2004" s="54"/>
      <c r="N2004" s="54"/>
      <c r="O2004" s="54"/>
      <c r="P2004" s="54"/>
      <c r="Q2004" s="54"/>
      <c r="R2004" s="54"/>
      <c r="S2004" s="54"/>
      <c r="T2004" s="54"/>
      <c r="U2004" s="54"/>
      <c r="V2004" s="54"/>
      <c r="W2004" s="54"/>
      <c r="X2004" s="54"/>
      <c r="Y2004" s="54"/>
      <c r="Z2004" s="54"/>
      <c r="AA2004" s="54"/>
      <c r="AB2004" s="54"/>
      <c r="AC2004" s="54"/>
      <c r="AD2004" s="54"/>
      <c r="AE2004" s="54"/>
      <c r="AF2004" s="54"/>
      <c r="AG2004" s="54"/>
      <c r="AH2004" s="54"/>
    </row>
    <row r="2005">
      <c r="A2005" s="80"/>
      <c r="B2005" s="80"/>
      <c r="C2005" s="80"/>
      <c r="D2005" s="80"/>
      <c r="E2005" s="80"/>
      <c r="F2005" s="59"/>
      <c r="G2005" s="59"/>
      <c r="H2005" s="83"/>
      <c r="I2005" s="76"/>
      <c r="J2005" s="76"/>
      <c r="K2005" s="81"/>
      <c r="L2005" s="82"/>
      <c r="M2005" s="54"/>
      <c r="N2005" s="54"/>
      <c r="O2005" s="54"/>
      <c r="P2005" s="54"/>
      <c r="Q2005" s="54"/>
      <c r="R2005" s="54"/>
      <c r="S2005" s="54"/>
      <c r="T2005" s="54"/>
      <c r="U2005" s="54"/>
      <c r="V2005" s="54"/>
      <c r="W2005" s="54"/>
      <c r="X2005" s="54"/>
      <c r="Y2005" s="54"/>
      <c r="Z2005" s="54"/>
      <c r="AA2005" s="54"/>
      <c r="AB2005" s="54"/>
      <c r="AC2005" s="54"/>
      <c r="AD2005" s="54"/>
      <c r="AE2005" s="54"/>
      <c r="AF2005" s="54"/>
      <c r="AG2005" s="54"/>
      <c r="AH2005" s="54"/>
    </row>
    <row r="2006">
      <c r="A2006" s="80"/>
      <c r="B2006" s="80"/>
      <c r="C2006" s="80"/>
      <c r="D2006" s="80"/>
      <c r="E2006" s="80"/>
      <c r="F2006" s="59"/>
      <c r="G2006" s="59"/>
      <c r="H2006" s="83"/>
      <c r="I2006" s="76"/>
      <c r="J2006" s="76"/>
      <c r="K2006" s="81"/>
      <c r="L2006" s="82"/>
      <c r="M2006" s="54"/>
      <c r="N2006" s="54"/>
      <c r="O2006" s="54"/>
      <c r="P2006" s="54"/>
      <c r="Q2006" s="54"/>
      <c r="R2006" s="54"/>
      <c r="S2006" s="54"/>
      <c r="T2006" s="54"/>
      <c r="U2006" s="54"/>
      <c r="V2006" s="54"/>
      <c r="W2006" s="54"/>
      <c r="X2006" s="54"/>
      <c r="Y2006" s="54"/>
      <c r="Z2006" s="54"/>
      <c r="AA2006" s="54"/>
      <c r="AB2006" s="54"/>
      <c r="AC2006" s="54"/>
      <c r="AD2006" s="54"/>
      <c r="AE2006" s="54"/>
      <c r="AF2006" s="54"/>
      <c r="AG2006" s="54"/>
      <c r="AH2006" s="54"/>
    </row>
    <row r="2007">
      <c r="A2007" s="80"/>
      <c r="B2007" s="80"/>
      <c r="C2007" s="80"/>
      <c r="D2007" s="80"/>
      <c r="E2007" s="80"/>
      <c r="F2007" s="59"/>
      <c r="G2007" s="59"/>
      <c r="H2007" s="83"/>
      <c r="I2007" s="76"/>
      <c r="J2007" s="76"/>
      <c r="K2007" s="81"/>
      <c r="L2007" s="82"/>
      <c r="M2007" s="54"/>
      <c r="N2007" s="54"/>
      <c r="O2007" s="54"/>
      <c r="P2007" s="54"/>
      <c r="Q2007" s="54"/>
      <c r="R2007" s="54"/>
      <c r="S2007" s="54"/>
      <c r="T2007" s="54"/>
      <c r="U2007" s="54"/>
      <c r="V2007" s="54"/>
      <c r="W2007" s="54"/>
      <c r="X2007" s="54"/>
      <c r="Y2007" s="54"/>
      <c r="Z2007" s="54"/>
      <c r="AA2007" s="54"/>
      <c r="AB2007" s="54"/>
      <c r="AC2007" s="54"/>
      <c r="AD2007" s="54"/>
      <c r="AE2007" s="54"/>
      <c r="AF2007" s="54"/>
      <c r="AG2007" s="54"/>
      <c r="AH2007" s="54"/>
    </row>
    <row r="2008">
      <c r="A2008" s="80"/>
      <c r="B2008" s="80"/>
      <c r="C2008" s="80"/>
      <c r="D2008" s="80"/>
      <c r="E2008" s="80"/>
      <c r="F2008" s="59"/>
      <c r="G2008" s="59"/>
      <c r="H2008" s="83"/>
      <c r="I2008" s="76"/>
      <c r="J2008" s="76"/>
      <c r="K2008" s="81"/>
      <c r="L2008" s="82"/>
      <c r="M2008" s="54"/>
      <c r="N2008" s="54"/>
      <c r="O2008" s="54"/>
      <c r="P2008" s="54"/>
      <c r="Q2008" s="54"/>
      <c r="R2008" s="54"/>
      <c r="S2008" s="54"/>
      <c r="T2008" s="54"/>
      <c r="U2008" s="54"/>
      <c r="V2008" s="54"/>
      <c r="W2008" s="54"/>
      <c r="X2008" s="54"/>
      <c r="Y2008" s="54"/>
      <c r="Z2008" s="54"/>
      <c r="AA2008" s="54"/>
      <c r="AB2008" s="54"/>
      <c r="AC2008" s="54"/>
      <c r="AD2008" s="54"/>
      <c r="AE2008" s="54"/>
      <c r="AF2008" s="54"/>
      <c r="AG2008" s="54"/>
      <c r="AH2008" s="54"/>
    </row>
    <row r="2009">
      <c r="A2009" s="80"/>
      <c r="B2009" s="80"/>
      <c r="C2009" s="80"/>
      <c r="D2009" s="80"/>
      <c r="E2009" s="80"/>
      <c r="F2009" s="59"/>
      <c r="G2009" s="59"/>
      <c r="H2009" s="83"/>
      <c r="I2009" s="76"/>
      <c r="J2009" s="76"/>
      <c r="K2009" s="81"/>
      <c r="L2009" s="82"/>
      <c r="M2009" s="54"/>
      <c r="N2009" s="54"/>
      <c r="O2009" s="54"/>
      <c r="P2009" s="54"/>
      <c r="Q2009" s="54"/>
      <c r="R2009" s="54"/>
      <c r="S2009" s="54"/>
      <c r="T2009" s="54"/>
      <c r="U2009" s="54"/>
      <c r="V2009" s="54"/>
      <c r="W2009" s="54"/>
      <c r="X2009" s="54"/>
      <c r="Y2009" s="54"/>
      <c r="Z2009" s="54"/>
      <c r="AA2009" s="54"/>
      <c r="AB2009" s="54"/>
      <c r="AC2009" s="54"/>
      <c r="AD2009" s="54"/>
      <c r="AE2009" s="54"/>
      <c r="AF2009" s="54"/>
      <c r="AG2009" s="54"/>
      <c r="AH2009" s="54"/>
    </row>
    <row r="2010">
      <c r="A2010" s="80"/>
      <c r="B2010" s="80"/>
      <c r="C2010" s="80"/>
      <c r="D2010" s="80"/>
      <c r="E2010" s="80"/>
      <c r="F2010" s="59"/>
      <c r="G2010" s="59"/>
      <c r="H2010" s="83"/>
      <c r="I2010" s="76"/>
      <c r="J2010" s="76"/>
      <c r="K2010" s="81"/>
      <c r="L2010" s="82"/>
      <c r="M2010" s="54"/>
      <c r="N2010" s="54"/>
      <c r="O2010" s="54"/>
      <c r="P2010" s="54"/>
      <c r="Q2010" s="54"/>
      <c r="R2010" s="54"/>
      <c r="S2010" s="54"/>
      <c r="T2010" s="54"/>
      <c r="U2010" s="54"/>
      <c r="V2010" s="54"/>
      <c r="W2010" s="54"/>
      <c r="X2010" s="54"/>
      <c r="Y2010" s="54"/>
      <c r="Z2010" s="54"/>
      <c r="AA2010" s="54"/>
      <c r="AB2010" s="54"/>
      <c r="AC2010" s="54"/>
      <c r="AD2010" s="54"/>
      <c r="AE2010" s="54"/>
      <c r="AF2010" s="54"/>
      <c r="AG2010" s="54"/>
      <c r="AH2010" s="54"/>
    </row>
    <row r="2011">
      <c r="A2011" s="80"/>
      <c r="B2011" s="80"/>
      <c r="C2011" s="80"/>
      <c r="D2011" s="80"/>
      <c r="E2011" s="80"/>
      <c r="F2011" s="59"/>
      <c r="G2011" s="59"/>
      <c r="H2011" s="83"/>
      <c r="I2011" s="76"/>
      <c r="J2011" s="76"/>
      <c r="K2011" s="81"/>
      <c r="L2011" s="82"/>
      <c r="M2011" s="54"/>
      <c r="N2011" s="54"/>
      <c r="O2011" s="54"/>
      <c r="P2011" s="54"/>
      <c r="Q2011" s="54"/>
      <c r="R2011" s="54"/>
      <c r="S2011" s="54"/>
      <c r="T2011" s="54"/>
      <c r="U2011" s="54"/>
      <c r="V2011" s="54"/>
      <c r="W2011" s="54"/>
      <c r="X2011" s="54"/>
      <c r="Y2011" s="54"/>
      <c r="Z2011" s="54"/>
      <c r="AA2011" s="54"/>
      <c r="AB2011" s="54"/>
      <c r="AC2011" s="54"/>
      <c r="AD2011" s="54"/>
      <c r="AE2011" s="54"/>
      <c r="AF2011" s="54"/>
      <c r="AG2011" s="54"/>
      <c r="AH2011" s="54"/>
    </row>
    <row r="2012">
      <c r="A2012" s="80"/>
      <c r="B2012" s="80"/>
      <c r="C2012" s="80"/>
      <c r="D2012" s="80"/>
      <c r="E2012" s="80"/>
      <c r="F2012" s="59"/>
      <c r="G2012" s="59"/>
      <c r="H2012" s="83"/>
      <c r="I2012" s="76"/>
      <c r="J2012" s="76"/>
      <c r="K2012" s="81"/>
      <c r="L2012" s="82"/>
      <c r="M2012" s="54"/>
      <c r="N2012" s="54"/>
      <c r="O2012" s="54"/>
      <c r="P2012" s="54"/>
      <c r="Q2012" s="54"/>
      <c r="R2012" s="54"/>
      <c r="S2012" s="54"/>
      <c r="T2012" s="54"/>
      <c r="U2012" s="54"/>
      <c r="V2012" s="54"/>
      <c r="W2012" s="54"/>
      <c r="X2012" s="54"/>
      <c r="Y2012" s="54"/>
      <c r="Z2012" s="54"/>
      <c r="AA2012" s="54"/>
      <c r="AB2012" s="54"/>
      <c r="AC2012" s="54"/>
      <c r="AD2012" s="54"/>
      <c r="AE2012" s="54"/>
      <c r="AF2012" s="54"/>
      <c r="AG2012" s="54"/>
      <c r="AH2012" s="54"/>
    </row>
    <row r="2013">
      <c r="A2013" s="80"/>
      <c r="B2013" s="80"/>
      <c r="C2013" s="80"/>
      <c r="D2013" s="80"/>
      <c r="E2013" s="80"/>
      <c r="F2013" s="59"/>
      <c r="G2013" s="59"/>
      <c r="H2013" s="83"/>
      <c r="I2013" s="76"/>
      <c r="J2013" s="76"/>
      <c r="K2013" s="81"/>
      <c r="L2013" s="82"/>
      <c r="M2013" s="54"/>
      <c r="N2013" s="54"/>
      <c r="O2013" s="54"/>
      <c r="P2013" s="54"/>
      <c r="Q2013" s="54"/>
      <c r="R2013" s="54"/>
      <c r="S2013" s="54"/>
      <c r="T2013" s="54"/>
      <c r="U2013" s="54"/>
      <c r="V2013" s="54"/>
      <c r="W2013" s="54"/>
      <c r="X2013" s="54"/>
      <c r="Y2013" s="54"/>
      <c r="Z2013" s="54"/>
      <c r="AA2013" s="54"/>
      <c r="AB2013" s="54"/>
      <c r="AC2013" s="54"/>
      <c r="AD2013" s="54"/>
      <c r="AE2013" s="54"/>
      <c r="AF2013" s="54"/>
      <c r="AG2013" s="54"/>
      <c r="AH2013" s="54"/>
    </row>
    <row r="2014">
      <c r="A2014" s="80"/>
      <c r="B2014" s="80"/>
      <c r="C2014" s="80"/>
      <c r="D2014" s="80"/>
      <c r="E2014" s="80"/>
      <c r="F2014" s="59"/>
      <c r="G2014" s="59"/>
      <c r="H2014" s="83"/>
      <c r="I2014" s="76"/>
      <c r="J2014" s="76"/>
      <c r="K2014" s="81"/>
      <c r="L2014" s="82"/>
      <c r="M2014" s="54"/>
      <c r="N2014" s="54"/>
      <c r="O2014" s="54"/>
      <c r="P2014" s="54"/>
      <c r="Q2014" s="54"/>
      <c r="R2014" s="54"/>
      <c r="S2014" s="54"/>
      <c r="T2014" s="54"/>
      <c r="U2014" s="54"/>
      <c r="V2014" s="54"/>
      <c r="W2014" s="54"/>
      <c r="X2014" s="54"/>
      <c r="Y2014" s="54"/>
      <c r="Z2014" s="54"/>
      <c r="AA2014" s="54"/>
      <c r="AB2014" s="54"/>
      <c r="AC2014" s="54"/>
      <c r="AD2014" s="54"/>
      <c r="AE2014" s="54"/>
      <c r="AF2014" s="54"/>
      <c r="AG2014" s="54"/>
      <c r="AH2014" s="54"/>
    </row>
    <row r="2015">
      <c r="A2015" s="80"/>
      <c r="B2015" s="80"/>
      <c r="C2015" s="80"/>
      <c r="D2015" s="80"/>
      <c r="E2015" s="80"/>
      <c r="F2015" s="59"/>
      <c r="G2015" s="59"/>
      <c r="H2015" s="83"/>
      <c r="I2015" s="76"/>
      <c r="J2015" s="76"/>
      <c r="K2015" s="81"/>
      <c r="L2015" s="82"/>
      <c r="M2015" s="54"/>
      <c r="N2015" s="54"/>
      <c r="O2015" s="54"/>
      <c r="P2015" s="54"/>
      <c r="Q2015" s="54"/>
      <c r="R2015" s="54"/>
      <c r="S2015" s="54"/>
      <c r="T2015" s="54"/>
      <c r="U2015" s="54"/>
      <c r="V2015" s="54"/>
      <c r="W2015" s="54"/>
      <c r="X2015" s="54"/>
      <c r="Y2015" s="54"/>
      <c r="Z2015" s="54"/>
      <c r="AA2015" s="54"/>
      <c r="AB2015" s="54"/>
      <c r="AC2015" s="54"/>
      <c r="AD2015" s="54"/>
      <c r="AE2015" s="54"/>
      <c r="AF2015" s="54"/>
      <c r="AG2015" s="54"/>
      <c r="AH2015" s="54"/>
    </row>
    <row r="2016">
      <c r="A2016" s="80"/>
      <c r="B2016" s="80"/>
      <c r="C2016" s="80"/>
      <c r="D2016" s="80"/>
      <c r="E2016" s="80"/>
      <c r="F2016" s="59"/>
      <c r="G2016" s="59"/>
      <c r="H2016" s="83"/>
      <c r="I2016" s="76"/>
      <c r="J2016" s="76"/>
      <c r="K2016" s="81"/>
      <c r="L2016" s="82"/>
      <c r="M2016" s="54"/>
      <c r="N2016" s="54"/>
      <c r="O2016" s="54"/>
      <c r="P2016" s="54"/>
      <c r="Q2016" s="54"/>
      <c r="R2016" s="54"/>
      <c r="S2016" s="54"/>
      <c r="T2016" s="54"/>
      <c r="U2016" s="54"/>
      <c r="V2016" s="54"/>
      <c r="W2016" s="54"/>
      <c r="X2016" s="54"/>
      <c r="Y2016" s="54"/>
      <c r="Z2016" s="54"/>
      <c r="AA2016" s="54"/>
      <c r="AB2016" s="54"/>
      <c r="AC2016" s="54"/>
      <c r="AD2016" s="54"/>
      <c r="AE2016" s="54"/>
      <c r="AF2016" s="54"/>
      <c r="AG2016" s="54"/>
      <c r="AH2016" s="54"/>
    </row>
    <row r="2017">
      <c r="A2017" s="80"/>
      <c r="B2017" s="80"/>
      <c r="C2017" s="80"/>
      <c r="D2017" s="80"/>
      <c r="E2017" s="80"/>
      <c r="F2017" s="59"/>
      <c r="G2017" s="59"/>
      <c r="H2017" s="83"/>
      <c r="I2017" s="76"/>
      <c r="J2017" s="76"/>
      <c r="K2017" s="81"/>
      <c r="L2017" s="82"/>
      <c r="M2017" s="54"/>
      <c r="N2017" s="54"/>
      <c r="O2017" s="54"/>
      <c r="P2017" s="54"/>
      <c r="Q2017" s="54"/>
      <c r="R2017" s="54"/>
      <c r="S2017" s="54"/>
      <c r="T2017" s="54"/>
      <c r="U2017" s="54"/>
      <c r="V2017" s="54"/>
      <c r="W2017" s="54"/>
      <c r="X2017" s="54"/>
      <c r="Y2017" s="54"/>
      <c r="Z2017" s="54"/>
      <c r="AA2017" s="54"/>
      <c r="AB2017" s="54"/>
      <c r="AC2017" s="54"/>
      <c r="AD2017" s="54"/>
      <c r="AE2017" s="54"/>
      <c r="AF2017" s="54"/>
      <c r="AG2017" s="54"/>
      <c r="AH2017" s="54"/>
    </row>
    <row r="2018">
      <c r="A2018" s="80"/>
      <c r="B2018" s="80"/>
      <c r="C2018" s="80"/>
      <c r="D2018" s="80"/>
      <c r="E2018" s="80"/>
      <c r="F2018" s="59"/>
      <c r="G2018" s="59"/>
      <c r="H2018" s="83"/>
      <c r="I2018" s="76"/>
      <c r="J2018" s="76"/>
      <c r="K2018" s="81"/>
      <c r="L2018" s="82"/>
      <c r="M2018" s="54"/>
      <c r="N2018" s="54"/>
      <c r="O2018" s="54"/>
      <c r="P2018" s="54"/>
      <c r="Q2018" s="54"/>
      <c r="R2018" s="54"/>
      <c r="S2018" s="54"/>
      <c r="T2018" s="54"/>
      <c r="U2018" s="54"/>
      <c r="V2018" s="54"/>
      <c r="W2018" s="54"/>
      <c r="X2018" s="54"/>
      <c r="Y2018" s="54"/>
      <c r="Z2018" s="54"/>
      <c r="AA2018" s="54"/>
      <c r="AB2018" s="54"/>
      <c r="AC2018" s="54"/>
      <c r="AD2018" s="54"/>
      <c r="AE2018" s="54"/>
      <c r="AF2018" s="54"/>
      <c r="AG2018" s="54"/>
      <c r="AH2018" s="54"/>
    </row>
    <row r="2019">
      <c r="A2019" s="80"/>
      <c r="B2019" s="80"/>
      <c r="C2019" s="80"/>
      <c r="D2019" s="80"/>
      <c r="E2019" s="80"/>
      <c r="F2019" s="59"/>
      <c r="G2019" s="59"/>
      <c r="H2019" s="83"/>
      <c r="I2019" s="76"/>
      <c r="J2019" s="76"/>
      <c r="K2019" s="81"/>
      <c r="L2019" s="82"/>
      <c r="M2019" s="54"/>
      <c r="N2019" s="54"/>
      <c r="O2019" s="54"/>
      <c r="P2019" s="54"/>
      <c r="Q2019" s="54"/>
      <c r="R2019" s="54"/>
      <c r="S2019" s="54"/>
      <c r="T2019" s="54"/>
      <c r="U2019" s="54"/>
      <c r="V2019" s="54"/>
      <c r="W2019" s="54"/>
      <c r="X2019" s="54"/>
      <c r="Y2019" s="54"/>
      <c r="Z2019" s="54"/>
      <c r="AA2019" s="54"/>
      <c r="AB2019" s="54"/>
      <c r="AC2019" s="54"/>
      <c r="AD2019" s="54"/>
      <c r="AE2019" s="54"/>
      <c r="AF2019" s="54"/>
      <c r="AG2019" s="54"/>
      <c r="AH2019" s="54"/>
    </row>
    <row r="2020">
      <c r="A2020" s="80"/>
      <c r="B2020" s="80"/>
      <c r="C2020" s="80"/>
      <c r="D2020" s="80"/>
      <c r="E2020" s="80"/>
      <c r="F2020" s="59"/>
      <c r="G2020" s="59"/>
      <c r="H2020" s="83"/>
      <c r="I2020" s="76"/>
      <c r="J2020" s="76"/>
      <c r="K2020" s="81"/>
      <c r="L2020" s="82"/>
      <c r="M2020" s="54"/>
      <c r="N2020" s="54"/>
      <c r="O2020" s="54"/>
      <c r="P2020" s="54"/>
      <c r="Q2020" s="54"/>
      <c r="R2020" s="54"/>
      <c r="S2020" s="54"/>
      <c r="T2020" s="54"/>
      <c r="U2020" s="54"/>
      <c r="V2020" s="54"/>
      <c r="W2020" s="54"/>
      <c r="X2020" s="54"/>
      <c r="Y2020" s="54"/>
      <c r="Z2020" s="54"/>
      <c r="AA2020" s="54"/>
      <c r="AB2020" s="54"/>
      <c r="AC2020" s="54"/>
      <c r="AD2020" s="54"/>
      <c r="AE2020" s="54"/>
      <c r="AF2020" s="54"/>
      <c r="AG2020" s="54"/>
      <c r="AH2020" s="54"/>
    </row>
    <row r="2021">
      <c r="A2021" s="80"/>
      <c r="B2021" s="80"/>
      <c r="C2021" s="80"/>
      <c r="D2021" s="80"/>
      <c r="E2021" s="80"/>
      <c r="F2021" s="59"/>
      <c r="G2021" s="59"/>
      <c r="H2021" s="83"/>
      <c r="I2021" s="76"/>
      <c r="J2021" s="76"/>
      <c r="K2021" s="81"/>
      <c r="L2021" s="82"/>
      <c r="M2021" s="54"/>
      <c r="N2021" s="54"/>
      <c r="O2021" s="54"/>
      <c r="P2021" s="54"/>
      <c r="Q2021" s="54"/>
      <c r="R2021" s="54"/>
      <c r="S2021" s="54"/>
      <c r="T2021" s="54"/>
      <c r="U2021" s="54"/>
      <c r="V2021" s="54"/>
      <c r="W2021" s="54"/>
      <c r="X2021" s="54"/>
      <c r="Y2021" s="54"/>
      <c r="Z2021" s="54"/>
      <c r="AA2021" s="54"/>
      <c r="AB2021" s="54"/>
      <c r="AC2021" s="54"/>
      <c r="AD2021" s="54"/>
      <c r="AE2021" s="54"/>
      <c r="AF2021" s="54"/>
      <c r="AG2021" s="54"/>
      <c r="AH2021" s="54"/>
    </row>
    <row r="2022">
      <c r="A2022" s="80"/>
      <c r="B2022" s="80"/>
      <c r="C2022" s="80"/>
      <c r="D2022" s="80"/>
      <c r="E2022" s="80"/>
      <c r="F2022" s="59"/>
      <c r="G2022" s="59"/>
      <c r="H2022" s="83"/>
      <c r="I2022" s="76"/>
      <c r="J2022" s="76"/>
      <c r="K2022" s="81"/>
      <c r="L2022" s="82"/>
      <c r="M2022" s="54"/>
      <c r="N2022" s="54"/>
      <c r="O2022" s="54"/>
      <c r="P2022" s="54"/>
      <c r="Q2022" s="54"/>
      <c r="R2022" s="54"/>
      <c r="S2022" s="54"/>
      <c r="T2022" s="54"/>
      <c r="U2022" s="54"/>
      <c r="V2022" s="54"/>
      <c r="W2022" s="54"/>
      <c r="X2022" s="54"/>
      <c r="Y2022" s="54"/>
      <c r="Z2022" s="54"/>
      <c r="AA2022" s="54"/>
      <c r="AB2022" s="54"/>
      <c r="AC2022" s="54"/>
      <c r="AD2022" s="54"/>
      <c r="AE2022" s="54"/>
      <c r="AF2022" s="54"/>
      <c r="AG2022" s="54"/>
      <c r="AH2022" s="54"/>
    </row>
    <row r="2023">
      <c r="A2023" s="80"/>
      <c r="B2023" s="80"/>
      <c r="C2023" s="80"/>
      <c r="D2023" s="80"/>
      <c r="E2023" s="80"/>
      <c r="F2023" s="59"/>
      <c r="G2023" s="59"/>
      <c r="H2023" s="83"/>
      <c r="I2023" s="76"/>
      <c r="J2023" s="76"/>
      <c r="K2023" s="81"/>
      <c r="L2023" s="82"/>
      <c r="M2023" s="54"/>
      <c r="N2023" s="54"/>
      <c r="O2023" s="54"/>
      <c r="P2023" s="54"/>
      <c r="Q2023" s="54"/>
      <c r="R2023" s="54"/>
      <c r="S2023" s="54"/>
      <c r="T2023" s="54"/>
      <c r="U2023" s="54"/>
      <c r="V2023" s="54"/>
      <c r="W2023" s="54"/>
      <c r="X2023" s="54"/>
      <c r="Y2023" s="54"/>
      <c r="Z2023" s="54"/>
      <c r="AA2023" s="54"/>
      <c r="AB2023" s="54"/>
      <c r="AC2023" s="54"/>
      <c r="AD2023" s="54"/>
      <c r="AE2023" s="54"/>
      <c r="AF2023" s="54"/>
      <c r="AG2023" s="54"/>
      <c r="AH2023" s="54"/>
    </row>
    <row r="2024">
      <c r="A2024" s="80"/>
      <c r="B2024" s="80"/>
      <c r="C2024" s="80"/>
      <c r="D2024" s="80"/>
      <c r="E2024" s="80"/>
      <c r="F2024" s="59"/>
      <c r="G2024" s="59"/>
      <c r="H2024" s="83"/>
      <c r="I2024" s="76"/>
      <c r="J2024" s="76"/>
      <c r="K2024" s="81"/>
      <c r="L2024" s="82"/>
      <c r="M2024" s="54"/>
      <c r="N2024" s="54"/>
      <c r="O2024" s="54"/>
      <c r="P2024" s="54"/>
      <c r="Q2024" s="54"/>
      <c r="R2024" s="54"/>
      <c r="S2024" s="54"/>
      <c r="T2024" s="54"/>
      <c r="U2024" s="54"/>
      <c r="V2024" s="54"/>
      <c r="W2024" s="54"/>
      <c r="X2024" s="54"/>
      <c r="Y2024" s="54"/>
      <c r="Z2024" s="54"/>
      <c r="AA2024" s="54"/>
      <c r="AB2024" s="54"/>
      <c r="AC2024" s="54"/>
      <c r="AD2024" s="54"/>
      <c r="AE2024" s="54"/>
      <c r="AF2024" s="54"/>
      <c r="AG2024" s="54"/>
      <c r="AH2024" s="54"/>
    </row>
    <row r="2025">
      <c r="A2025" s="80"/>
      <c r="B2025" s="80"/>
      <c r="C2025" s="80"/>
      <c r="D2025" s="80"/>
      <c r="E2025" s="80"/>
      <c r="F2025" s="59"/>
      <c r="G2025" s="59"/>
      <c r="H2025" s="83"/>
      <c r="I2025" s="76"/>
      <c r="J2025" s="76"/>
      <c r="K2025" s="81"/>
      <c r="L2025" s="82"/>
      <c r="M2025" s="54"/>
      <c r="N2025" s="54"/>
      <c r="O2025" s="54"/>
      <c r="P2025" s="54"/>
      <c r="Q2025" s="54"/>
      <c r="R2025" s="54"/>
      <c r="S2025" s="54"/>
      <c r="T2025" s="54"/>
      <c r="U2025" s="54"/>
      <c r="V2025" s="54"/>
      <c r="W2025" s="54"/>
      <c r="X2025" s="54"/>
      <c r="Y2025" s="54"/>
      <c r="Z2025" s="54"/>
      <c r="AA2025" s="54"/>
      <c r="AB2025" s="54"/>
      <c r="AC2025" s="54"/>
      <c r="AD2025" s="54"/>
      <c r="AE2025" s="54"/>
      <c r="AF2025" s="54"/>
      <c r="AG2025" s="54"/>
      <c r="AH2025" s="54"/>
    </row>
    <row r="2026">
      <c r="A2026" s="80"/>
      <c r="B2026" s="80"/>
      <c r="C2026" s="80"/>
      <c r="D2026" s="80"/>
      <c r="E2026" s="80"/>
      <c r="F2026" s="59"/>
      <c r="G2026" s="59"/>
      <c r="H2026" s="83"/>
      <c r="I2026" s="76"/>
      <c r="J2026" s="76"/>
      <c r="K2026" s="81"/>
      <c r="L2026" s="82"/>
      <c r="M2026" s="54"/>
      <c r="N2026" s="54"/>
      <c r="O2026" s="54"/>
      <c r="P2026" s="54"/>
      <c r="Q2026" s="54"/>
      <c r="R2026" s="54"/>
      <c r="S2026" s="54"/>
      <c r="T2026" s="54"/>
      <c r="U2026" s="54"/>
      <c r="V2026" s="54"/>
      <c r="W2026" s="54"/>
      <c r="X2026" s="54"/>
      <c r="Y2026" s="54"/>
      <c r="Z2026" s="54"/>
      <c r="AA2026" s="54"/>
      <c r="AB2026" s="54"/>
      <c r="AC2026" s="54"/>
      <c r="AD2026" s="54"/>
      <c r="AE2026" s="54"/>
      <c r="AF2026" s="54"/>
      <c r="AG2026" s="54"/>
      <c r="AH2026" s="54"/>
    </row>
    <row r="2027">
      <c r="A2027" s="80"/>
      <c r="B2027" s="80"/>
      <c r="C2027" s="80"/>
      <c r="D2027" s="80"/>
      <c r="E2027" s="80"/>
      <c r="F2027" s="59"/>
      <c r="G2027" s="59"/>
      <c r="H2027" s="83"/>
      <c r="I2027" s="76"/>
      <c r="J2027" s="76"/>
      <c r="K2027" s="81"/>
      <c r="L2027" s="82"/>
      <c r="M2027" s="54"/>
      <c r="N2027" s="54"/>
      <c r="O2027" s="54"/>
      <c r="P2027" s="54"/>
      <c r="Q2027" s="54"/>
      <c r="R2027" s="54"/>
      <c r="S2027" s="54"/>
      <c r="T2027" s="54"/>
      <c r="U2027" s="54"/>
      <c r="V2027" s="54"/>
      <c r="W2027" s="54"/>
      <c r="X2027" s="54"/>
      <c r="Y2027" s="54"/>
      <c r="Z2027" s="54"/>
      <c r="AA2027" s="54"/>
      <c r="AB2027" s="54"/>
      <c r="AC2027" s="54"/>
      <c r="AD2027" s="54"/>
      <c r="AE2027" s="54"/>
      <c r="AF2027" s="54"/>
      <c r="AG2027" s="54"/>
      <c r="AH2027" s="54"/>
    </row>
    <row r="2028">
      <c r="A2028" s="80"/>
      <c r="B2028" s="80"/>
      <c r="C2028" s="80"/>
      <c r="D2028" s="80"/>
      <c r="E2028" s="80"/>
      <c r="F2028" s="59"/>
      <c r="G2028" s="59"/>
      <c r="H2028" s="83"/>
      <c r="I2028" s="76"/>
      <c r="J2028" s="76"/>
      <c r="K2028" s="81"/>
      <c r="L2028" s="82"/>
      <c r="M2028" s="54"/>
      <c r="N2028" s="54"/>
      <c r="O2028" s="54"/>
      <c r="P2028" s="54"/>
      <c r="Q2028" s="54"/>
      <c r="R2028" s="54"/>
      <c r="S2028" s="54"/>
      <c r="T2028" s="54"/>
      <c r="U2028" s="54"/>
      <c r="V2028" s="54"/>
      <c r="W2028" s="54"/>
      <c r="X2028" s="54"/>
      <c r="Y2028" s="54"/>
      <c r="Z2028" s="54"/>
      <c r="AA2028" s="54"/>
      <c r="AB2028" s="54"/>
      <c r="AC2028" s="54"/>
      <c r="AD2028" s="54"/>
      <c r="AE2028" s="54"/>
      <c r="AF2028" s="54"/>
      <c r="AG2028" s="54"/>
      <c r="AH2028" s="54"/>
    </row>
    <row r="2029">
      <c r="A2029" s="80"/>
      <c r="B2029" s="80"/>
      <c r="C2029" s="80"/>
      <c r="D2029" s="80"/>
      <c r="E2029" s="80"/>
      <c r="F2029" s="59"/>
      <c r="G2029" s="59"/>
      <c r="H2029" s="83"/>
      <c r="I2029" s="76"/>
      <c r="J2029" s="76"/>
      <c r="K2029" s="81"/>
      <c r="L2029" s="82"/>
      <c r="M2029" s="54"/>
      <c r="N2029" s="54"/>
      <c r="O2029" s="54"/>
      <c r="P2029" s="54"/>
      <c r="Q2029" s="54"/>
      <c r="R2029" s="54"/>
      <c r="S2029" s="54"/>
      <c r="T2029" s="54"/>
      <c r="U2029" s="54"/>
      <c r="V2029" s="54"/>
      <c r="W2029" s="54"/>
      <c r="X2029" s="54"/>
      <c r="Y2029" s="54"/>
      <c r="Z2029" s="54"/>
      <c r="AA2029" s="54"/>
      <c r="AB2029" s="54"/>
      <c r="AC2029" s="54"/>
      <c r="AD2029" s="54"/>
      <c r="AE2029" s="54"/>
      <c r="AF2029" s="54"/>
      <c r="AG2029" s="54"/>
      <c r="AH2029" s="54"/>
    </row>
    <row r="2030">
      <c r="A2030" s="80"/>
      <c r="B2030" s="80"/>
      <c r="C2030" s="80"/>
      <c r="D2030" s="80"/>
      <c r="E2030" s="80"/>
      <c r="F2030" s="59"/>
      <c r="G2030" s="59"/>
      <c r="H2030" s="83"/>
      <c r="I2030" s="76"/>
      <c r="J2030" s="76"/>
      <c r="K2030" s="81"/>
      <c r="L2030" s="82"/>
      <c r="M2030" s="54"/>
      <c r="N2030" s="54"/>
      <c r="O2030" s="54"/>
      <c r="P2030" s="54"/>
      <c r="Q2030" s="54"/>
      <c r="R2030" s="54"/>
      <c r="S2030" s="54"/>
      <c r="T2030" s="54"/>
      <c r="U2030" s="54"/>
      <c r="V2030" s="54"/>
      <c r="W2030" s="54"/>
      <c r="X2030" s="54"/>
      <c r="Y2030" s="54"/>
      <c r="Z2030" s="54"/>
      <c r="AA2030" s="54"/>
      <c r="AB2030" s="54"/>
      <c r="AC2030" s="54"/>
      <c r="AD2030" s="54"/>
      <c r="AE2030" s="54"/>
      <c r="AF2030" s="54"/>
      <c r="AG2030" s="54"/>
      <c r="AH2030" s="54"/>
    </row>
    <row r="2031">
      <c r="A2031" s="80"/>
      <c r="B2031" s="80"/>
      <c r="C2031" s="80"/>
      <c r="D2031" s="80"/>
      <c r="E2031" s="80"/>
      <c r="F2031" s="59"/>
      <c r="G2031" s="59"/>
      <c r="H2031" s="83"/>
      <c r="I2031" s="76"/>
      <c r="J2031" s="76"/>
      <c r="K2031" s="81"/>
      <c r="L2031" s="82"/>
      <c r="M2031" s="54"/>
      <c r="N2031" s="54"/>
      <c r="O2031" s="54"/>
      <c r="P2031" s="54"/>
      <c r="Q2031" s="54"/>
      <c r="R2031" s="54"/>
      <c r="S2031" s="54"/>
      <c r="T2031" s="54"/>
      <c r="U2031" s="54"/>
      <c r="V2031" s="54"/>
      <c r="W2031" s="54"/>
      <c r="X2031" s="54"/>
      <c r="Y2031" s="54"/>
      <c r="Z2031" s="54"/>
      <c r="AA2031" s="54"/>
      <c r="AB2031" s="54"/>
      <c r="AC2031" s="54"/>
      <c r="AD2031" s="54"/>
      <c r="AE2031" s="54"/>
      <c r="AF2031" s="54"/>
      <c r="AG2031" s="54"/>
      <c r="AH2031" s="54"/>
    </row>
    <row r="2032">
      <c r="A2032" s="80"/>
      <c r="B2032" s="80"/>
      <c r="C2032" s="80"/>
      <c r="D2032" s="80"/>
      <c r="E2032" s="80"/>
      <c r="F2032" s="59"/>
      <c r="G2032" s="59"/>
      <c r="H2032" s="83"/>
      <c r="I2032" s="76"/>
      <c r="J2032" s="76"/>
      <c r="K2032" s="81"/>
      <c r="L2032" s="82"/>
      <c r="M2032" s="54"/>
      <c r="N2032" s="54"/>
      <c r="O2032" s="54"/>
      <c r="P2032" s="54"/>
      <c r="Q2032" s="54"/>
      <c r="R2032" s="54"/>
      <c r="S2032" s="54"/>
      <c r="T2032" s="54"/>
      <c r="U2032" s="54"/>
      <c r="V2032" s="54"/>
      <c r="W2032" s="54"/>
      <c r="X2032" s="54"/>
      <c r="Y2032" s="54"/>
      <c r="Z2032" s="54"/>
      <c r="AA2032" s="54"/>
      <c r="AB2032" s="54"/>
      <c r="AC2032" s="54"/>
      <c r="AD2032" s="54"/>
      <c r="AE2032" s="54"/>
      <c r="AF2032" s="54"/>
      <c r="AG2032" s="54"/>
      <c r="AH2032" s="54"/>
    </row>
    <row r="2033">
      <c r="A2033" s="80"/>
      <c r="B2033" s="80"/>
      <c r="C2033" s="80"/>
      <c r="D2033" s="80"/>
      <c r="E2033" s="80"/>
      <c r="F2033" s="59"/>
      <c r="G2033" s="59"/>
      <c r="H2033" s="83"/>
      <c r="I2033" s="76"/>
      <c r="J2033" s="76"/>
      <c r="K2033" s="81"/>
      <c r="L2033" s="82"/>
      <c r="M2033" s="54"/>
      <c r="N2033" s="54"/>
      <c r="O2033" s="54"/>
      <c r="P2033" s="54"/>
      <c r="Q2033" s="54"/>
      <c r="R2033" s="54"/>
      <c r="S2033" s="54"/>
      <c r="T2033" s="54"/>
      <c r="U2033" s="54"/>
      <c r="V2033" s="54"/>
      <c r="W2033" s="54"/>
      <c r="X2033" s="54"/>
      <c r="Y2033" s="54"/>
      <c r="Z2033" s="54"/>
      <c r="AA2033" s="54"/>
      <c r="AB2033" s="54"/>
      <c r="AC2033" s="54"/>
      <c r="AD2033" s="54"/>
      <c r="AE2033" s="54"/>
      <c r="AF2033" s="54"/>
      <c r="AG2033" s="54"/>
      <c r="AH2033" s="54"/>
    </row>
    <row r="2034">
      <c r="A2034" s="80"/>
      <c r="B2034" s="80"/>
      <c r="C2034" s="80"/>
      <c r="D2034" s="80"/>
      <c r="E2034" s="80"/>
      <c r="F2034" s="59"/>
      <c r="G2034" s="59"/>
      <c r="H2034" s="83"/>
      <c r="I2034" s="76"/>
      <c r="J2034" s="76"/>
      <c r="K2034" s="81"/>
      <c r="L2034" s="82"/>
      <c r="M2034" s="54"/>
      <c r="N2034" s="54"/>
      <c r="O2034" s="54"/>
      <c r="P2034" s="54"/>
      <c r="Q2034" s="54"/>
      <c r="R2034" s="54"/>
      <c r="S2034" s="54"/>
      <c r="T2034" s="54"/>
      <c r="U2034" s="54"/>
      <c r="V2034" s="54"/>
      <c r="W2034" s="54"/>
      <c r="X2034" s="54"/>
      <c r="Y2034" s="54"/>
      <c r="Z2034" s="54"/>
      <c r="AA2034" s="54"/>
      <c r="AB2034" s="54"/>
      <c r="AC2034" s="54"/>
      <c r="AD2034" s="54"/>
      <c r="AE2034" s="54"/>
      <c r="AF2034" s="54"/>
      <c r="AG2034" s="54"/>
      <c r="AH2034" s="54"/>
    </row>
    <row r="2035">
      <c r="A2035" s="80"/>
      <c r="B2035" s="80"/>
      <c r="C2035" s="80"/>
      <c r="D2035" s="80"/>
      <c r="E2035" s="80"/>
      <c r="F2035" s="59"/>
      <c r="G2035" s="59"/>
      <c r="H2035" s="83"/>
      <c r="I2035" s="76"/>
      <c r="J2035" s="76"/>
      <c r="K2035" s="81"/>
      <c r="L2035" s="82"/>
      <c r="M2035" s="54"/>
      <c r="N2035" s="54"/>
      <c r="O2035" s="54"/>
      <c r="P2035" s="54"/>
      <c r="Q2035" s="54"/>
      <c r="R2035" s="54"/>
      <c r="S2035" s="54"/>
      <c r="T2035" s="54"/>
      <c r="U2035" s="54"/>
      <c r="V2035" s="54"/>
      <c r="W2035" s="54"/>
      <c r="X2035" s="54"/>
      <c r="Y2035" s="54"/>
      <c r="Z2035" s="54"/>
      <c r="AA2035" s="54"/>
      <c r="AB2035" s="54"/>
      <c r="AC2035" s="54"/>
      <c r="AD2035" s="54"/>
      <c r="AE2035" s="54"/>
      <c r="AF2035" s="54"/>
      <c r="AG2035" s="54"/>
      <c r="AH2035" s="54"/>
    </row>
    <row r="2036">
      <c r="A2036" s="80"/>
      <c r="B2036" s="80"/>
      <c r="C2036" s="80"/>
      <c r="D2036" s="80"/>
      <c r="E2036" s="80"/>
      <c r="F2036" s="59"/>
      <c r="G2036" s="59"/>
      <c r="H2036" s="83"/>
      <c r="I2036" s="76"/>
      <c r="J2036" s="76"/>
      <c r="K2036" s="81"/>
      <c r="L2036" s="82"/>
      <c r="M2036" s="54"/>
      <c r="N2036" s="54"/>
      <c r="O2036" s="54"/>
      <c r="P2036" s="54"/>
      <c r="Q2036" s="54"/>
      <c r="R2036" s="54"/>
      <c r="S2036" s="54"/>
      <c r="T2036" s="54"/>
      <c r="U2036" s="54"/>
      <c r="V2036" s="54"/>
      <c r="W2036" s="54"/>
      <c r="X2036" s="54"/>
      <c r="Y2036" s="54"/>
      <c r="Z2036" s="54"/>
      <c r="AA2036" s="54"/>
      <c r="AB2036" s="54"/>
      <c r="AC2036" s="54"/>
      <c r="AD2036" s="54"/>
      <c r="AE2036" s="54"/>
      <c r="AF2036" s="54"/>
      <c r="AG2036" s="54"/>
      <c r="AH2036" s="54"/>
    </row>
    <row r="2037">
      <c r="A2037" s="80"/>
      <c r="B2037" s="80"/>
      <c r="C2037" s="80"/>
      <c r="D2037" s="80"/>
      <c r="E2037" s="80"/>
      <c r="F2037" s="59"/>
      <c r="G2037" s="59"/>
      <c r="H2037" s="83"/>
      <c r="I2037" s="76"/>
      <c r="J2037" s="76"/>
      <c r="K2037" s="81"/>
      <c r="L2037" s="82"/>
      <c r="M2037" s="54"/>
      <c r="N2037" s="54"/>
      <c r="O2037" s="54"/>
      <c r="P2037" s="54"/>
      <c r="Q2037" s="54"/>
      <c r="R2037" s="54"/>
      <c r="S2037" s="54"/>
      <c r="T2037" s="54"/>
      <c r="U2037" s="54"/>
      <c r="V2037" s="54"/>
      <c r="W2037" s="54"/>
      <c r="X2037" s="54"/>
      <c r="Y2037" s="54"/>
      <c r="Z2037" s="54"/>
      <c r="AA2037" s="54"/>
      <c r="AB2037" s="54"/>
      <c r="AC2037" s="54"/>
      <c r="AD2037" s="54"/>
      <c r="AE2037" s="54"/>
      <c r="AF2037" s="54"/>
      <c r="AG2037" s="54"/>
      <c r="AH2037" s="54"/>
    </row>
    <row r="2038">
      <c r="A2038" s="80"/>
      <c r="B2038" s="80"/>
      <c r="C2038" s="80"/>
      <c r="D2038" s="80"/>
      <c r="E2038" s="80"/>
      <c r="F2038" s="59"/>
      <c r="G2038" s="59"/>
      <c r="H2038" s="83"/>
      <c r="I2038" s="76"/>
      <c r="J2038" s="76"/>
      <c r="K2038" s="81"/>
      <c r="L2038" s="82"/>
      <c r="M2038" s="54"/>
      <c r="N2038" s="54"/>
      <c r="O2038" s="54"/>
      <c r="P2038" s="54"/>
      <c r="Q2038" s="54"/>
      <c r="R2038" s="54"/>
      <c r="S2038" s="54"/>
      <c r="T2038" s="54"/>
      <c r="U2038" s="54"/>
      <c r="V2038" s="54"/>
      <c r="W2038" s="54"/>
      <c r="X2038" s="54"/>
      <c r="Y2038" s="54"/>
      <c r="Z2038" s="54"/>
      <c r="AA2038" s="54"/>
      <c r="AB2038" s="54"/>
      <c r="AC2038" s="54"/>
      <c r="AD2038" s="54"/>
      <c r="AE2038" s="54"/>
      <c r="AF2038" s="54"/>
      <c r="AG2038" s="54"/>
      <c r="AH2038" s="54"/>
    </row>
    <row r="2039">
      <c r="A2039" s="80"/>
      <c r="B2039" s="80"/>
      <c r="C2039" s="80"/>
      <c r="D2039" s="80"/>
      <c r="E2039" s="80"/>
      <c r="F2039" s="59"/>
      <c r="G2039" s="59"/>
      <c r="H2039" s="83"/>
      <c r="I2039" s="76"/>
      <c r="J2039" s="76"/>
      <c r="K2039" s="81"/>
      <c r="L2039" s="82"/>
      <c r="M2039" s="54"/>
      <c r="N2039" s="54"/>
      <c r="O2039" s="54"/>
      <c r="P2039" s="54"/>
      <c r="Q2039" s="54"/>
      <c r="R2039" s="54"/>
      <c r="S2039" s="54"/>
      <c r="T2039" s="54"/>
      <c r="U2039" s="54"/>
      <c r="V2039" s="54"/>
      <c r="W2039" s="54"/>
      <c r="X2039" s="54"/>
      <c r="Y2039" s="54"/>
      <c r="Z2039" s="54"/>
      <c r="AA2039" s="54"/>
      <c r="AB2039" s="54"/>
      <c r="AC2039" s="54"/>
      <c r="AD2039" s="54"/>
      <c r="AE2039" s="54"/>
      <c r="AF2039" s="54"/>
      <c r="AG2039" s="54"/>
      <c r="AH2039" s="54"/>
    </row>
    <row r="2040">
      <c r="A2040" s="80"/>
      <c r="B2040" s="80"/>
      <c r="C2040" s="80"/>
      <c r="D2040" s="80"/>
      <c r="E2040" s="80"/>
      <c r="F2040" s="59"/>
      <c r="G2040" s="59"/>
      <c r="H2040" s="83"/>
      <c r="I2040" s="76"/>
      <c r="J2040" s="76"/>
      <c r="K2040" s="81"/>
      <c r="L2040" s="82"/>
      <c r="M2040" s="54"/>
      <c r="N2040" s="54"/>
      <c r="O2040" s="54"/>
      <c r="P2040" s="54"/>
      <c r="Q2040" s="54"/>
      <c r="R2040" s="54"/>
      <c r="S2040" s="54"/>
      <c r="T2040" s="54"/>
      <c r="U2040" s="54"/>
      <c r="V2040" s="54"/>
      <c r="W2040" s="54"/>
      <c r="X2040" s="54"/>
      <c r="Y2040" s="54"/>
      <c r="Z2040" s="54"/>
      <c r="AA2040" s="54"/>
      <c r="AB2040" s="54"/>
      <c r="AC2040" s="54"/>
      <c r="AD2040" s="54"/>
      <c r="AE2040" s="54"/>
      <c r="AF2040" s="54"/>
      <c r="AG2040" s="54"/>
      <c r="AH2040" s="54"/>
    </row>
    <row r="2041">
      <c r="A2041" s="80"/>
      <c r="B2041" s="80"/>
      <c r="C2041" s="80"/>
      <c r="D2041" s="80"/>
      <c r="E2041" s="80"/>
      <c r="F2041" s="59"/>
      <c r="G2041" s="59"/>
      <c r="H2041" s="83"/>
      <c r="I2041" s="76"/>
      <c r="J2041" s="76"/>
      <c r="K2041" s="81"/>
      <c r="L2041" s="82"/>
      <c r="M2041" s="54"/>
      <c r="N2041" s="54"/>
      <c r="O2041" s="54"/>
      <c r="P2041" s="54"/>
      <c r="Q2041" s="54"/>
      <c r="R2041" s="54"/>
      <c r="S2041" s="54"/>
      <c r="T2041" s="54"/>
      <c r="U2041" s="54"/>
      <c r="V2041" s="54"/>
      <c r="W2041" s="54"/>
      <c r="X2041" s="54"/>
      <c r="Y2041" s="54"/>
      <c r="Z2041" s="54"/>
      <c r="AA2041" s="54"/>
      <c r="AB2041" s="54"/>
      <c r="AC2041" s="54"/>
      <c r="AD2041" s="54"/>
      <c r="AE2041" s="54"/>
      <c r="AF2041" s="54"/>
      <c r="AG2041" s="54"/>
      <c r="AH2041" s="54"/>
    </row>
    <row r="2042">
      <c r="A2042" s="80"/>
      <c r="B2042" s="80"/>
      <c r="C2042" s="80"/>
      <c r="D2042" s="80"/>
      <c r="E2042" s="80"/>
      <c r="F2042" s="59"/>
      <c r="G2042" s="59"/>
      <c r="H2042" s="83"/>
      <c r="I2042" s="76"/>
      <c r="J2042" s="76"/>
      <c r="K2042" s="81"/>
      <c r="L2042" s="82"/>
      <c r="M2042" s="54"/>
      <c r="N2042" s="54"/>
      <c r="O2042" s="54"/>
      <c r="P2042" s="54"/>
      <c r="Q2042" s="54"/>
      <c r="R2042" s="54"/>
      <c r="S2042" s="54"/>
      <c r="T2042" s="54"/>
      <c r="U2042" s="54"/>
      <c r="V2042" s="54"/>
      <c r="W2042" s="54"/>
      <c r="X2042" s="54"/>
      <c r="Y2042" s="54"/>
      <c r="Z2042" s="54"/>
      <c r="AA2042" s="54"/>
      <c r="AB2042" s="54"/>
      <c r="AC2042" s="54"/>
      <c r="AD2042" s="54"/>
      <c r="AE2042" s="54"/>
      <c r="AF2042" s="54"/>
      <c r="AG2042" s="54"/>
      <c r="AH2042" s="54"/>
    </row>
    <row r="2043">
      <c r="A2043" s="80"/>
      <c r="B2043" s="80"/>
      <c r="C2043" s="80"/>
      <c r="D2043" s="80"/>
      <c r="E2043" s="80"/>
      <c r="F2043" s="59"/>
      <c r="G2043" s="59"/>
      <c r="H2043" s="83"/>
      <c r="I2043" s="76"/>
      <c r="J2043" s="76"/>
      <c r="K2043" s="81"/>
      <c r="L2043" s="82"/>
      <c r="M2043" s="54"/>
      <c r="N2043" s="54"/>
      <c r="O2043" s="54"/>
      <c r="P2043" s="54"/>
      <c r="Q2043" s="54"/>
      <c r="R2043" s="54"/>
      <c r="S2043" s="54"/>
      <c r="T2043" s="54"/>
      <c r="U2043" s="54"/>
      <c r="V2043" s="54"/>
      <c r="W2043" s="54"/>
      <c r="X2043" s="54"/>
      <c r="Y2043" s="54"/>
      <c r="Z2043" s="54"/>
      <c r="AA2043" s="54"/>
      <c r="AB2043" s="54"/>
      <c r="AC2043" s="54"/>
      <c r="AD2043" s="54"/>
      <c r="AE2043" s="54"/>
      <c r="AF2043" s="54"/>
      <c r="AG2043" s="54"/>
      <c r="AH2043" s="54"/>
    </row>
    <row r="2044">
      <c r="A2044" s="80"/>
      <c r="B2044" s="80"/>
      <c r="C2044" s="80"/>
      <c r="D2044" s="80"/>
      <c r="E2044" s="80"/>
      <c r="F2044" s="59"/>
      <c r="G2044" s="59"/>
      <c r="H2044" s="83"/>
      <c r="I2044" s="76"/>
      <c r="J2044" s="76"/>
      <c r="K2044" s="81"/>
      <c r="L2044" s="82"/>
      <c r="M2044" s="54"/>
      <c r="N2044" s="54"/>
      <c r="O2044" s="54"/>
      <c r="P2044" s="54"/>
      <c r="Q2044" s="54"/>
      <c r="R2044" s="54"/>
      <c r="S2044" s="54"/>
      <c r="T2044" s="54"/>
      <c r="U2044" s="54"/>
      <c r="V2044" s="54"/>
      <c r="W2044" s="54"/>
      <c r="X2044" s="54"/>
      <c r="Y2044" s="54"/>
      <c r="Z2044" s="54"/>
      <c r="AA2044" s="54"/>
      <c r="AB2044" s="54"/>
      <c r="AC2044" s="54"/>
      <c r="AD2044" s="54"/>
      <c r="AE2044" s="54"/>
      <c r="AF2044" s="54"/>
      <c r="AG2044" s="54"/>
      <c r="AH2044" s="54"/>
    </row>
    <row r="2045">
      <c r="A2045" s="80"/>
      <c r="B2045" s="80"/>
      <c r="C2045" s="80"/>
      <c r="D2045" s="80"/>
      <c r="E2045" s="80"/>
      <c r="F2045" s="59"/>
      <c r="G2045" s="59"/>
      <c r="H2045" s="83"/>
      <c r="I2045" s="76"/>
      <c r="J2045" s="76"/>
      <c r="K2045" s="81"/>
      <c r="L2045" s="82"/>
      <c r="M2045" s="54"/>
      <c r="N2045" s="54"/>
      <c r="O2045" s="54"/>
      <c r="P2045" s="54"/>
      <c r="Q2045" s="54"/>
      <c r="R2045" s="54"/>
      <c r="S2045" s="54"/>
      <c r="T2045" s="54"/>
      <c r="U2045" s="54"/>
      <c r="V2045" s="54"/>
      <c r="W2045" s="54"/>
      <c r="X2045" s="54"/>
      <c r="Y2045" s="54"/>
      <c r="Z2045" s="54"/>
      <c r="AA2045" s="54"/>
      <c r="AB2045" s="54"/>
      <c r="AC2045" s="54"/>
      <c r="AD2045" s="54"/>
      <c r="AE2045" s="54"/>
      <c r="AF2045" s="54"/>
      <c r="AG2045" s="54"/>
      <c r="AH2045" s="54"/>
    </row>
    <row r="2046">
      <c r="A2046" s="80"/>
      <c r="B2046" s="80"/>
      <c r="C2046" s="80"/>
      <c r="D2046" s="80"/>
      <c r="E2046" s="80"/>
      <c r="F2046" s="59"/>
      <c r="G2046" s="59"/>
      <c r="H2046" s="83"/>
      <c r="I2046" s="76"/>
      <c r="J2046" s="76"/>
      <c r="K2046" s="81"/>
      <c r="L2046" s="82"/>
      <c r="M2046" s="54"/>
      <c r="N2046" s="54"/>
      <c r="O2046" s="54"/>
      <c r="P2046" s="54"/>
      <c r="Q2046" s="54"/>
      <c r="R2046" s="54"/>
      <c r="S2046" s="54"/>
      <c r="T2046" s="54"/>
      <c r="U2046" s="54"/>
      <c r="V2046" s="54"/>
      <c r="W2046" s="54"/>
      <c r="X2046" s="54"/>
      <c r="Y2046" s="54"/>
      <c r="Z2046" s="54"/>
      <c r="AA2046" s="54"/>
      <c r="AB2046" s="54"/>
      <c r="AC2046" s="54"/>
      <c r="AD2046" s="54"/>
      <c r="AE2046" s="54"/>
      <c r="AF2046" s="54"/>
      <c r="AG2046" s="54"/>
      <c r="AH2046" s="54"/>
    </row>
    <row r="2047">
      <c r="A2047" s="80"/>
      <c r="B2047" s="80"/>
      <c r="C2047" s="80"/>
      <c r="D2047" s="80"/>
      <c r="E2047" s="80"/>
      <c r="F2047" s="59"/>
      <c r="G2047" s="59"/>
      <c r="H2047" s="83"/>
      <c r="I2047" s="76"/>
      <c r="J2047" s="76"/>
      <c r="K2047" s="81"/>
      <c r="L2047" s="82"/>
      <c r="M2047" s="54"/>
      <c r="N2047" s="54"/>
      <c r="O2047" s="54"/>
      <c r="P2047" s="54"/>
      <c r="Q2047" s="54"/>
      <c r="R2047" s="54"/>
      <c r="S2047" s="54"/>
      <c r="T2047" s="54"/>
      <c r="U2047" s="54"/>
      <c r="V2047" s="54"/>
      <c r="W2047" s="54"/>
      <c r="X2047" s="54"/>
      <c r="Y2047" s="54"/>
      <c r="Z2047" s="54"/>
      <c r="AA2047" s="54"/>
      <c r="AB2047" s="54"/>
      <c r="AC2047" s="54"/>
      <c r="AD2047" s="54"/>
      <c r="AE2047" s="54"/>
      <c r="AF2047" s="54"/>
      <c r="AG2047" s="54"/>
      <c r="AH2047" s="54"/>
    </row>
    <row r="2048">
      <c r="A2048" s="80"/>
      <c r="B2048" s="80"/>
      <c r="C2048" s="80"/>
      <c r="D2048" s="80"/>
      <c r="E2048" s="80"/>
      <c r="F2048" s="59"/>
      <c r="G2048" s="59"/>
      <c r="H2048" s="83"/>
      <c r="I2048" s="76"/>
      <c r="J2048" s="76"/>
      <c r="K2048" s="81"/>
      <c r="L2048" s="82"/>
      <c r="M2048" s="54"/>
      <c r="N2048" s="54"/>
      <c r="O2048" s="54"/>
      <c r="P2048" s="54"/>
      <c r="Q2048" s="54"/>
      <c r="R2048" s="54"/>
      <c r="S2048" s="54"/>
      <c r="T2048" s="54"/>
      <c r="U2048" s="54"/>
      <c r="V2048" s="54"/>
      <c r="W2048" s="54"/>
      <c r="X2048" s="54"/>
      <c r="Y2048" s="54"/>
      <c r="Z2048" s="54"/>
      <c r="AA2048" s="54"/>
      <c r="AB2048" s="54"/>
      <c r="AC2048" s="54"/>
      <c r="AD2048" s="54"/>
      <c r="AE2048" s="54"/>
      <c r="AF2048" s="54"/>
      <c r="AG2048" s="54"/>
      <c r="AH2048" s="54"/>
    </row>
    <row r="2049">
      <c r="A2049" s="80"/>
      <c r="B2049" s="80"/>
      <c r="C2049" s="80"/>
      <c r="D2049" s="80"/>
      <c r="E2049" s="80"/>
      <c r="F2049" s="59"/>
      <c r="G2049" s="59"/>
      <c r="H2049" s="83"/>
      <c r="I2049" s="76"/>
      <c r="J2049" s="76"/>
      <c r="K2049" s="81"/>
      <c r="L2049" s="82"/>
      <c r="M2049" s="54"/>
      <c r="N2049" s="54"/>
      <c r="O2049" s="54"/>
      <c r="P2049" s="54"/>
      <c r="Q2049" s="54"/>
      <c r="R2049" s="54"/>
      <c r="S2049" s="54"/>
      <c r="T2049" s="54"/>
      <c r="U2049" s="54"/>
      <c r="V2049" s="54"/>
      <c r="W2049" s="54"/>
      <c r="X2049" s="54"/>
      <c r="Y2049" s="54"/>
      <c r="Z2049" s="54"/>
      <c r="AA2049" s="54"/>
      <c r="AB2049" s="54"/>
      <c r="AC2049" s="54"/>
      <c r="AD2049" s="54"/>
      <c r="AE2049" s="54"/>
      <c r="AF2049" s="54"/>
      <c r="AG2049" s="54"/>
      <c r="AH2049" s="54"/>
    </row>
    <row r="2050">
      <c r="A2050" s="80"/>
      <c r="B2050" s="80"/>
      <c r="C2050" s="80"/>
      <c r="D2050" s="80"/>
      <c r="E2050" s="80"/>
      <c r="F2050" s="59"/>
      <c r="G2050" s="59"/>
      <c r="H2050" s="83"/>
      <c r="I2050" s="76"/>
      <c r="J2050" s="76"/>
      <c r="K2050" s="81"/>
      <c r="L2050" s="82"/>
      <c r="M2050" s="54"/>
      <c r="N2050" s="54"/>
      <c r="O2050" s="54"/>
      <c r="P2050" s="54"/>
      <c r="Q2050" s="54"/>
      <c r="R2050" s="54"/>
      <c r="S2050" s="54"/>
      <c r="T2050" s="54"/>
      <c r="U2050" s="54"/>
      <c r="V2050" s="54"/>
      <c r="W2050" s="54"/>
      <c r="X2050" s="54"/>
      <c r="Y2050" s="54"/>
      <c r="Z2050" s="54"/>
      <c r="AA2050" s="54"/>
      <c r="AB2050" s="54"/>
      <c r="AC2050" s="54"/>
      <c r="AD2050" s="54"/>
      <c r="AE2050" s="54"/>
      <c r="AF2050" s="54"/>
      <c r="AG2050" s="54"/>
      <c r="AH2050" s="54"/>
    </row>
    <row r="2051">
      <c r="A2051" s="80"/>
      <c r="B2051" s="80"/>
      <c r="C2051" s="80"/>
      <c r="D2051" s="80"/>
      <c r="E2051" s="80"/>
      <c r="F2051" s="59"/>
      <c r="G2051" s="59"/>
      <c r="H2051" s="83"/>
      <c r="I2051" s="76"/>
      <c r="J2051" s="76"/>
      <c r="K2051" s="81"/>
      <c r="L2051" s="82"/>
      <c r="M2051" s="54"/>
      <c r="N2051" s="54"/>
      <c r="O2051" s="54"/>
      <c r="P2051" s="54"/>
      <c r="Q2051" s="54"/>
      <c r="R2051" s="54"/>
      <c r="S2051" s="54"/>
      <c r="T2051" s="54"/>
      <c r="U2051" s="54"/>
      <c r="V2051" s="54"/>
      <c r="W2051" s="54"/>
      <c r="X2051" s="54"/>
      <c r="Y2051" s="54"/>
      <c r="Z2051" s="54"/>
      <c r="AA2051" s="54"/>
      <c r="AB2051" s="54"/>
      <c r="AC2051" s="54"/>
      <c r="AD2051" s="54"/>
      <c r="AE2051" s="54"/>
      <c r="AF2051" s="54"/>
      <c r="AG2051" s="54"/>
      <c r="AH2051" s="54"/>
    </row>
    <row r="2052">
      <c r="A2052" s="80"/>
      <c r="B2052" s="80"/>
      <c r="C2052" s="80"/>
      <c r="D2052" s="80"/>
      <c r="E2052" s="80"/>
      <c r="F2052" s="59"/>
      <c r="G2052" s="59"/>
      <c r="H2052" s="83"/>
      <c r="I2052" s="76"/>
      <c r="J2052" s="76"/>
      <c r="K2052" s="81"/>
      <c r="L2052" s="82"/>
      <c r="M2052" s="54"/>
      <c r="N2052" s="54"/>
      <c r="O2052" s="54"/>
      <c r="P2052" s="54"/>
      <c r="Q2052" s="54"/>
      <c r="R2052" s="54"/>
      <c r="S2052" s="54"/>
      <c r="T2052" s="54"/>
      <c r="U2052" s="54"/>
      <c r="V2052" s="54"/>
      <c r="W2052" s="54"/>
      <c r="X2052" s="54"/>
      <c r="Y2052" s="54"/>
      <c r="Z2052" s="54"/>
      <c r="AA2052" s="54"/>
      <c r="AB2052" s="54"/>
      <c r="AC2052" s="54"/>
      <c r="AD2052" s="54"/>
      <c r="AE2052" s="54"/>
      <c r="AF2052" s="54"/>
      <c r="AG2052" s="54"/>
      <c r="AH2052" s="54"/>
    </row>
    <row r="2053">
      <c r="A2053" s="80"/>
      <c r="B2053" s="80"/>
      <c r="C2053" s="80"/>
      <c r="D2053" s="80"/>
      <c r="E2053" s="80"/>
      <c r="F2053" s="59"/>
      <c r="G2053" s="59"/>
      <c r="H2053" s="83"/>
      <c r="I2053" s="76"/>
      <c r="J2053" s="76"/>
      <c r="K2053" s="81"/>
      <c r="L2053" s="82"/>
      <c r="M2053" s="54"/>
      <c r="N2053" s="54"/>
      <c r="O2053" s="54"/>
      <c r="P2053" s="54"/>
      <c r="Q2053" s="54"/>
      <c r="R2053" s="54"/>
      <c r="S2053" s="54"/>
      <c r="T2053" s="54"/>
      <c r="U2053" s="54"/>
      <c r="V2053" s="54"/>
      <c r="W2053" s="54"/>
      <c r="X2053" s="54"/>
      <c r="Y2053" s="54"/>
      <c r="Z2053" s="54"/>
      <c r="AA2053" s="54"/>
      <c r="AB2053" s="54"/>
      <c r="AC2053" s="54"/>
      <c r="AD2053" s="54"/>
      <c r="AE2053" s="54"/>
      <c r="AF2053" s="54"/>
      <c r="AG2053" s="54"/>
      <c r="AH2053" s="54"/>
    </row>
    <row r="2054">
      <c r="A2054" s="80"/>
      <c r="B2054" s="80"/>
      <c r="C2054" s="80"/>
      <c r="D2054" s="80"/>
      <c r="E2054" s="80"/>
      <c r="F2054" s="59"/>
      <c r="G2054" s="59"/>
      <c r="H2054" s="83"/>
      <c r="I2054" s="76"/>
      <c r="J2054" s="76"/>
      <c r="K2054" s="81"/>
      <c r="L2054" s="82"/>
      <c r="M2054" s="54"/>
      <c r="N2054" s="54"/>
      <c r="O2054" s="54"/>
      <c r="P2054" s="54"/>
      <c r="Q2054" s="54"/>
      <c r="R2054" s="54"/>
      <c r="S2054" s="54"/>
      <c r="T2054" s="54"/>
      <c r="U2054" s="54"/>
      <c r="V2054" s="54"/>
      <c r="W2054" s="54"/>
      <c r="X2054" s="54"/>
      <c r="Y2054" s="54"/>
      <c r="Z2054" s="54"/>
      <c r="AA2054" s="54"/>
      <c r="AB2054" s="54"/>
      <c r="AC2054" s="54"/>
      <c r="AD2054" s="54"/>
      <c r="AE2054" s="54"/>
      <c r="AF2054" s="54"/>
      <c r="AG2054" s="54"/>
      <c r="AH2054" s="54"/>
    </row>
    <row r="2055">
      <c r="A2055" s="80"/>
      <c r="B2055" s="80"/>
      <c r="C2055" s="80"/>
      <c r="D2055" s="80"/>
      <c r="E2055" s="80"/>
      <c r="F2055" s="59"/>
      <c r="G2055" s="59"/>
      <c r="H2055" s="83"/>
      <c r="I2055" s="76"/>
      <c r="J2055" s="76"/>
      <c r="K2055" s="81"/>
      <c r="L2055" s="82"/>
      <c r="M2055" s="54"/>
      <c r="N2055" s="54"/>
      <c r="O2055" s="54"/>
      <c r="P2055" s="54"/>
      <c r="Q2055" s="54"/>
      <c r="R2055" s="54"/>
      <c r="S2055" s="54"/>
      <c r="T2055" s="54"/>
      <c r="U2055" s="54"/>
      <c r="V2055" s="54"/>
      <c r="W2055" s="54"/>
      <c r="X2055" s="54"/>
      <c r="Y2055" s="54"/>
      <c r="Z2055" s="54"/>
      <c r="AA2055" s="54"/>
      <c r="AB2055" s="54"/>
      <c r="AC2055" s="54"/>
      <c r="AD2055" s="54"/>
      <c r="AE2055" s="54"/>
      <c r="AF2055" s="54"/>
      <c r="AG2055" s="54"/>
      <c r="AH2055" s="54"/>
    </row>
    <row r="2056">
      <c r="A2056" s="80"/>
      <c r="B2056" s="80"/>
      <c r="C2056" s="80"/>
      <c r="D2056" s="80"/>
      <c r="E2056" s="80"/>
      <c r="F2056" s="59"/>
      <c r="G2056" s="59"/>
      <c r="H2056" s="83"/>
      <c r="I2056" s="76"/>
      <c r="J2056" s="76"/>
      <c r="K2056" s="81"/>
      <c r="L2056" s="82"/>
      <c r="M2056" s="54"/>
      <c r="N2056" s="54"/>
      <c r="O2056" s="54"/>
      <c r="P2056" s="54"/>
      <c r="Q2056" s="54"/>
      <c r="R2056" s="54"/>
      <c r="S2056" s="54"/>
      <c r="T2056" s="54"/>
      <c r="U2056" s="54"/>
      <c r="V2056" s="54"/>
      <c r="W2056" s="54"/>
      <c r="X2056" s="54"/>
      <c r="Y2056" s="54"/>
      <c r="Z2056" s="54"/>
      <c r="AA2056" s="54"/>
      <c r="AB2056" s="54"/>
      <c r="AC2056" s="54"/>
      <c r="AD2056" s="54"/>
      <c r="AE2056" s="54"/>
      <c r="AF2056" s="54"/>
      <c r="AG2056" s="54"/>
      <c r="AH2056" s="54"/>
    </row>
    <row r="2057">
      <c r="A2057" s="80"/>
      <c r="B2057" s="80"/>
      <c r="C2057" s="80"/>
      <c r="D2057" s="80"/>
      <c r="E2057" s="80"/>
      <c r="F2057" s="59"/>
      <c r="G2057" s="59"/>
      <c r="H2057" s="83"/>
      <c r="I2057" s="76"/>
      <c r="J2057" s="76"/>
      <c r="K2057" s="81"/>
      <c r="L2057" s="82"/>
      <c r="M2057" s="54"/>
      <c r="N2057" s="54"/>
      <c r="O2057" s="54"/>
      <c r="P2057" s="54"/>
      <c r="Q2057" s="54"/>
      <c r="R2057" s="54"/>
      <c r="S2057" s="54"/>
      <c r="T2057" s="54"/>
      <c r="U2057" s="54"/>
      <c r="V2057" s="54"/>
      <c r="W2057" s="54"/>
      <c r="X2057" s="54"/>
      <c r="Y2057" s="54"/>
      <c r="Z2057" s="54"/>
      <c r="AA2057" s="54"/>
      <c r="AB2057" s="54"/>
      <c r="AC2057" s="54"/>
      <c r="AD2057" s="54"/>
      <c r="AE2057" s="54"/>
      <c r="AF2057" s="54"/>
      <c r="AG2057" s="54"/>
      <c r="AH2057" s="54"/>
    </row>
    <row r="2058">
      <c r="A2058" s="80"/>
      <c r="B2058" s="80"/>
      <c r="C2058" s="80"/>
      <c r="D2058" s="80"/>
      <c r="E2058" s="80"/>
      <c r="F2058" s="59"/>
      <c r="G2058" s="59"/>
      <c r="H2058" s="83"/>
      <c r="I2058" s="76"/>
      <c r="J2058" s="76"/>
      <c r="K2058" s="81"/>
      <c r="L2058" s="82"/>
      <c r="M2058" s="54"/>
      <c r="N2058" s="54"/>
      <c r="O2058" s="54"/>
      <c r="P2058" s="54"/>
      <c r="Q2058" s="54"/>
      <c r="R2058" s="54"/>
      <c r="S2058" s="54"/>
      <c r="T2058" s="54"/>
      <c r="U2058" s="54"/>
      <c r="V2058" s="54"/>
      <c r="W2058" s="54"/>
      <c r="X2058" s="54"/>
      <c r="Y2058" s="54"/>
      <c r="Z2058" s="54"/>
      <c r="AA2058" s="54"/>
      <c r="AB2058" s="54"/>
      <c r="AC2058" s="54"/>
      <c r="AD2058" s="54"/>
      <c r="AE2058" s="54"/>
      <c r="AF2058" s="54"/>
      <c r="AG2058" s="54"/>
      <c r="AH2058" s="54"/>
    </row>
    <row r="2059">
      <c r="A2059" s="80"/>
      <c r="B2059" s="80"/>
      <c r="C2059" s="80"/>
      <c r="D2059" s="80"/>
      <c r="E2059" s="80"/>
      <c r="F2059" s="59"/>
      <c r="G2059" s="59"/>
      <c r="H2059" s="83"/>
      <c r="I2059" s="76"/>
      <c r="J2059" s="76"/>
      <c r="K2059" s="81"/>
      <c r="L2059" s="82"/>
      <c r="M2059" s="54"/>
      <c r="N2059" s="54"/>
      <c r="O2059" s="54"/>
      <c r="P2059" s="54"/>
      <c r="Q2059" s="54"/>
      <c r="R2059" s="54"/>
      <c r="S2059" s="54"/>
      <c r="T2059" s="54"/>
      <c r="U2059" s="54"/>
      <c r="V2059" s="54"/>
      <c r="W2059" s="54"/>
      <c r="X2059" s="54"/>
      <c r="Y2059" s="54"/>
      <c r="Z2059" s="54"/>
      <c r="AA2059" s="54"/>
      <c r="AB2059" s="54"/>
      <c r="AC2059" s="54"/>
      <c r="AD2059" s="54"/>
      <c r="AE2059" s="54"/>
      <c r="AF2059" s="54"/>
      <c r="AG2059" s="54"/>
      <c r="AH2059" s="54"/>
    </row>
    <row r="2060">
      <c r="A2060" s="80"/>
      <c r="B2060" s="80"/>
      <c r="C2060" s="80"/>
      <c r="D2060" s="80"/>
      <c r="E2060" s="80"/>
      <c r="F2060" s="59"/>
      <c r="G2060" s="59"/>
      <c r="H2060" s="83"/>
      <c r="I2060" s="76"/>
      <c r="J2060" s="76"/>
      <c r="K2060" s="81"/>
      <c r="L2060" s="82"/>
      <c r="M2060" s="54"/>
      <c r="N2060" s="54"/>
      <c r="O2060" s="54"/>
      <c r="P2060" s="54"/>
      <c r="Q2060" s="54"/>
      <c r="R2060" s="54"/>
      <c r="S2060" s="54"/>
      <c r="T2060" s="54"/>
      <c r="U2060" s="54"/>
      <c r="V2060" s="54"/>
      <c r="W2060" s="54"/>
      <c r="X2060" s="54"/>
      <c r="Y2060" s="54"/>
      <c r="Z2060" s="54"/>
      <c r="AA2060" s="54"/>
      <c r="AB2060" s="54"/>
      <c r="AC2060" s="54"/>
      <c r="AD2060" s="54"/>
      <c r="AE2060" s="54"/>
      <c r="AF2060" s="54"/>
      <c r="AG2060" s="54"/>
      <c r="AH2060" s="54"/>
    </row>
    <row r="2061">
      <c r="A2061" s="80"/>
      <c r="B2061" s="80"/>
      <c r="C2061" s="80"/>
      <c r="D2061" s="80"/>
      <c r="E2061" s="80"/>
      <c r="F2061" s="59"/>
      <c r="G2061" s="59"/>
      <c r="H2061" s="83"/>
      <c r="I2061" s="76"/>
      <c r="J2061" s="76"/>
      <c r="K2061" s="81"/>
      <c r="L2061" s="82"/>
      <c r="M2061" s="54"/>
      <c r="N2061" s="54"/>
      <c r="O2061" s="54"/>
      <c r="P2061" s="54"/>
      <c r="Q2061" s="54"/>
      <c r="R2061" s="54"/>
      <c r="S2061" s="54"/>
      <c r="T2061" s="54"/>
      <c r="U2061" s="54"/>
      <c r="V2061" s="54"/>
      <c r="W2061" s="54"/>
      <c r="X2061" s="54"/>
      <c r="Y2061" s="54"/>
      <c r="Z2061" s="54"/>
      <c r="AA2061" s="54"/>
      <c r="AB2061" s="54"/>
      <c r="AC2061" s="54"/>
      <c r="AD2061" s="54"/>
      <c r="AE2061" s="54"/>
      <c r="AF2061" s="54"/>
      <c r="AG2061" s="54"/>
      <c r="AH2061" s="54"/>
    </row>
    <row r="2062">
      <c r="A2062" s="80"/>
      <c r="B2062" s="80"/>
      <c r="C2062" s="80"/>
      <c r="D2062" s="80"/>
      <c r="E2062" s="80"/>
      <c r="F2062" s="59"/>
      <c r="G2062" s="59"/>
      <c r="H2062" s="83"/>
      <c r="I2062" s="76"/>
      <c r="J2062" s="76"/>
      <c r="K2062" s="81"/>
      <c r="L2062" s="82"/>
      <c r="M2062" s="54"/>
      <c r="N2062" s="54"/>
      <c r="O2062" s="54"/>
      <c r="P2062" s="54"/>
      <c r="Q2062" s="54"/>
      <c r="R2062" s="54"/>
      <c r="S2062" s="54"/>
      <c r="T2062" s="54"/>
      <c r="U2062" s="54"/>
      <c r="V2062" s="54"/>
      <c r="W2062" s="54"/>
      <c r="X2062" s="54"/>
      <c r="Y2062" s="54"/>
      <c r="Z2062" s="54"/>
      <c r="AA2062" s="54"/>
      <c r="AB2062" s="54"/>
      <c r="AC2062" s="54"/>
      <c r="AD2062" s="54"/>
      <c r="AE2062" s="54"/>
      <c r="AF2062" s="54"/>
      <c r="AG2062" s="54"/>
      <c r="AH2062" s="54"/>
    </row>
    <row r="2063">
      <c r="A2063" s="80"/>
      <c r="B2063" s="80"/>
      <c r="C2063" s="80"/>
      <c r="D2063" s="80"/>
      <c r="E2063" s="80"/>
      <c r="F2063" s="59"/>
      <c r="G2063" s="59"/>
      <c r="H2063" s="83"/>
      <c r="I2063" s="76"/>
      <c r="J2063" s="76"/>
      <c r="K2063" s="81"/>
      <c r="L2063" s="82"/>
      <c r="M2063" s="54"/>
      <c r="N2063" s="54"/>
      <c r="O2063" s="54"/>
      <c r="P2063" s="54"/>
      <c r="Q2063" s="54"/>
      <c r="R2063" s="54"/>
      <c r="S2063" s="54"/>
      <c r="T2063" s="54"/>
      <c r="U2063" s="54"/>
      <c r="V2063" s="54"/>
      <c r="W2063" s="54"/>
      <c r="X2063" s="54"/>
      <c r="Y2063" s="54"/>
      <c r="Z2063" s="54"/>
      <c r="AA2063" s="54"/>
      <c r="AB2063" s="54"/>
      <c r="AC2063" s="54"/>
      <c r="AD2063" s="54"/>
      <c r="AE2063" s="54"/>
      <c r="AF2063" s="54"/>
      <c r="AG2063" s="54"/>
      <c r="AH2063" s="54"/>
    </row>
    <row r="2064">
      <c r="A2064" s="80"/>
      <c r="B2064" s="80"/>
      <c r="C2064" s="80"/>
      <c r="D2064" s="80"/>
      <c r="E2064" s="80"/>
      <c r="F2064" s="59"/>
      <c r="G2064" s="59"/>
      <c r="H2064" s="83"/>
      <c r="I2064" s="76"/>
      <c r="J2064" s="76"/>
      <c r="K2064" s="81"/>
      <c r="L2064" s="82"/>
      <c r="M2064" s="54"/>
      <c r="N2064" s="54"/>
      <c r="O2064" s="54"/>
      <c r="P2064" s="54"/>
      <c r="Q2064" s="54"/>
      <c r="R2064" s="54"/>
      <c r="S2064" s="54"/>
      <c r="T2064" s="54"/>
      <c r="U2064" s="54"/>
      <c r="V2064" s="54"/>
      <c r="W2064" s="54"/>
      <c r="X2064" s="54"/>
      <c r="Y2064" s="54"/>
      <c r="Z2064" s="54"/>
      <c r="AA2064" s="54"/>
      <c r="AB2064" s="54"/>
      <c r="AC2064" s="54"/>
      <c r="AD2064" s="54"/>
      <c r="AE2064" s="54"/>
      <c r="AF2064" s="54"/>
      <c r="AG2064" s="54"/>
      <c r="AH2064" s="54"/>
    </row>
    <row r="2065">
      <c r="A2065" s="80"/>
      <c r="B2065" s="80"/>
      <c r="C2065" s="80"/>
      <c r="D2065" s="80"/>
      <c r="E2065" s="80"/>
      <c r="F2065" s="59"/>
      <c r="G2065" s="59"/>
      <c r="H2065" s="83"/>
      <c r="I2065" s="76"/>
      <c r="J2065" s="76"/>
      <c r="K2065" s="81"/>
      <c r="L2065" s="82"/>
      <c r="M2065" s="54"/>
      <c r="N2065" s="54"/>
      <c r="O2065" s="54"/>
      <c r="P2065" s="54"/>
      <c r="Q2065" s="54"/>
      <c r="R2065" s="54"/>
      <c r="S2065" s="54"/>
      <c r="T2065" s="54"/>
      <c r="U2065" s="54"/>
      <c r="V2065" s="54"/>
      <c r="W2065" s="54"/>
      <c r="X2065" s="54"/>
      <c r="Y2065" s="54"/>
      <c r="Z2065" s="54"/>
      <c r="AA2065" s="54"/>
      <c r="AB2065" s="54"/>
      <c r="AC2065" s="54"/>
      <c r="AD2065" s="54"/>
      <c r="AE2065" s="54"/>
      <c r="AF2065" s="54"/>
      <c r="AG2065" s="54"/>
      <c r="AH2065" s="54"/>
    </row>
    <row r="2066">
      <c r="A2066" s="80"/>
      <c r="B2066" s="80"/>
      <c r="C2066" s="80"/>
      <c r="D2066" s="80"/>
      <c r="E2066" s="80"/>
      <c r="F2066" s="59"/>
      <c r="G2066" s="59"/>
      <c r="H2066" s="83"/>
      <c r="I2066" s="76"/>
      <c r="J2066" s="76"/>
      <c r="K2066" s="81"/>
      <c r="L2066" s="82"/>
      <c r="M2066" s="54"/>
      <c r="N2066" s="54"/>
      <c r="O2066" s="54"/>
      <c r="P2066" s="54"/>
      <c r="Q2066" s="54"/>
      <c r="R2066" s="54"/>
      <c r="S2066" s="54"/>
      <c r="T2066" s="54"/>
      <c r="U2066" s="54"/>
      <c r="V2066" s="54"/>
      <c r="W2066" s="54"/>
      <c r="X2066" s="54"/>
      <c r="Y2066" s="54"/>
      <c r="Z2066" s="54"/>
      <c r="AA2066" s="54"/>
      <c r="AB2066" s="54"/>
      <c r="AC2066" s="54"/>
      <c r="AD2066" s="54"/>
      <c r="AE2066" s="54"/>
      <c r="AF2066" s="54"/>
      <c r="AG2066" s="54"/>
      <c r="AH2066" s="54"/>
    </row>
    <row r="2067">
      <c r="A2067" s="80"/>
      <c r="B2067" s="80"/>
      <c r="C2067" s="80"/>
      <c r="D2067" s="80"/>
      <c r="E2067" s="80"/>
      <c r="F2067" s="59"/>
      <c r="G2067" s="59"/>
      <c r="H2067" s="83"/>
      <c r="I2067" s="76"/>
      <c r="J2067" s="76"/>
      <c r="K2067" s="81"/>
      <c r="L2067" s="82"/>
      <c r="M2067" s="54"/>
      <c r="N2067" s="54"/>
      <c r="O2067" s="54"/>
      <c r="P2067" s="54"/>
      <c r="Q2067" s="54"/>
      <c r="R2067" s="54"/>
      <c r="S2067" s="54"/>
      <c r="T2067" s="54"/>
      <c r="U2067" s="54"/>
      <c r="V2067" s="54"/>
      <c r="W2067" s="54"/>
      <c r="X2067" s="54"/>
      <c r="Y2067" s="54"/>
      <c r="Z2067" s="54"/>
      <c r="AA2067" s="54"/>
      <c r="AB2067" s="54"/>
      <c r="AC2067" s="54"/>
      <c r="AD2067" s="54"/>
      <c r="AE2067" s="54"/>
      <c r="AF2067" s="54"/>
      <c r="AG2067" s="54"/>
      <c r="AH2067" s="54"/>
    </row>
    <row r="2068">
      <c r="A2068" s="80"/>
      <c r="B2068" s="80"/>
      <c r="C2068" s="80"/>
      <c r="D2068" s="80"/>
      <c r="E2068" s="80"/>
      <c r="F2068" s="59"/>
      <c r="G2068" s="59"/>
      <c r="H2068" s="83"/>
      <c r="I2068" s="76"/>
      <c r="J2068" s="76"/>
      <c r="K2068" s="81"/>
      <c r="L2068" s="82"/>
      <c r="M2068" s="54"/>
      <c r="N2068" s="54"/>
      <c r="O2068" s="54"/>
      <c r="P2068" s="54"/>
      <c r="Q2068" s="54"/>
      <c r="R2068" s="54"/>
      <c r="S2068" s="54"/>
      <c r="T2068" s="54"/>
      <c r="U2068" s="54"/>
      <c r="V2068" s="54"/>
      <c r="W2068" s="54"/>
      <c r="X2068" s="54"/>
      <c r="Y2068" s="54"/>
      <c r="Z2068" s="54"/>
      <c r="AA2068" s="54"/>
      <c r="AB2068" s="54"/>
      <c r="AC2068" s="54"/>
      <c r="AD2068" s="54"/>
      <c r="AE2068" s="54"/>
      <c r="AF2068" s="54"/>
      <c r="AG2068" s="54"/>
      <c r="AH2068" s="54"/>
    </row>
    <row r="2069">
      <c r="A2069" s="80"/>
      <c r="B2069" s="80"/>
      <c r="C2069" s="80"/>
      <c r="D2069" s="80"/>
      <c r="E2069" s="80"/>
      <c r="F2069" s="59"/>
      <c r="G2069" s="59"/>
      <c r="H2069" s="83"/>
      <c r="I2069" s="76"/>
      <c r="J2069" s="76"/>
      <c r="K2069" s="81"/>
      <c r="L2069" s="82"/>
      <c r="M2069" s="54"/>
      <c r="N2069" s="54"/>
      <c r="O2069" s="54"/>
      <c r="P2069" s="54"/>
      <c r="Q2069" s="54"/>
      <c r="R2069" s="54"/>
      <c r="S2069" s="54"/>
      <c r="T2069" s="54"/>
      <c r="U2069" s="54"/>
      <c r="V2069" s="54"/>
      <c r="W2069" s="54"/>
      <c r="X2069" s="54"/>
      <c r="Y2069" s="54"/>
      <c r="Z2069" s="54"/>
      <c r="AA2069" s="54"/>
      <c r="AB2069" s="54"/>
      <c r="AC2069" s="54"/>
      <c r="AD2069" s="54"/>
      <c r="AE2069" s="54"/>
      <c r="AF2069" s="54"/>
      <c r="AG2069" s="54"/>
      <c r="AH2069" s="54"/>
    </row>
    <row r="2070">
      <c r="A2070" s="80"/>
      <c r="B2070" s="80"/>
      <c r="C2070" s="80"/>
      <c r="D2070" s="80"/>
      <c r="E2070" s="80"/>
      <c r="F2070" s="59"/>
      <c r="G2070" s="59"/>
      <c r="H2070" s="83"/>
      <c r="I2070" s="76"/>
      <c r="J2070" s="76"/>
      <c r="K2070" s="81"/>
      <c r="L2070" s="82"/>
      <c r="M2070" s="54"/>
      <c r="N2070" s="54"/>
      <c r="O2070" s="54"/>
      <c r="P2070" s="54"/>
      <c r="Q2070" s="54"/>
      <c r="R2070" s="54"/>
      <c r="S2070" s="54"/>
      <c r="T2070" s="54"/>
      <c r="U2070" s="54"/>
      <c r="V2070" s="54"/>
      <c r="W2070" s="54"/>
      <c r="X2070" s="54"/>
      <c r="Y2070" s="54"/>
      <c r="Z2070" s="54"/>
      <c r="AA2070" s="54"/>
      <c r="AB2070" s="54"/>
      <c r="AC2070" s="54"/>
      <c r="AD2070" s="54"/>
      <c r="AE2070" s="54"/>
      <c r="AF2070" s="54"/>
      <c r="AG2070" s="54"/>
      <c r="AH2070" s="54"/>
    </row>
    <row r="2071">
      <c r="A2071" s="80"/>
      <c r="B2071" s="80"/>
      <c r="C2071" s="80"/>
      <c r="D2071" s="80"/>
      <c r="E2071" s="80"/>
      <c r="F2071" s="59"/>
      <c r="G2071" s="59"/>
      <c r="H2071" s="83"/>
      <c r="I2071" s="76"/>
      <c r="J2071" s="76"/>
      <c r="K2071" s="81"/>
      <c r="L2071" s="82"/>
      <c r="M2071" s="54"/>
      <c r="N2071" s="54"/>
      <c r="O2071" s="54"/>
      <c r="P2071" s="54"/>
      <c r="Q2071" s="54"/>
      <c r="R2071" s="54"/>
      <c r="S2071" s="54"/>
      <c r="T2071" s="54"/>
      <c r="U2071" s="54"/>
      <c r="V2071" s="54"/>
      <c r="W2071" s="54"/>
      <c r="X2071" s="54"/>
      <c r="Y2071" s="54"/>
      <c r="Z2071" s="54"/>
      <c r="AA2071" s="54"/>
      <c r="AB2071" s="54"/>
      <c r="AC2071" s="54"/>
      <c r="AD2071" s="54"/>
      <c r="AE2071" s="54"/>
      <c r="AF2071" s="54"/>
      <c r="AG2071" s="54"/>
      <c r="AH2071" s="54"/>
    </row>
    <row r="2072">
      <c r="A2072" s="80"/>
      <c r="B2072" s="80"/>
      <c r="C2072" s="80"/>
      <c r="D2072" s="80"/>
      <c r="E2072" s="80"/>
      <c r="F2072" s="59"/>
      <c r="G2072" s="59"/>
      <c r="H2072" s="83"/>
      <c r="I2072" s="76"/>
      <c r="J2072" s="76"/>
      <c r="K2072" s="81"/>
      <c r="L2072" s="82"/>
      <c r="M2072" s="54"/>
      <c r="N2072" s="54"/>
      <c r="O2072" s="54"/>
      <c r="P2072" s="54"/>
      <c r="Q2072" s="54"/>
      <c r="R2072" s="54"/>
      <c r="S2072" s="54"/>
      <c r="T2072" s="54"/>
      <c r="U2072" s="54"/>
      <c r="V2072" s="54"/>
      <c r="W2072" s="54"/>
      <c r="X2072" s="54"/>
      <c r="Y2072" s="54"/>
      <c r="Z2072" s="54"/>
      <c r="AA2072" s="54"/>
      <c r="AB2072" s="54"/>
      <c r="AC2072" s="54"/>
      <c r="AD2072" s="54"/>
      <c r="AE2072" s="54"/>
      <c r="AF2072" s="54"/>
      <c r="AG2072" s="54"/>
      <c r="AH2072" s="54"/>
    </row>
    <row r="2073">
      <c r="A2073" s="80"/>
      <c r="B2073" s="80"/>
      <c r="C2073" s="80"/>
      <c r="D2073" s="80"/>
      <c r="E2073" s="80"/>
      <c r="F2073" s="59"/>
      <c r="G2073" s="59"/>
      <c r="H2073" s="83"/>
      <c r="I2073" s="76"/>
      <c r="J2073" s="76"/>
      <c r="K2073" s="81"/>
      <c r="L2073" s="82"/>
      <c r="M2073" s="54"/>
      <c r="N2073" s="54"/>
      <c r="O2073" s="54"/>
      <c r="P2073" s="54"/>
      <c r="Q2073" s="54"/>
      <c r="R2073" s="54"/>
      <c r="S2073" s="54"/>
      <c r="T2073" s="54"/>
      <c r="U2073" s="54"/>
      <c r="V2073" s="54"/>
      <c r="W2073" s="54"/>
      <c r="X2073" s="54"/>
      <c r="Y2073" s="54"/>
      <c r="Z2073" s="54"/>
      <c r="AA2073" s="54"/>
      <c r="AB2073" s="54"/>
      <c r="AC2073" s="54"/>
      <c r="AD2073" s="54"/>
      <c r="AE2073" s="54"/>
      <c r="AF2073" s="54"/>
      <c r="AG2073" s="54"/>
      <c r="AH2073" s="54"/>
    </row>
    <row r="2074">
      <c r="A2074" s="80"/>
      <c r="B2074" s="80"/>
      <c r="C2074" s="80"/>
      <c r="D2074" s="80"/>
      <c r="E2074" s="80"/>
      <c r="F2074" s="59"/>
      <c r="G2074" s="59"/>
      <c r="H2074" s="83"/>
      <c r="I2074" s="76"/>
      <c r="J2074" s="76"/>
      <c r="K2074" s="81"/>
      <c r="L2074" s="82"/>
      <c r="M2074" s="54"/>
      <c r="N2074" s="54"/>
      <c r="O2074" s="54"/>
      <c r="P2074" s="54"/>
      <c r="Q2074" s="54"/>
      <c r="R2074" s="54"/>
      <c r="S2074" s="54"/>
      <c r="T2074" s="54"/>
      <c r="U2074" s="54"/>
      <c r="V2074" s="54"/>
      <c r="W2074" s="54"/>
      <c r="X2074" s="54"/>
      <c r="Y2074" s="54"/>
      <c r="Z2074" s="54"/>
      <c r="AA2074" s="54"/>
      <c r="AB2074" s="54"/>
      <c r="AC2074" s="54"/>
      <c r="AD2074" s="54"/>
      <c r="AE2074" s="54"/>
      <c r="AF2074" s="54"/>
      <c r="AG2074" s="54"/>
      <c r="AH2074" s="54"/>
    </row>
    <row r="2075">
      <c r="A2075" s="80"/>
      <c r="B2075" s="80"/>
      <c r="C2075" s="80"/>
      <c r="D2075" s="80"/>
      <c r="E2075" s="80"/>
      <c r="F2075" s="59"/>
      <c r="G2075" s="59"/>
      <c r="H2075" s="83"/>
      <c r="I2075" s="76"/>
      <c r="J2075" s="76"/>
      <c r="K2075" s="81"/>
      <c r="L2075" s="82"/>
      <c r="M2075" s="54"/>
      <c r="N2075" s="54"/>
      <c r="O2075" s="54"/>
      <c r="P2075" s="54"/>
      <c r="Q2075" s="54"/>
      <c r="R2075" s="54"/>
      <c r="S2075" s="54"/>
      <c r="T2075" s="54"/>
      <c r="U2075" s="54"/>
      <c r="V2075" s="54"/>
      <c r="W2075" s="54"/>
      <c r="X2075" s="54"/>
      <c r="Y2075" s="54"/>
      <c r="Z2075" s="54"/>
      <c r="AA2075" s="54"/>
      <c r="AB2075" s="54"/>
      <c r="AC2075" s="54"/>
      <c r="AD2075" s="54"/>
      <c r="AE2075" s="54"/>
      <c r="AF2075" s="54"/>
      <c r="AG2075" s="54"/>
      <c r="AH2075" s="54"/>
    </row>
    <row r="2076">
      <c r="A2076" s="80"/>
      <c r="B2076" s="80"/>
      <c r="C2076" s="80"/>
      <c r="D2076" s="80"/>
      <c r="E2076" s="80"/>
      <c r="F2076" s="59"/>
      <c r="G2076" s="59"/>
      <c r="H2076" s="83"/>
      <c r="I2076" s="76"/>
      <c r="J2076" s="76"/>
      <c r="K2076" s="81"/>
      <c r="L2076" s="82"/>
      <c r="M2076" s="54"/>
      <c r="N2076" s="54"/>
      <c r="O2076" s="54"/>
      <c r="P2076" s="54"/>
      <c r="Q2076" s="54"/>
      <c r="R2076" s="54"/>
      <c r="S2076" s="54"/>
      <c r="T2076" s="54"/>
      <c r="U2076" s="54"/>
      <c r="V2076" s="54"/>
      <c r="W2076" s="54"/>
      <c r="X2076" s="54"/>
      <c r="Y2076" s="54"/>
      <c r="Z2076" s="54"/>
      <c r="AA2076" s="54"/>
      <c r="AB2076" s="54"/>
      <c r="AC2076" s="54"/>
      <c r="AD2076" s="54"/>
      <c r="AE2076" s="54"/>
      <c r="AF2076" s="54"/>
      <c r="AG2076" s="54"/>
      <c r="AH2076" s="54"/>
    </row>
    <row r="2077">
      <c r="A2077" s="80"/>
      <c r="B2077" s="80"/>
      <c r="C2077" s="80"/>
      <c r="D2077" s="80"/>
      <c r="E2077" s="80"/>
      <c r="F2077" s="59"/>
      <c r="G2077" s="59"/>
      <c r="H2077" s="83"/>
      <c r="I2077" s="76"/>
      <c r="J2077" s="76"/>
      <c r="K2077" s="81"/>
      <c r="L2077" s="82"/>
      <c r="M2077" s="54"/>
      <c r="N2077" s="54"/>
      <c r="O2077" s="54"/>
      <c r="P2077" s="54"/>
      <c r="Q2077" s="54"/>
      <c r="R2077" s="54"/>
      <c r="S2077" s="54"/>
      <c r="T2077" s="54"/>
      <c r="U2077" s="54"/>
      <c r="V2077" s="54"/>
      <c r="W2077" s="54"/>
      <c r="X2077" s="54"/>
      <c r="Y2077" s="54"/>
      <c r="Z2077" s="54"/>
      <c r="AA2077" s="54"/>
      <c r="AB2077" s="54"/>
      <c r="AC2077" s="54"/>
      <c r="AD2077" s="54"/>
      <c r="AE2077" s="54"/>
      <c r="AF2077" s="54"/>
      <c r="AG2077" s="54"/>
      <c r="AH2077" s="54"/>
    </row>
    <row r="2078">
      <c r="A2078" s="80"/>
      <c r="B2078" s="80"/>
      <c r="C2078" s="80"/>
      <c r="D2078" s="80"/>
      <c r="E2078" s="80"/>
      <c r="F2078" s="59"/>
      <c r="G2078" s="59"/>
      <c r="H2078" s="83"/>
      <c r="I2078" s="76"/>
      <c r="J2078" s="76"/>
      <c r="K2078" s="81"/>
      <c r="L2078" s="82"/>
      <c r="M2078" s="54"/>
      <c r="N2078" s="54"/>
      <c r="O2078" s="54"/>
      <c r="P2078" s="54"/>
      <c r="Q2078" s="54"/>
      <c r="R2078" s="54"/>
      <c r="S2078" s="54"/>
      <c r="T2078" s="54"/>
      <c r="U2078" s="54"/>
      <c r="V2078" s="54"/>
      <c r="W2078" s="54"/>
      <c r="X2078" s="54"/>
      <c r="Y2078" s="54"/>
      <c r="Z2078" s="54"/>
      <c r="AA2078" s="54"/>
      <c r="AB2078" s="54"/>
      <c r="AC2078" s="54"/>
      <c r="AD2078" s="54"/>
      <c r="AE2078" s="54"/>
      <c r="AF2078" s="54"/>
      <c r="AG2078" s="54"/>
      <c r="AH2078" s="54"/>
    </row>
    <row r="2079">
      <c r="A2079" s="80"/>
      <c r="B2079" s="80"/>
      <c r="C2079" s="80"/>
      <c r="D2079" s="80"/>
      <c r="E2079" s="80"/>
      <c r="F2079" s="59"/>
      <c r="G2079" s="59"/>
      <c r="H2079" s="83"/>
      <c r="I2079" s="76"/>
      <c r="J2079" s="76"/>
      <c r="K2079" s="81"/>
      <c r="L2079" s="82"/>
      <c r="M2079" s="54"/>
      <c r="N2079" s="54"/>
      <c r="O2079" s="54"/>
      <c r="P2079" s="54"/>
      <c r="Q2079" s="54"/>
      <c r="R2079" s="54"/>
      <c r="S2079" s="54"/>
      <c r="T2079" s="54"/>
      <c r="U2079" s="54"/>
      <c r="V2079" s="54"/>
      <c r="W2079" s="54"/>
      <c r="X2079" s="54"/>
      <c r="Y2079" s="54"/>
      <c r="Z2079" s="54"/>
      <c r="AA2079" s="54"/>
      <c r="AB2079" s="54"/>
      <c r="AC2079" s="54"/>
      <c r="AD2079" s="54"/>
      <c r="AE2079" s="54"/>
      <c r="AF2079" s="54"/>
      <c r="AG2079" s="54"/>
      <c r="AH2079" s="54"/>
    </row>
    <row r="2080">
      <c r="A2080" s="80"/>
      <c r="B2080" s="80"/>
      <c r="C2080" s="80"/>
      <c r="D2080" s="80"/>
      <c r="E2080" s="80"/>
      <c r="F2080" s="59"/>
      <c r="G2080" s="59"/>
      <c r="H2080" s="83"/>
      <c r="I2080" s="76"/>
      <c r="J2080" s="76"/>
      <c r="K2080" s="81"/>
      <c r="L2080" s="82"/>
      <c r="M2080" s="54"/>
      <c r="N2080" s="54"/>
      <c r="O2080" s="54"/>
      <c r="P2080" s="54"/>
      <c r="Q2080" s="54"/>
      <c r="R2080" s="54"/>
      <c r="S2080" s="54"/>
      <c r="T2080" s="54"/>
      <c r="U2080" s="54"/>
      <c r="V2080" s="54"/>
      <c r="W2080" s="54"/>
      <c r="X2080" s="54"/>
      <c r="Y2080" s="54"/>
      <c r="Z2080" s="54"/>
      <c r="AA2080" s="54"/>
      <c r="AB2080" s="54"/>
      <c r="AC2080" s="54"/>
      <c r="AD2080" s="54"/>
      <c r="AE2080" s="54"/>
      <c r="AF2080" s="54"/>
      <c r="AG2080" s="54"/>
      <c r="AH2080" s="54"/>
    </row>
    <row r="2081">
      <c r="A2081" s="80"/>
      <c r="B2081" s="80"/>
      <c r="C2081" s="80"/>
      <c r="D2081" s="80"/>
      <c r="E2081" s="80"/>
      <c r="F2081" s="59"/>
      <c r="G2081" s="59"/>
      <c r="H2081" s="83"/>
      <c r="I2081" s="76"/>
      <c r="J2081" s="76"/>
      <c r="K2081" s="81"/>
      <c r="L2081" s="82"/>
      <c r="M2081" s="54"/>
      <c r="N2081" s="54"/>
      <c r="O2081" s="54"/>
      <c r="P2081" s="54"/>
      <c r="Q2081" s="54"/>
      <c r="R2081" s="54"/>
      <c r="S2081" s="54"/>
      <c r="T2081" s="54"/>
      <c r="U2081" s="54"/>
      <c r="V2081" s="54"/>
      <c r="W2081" s="54"/>
      <c r="X2081" s="54"/>
      <c r="Y2081" s="54"/>
      <c r="Z2081" s="54"/>
      <c r="AA2081" s="54"/>
      <c r="AB2081" s="54"/>
      <c r="AC2081" s="54"/>
      <c r="AD2081" s="54"/>
      <c r="AE2081" s="54"/>
      <c r="AF2081" s="54"/>
      <c r="AG2081" s="54"/>
      <c r="AH2081" s="54"/>
    </row>
    <row r="2082">
      <c r="A2082" s="80"/>
      <c r="B2082" s="80"/>
      <c r="C2082" s="80"/>
      <c r="D2082" s="80"/>
      <c r="E2082" s="80"/>
      <c r="F2082" s="59"/>
      <c r="G2082" s="59"/>
      <c r="H2082" s="83"/>
      <c r="I2082" s="76"/>
      <c r="J2082" s="76"/>
      <c r="K2082" s="81"/>
      <c r="L2082" s="82"/>
      <c r="M2082" s="54"/>
      <c r="N2082" s="54"/>
      <c r="O2082" s="54"/>
      <c r="P2082" s="54"/>
      <c r="Q2082" s="54"/>
      <c r="R2082" s="54"/>
      <c r="S2082" s="54"/>
      <c r="T2082" s="54"/>
      <c r="U2082" s="54"/>
      <c r="V2082" s="54"/>
      <c r="W2082" s="54"/>
      <c r="X2082" s="54"/>
      <c r="Y2082" s="54"/>
      <c r="Z2082" s="54"/>
      <c r="AA2082" s="54"/>
      <c r="AB2082" s="54"/>
      <c r="AC2082" s="54"/>
      <c r="AD2082" s="54"/>
      <c r="AE2082" s="54"/>
      <c r="AF2082" s="54"/>
      <c r="AG2082" s="54"/>
      <c r="AH2082" s="54"/>
    </row>
    <row r="2083">
      <c r="A2083" s="80"/>
      <c r="B2083" s="80"/>
      <c r="C2083" s="80"/>
      <c r="D2083" s="80"/>
      <c r="E2083" s="80"/>
      <c r="F2083" s="59"/>
      <c r="G2083" s="59"/>
      <c r="H2083" s="83"/>
      <c r="I2083" s="76"/>
      <c r="J2083" s="76"/>
      <c r="K2083" s="81"/>
      <c r="L2083" s="82"/>
      <c r="M2083" s="54"/>
      <c r="N2083" s="54"/>
      <c r="O2083" s="54"/>
      <c r="P2083" s="54"/>
      <c r="Q2083" s="54"/>
      <c r="R2083" s="54"/>
      <c r="S2083" s="54"/>
      <c r="T2083" s="54"/>
      <c r="U2083" s="54"/>
      <c r="V2083" s="54"/>
      <c r="W2083" s="54"/>
      <c r="X2083" s="54"/>
      <c r="Y2083" s="54"/>
      <c r="Z2083" s="54"/>
      <c r="AA2083" s="54"/>
      <c r="AB2083" s="54"/>
      <c r="AC2083" s="54"/>
      <c r="AD2083" s="54"/>
      <c r="AE2083" s="54"/>
      <c r="AF2083" s="54"/>
      <c r="AG2083" s="54"/>
      <c r="AH2083" s="54"/>
    </row>
    <row r="2084">
      <c r="A2084" s="80"/>
      <c r="B2084" s="80"/>
      <c r="C2084" s="80"/>
      <c r="D2084" s="80"/>
      <c r="E2084" s="80"/>
      <c r="F2084" s="59"/>
      <c r="G2084" s="59"/>
      <c r="H2084" s="83"/>
      <c r="I2084" s="76"/>
      <c r="J2084" s="76"/>
      <c r="K2084" s="81"/>
      <c r="L2084" s="82"/>
      <c r="M2084" s="54"/>
      <c r="N2084" s="54"/>
      <c r="O2084" s="54"/>
      <c r="P2084" s="54"/>
      <c r="Q2084" s="54"/>
      <c r="R2084" s="54"/>
      <c r="S2084" s="54"/>
      <c r="T2084" s="54"/>
      <c r="U2084" s="54"/>
      <c r="V2084" s="54"/>
      <c r="W2084" s="54"/>
      <c r="X2084" s="54"/>
      <c r="Y2084" s="54"/>
      <c r="Z2084" s="54"/>
      <c r="AA2084" s="54"/>
      <c r="AB2084" s="54"/>
      <c r="AC2084" s="54"/>
      <c r="AD2084" s="54"/>
      <c r="AE2084" s="54"/>
      <c r="AF2084" s="54"/>
      <c r="AG2084" s="54"/>
      <c r="AH2084" s="54"/>
    </row>
    <row r="2085">
      <c r="A2085" s="80"/>
      <c r="B2085" s="80"/>
      <c r="C2085" s="80"/>
      <c r="D2085" s="80"/>
      <c r="E2085" s="80"/>
      <c r="F2085" s="59"/>
      <c r="G2085" s="59"/>
      <c r="H2085" s="83"/>
      <c r="I2085" s="76"/>
      <c r="J2085" s="76"/>
      <c r="K2085" s="81"/>
      <c r="L2085" s="82"/>
      <c r="M2085" s="54"/>
      <c r="N2085" s="54"/>
      <c r="O2085" s="54"/>
      <c r="P2085" s="54"/>
      <c r="Q2085" s="54"/>
      <c r="R2085" s="54"/>
      <c r="S2085" s="54"/>
      <c r="T2085" s="54"/>
      <c r="U2085" s="54"/>
      <c r="V2085" s="54"/>
      <c r="W2085" s="54"/>
      <c r="X2085" s="54"/>
      <c r="Y2085" s="54"/>
      <c r="Z2085" s="54"/>
      <c r="AA2085" s="54"/>
      <c r="AB2085" s="54"/>
      <c r="AC2085" s="54"/>
      <c r="AD2085" s="54"/>
      <c r="AE2085" s="54"/>
      <c r="AF2085" s="54"/>
      <c r="AG2085" s="54"/>
      <c r="AH2085" s="54"/>
    </row>
    <row r="2086">
      <c r="A2086" s="80"/>
      <c r="B2086" s="80"/>
      <c r="C2086" s="80"/>
      <c r="D2086" s="80"/>
      <c r="E2086" s="80"/>
      <c r="F2086" s="59"/>
      <c r="G2086" s="59"/>
      <c r="H2086" s="83"/>
      <c r="I2086" s="76"/>
      <c r="J2086" s="76"/>
      <c r="K2086" s="81"/>
      <c r="L2086" s="82"/>
      <c r="M2086" s="54"/>
      <c r="N2086" s="54"/>
      <c r="O2086" s="54"/>
      <c r="P2086" s="54"/>
      <c r="Q2086" s="54"/>
      <c r="R2086" s="54"/>
      <c r="S2086" s="54"/>
      <c r="T2086" s="54"/>
      <c r="U2086" s="54"/>
      <c r="V2086" s="54"/>
      <c r="W2086" s="54"/>
      <c r="X2086" s="54"/>
      <c r="Y2086" s="54"/>
      <c r="Z2086" s="54"/>
      <c r="AA2086" s="54"/>
      <c r="AB2086" s="54"/>
      <c r="AC2086" s="54"/>
      <c r="AD2086" s="54"/>
      <c r="AE2086" s="54"/>
      <c r="AF2086" s="54"/>
      <c r="AG2086" s="54"/>
      <c r="AH2086" s="54"/>
    </row>
    <row r="2087">
      <c r="A2087" s="80"/>
      <c r="B2087" s="80"/>
      <c r="C2087" s="80"/>
      <c r="D2087" s="80"/>
      <c r="E2087" s="80"/>
      <c r="F2087" s="59"/>
      <c r="G2087" s="59"/>
      <c r="H2087" s="83"/>
      <c r="I2087" s="76"/>
      <c r="J2087" s="76"/>
      <c r="K2087" s="81"/>
      <c r="L2087" s="82"/>
      <c r="M2087" s="54"/>
      <c r="N2087" s="54"/>
      <c r="O2087" s="54"/>
      <c r="P2087" s="54"/>
      <c r="Q2087" s="54"/>
      <c r="R2087" s="54"/>
      <c r="S2087" s="54"/>
      <c r="T2087" s="54"/>
      <c r="U2087" s="54"/>
      <c r="V2087" s="54"/>
      <c r="W2087" s="54"/>
      <c r="X2087" s="54"/>
      <c r="Y2087" s="54"/>
      <c r="Z2087" s="54"/>
      <c r="AA2087" s="54"/>
      <c r="AB2087" s="54"/>
      <c r="AC2087" s="54"/>
      <c r="AD2087" s="54"/>
      <c r="AE2087" s="54"/>
      <c r="AF2087" s="54"/>
      <c r="AG2087" s="54"/>
      <c r="AH2087" s="54"/>
    </row>
    <row r="2088">
      <c r="A2088" s="80"/>
      <c r="B2088" s="80"/>
      <c r="C2088" s="80"/>
      <c r="D2088" s="80"/>
      <c r="E2088" s="80"/>
      <c r="F2088" s="59"/>
      <c r="G2088" s="59"/>
      <c r="H2088" s="83"/>
      <c r="I2088" s="76"/>
      <c r="J2088" s="76"/>
      <c r="K2088" s="81"/>
      <c r="L2088" s="82"/>
      <c r="M2088" s="54"/>
      <c r="N2088" s="54"/>
      <c r="O2088" s="54"/>
      <c r="P2088" s="54"/>
      <c r="Q2088" s="54"/>
      <c r="R2088" s="54"/>
      <c r="S2088" s="54"/>
      <c r="T2088" s="54"/>
      <c r="U2088" s="54"/>
      <c r="V2088" s="54"/>
      <c r="W2088" s="54"/>
      <c r="X2088" s="54"/>
      <c r="Y2088" s="54"/>
      <c r="Z2088" s="54"/>
      <c r="AA2088" s="54"/>
      <c r="AB2088" s="54"/>
      <c r="AC2088" s="54"/>
      <c r="AD2088" s="54"/>
      <c r="AE2088" s="54"/>
      <c r="AF2088" s="54"/>
      <c r="AG2088" s="54"/>
      <c r="AH2088" s="54"/>
    </row>
    <row r="2089">
      <c r="A2089" s="80"/>
      <c r="B2089" s="80"/>
      <c r="C2089" s="80"/>
      <c r="D2089" s="80"/>
      <c r="E2089" s="80"/>
      <c r="F2089" s="59"/>
      <c r="G2089" s="59"/>
      <c r="H2089" s="83"/>
      <c r="I2089" s="76"/>
      <c r="J2089" s="76"/>
      <c r="K2089" s="81"/>
      <c r="L2089" s="82"/>
      <c r="M2089" s="54"/>
      <c r="N2089" s="54"/>
      <c r="O2089" s="54"/>
      <c r="P2089" s="54"/>
      <c r="Q2089" s="54"/>
      <c r="R2089" s="54"/>
      <c r="S2089" s="54"/>
      <c r="T2089" s="54"/>
      <c r="U2089" s="54"/>
      <c r="V2089" s="54"/>
      <c r="W2089" s="54"/>
      <c r="X2089" s="54"/>
      <c r="Y2089" s="54"/>
      <c r="Z2089" s="54"/>
      <c r="AA2089" s="54"/>
      <c r="AB2089" s="54"/>
      <c r="AC2089" s="54"/>
      <c r="AD2089" s="54"/>
      <c r="AE2089" s="54"/>
      <c r="AF2089" s="54"/>
      <c r="AG2089" s="54"/>
      <c r="AH2089" s="54"/>
    </row>
    <row r="2090">
      <c r="A2090" s="80"/>
      <c r="B2090" s="80"/>
      <c r="C2090" s="80"/>
      <c r="D2090" s="80"/>
      <c r="E2090" s="80"/>
      <c r="F2090" s="59"/>
      <c r="G2090" s="59"/>
      <c r="H2090" s="83"/>
      <c r="I2090" s="76"/>
      <c r="J2090" s="76"/>
      <c r="K2090" s="81"/>
      <c r="L2090" s="82"/>
      <c r="M2090" s="54"/>
      <c r="N2090" s="54"/>
      <c r="O2090" s="54"/>
      <c r="P2090" s="54"/>
      <c r="Q2090" s="54"/>
      <c r="R2090" s="54"/>
      <c r="S2090" s="54"/>
      <c r="T2090" s="54"/>
      <c r="U2090" s="54"/>
      <c r="V2090" s="54"/>
      <c r="W2090" s="54"/>
      <c r="X2090" s="54"/>
      <c r="Y2090" s="54"/>
      <c r="Z2090" s="54"/>
      <c r="AA2090" s="54"/>
      <c r="AB2090" s="54"/>
      <c r="AC2090" s="54"/>
      <c r="AD2090" s="54"/>
      <c r="AE2090" s="54"/>
      <c r="AF2090" s="54"/>
      <c r="AG2090" s="54"/>
      <c r="AH2090" s="54"/>
    </row>
    <row r="2091">
      <c r="A2091" s="80"/>
      <c r="B2091" s="80"/>
      <c r="C2091" s="80"/>
      <c r="D2091" s="80"/>
      <c r="E2091" s="80"/>
      <c r="F2091" s="59"/>
      <c r="G2091" s="59"/>
      <c r="H2091" s="83"/>
      <c r="I2091" s="76"/>
      <c r="J2091" s="76"/>
      <c r="K2091" s="81"/>
      <c r="L2091" s="82"/>
      <c r="M2091" s="54"/>
      <c r="N2091" s="54"/>
      <c r="O2091" s="54"/>
      <c r="P2091" s="54"/>
      <c r="Q2091" s="54"/>
      <c r="R2091" s="54"/>
      <c r="S2091" s="54"/>
      <c r="T2091" s="54"/>
      <c r="U2091" s="54"/>
      <c r="V2091" s="54"/>
      <c r="W2091" s="54"/>
      <c r="X2091" s="54"/>
      <c r="Y2091" s="54"/>
      <c r="Z2091" s="54"/>
      <c r="AA2091" s="54"/>
      <c r="AB2091" s="54"/>
      <c r="AC2091" s="54"/>
      <c r="AD2091" s="54"/>
      <c r="AE2091" s="54"/>
      <c r="AF2091" s="54"/>
      <c r="AG2091" s="54"/>
      <c r="AH2091" s="54"/>
    </row>
    <row r="2092">
      <c r="A2092" s="80"/>
      <c r="B2092" s="80"/>
      <c r="C2092" s="80"/>
      <c r="D2092" s="80"/>
      <c r="E2092" s="80"/>
      <c r="F2092" s="59"/>
      <c r="G2092" s="59"/>
      <c r="H2092" s="83"/>
      <c r="I2092" s="76"/>
      <c r="J2092" s="76"/>
      <c r="K2092" s="81"/>
      <c r="L2092" s="82"/>
      <c r="M2092" s="54"/>
      <c r="N2092" s="54"/>
      <c r="O2092" s="54"/>
      <c r="P2092" s="54"/>
      <c r="Q2092" s="54"/>
      <c r="R2092" s="54"/>
      <c r="S2092" s="54"/>
      <c r="T2092" s="54"/>
      <c r="U2092" s="54"/>
      <c r="V2092" s="54"/>
      <c r="W2092" s="54"/>
      <c r="X2092" s="54"/>
      <c r="Y2092" s="54"/>
      <c r="Z2092" s="54"/>
      <c r="AA2092" s="54"/>
      <c r="AB2092" s="54"/>
      <c r="AC2092" s="54"/>
      <c r="AD2092" s="54"/>
      <c r="AE2092" s="54"/>
      <c r="AF2092" s="54"/>
      <c r="AG2092" s="54"/>
      <c r="AH2092" s="54"/>
    </row>
    <row r="2093">
      <c r="A2093" s="80"/>
      <c r="B2093" s="80"/>
      <c r="C2093" s="80"/>
      <c r="D2093" s="80"/>
      <c r="E2093" s="80"/>
      <c r="F2093" s="59"/>
      <c r="G2093" s="59"/>
      <c r="H2093" s="83"/>
      <c r="I2093" s="76"/>
      <c r="J2093" s="76"/>
      <c r="K2093" s="81"/>
      <c r="L2093" s="82"/>
      <c r="M2093" s="54"/>
      <c r="N2093" s="54"/>
      <c r="O2093" s="54"/>
      <c r="P2093" s="54"/>
      <c r="Q2093" s="54"/>
      <c r="R2093" s="54"/>
      <c r="S2093" s="54"/>
      <c r="T2093" s="54"/>
      <c r="U2093" s="54"/>
      <c r="V2093" s="54"/>
      <c r="W2093" s="54"/>
      <c r="X2093" s="54"/>
      <c r="Y2093" s="54"/>
      <c r="Z2093" s="54"/>
      <c r="AA2093" s="54"/>
      <c r="AB2093" s="54"/>
      <c r="AC2093" s="54"/>
      <c r="AD2093" s="54"/>
      <c r="AE2093" s="54"/>
      <c r="AF2093" s="54"/>
      <c r="AG2093" s="54"/>
      <c r="AH2093" s="54"/>
    </row>
    <row r="2094">
      <c r="A2094" s="80"/>
      <c r="B2094" s="80"/>
      <c r="C2094" s="80"/>
      <c r="D2094" s="80"/>
      <c r="E2094" s="80"/>
      <c r="F2094" s="59"/>
      <c r="G2094" s="59"/>
      <c r="H2094" s="83"/>
      <c r="I2094" s="76"/>
      <c r="J2094" s="76"/>
      <c r="K2094" s="81"/>
      <c r="L2094" s="82"/>
      <c r="M2094" s="54"/>
      <c r="N2094" s="54"/>
      <c r="O2094" s="54"/>
      <c r="P2094" s="54"/>
      <c r="Q2094" s="54"/>
      <c r="R2094" s="54"/>
      <c r="S2094" s="54"/>
      <c r="T2094" s="54"/>
      <c r="U2094" s="54"/>
      <c r="V2094" s="54"/>
      <c r="W2094" s="54"/>
      <c r="X2094" s="54"/>
      <c r="Y2094" s="54"/>
      <c r="Z2094" s="54"/>
      <c r="AA2094" s="54"/>
      <c r="AB2094" s="54"/>
      <c r="AC2094" s="54"/>
      <c r="AD2094" s="54"/>
      <c r="AE2094" s="54"/>
      <c r="AF2094" s="54"/>
      <c r="AG2094" s="54"/>
      <c r="AH2094" s="54"/>
    </row>
    <row r="2095">
      <c r="A2095" s="80"/>
      <c r="B2095" s="80"/>
      <c r="C2095" s="80"/>
      <c r="D2095" s="80"/>
      <c r="E2095" s="80"/>
      <c r="F2095" s="59"/>
      <c r="G2095" s="59"/>
      <c r="H2095" s="83"/>
      <c r="I2095" s="76"/>
      <c r="J2095" s="76"/>
      <c r="K2095" s="81"/>
      <c r="L2095" s="82"/>
      <c r="M2095" s="54"/>
      <c r="N2095" s="54"/>
      <c r="O2095" s="54"/>
      <c r="P2095" s="54"/>
      <c r="Q2095" s="54"/>
      <c r="R2095" s="54"/>
      <c r="S2095" s="54"/>
      <c r="T2095" s="54"/>
      <c r="U2095" s="54"/>
      <c r="V2095" s="54"/>
      <c r="W2095" s="54"/>
      <c r="X2095" s="54"/>
      <c r="Y2095" s="54"/>
      <c r="Z2095" s="54"/>
      <c r="AA2095" s="54"/>
      <c r="AB2095" s="54"/>
      <c r="AC2095" s="54"/>
      <c r="AD2095" s="54"/>
      <c r="AE2095" s="54"/>
      <c r="AF2095" s="54"/>
      <c r="AG2095" s="54"/>
      <c r="AH2095" s="54"/>
    </row>
    <row r="2096">
      <c r="A2096" s="80"/>
      <c r="B2096" s="80"/>
      <c r="C2096" s="80"/>
      <c r="D2096" s="80"/>
      <c r="E2096" s="80"/>
      <c r="F2096" s="59"/>
      <c r="G2096" s="59"/>
      <c r="H2096" s="83"/>
      <c r="I2096" s="76"/>
      <c r="J2096" s="76"/>
      <c r="K2096" s="81"/>
      <c r="L2096" s="82"/>
      <c r="M2096" s="54"/>
      <c r="N2096" s="54"/>
      <c r="O2096" s="54"/>
      <c r="P2096" s="54"/>
      <c r="Q2096" s="54"/>
      <c r="R2096" s="54"/>
      <c r="S2096" s="54"/>
      <c r="T2096" s="54"/>
      <c r="U2096" s="54"/>
      <c r="V2096" s="54"/>
      <c r="W2096" s="54"/>
      <c r="X2096" s="54"/>
      <c r="Y2096" s="54"/>
      <c r="Z2096" s="54"/>
      <c r="AA2096" s="54"/>
      <c r="AB2096" s="54"/>
      <c r="AC2096" s="54"/>
      <c r="AD2096" s="54"/>
      <c r="AE2096" s="54"/>
      <c r="AF2096" s="54"/>
      <c r="AG2096" s="54"/>
      <c r="AH2096" s="54"/>
    </row>
    <row r="2097">
      <c r="A2097" s="80"/>
      <c r="B2097" s="80"/>
      <c r="C2097" s="80"/>
      <c r="D2097" s="80"/>
      <c r="E2097" s="80"/>
      <c r="F2097" s="59"/>
      <c r="G2097" s="59"/>
      <c r="H2097" s="83"/>
      <c r="I2097" s="76"/>
      <c r="J2097" s="76"/>
      <c r="K2097" s="81"/>
      <c r="L2097" s="82"/>
      <c r="M2097" s="54"/>
      <c r="N2097" s="54"/>
      <c r="O2097" s="54"/>
      <c r="P2097" s="54"/>
      <c r="Q2097" s="54"/>
      <c r="R2097" s="54"/>
      <c r="S2097" s="54"/>
      <c r="T2097" s="54"/>
      <c r="U2097" s="54"/>
      <c r="V2097" s="54"/>
      <c r="W2097" s="54"/>
      <c r="X2097" s="54"/>
      <c r="Y2097" s="54"/>
      <c r="Z2097" s="54"/>
      <c r="AA2097" s="54"/>
      <c r="AB2097" s="54"/>
      <c r="AC2097" s="54"/>
      <c r="AD2097" s="54"/>
      <c r="AE2097" s="54"/>
      <c r="AF2097" s="54"/>
      <c r="AG2097" s="54"/>
      <c r="AH2097" s="54"/>
    </row>
    <row r="2098">
      <c r="A2098" s="80"/>
      <c r="B2098" s="80"/>
      <c r="C2098" s="80"/>
      <c r="D2098" s="80"/>
      <c r="E2098" s="80"/>
      <c r="F2098" s="59"/>
      <c r="G2098" s="59"/>
      <c r="H2098" s="83"/>
      <c r="I2098" s="76"/>
      <c r="J2098" s="76"/>
      <c r="K2098" s="81"/>
      <c r="L2098" s="82"/>
      <c r="M2098" s="54"/>
      <c r="N2098" s="54"/>
      <c r="O2098" s="54"/>
      <c r="P2098" s="54"/>
      <c r="Q2098" s="54"/>
      <c r="R2098" s="54"/>
      <c r="S2098" s="54"/>
      <c r="T2098" s="54"/>
      <c r="U2098" s="54"/>
      <c r="V2098" s="54"/>
      <c r="W2098" s="54"/>
      <c r="X2098" s="54"/>
      <c r="Y2098" s="54"/>
      <c r="Z2098" s="54"/>
      <c r="AA2098" s="54"/>
      <c r="AB2098" s="54"/>
      <c r="AC2098" s="54"/>
      <c r="AD2098" s="54"/>
      <c r="AE2098" s="54"/>
      <c r="AF2098" s="54"/>
      <c r="AG2098" s="54"/>
      <c r="AH2098" s="54"/>
    </row>
    <row r="2099">
      <c r="A2099" s="80"/>
      <c r="B2099" s="80"/>
      <c r="C2099" s="80"/>
      <c r="D2099" s="80"/>
      <c r="E2099" s="80"/>
      <c r="F2099" s="59"/>
      <c r="G2099" s="59"/>
      <c r="H2099" s="83"/>
      <c r="I2099" s="76"/>
      <c r="J2099" s="76"/>
      <c r="K2099" s="81"/>
      <c r="L2099" s="82"/>
      <c r="M2099" s="54"/>
      <c r="N2099" s="54"/>
      <c r="O2099" s="54"/>
      <c r="P2099" s="54"/>
      <c r="Q2099" s="54"/>
      <c r="R2099" s="54"/>
      <c r="S2099" s="54"/>
      <c r="T2099" s="54"/>
      <c r="U2099" s="54"/>
      <c r="V2099" s="54"/>
      <c r="W2099" s="54"/>
      <c r="X2099" s="54"/>
      <c r="Y2099" s="54"/>
      <c r="Z2099" s="54"/>
      <c r="AA2099" s="54"/>
      <c r="AB2099" s="54"/>
      <c r="AC2099" s="54"/>
      <c r="AD2099" s="54"/>
      <c r="AE2099" s="54"/>
      <c r="AF2099" s="54"/>
      <c r="AG2099" s="54"/>
      <c r="AH2099" s="54"/>
    </row>
    <row r="2100">
      <c r="A2100" s="80"/>
      <c r="B2100" s="80"/>
      <c r="C2100" s="80"/>
      <c r="D2100" s="80"/>
      <c r="E2100" s="80"/>
      <c r="F2100" s="59"/>
      <c r="G2100" s="59"/>
      <c r="H2100" s="83"/>
      <c r="I2100" s="76"/>
      <c r="J2100" s="76"/>
      <c r="K2100" s="81"/>
      <c r="L2100" s="82"/>
      <c r="M2100" s="54"/>
      <c r="N2100" s="54"/>
      <c r="O2100" s="54"/>
      <c r="P2100" s="54"/>
      <c r="Q2100" s="54"/>
      <c r="R2100" s="54"/>
      <c r="S2100" s="54"/>
      <c r="T2100" s="54"/>
      <c r="U2100" s="54"/>
      <c r="V2100" s="54"/>
      <c r="W2100" s="54"/>
      <c r="X2100" s="54"/>
      <c r="Y2100" s="54"/>
      <c r="Z2100" s="54"/>
      <c r="AA2100" s="54"/>
      <c r="AB2100" s="54"/>
      <c r="AC2100" s="54"/>
      <c r="AD2100" s="54"/>
      <c r="AE2100" s="54"/>
      <c r="AF2100" s="54"/>
      <c r="AG2100" s="54"/>
      <c r="AH2100" s="54"/>
    </row>
    <row r="2101">
      <c r="A2101" s="80"/>
      <c r="B2101" s="80"/>
      <c r="C2101" s="80"/>
      <c r="D2101" s="80"/>
      <c r="E2101" s="80"/>
      <c r="F2101" s="59"/>
      <c r="G2101" s="59"/>
      <c r="H2101" s="83"/>
      <c r="I2101" s="76"/>
      <c r="J2101" s="76"/>
      <c r="K2101" s="81"/>
      <c r="L2101" s="82"/>
      <c r="M2101" s="54"/>
      <c r="N2101" s="54"/>
      <c r="O2101" s="54"/>
      <c r="P2101" s="54"/>
      <c r="Q2101" s="54"/>
      <c r="R2101" s="54"/>
      <c r="S2101" s="54"/>
      <c r="T2101" s="54"/>
      <c r="U2101" s="54"/>
      <c r="V2101" s="54"/>
      <c r="W2101" s="54"/>
      <c r="X2101" s="54"/>
      <c r="Y2101" s="54"/>
      <c r="Z2101" s="54"/>
      <c r="AA2101" s="54"/>
      <c r="AB2101" s="54"/>
      <c r="AC2101" s="54"/>
      <c r="AD2101" s="54"/>
      <c r="AE2101" s="54"/>
      <c r="AF2101" s="54"/>
      <c r="AG2101" s="54"/>
      <c r="AH2101" s="54"/>
    </row>
    <row r="2102">
      <c r="A2102" s="80"/>
      <c r="B2102" s="80"/>
      <c r="C2102" s="80"/>
      <c r="D2102" s="80"/>
      <c r="E2102" s="80"/>
      <c r="F2102" s="59"/>
      <c r="G2102" s="59"/>
      <c r="H2102" s="83"/>
      <c r="I2102" s="76"/>
      <c r="J2102" s="76"/>
      <c r="K2102" s="81"/>
      <c r="L2102" s="82"/>
      <c r="M2102" s="54"/>
      <c r="N2102" s="54"/>
      <c r="O2102" s="54"/>
      <c r="P2102" s="54"/>
      <c r="Q2102" s="54"/>
      <c r="R2102" s="54"/>
      <c r="S2102" s="54"/>
      <c r="T2102" s="54"/>
      <c r="U2102" s="54"/>
      <c r="V2102" s="54"/>
      <c r="W2102" s="54"/>
      <c r="X2102" s="54"/>
      <c r="Y2102" s="54"/>
      <c r="Z2102" s="54"/>
      <c r="AA2102" s="54"/>
      <c r="AB2102" s="54"/>
      <c r="AC2102" s="54"/>
      <c r="AD2102" s="54"/>
      <c r="AE2102" s="54"/>
      <c r="AF2102" s="54"/>
      <c r="AG2102" s="54"/>
      <c r="AH2102" s="54"/>
    </row>
    <row r="2103">
      <c r="A2103" s="80"/>
      <c r="B2103" s="80"/>
      <c r="C2103" s="80"/>
      <c r="D2103" s="80"/>
      <c r="E2103" s="80"/>
      <c r="F2103" s="59"/>
      <c r="G2103" s="59"/>
      <c r="H2103" s="83"/>
      <c r="I2103" s="76"/>
      <c r="J2103" s="76"/>
      <c r="K2103" s="81"/>
      <c r="L2103" s="82"/>
      <c r="M2103" s="54"/>
      <c r="N2103" s="54"/>
      <c r="O2103" s="54"/>
      <c r="P2103" s="54"/>
      <c r="Q2103" s="54"/>
      <c r="R2103" s="54"/>
      <c r="S2103" s="54"/>
      <c r="T2103" s="54"/>
      <c r="U2103" s="54"/>
      <c r="V2103" s="54"/>
      <c r="W2103" s="54"/>
      <c r="X2103" s="54"/>
      <c r="Y2103" s="54"/>
      <c r="Z2103" s="54"/>
      <c r="AA2103" s="54"/>
      <c r="AB2103" s="54"/>
      <c r="AC2103" s="54"/>
      <c r="AD2103" s="54"/>
      <c r="AE2103" s="54"/>
      <c r="AF2103" s="54"/>
      <c r="AG2103" s="54"/>
      <c r="AH2103" s="54"/>
    </row>
    <row r="2104">
      <c r="A2104" s="80"/>
      <c r="B2104" s="80"/>
      <c r="C2104" s="80"/>
      <c r="D2104" s="80"/>
      <c r="E2104" s="80"/>
      <c r="F2104" s="59"/>
      <c r="G2104" s="59"/>
      <c r="H2104" s="83"/>
      <c r="I2104" s="76"/>
      <c r="J2104" s="76"/>
      <c r="K2104" s="81"/>
      <c r="L2104" s="82"/>
      <c r="M2104" s="54"/>
      <c r="N2104" s="54"/>
      <c r="O2104" s="54"/>
      <c r="P2104" s="54"/>
      <c r="Q2104" s="54"/>
      <c r="R2104" s="54"/>
      <c r="S2104" s="54"/>
      <c r="T2104" s="54"/>
      <c r="U2104" s="54"/>
      <c r="V2104" s="54"/>
      <c r="W2104" s="54"/>
      <c r="X2104" s="54"/>
      <c r="Y2104" s="54"/>
      <c r="Z2104" s="54"/>
      <c r="AA2104" s="54"/>
      <c r="AB2104" s="54"/>
      <c r="AC2104" s="54"/>
      <c r="AD2104" s="54"/>
      <c r="AE2104" s="54"/>
      <c r="AF2104" s="54"/>
      <c r="AG2104" s="54"/>
      <c r="AH2104" s="54"/>
    </row>
    <row r="2105">
      <c r="A2105" s="80"/>
      <c r="B2105" s="80"/>
      <c r="C2105" s="80"/>
      <c r="D2105" s="80"/>
      <c r="E2105" s="80"/>
      <c r="F2105" s="59"/>
      <c r="G2105" s="59"/>
      <c r="H2105" s="83"/>
      <c r="I2105" s="76"/>
      <c r="J2105" s="76"/>
      <c r="K2105" s="81"/>
      <c r="L2105" s="82"/>
      <c r="M2105" s="54"/>
      <c r="N2105" s="54"/>
      <c r="O2105" s="54"/>
      <c r="P2105" s="54"/>
      <c r="Q2105" s="54"/>
      <c r="R2105" s="54"/>
      <c r="S2105" s="54"/>
      <c r="T2105" s="54"/>
      <c r="U2105" s="54"/>
      <c r="V2105" s="54"/>
      <c r="W2105" s="54"/>
      <c r="X2105" s="54"/>
      <c r="Y2105" s="54"/>
      <c r="Z2105" s="54"/>
      <c r="AA2105" s="54"/>
      <c r="AB2105" s="54"/>
      <c r="AC2105" s="54"/>
      <c r="AD2105" s="54"/>
      <c r="AE2105" s="54"/>
      <c r="AF2105" s="54"/>
      <c r="AG2105" s="54"/>
      <c r="AH2105" s="54"/>
    </row>
    <row r="2106">
      <c r="A2106" s="80"/>
      <c r="B2106" s="80"/>
      <c r="C2106" s="80"/>
      <c r="D2106" s="80"/>
      <c r="E2106" s="80"/>
      <c r="F2106" s="59"/>
      <c r="G2106" s="59"/>
      <c r="H2106" s="83"/>
      <c r="I2106" s="76"/>
      <c r="J2106" s="76"/>
      <c r="K2106" s="81"/>
      <c r="L2106" s="82"/>
      <c r="M2106" s="54"/>
      <c r="N2106" s="54"/>
      <c r="O2106" s="54"/>
      <c r="P2106" s="54"/>
      <c r="Q2106" s="54"/>
      <c r="R2106" s="54"/>
      <c r="S2106" s="54"/>
      <c r="T2106" s="54"/>
      <c r="U2106" s="54"/>
      <c r="V2106" s="54"/>
      <c r="W2106" s="54"/>
      <c r="X2106" s="54"/>
      <c r="Y2106" s="54"/>
      <c r="Z2106" s="54"/>
      <c r="AA2106" s="54"/>
      <c r="AB2106" s="54"/>
      <c r="AC2106" s="54"/>
      <c r="AD2106" s="54"/>
      <c r="AE2106" s="54"/>
      <c r="AF2106" s="54"/>
      <c r="AG2106" s="54"/>
      <c r="AH2106" s="54"/>
    </row>
    <row r="2107">
      <c r="A2107" s="80"/>
      <c r="B2107" s="80"/>
      <c r="C2107" s="80"/>
      <c r="D2107" s="80"/>
      <c r="E2107" s="80"/>
      <c r="F2107" s="59"/>
      <c r="G2107" s="59"/>
      <c r="H2107" s="83"/>
      <c r="I2107" s="76"/>
      <c r="J2107" s="76"/>
      <c r="K2107" s="81"/>
      <c r="L2107" s="82"/>
      <c r="M2107" s="54"/>
      <c r="N2107" s="54"/>
      <c r="O2107" s="54"/>
      <c r="P2107" s="54"/>
      <c r="Q2107" s="54"/>
      <c r="R2107" s="54"/>
      <c r="S2107" s="54"/>
      <c r="T2107" s="54"/>
      <c r="U2107" s="54"/>
      <c r="V2107" s="54"/>
      <c r="W2107" s="54"/>
      <c r="X2107" s="54"/>
      <c r="Y2107" s="54"/>
      <c r="Z2107" s="54"/>
      <c r="AA2107" s="54"/>
      <c r="AB2107" s="54"/>
      <c r="AC2107" s="54"/>
      <c r="AD2107" s="54"/>
      <c r="AE2107" s="54"/>
      <c r="AF2107" s="54"/>
      <c r="AG2107" s="54"/>
      <c r="AH2107" s="54"/>
    </row>
    <row r="2108">
      <c r="A2108" s="80"/>
      <c r="B2108" s="80"/>
      <c r="C2108" s="80"/>
      <c r="D2108" s="80"/>
      <c r="E2108" s="80"/>
      <c r="F2108" s="59"/>
      <c r="G2108" s="59"/>
      <c r="H2108" s="83"/>
      <c r="I2108" s="76"/>
      <c r="J2108" s="76"/>
      <c r="K2108" s="81"/>
      <c r="L2108" s="82"/>
      <c r="M2108" s="54"/>
      <c r="N2108" s="54"/>
      <c r="O2108" s="54"/>
      <c r="P2108" s="54"/>
      <c r="Q2108" s="54"/>
      <c r="R2108" s="54"/>
      <c r="S2108" s="54"/>
      <c r="T2108" s="54"/>
      <c r="U2108" s="54"/>
      <c r="V2108" s="54"/>
      <c r="W2108" s="54"/>
      <c r="X2108" s="54"/>
      <c r="Y2108" s="54"/>
      <c r="Z2108" s="54"/>
      <c r="AA2108" s="54"/>
      <c r="AB2108" s="54"/>
      <c r="AC2108" s="54"/>
      <c r="AD2108" s="54"/>
      <c r="AE2108" s="54"/>
      <c r="AF2108" s="54"/>
      <c r="AG2108" s="54"/>
      <c r="AH2108" s="54"/>
    </row>
    <row r="2109">
      <c r="A2109" s="80"/>
      <c r="B2109" s="80"/>
      <c r="C2109" s="80"/>
      <c r="D2109" s="80"/>
      <c r="E2109" s="80"/>
      <c r="F2109" s="59"/>
      <c r="G2109" s="59"/>
      <c r="H2109" s="83"/>
      <c r="I2109" s="76"/>
      <c r="J2109" s="76"/>
      <c r="K2109" s="81"/>
      <c r="L2109" s="82"/>
      <c r="M2109" s="54"/>
      <c r="N2109" s="54"/>
      <c r="O2109" s="54"/>
      <c r="P2109" s="54"/>
      <c r="Q2109" s="54"/>
      <c r="R2109" s="54"/>
      <c r="S2109" s="54"/>
      <c r="T2109" s="54"/>
      <c r="U2109" s="54"/>
      <c r="V2109" s="54"/>
      <c r="W2109" s="54"/>
      <c r="X2109" s="54"/>
      <c r="Y2109" s="54"/>
      <c r="Z2109" s="54"/>
      <c r="AA2109" s="54"/>
      <c r="AB2109" s="54"/>
      <c r="AC2109" s="54"/>
      <c r="AD2109" s="54"/>
      <c r="AE2109" s="54"/>
      <c r="AF2109" s="54"/>
      <c r="AG2109" s="54"/>
      <c r="AH2109" s="54"/>
    </row>
    <row r="2110">
      <c r="A2110" s="80"/>
      <c r="B2110" s="80"/>
      <c r="C2110" s="80"/>
      <c r="D2110" s="80"/>
      <c r="E2110" s="80"/>
      <c r="F2110" s="59"/>
      <c r="G2110" s="59"/>
      <c r="H2110" s="83"/>
      <c r="I2110" s="76"/>
      <c r="J2110" s="76"/>
      <c r="K2110" s="81"/>
      <c r="L2110" s="82"/>
      <c r="M2110" s="54"/>
      <c r="N2110" s="54"/>
      <c r="O2110" s="54"/>
      <c r="P2110" s="54"/>
      <c r="Q2110" s="54"/>
      <c r="R2110" s="54"/>
      <c r="S2110" s="54"/>
      <c r="T2110" s="54"/>
      <c r="U2110" s="54"/>
      <c r="V2110" s="54"/>
      <c r="W2110" s="54"/>
      <c r="X2110" s="54"/>
      <c r="Y2110" s="54"/>
      <c r="Z2110" s="54"/>
      <c r="AA2110" s="54"/>
      <c r="AB2110" s="54"/>
      <c r="AC2110" s="54"/>
      <c r="AD2110" s="54"/>
      <c r="AE2110" s="54"/>
      <c r="AF2110" s="54"/>
      <c r="AG2110" s="54"/>
      <c r="AH2110" s="54"/>
    </row>
    <row r="2111">
      <c r="A2111" s="80"/>
      <c r="B2111" s="80"/>
      <c r="C2111" s="80"/>
      <c r="D2111" s="80"/>
      <c r="E2111" s="80"/>
      <c r="F2111" s="59"/>
      <c r="G2111" s="59"/>
      <c r="H2111" s="83"/>
      <c r="I2111" s="76"/>
      <c r="J2111" s="76"/>
      <c r="K2111" s="81"/>
      <c r="L2111" s="82"/>
      <c r="M2111" s="54"/>
      <c r="N2111" s="54"/>
      <c r="O2111" s="54"/>
      <c r="P2111" s="54"/>
      <c r="Q2111" s="54"/>
      <c r="R2111" s="54"/>
      <c r="S2111" s="54"/>
      <c r="T2111" s="54"/>
      <c r="U2111" s="54"/>
      <c r="V2111" s="54"/>
      <c r="W2111" s="54"/>
      <c r="X2111" s="54"/>
      <c r="Y2111" s="54"/>
      <c r="Z2111" s="54"/>
      <c r="AA2111" s="54"/>
      <c r="AB2111" s="54"/>
      <c r="AC2111" s="54"/>
      <c r="AD2111" s="54"/>
      <c r="AE2111" s="54"/>
      <c r="AF2111" s="54"/>
      <c r="AG2111" s="54"/>
      <c r="AH2111" s="54"/>
    </row>
    <row r="2112">
      <c r="A2112" s="80"/>
      <c r="B2112" s="80"/>
      <c r="C2112" s="80"/>
      <c r="D2112" s="80"/>
      <c r="E2112" s="80"/>
      <c r="F2112" s="59"/>
      <c r="G2112" s="59"/>
      <c r="H2112" s="83"/>
      <c r="I2112" s="76"/>
      <c r="J2112" s="76"/>
      <c r="K2112" s="81"/>
      <c r="L2112" s="82"/>
      <c r="M2112" s="54"/>
      <c r="N2112" s="54"/>
      <c r="O2112" s="54"/>
      <c r="P2112" s="54"/>
      <c r="Q2112" s="54"/>
      <c r="R2112" s="54"/>
      <c r="S2112" s="54"/>
      <c r="T2112" s="54"/>
      <c r="U2112" s="54"/>
      <c r="V2112" s="54"/>
      <c r="W2112" s="54"/>
      <c r="X2112" s="54"/>
      <c r="Y2112" s="54"/>
      <c r="Z2112" s="54"/>
      <c r="AA2112" s="54"/>
      <c r="AB2112" s="54"/>
      <c r="AC2112" s="54"/>
      <c r="AD2112" s="54"/>
      <c r="AE2112" s="54"/>
      <c r="AF2112" s="54"/>
      <c r="AG2112" s="54"/>
      <c r="AH2112" s="54"/>
    </row>
    <row r="2113">
      <c r="A2113" s="80"/>
      <c r="B2113" s="80"/>
      <c r="C2113" s="80"/>
      <c r="D2113" s="80"/>
      <c r="E2113" s="80"/>
      <c r="F2113" s="59"/>
      <c r="G2113" s="59"/>
      <c r="H2113" s="83"/>
      <c r="I2113" s="76"/>
      <c r="J2113" s="76"/>
      <c r="K2113" s="81"/>
      <c r="L2113" s="82"/>
      <c r="M2113" s="54"/>
      <c r="N2113" s="54"/>
      <c r="O2113" s="54"/>
      <c r="P2113" s="54"/>
      <c r="Q2113" s="54"/>
      <c r="R2113" s="54"/>
      <c r="S2113" s="54"/>
      <c r="T2113" s="54"/>
      <c r="U2113" s="54"/>
      <c r="V2113" s="54"/>
      <c r="W2113" s="54"/>
      <c r="X2113" s="54"/>
      <c r="Y2113" s="54"/>
      <c r="Z2113" s="54"/>
      <c r="AA2113" s="54"/>
      <c r="AB2113" s="54"/>
      <c r="AC2113" s="54"/>
      <c r="AD2113" s="54"/>
      <c r="AE2113" s="54"/>
      <c r="AF2113" s="54"/>
      <c r="AG2113" s="54"/>
      <c r="AH2113" s="54"/>
    </row>
    <row r="2114">
      <c r="A2114" s="80"/>
      <c r="B2114" s="80"/>
      <c r="C2114" s="80"/>
      <c r="D2114" s="80"/>
      <c r="E2114" s="80"/>
      <c r="F2114" s="59"/>
      <c r="G2114" s="59"/>
      <c r="H2114" s="83"/>
      <c r="I2114" s="76"/>
      <c r="J2114" s="76"/>
      <c r="K2114" s="81"/>
      <c r="L2114" s="82"/>
      <c r="M2114" s="54"/>
      <c r="N2114" s="54"/>
      <c r="O2114" s="54"/>
      <c r="P2114" s="54"/>
      <c r="Q2114" s="54"/>
      <c r="R2114" s="54"/>
      <c r="S2114" s="54"/>
      <c r="T2114" s="54"/>
      <c r="U2114" s="54"/>
      <c r="V2114" s="54"/>
      <c r="W2114" s="54"/>
      <c r="X2114" s="54"/>
      <c r="Y2114" s="54"/>
      <c r="Z2114" s="54"/>
      <c r="AA2114" s="54"/>
      <c r="AB2114" s="54"/>
      <c r="AC2114" s="54"/>
      <c r="AD2114" s="54"/>
      <c r="AE2114" s="54"/>
      <c r="AF2114" s="54"/>
      <c r="AG2114" s="54"/>
      <c r="AH2114" s="54"/>
    </row>
    <row r="2115">
      <c r="A2115" s="80"/>
      <c r="B2115" s="80"/>
      <c r="C2115" s="80"/>
      <c r="D2115" s="80"/>
      <c r="E2115" s="80"/>
      <c r="F2115" s="59"/>
      <c r="G2115" s="59"/>
      <c r="H2115" s="83"/>
      <c r="I2115" s="76"/>
      <c r="J2115" s="76"/>
      <c r="K2115" s="81"/>
      <c r="L2115" s="82"/>
      <c r="M2115" s="54"/>
      <c r="N2115" s="54"/>
      <c r="O2115" s="54"/>
      <c r="P2115" s="54"/>
      <c r="Q2115" s="54"/>
      <c r="R2115" s="54"/>
      <c r="S2115" s="54"/>
      <c r="T2115" s="54"/>
      <c r="U2115" s="54"/>
      <c r="V2115" s="54"/>
      <c r="W2115" s="54"/>
      <c r="X2115" s="54"/>
      <c r="Y2115" s="54"/>
      <c r="Z2115" s="54"/>
      <c r="AA2115" s="54"/>
      <c r="AB2115" s="54"/>
      <c r="AC2115" s="54"/>
      <c r="AD2115" s="54"/>
      <c r="AE2115" s="54"/>
      <c r="AF2115" s="54"/>
      <c r="AG2115" s="54"/>
      <c r="AH2115" s="54"/>
    </row>
    <row r="2116">
      <c r="A2116" s="80"/>
      <c r="B2116" s="80"/>
      <c r="C2116" s="80"/>
      <c r="D2116" s="80"/>
      <c r="E2116" s="80"/>
      <c r="F2116" s="59"/>
      <c r="G2116" s="59"/>
      <c r="H2116" s="83"/>
      <c r="I2116" s="76"/>
      <c r="J2116" s="76"/>
      <c r="K2116" s="81"/>
      <c r="L2116" s="82"/>
      <c r="M2116" s="54"/>
      <c r="N2116" s="54"/>
      <c r="O2116" s="54"/>
      <c r="P2116" s="54"/>
      <c r="Q2116" s="54"/>
      <c r="R2116" s="54"/>
      <c r="S2116" s="54"/>
      <c r="T2116" s="54"/>
      <c r="U2116" s="54"/>
      <c r="V2116" s="54"/>
      <c r="W2116" s="54"/>
      <c r="X2116" s="54"/>
      <c r="Y2116" s="54"/>
      <c r="Z2116" s="54"/>
      <c r="AA2116" s="54"/>
      <c r="AB2116" s="54"/>
      <c r="AC2116" s="54"/>
      <c r="AD2116" s="54"/>
      <c r="AE2116" s="54"/>
      <c r="AF2116" s="54"/>
      <c r="AG2116" s="54"/>
      <c r="AH2116" s="54"/>
    </row>
    <row r="2117">
      <c r="A2117" s="80"/>
      <c r="B2117" s="80"/>
      <c r="C2117" s="80"/>
      <c r="D2117" s="80"/>
      <c r="E2117" s="80"/>
      <c r="F2117" s="59"/>
      <c r="G2117" s="59"/>
      <c r="H2117" s="83"/>
      <c r="I2117" s="76"/>
      <c r="J2117" s="76"/>
      <c r="K2117" s="81"/>
      <c r="L2117" s="82"/>
      <c r="M2117" s="54"/>
      <c r="N2117" s="54"/>
      <c r="O2117" s="54"/>
      <c r="P2117" s="54"/>
      <c r="Q2117" s="54"/>
      <c r="R2117" s="54"/>
      <c r="S2117" s="54"/>
      <c r="T2117" s="54"/>
      <c r="U2117" s="54"/>
      <c r="V2117" s="54"/>
      <c r="W2117" s="54"/>
      <c r="X2117" s="54"/>
      <c r="Y2117" s="54"/>
      <c r="Z2117" s="54"/>
      <c r="AA2117" s="54"/>
      <c r="AB2117" s="54"/>
      <c r="AC2117" s="54"/>
      <c r="AD2117" s="54"/>
      <c r="AE2117" s="54"/>
      <c r="AF2117" s="54"/>
      <c r="AG2117" s="54"/>
      <c r="AH2117" s="54"/>
    </row>
    <row r="2118">
      <c r="A2118" s="80"/>
      <c r="B2118" s="80"/>
      <c r="C2118" s="80"/>
      <c r="D2118" s="80"/>
      <c r="E2118" s="80"/>
      <c r="F2118" s="59"/>
      <c r="G2118" s="59"/>
      <c r="H2118" s="83"/>
      <c r="I2118" s="76"/>
      <c r="J2118" s="76"/>
      <c r="K2118" s="81"/>
      <c r="L2118" s="82"/>
      <c r="M2118" s="54"/>
      <c r="N2118" s="54"/>
      <c r="O2118" s="54"/>
      <c r="P2118" s="54"/>
      <c r="Q2118" s="54"/>
      <c r="R2118" s="54"/>
      <c r="S2118" s="54"/>
      <c r="T2118" s="54"/>
      <c r="U2118" s="54"/>
      <c r="V2118" s="54"/>
      <c r="W2118" s="54"/>
      <c r="X2118" s="54"/>
      <c r="Y2118" s="54"/>
      <c r="Z2118" s="54"/>
      <c r="AA2118" s="54"/>
      <c r="AB2118" s="54"/>
      <c r="AC2118" s="54"/>
      <c r="AD2118" s="54"/>
      <c r="AE2118" s="54"/>
      <c r="AF2118" s="54"/>
      <c r="AG2118" s="54"/>
      <c r="AH2118" s="54"/>
    </row>
    <row r="2119">
      <c r="A2119" s="80"/>
      <c r="B2119" s="80"/>
      <c r="C2119" s="80"/>
      <c r="D2119" s="80"/>
      <c r="E2119" s="80"/>
      <c r="F2119" s="59"/>
      <c r="G2119" s="59"/>
      <c r="H2119" s="83"/>
      <c r="I2119" s="76"/>
      <c r="J2119" s="76"/>
      <c r="K2119" s="81"/>
      <c r="L2119" s="82"/>
      <c r="M2119" s="54"/>
      <c r="N2119" s="54"/>
      <c r="O2119" s="54"/>
      <c r="P2119" s="54"/>
      <c r="Q2119" s="54"/>
      <c r="R2119" s="54"/>
      <c r="S2119" s="54"/>
      <c r="T2119" s="54"/>
      <c r="U2119" s="54"/>
      <c r="V2119" s="54"/>
      <c r="W2119" s="54"/>
      <c r="X2119" s="54"/>
      <c r="Y2119" s="54"/>
      <c r="Z2119" s="54"/>
      <c r="AA2119" s="54"/>
      <c r="AB2119" s="54"/>
      <c r="AC2119" s="54"/>
      <c r="AD2119" s="54"/>
      <c r="AE2119" s="54"/>
      <c r="AF2119" s="54"/>
      <c r="AG2119" s="54"/>
      <c r="AH2119" s="54"/>
    </row>
    <row r="2120">
      <c r="A2120" s="80"/>
      <c r="B2120" s="80"/>
      <c r="C2120" s="80"/>
      <c r="D2120" s="80"/>
      <c r="E2120" s="80"/>
      <c r="F2120" s="59"/>
      <c r="G2120" s="59"/>
      <c r="H2120" s="83"/>
      <c r="I2120" s="76"/>
      <c r="J2120" s="76"/>
      <c r="K2120" s="81"/>
      <c r="L2120" s="82"/>
      <c r="M2120" s="54"/>
      <c r="N2120" s="54"/>
      <c r="O2120" s="54"/>
      <c r="P2120" s="54"/>
      <c r="Q2120" s="54"/>
      <c r="R2120" s="54"/>
      <c r="S2120" s="54"/>
      <c r="T2120" s="54"/>
      <c r="U2120" s="54"/>
      <c r="V2120" s="54"/>
      <c r="W2120" s="54"/>
      <c r="X2120" s="54"/>
      <c r="Y2120" s="54"/>
      <c r="Z2120" s="54"/>
      <c r="AA2120" s="54"/>
      <c r="AB2120" s="54"/>
      <c r="AC2120" s="54"/>
      <c r="AD2120" s="54"/>
      <c r="AE2120" s="54"/>
      <c r="AF2120" s="54"/>
      <c r="AG2120" s="54"/>
      <c r="AH2120" s="54"/>
    </row>
    <row r="2121">
      <c r="A2121" s="80"/>
      <c r="B2121" s="80"/>
      <c r="C2121" s="80"/>
      <c r="D2121" s="80"/>
      <c r="E2121" s="80"/>
      <c r="F2121" s="59"/>
      <c r="G2121" s="59"/>
      <c r="H2121" s="83"/>
      <c r="I2121" s="76"/>
      <c r="J2121" s="76"/>
      <c r="K2121" s="81"/>
      <c r="L2121" s="82"/>
      <c r="M2121" s="54"/>
      <c r="N2121" s="54"/>
      <c r="O2121" s="54"/>
      <c r="P2121" s="54"/>
      <c r="Q2121" s="54"/>
      <c r="R2121" s="54"/>
      <c r="S2121" s="54"/>
      <c r="T2121" s="54"/>
      <c r="U2121" s="54"/>
      <c r="V2121" s="54"/>
      <c r="W2121" s="54"/>
      <c r="X2121" s="54"/>
      <c r="Y2121" s="54"/>
      <c r="Z2121" s="54"/>
      <c r="AA2121" s="54"/>
      <c r="AB2121" s="54"/>
      <c r="AC2121" s="54"/>
      <c r="AD2121" s="54"/>
      <c r="AE2121" s="54"/>
      <c r="AF2121" s="54"/>
      <c r="AG2121" s="54"/>
      <c r="AH2121" s="54"/>
    </row>
    <row r="2122">
      <c r="A2122" s="80"/>
      <c r="B2122" s="80"/>
      <c r="C2122" s="80"/>
      <c r="D2122" s="80"/>
      <c r="E2122" s="80"/>
      <c r="F2122" s="59"/>
      <c r="G2122" s="59"/>
      <c r="H2122" s="83"/>
      <c r="I2122" s="76"/>
      <c r="J2122" s="76"/>
      <c r="K2122" s="81"/>
      <c r="L2122" s="82"/>
      <c r="M2122" s="54"/>
      <c r="N2122" s="54"/>
      <c r="O2122" s="54"/>
      <c r="P2122" s="54"/>
      <c r="Q2122" s="54"/>
      <c r="R2122" s="54"/>
      <c r="S2122" s="54"/>
      <c r="T2122" s="54"/>
      <c r="U2122" s="54"/>
      <c r="V2122" s="54"/>
      <c r="W2122" s="54"/>
      <c r="X2122" s="54"/>
      <c r="Y2122" s="54"/>
      <c r="Z2122" s="54"/>
      <c r="AA2122" s="54"/>
      <c r="AB2122" s="54"/>
      <c r="AC2122" s="54"/>
      <c r="AD2122" s="54"/>
      <c r="AE2122" s="54"/>
      <c r="AF2122" s="54"/>
      <c r="AG2122" s="54"/>
      <c r="AH2122" s="54"/>
    </row>
    <row r="2123">
      <c r="A2123" s="80"/>
      <c r="B2123" s="80"/>
      <c r="C2123" s="80"/>
      <c r="D2123" s="80"/>
      <c r="E2123" s="80"/>
      <c r="F2123" s="59"/>
      <c r="G2123" s="59"/>
      <c r="H2123" s="83"/>
      <c r="I2123" s="76"/>
      <c r="J2123" s="76"/>
      <c r="K2123" s="81"/>
      <c r="L2123" s="82"/>
      <c r="M2123" s="54"/>
      <c r="N2123" s="54"/>
      <c r="O2123" s="54"/>
      <c r="P2123" s="54"/>
      <c r="Q2123" s="54"/>
      <c r="R2123" s="54"/>
      <c r="S2123" s="54"/>
      <c r="T2123" s="54"/>
      <c r="U2123" s="54"/>
      <c r="V2123" s="54"/>
      <c r="W2123" s="54"/>
      <c r="X2123" s="54"/>
      <c r="Y2123" s="54"/>
      <c r="Z2123" s="54"/>
      <c r="AA2123" s="54"/>
      <c r="AB2123" s="54"/>
      <c r="AC2123" s="54"/>
      <c r="AD2123" s="54"/>
      <c r="AE2123" s="54"/>
      <c r="AF2123" s="54"/>
      <c r="AG2123" s="54"/>
      <c r="AH2123" s="54"/>
    </row>
    <row r="2124">
      <c r="A2124" s="80"/>
      <c r="B2124" s="80"/>
      <c r="C2124" s="80"/>
      <c r="D2124" s="80"/>
      <c r="E2124" s="80"/>
      <c r="F2124" s="59"/>
      <c r="G2124" s="59"/>
      <c r="H2124" s="83"/>
      <c r="I2124" s="76"/>
      <c r="J2124" s="76"/>
      <c r="K2124" s="81"/>
      <c r="L2124" s="82"/>
      <c r="M2124" s="54"/>
      <c r="N2124" s="54"/>
      <c r="O2124" s="54"/>
      <c r="P2124" s="54"/>
      <c r="Q2124" s="54"/>
      <c r="R2124" s="54"/>
      <c r="S2124" s="54"/>
      <c r="T2124" s="54"/>
      <c r="U2124" s="54"/>
      <c r="V2124" s="54"/>
      <c r="W2124" s="54"/>
      <c r="X2124" s="54"/>
      <c r="Y2124" s="54"/>
      <c r="Z2124" s="54"/>
      <c r="AA2124" s="54"/>
      <c r="AB2124" s="54"/>
      <c r="AC2124" s="54"/>
      <c r="AD2124" s="54"/>
      <c r="AE2124" s="54"/>
      <c r="AF2124" s="54"/>
      <c r="AG2124" s="54"/>
      <c r="AH2124" s="54"/>
    </row>
    <row r="2125">
      <c r="A2125" s="80"/>
      <c r="B2125" s="80"/>
      <c r="C2125" s="80"/>
      <c r="D2125" s="80"/>
      <c r="E2125" s="80"/>
      <c r="F2125" s="59"/>
      <c r="G2125" s="59"/>
      <c r="H2125" s="83"/>
      <c r="I2125" s="76"/>
      <c r="J2125" s="76"/>
      <c r="K2125" s="81"/>
      <c r="L2125" s="82"/>
      <c r="M2125" s="54"/>
      <c r="N2125" s="54"/>
      <c r="O2125" s="54"/>
      <c r="P2125" s="54"/>
      <c r="Q2125" s="54"/>
      <c r="R2125" s="54"/>
      <c r="S2125" s="54"/>
      <c r="T2125" s="54"/>
      <c r="U2125" s="54"/>
      <c r="V2125" s="54"/>
      <c r="W2125" s="54"/>
      <c r="X2125" s="54"/>
      <c r="Y2125" s="54"/>
      <c r="Z2125" s="54"/>
      <c r="AA2125" s="54"/>
      <c r="AB2125" s="54"/>
      <c r="AC2125" s="54"/>
      <c r="AD2125" s="54"/>
      <c r="AE2125" s="54"/>
      <c r="AF2125" s="54"/>
      <c r="AG2125" s="54"/>
      <c r="AH2125" s="54"/>
    </row>
    <row r="2126">
      <c r="A2126" s="80"/>
      <c r="B2126" s="80"/>
      <c r="C2126" s="80"/>
      <c r="D2126" s="80"/>
      <c r="E2126" s="80"/>
      <c r="F2126" s="59"/>
      <c r="G2126" s="59"/>
      <c r="H2126" s="83"/>
      <c r="I2126" s="76"/>
      <c r="J2126" s="76"/>
      <c r="K2126" s="81"/>
      <c r="L2126" s="82"/>
      <c r="M2126" s="54"/>
      <c r="N2126" s="54"/>
      <c r="O2126" s="54"/>
      <c r="P2126" s="54"/>
      <c r="Q2126" s="54"/>
      <c r="R2126" s="54"/>
      <c r="S2126" s="54"/>
      <c r="T2126" s="54"/>
      <c r="U2126" s="54"/>
      <c r="V2126" s="54"/>
      <c r="W2126" s="54"/>
      <c r="X2126" s="54"/>
      <c r="Y2126" s="54"/>
      <c r="Z2126" s="54"/>
      <c r="AA2126" s="54"/>
      <c r="AB2126" s="54"/>
      <c r="AC2126" s="54"/>
      <c r="AD2126" s="54"/>
      <c r="AE2126" s="54"/>
      <c r="AF2126" s="54"/>
      <c r="AG2126" s="54"/>
      <c r="AH2126" s="54"/>
    </row>
    <row r="2127">
      <c r="A2127" s="80"/>
      <c r="B2127" s="80"/>
      <c r="C2127" s="80"/>
      <c r="D2127" s="80"/>
      <c r="E2127" s="80"/>
      <c r="F2127" s="59"/>
      <c r="G2127" s="59"/>
      <c r="H2127" s="83"/>
      <c r="I2127" s="76"/>
      <c r="J2127" s="76"/>
      <c r="K2127" s="81"/>
      <c r="L2127" s="82"/>
      <c r="M2127" s="54"/>
      <c r="N2127" s="54"/>
      <c r="O2127" s="54"/>
      <c r="P2127" s="54"/>
      <c r="Q2127" s="54"/>
      <c r="R2127" s="54"/>
      <c r="S2127" s="54"/>
      <c r="T2127" s="54"/>
      <c r="U2127" s="54"/>
      <c r="V2127" s="54"/>
      <c r="W2127" s="54"/>
      <c r="X2127" s="54"/>
      <c r="Y2127" s="54"/>
      <c r="Z2127" s="54"/>
      <c r="AA2127" s="54"/>
      <c r="AB2127" s="54"/>
      <c r="AC2127" s="54"/>
      <c r="AD2127" s="54"/>
      <c r="AE2127" s="54"/>
      <c r="AF2127" s="54"/>
      <c r="AG2127" s="54"/>
      <c r="AH2127" s="54"/>
    </row>
    <row r="2128">
      <c r="A2128" s="80"/>
      <c r="B2128" s="80"/>
      <c r="C2128" s="80"/>
      <c r="D2128" s="80"/>
      <c r="E2128" s="80"/>
      <c r="F2128" s="59"/>
      <c r="G2128" s="59"/>
      <c r="H2128" s="83"/>
      <c r="I2128" s="76"/>
      <c r="J2128" s="76"/>
      <c r="K2128" s="81"/>
      <c r="L2128" s="82"/>
      <c r="M2128" s="54"/>
      <c r="N2128" s="54"/>
      <c r="O2128" s="54"/>
      <c r="P2128" s="54"/>
      <c r="Q2128" s="54"/>
      <c r="R2128" s="54"/>
      <c r="S2128" s="54"/>
      <c r="T2128" s="54"/>
      <c r="U2128" s="54"/>
      <c r="V2128" s="54"/>
      <c r="W2128" s="54"/>
      <c r="X2128" s="54"/>
      <c r="Y2128" s="54"/>
      <c r="Z2128" s="54"/>
      <c r="AA2128" s="54"/>
      <c r="AB2128" s="54"/>
      <c r="AC2128" s="54"/>
      <c r="AD2128" s="54"/>
      <c r="AE2128" s="54"/>
      <c r="AF2128" s="54"/>
      <c r="AG2128" s="54"/>
      <c r="AH2128" s="54"/>
    </row>
    <row r="2129">
      <c r="A2129" s="80"/>
      <c r="B2129" s="80"/>
      <c r="C2129" s="80"/>
      <c r="D2129" s="80"/>
      <c r="E2129" s="80"/>
      <c r="F2129" s="59"/>
      <c r="G2129" s="59"/>
      <c r="H2129" s="83"/>
      <c r="I2129" s="76"/>
      <c r="J2129" s="76"/>
      <c r="K2129" s="81"/>
      <c r="L2129" s="82"/>
      <c r="M2129" s="54"/>
      <c r="N2129" s="54"/>
      <c r="O2129" s="54"/>
      <c r="P2129" s="54"/>
      <c r="Q2129" s="54"/>
      <c r="R2129" s="54"/>
      <c r="S2129" s="54"/>
      <c r="T2129" s="54"/>
      <c r="U2129" s="54"/>
      <c r="V2129" s="54"/>
      <c r="W2129" s="54"/>
      <c r="X2129" s="54"/>
      <c r="Y2129" s="54"/>
      <c r="Z2129" s="54"/>
      <c r="AA2129" s="54"/>
      <c r="AB2129" s="54"/>
      <c r="AC2129" s="54"/>
      <c r="AD2129" s="54"/>
      <c r="AE2129" s="54"/>
      <c r="AF2129" s="54"/>
      <c r="AG2129" s="54"/>
      <c r="AH2129" s="54"/>
    </row>
    <row r="2130">
      <c r="A2130" s="80"/>
      <c r="B2130" s="80"/>
      <c r="C2130" s="80"/>
      <c r="D2130" s="80"/>
      <c r="E2130" s="80"/>
      <c r="F2130" s="59"/>
      <c r="G2130" s="59"/>
      <c r="H2130" s="83"/>
      <c r="I2130" s="76"/>
      <c r="J2130" s="76"/>
      <c r="K2130" s="81"/>
      <c r="L2130" s="82"/>
      <c r="M2130" s="54"/>
      <c r="N2130" s="54"/>
      <c r="O2130" s="54"/>
      <c r="P2130" s="54"/>
      <c r="Q2130" s="54"/>
      <c r="R2130" s="54"/>
      <c r="S2130" s="54"/>
      <c r="T2130" s="54"/>
      <c r="U2130" s="54"/>
      <c r="V2130" s="54"/>
      <c r="W2130" s="54"/>
      <c r="X2130" s="54"/>
      <c r="Y2130" s="54"/>
      <c r="Z2130" s="54"/>
      <c r="AA2130" s="54"/>
      <c r="AB2130" s="54"/>
      <c r="AC2130" s="54"/>
      <c r="AD2130" s="54"/>
      <c r="AE2130" s="54"/>
      <c r="AF2130" s="54"/>
      <c r="AG2130" s="54"/>
      <c r="AH2130" s="54"/>
    </row>
    <row r="2131">
      <c r="A2131" s="80"/>
      <c r="B2131" s="80"/>
      <c r="C2131" s="80"/>
      <c r="D2131" s="80"/>
      <c r="E2131" s="80"/>
      <c r="F2131" s="59"/>
      <c r="G2131" s="59"/>
      <c r="H2131" s="83"/>
      <c r="I2131" s="76"/>
      <c r="J2131" s="76"/>
      <c r="K2131" s="81"/>
      <c r="L2131" s="82"/>
      <c r="M2131" s="54"/>
      <c r="N2131" s="54"/>
      <c r="O2131" s="54"/>
      <c r="P2131" s="54"/>
      <c r="Q2131" s="54"/>
      <c r="R2131" s="54"/>
      <c r="S2131" s="54"/>
      <c r="T2131" s="54"/>
      <c r="U2131" s="54"/>
      <c r="V2131" s="54"/>
      <c r="W2131" s="54"/>
      <c r="X2131" s="54"/>
      <c r="Y2131" s="54"/>
      <c r="Z2131" s="54"/>
      <c r="AA2131" s="54"/>
      <c r="AB2131" s="54"/>
      <c r="AC2131" s="54"/>
      <c r="AD2131" s="54"/>
      <c r="AE2131" s="54"/>
      <c r="AF2131" s="54"/>
      <c r="AG2131" s="54"/>
      <c r="AH2131" s="54"/>
    </row>
    <row r="2132">
      <c r="A2132" s="80"/>
      <c r="B2132" s="80"/>
      <c r="C2132" s="80"/>
      <c r="D2132" s="80"/>
      <c r="E2132" s="80"/>
      <c r="F2132" s="59"/>
      <c r="G2132" s="59"/>
      <c r="H2132" s="83"/>
      <c r="I2132" s="76"/>
      <c r="J2132" s="76"/>
      <c r="K2132" s="81"/>
      <c r="L2132" s="82"/>
      <c r="M2132" s="54"/>
      <c r="N2132" s="54"/>
      <c r="O2132" s="54"/>
      <c r="P2132" s="54"/>
      <c r="Q2132" s="54"/>
      <c r="R2132" s="54"/>
      <c r="S2132" s="54"/>
      <c r="T2132" s="54"/>
      <c r="U2132" s="54"/>
      <c r="V2132" s="54"/>
      <c r="W2132" s="54"/>
      <c r="X2132" s="54"/>
      <c r="Y2132" s="54"/>
      <c r="Z2132" s="54"/>
      <c r="AA2132" s="54"/>
      <c r="AB2132" s="54"/>
      <c r="AC2132" s="54"/>
      <c r="AD2132" s="54"/>
      <c r="AE2132" s="54"/>
      <c r="AF2132" s="54"/>
      <c r="AG2132" s="54"/>
      <c r="AH2132" s="54"/>
    </row>
    <row r="2133">
      <c r="A2133" s="80"/>
      <c r="B2133" s="80"/>
      <c r="C2133" s="80"/>
      <c r="D2133" s="80"/>
      <c r="E2133" s="80"/>
      <c r="F2133" s="59"/>
      <c r="G2133" s="59"/>
      <c r="H2133" s="83"/>
      <c r="I2133" s="76"/>
      <c r="J2133" s="76"/>
      <c r="K2133" s="81"/>
      <c r="L2133" s="82"/>
      <c r="M2133" s="54"/>
      <c r="N2133" s="54"/>
      <c r="O2133" s="54"/>
      <c r="P2133" s="54"/>
      <c r="Q2133" s="54"/>
      <c r="R2133" s="54"/>
      <c r="S2133" s="54"/>
      <c r="T2133" s="54"/>
      <c r="U2133" s="54"/>
      <c r="V2133" s="54"/>
      <c r="W2133" s="54"/>
      <c r="X2133" s="54"/>
      <c r="Y2133" s="54"/>
      <c r="Z2133" s="54"/>
      <c r="AA2133" s="54"/>
      <c r="AB2133" s="54"/>
      <c r="AC2133" s="54"/>
      <c r="AD2133" s="54"/>
      <c r="AE2133" s="54"/>
      <c r="AF2133" s="54"/>
      <c r="AG2133" s="54"/>
      <c r="AH2133" s="54"/>
    </row>
    <row r="2134">
      <c r="A2134" s="80"/>
      <c r="B2134" s="80"/>
      <c r="C2134" s="80"/>
      <c r="D2134" s="80"/>
      <c r="E2134" s="80"/>
      <c r="F2134" s="59"/>
      <c r="G2134" s="59"/>
      <c r="H2134" s="83"/>
      <c r="I2134" s="76"/>
      <c r="J2134" s="76"/>
      <c r="K2134" s="81"/>
      <c r="L2134" s="82"/>
      <c r="M2134" s="54"/>
      <c r="N2134" s="54"/>
      <c r="O2134" s="54"/>
      <c r="P2134" s="54"/>
      <c r="Q2134" s="54"/>
      <c r="R2134" s="54"/>
      <c r="S2134" s="54"/>
      <c r="T2134" s="54"/>
      <c r="U2134" s="54"/>
      <c r="V2134" s="54"/>
      <c r="W2134" s="54"/>
      <c r="X2134" s="54"/>
      <c r="Y2134" s="54"/>
      <c r="Z2134" s="54"/>
      <c r="AA2134" s="54"/>
      <c r="AB2134" s="54"/>
      <c r="AC2134" s="54"/>
      <c r="AD2134" s="54"/>
      <c r="AE2134" s="54"/>
      <c r="AF2134" s="54"/>
      <c r="AG2134" s="54"/>
      <c r="AH2134" s="54"/>
    </row>
    <row r="2135">
      <c r="A2135" s="80"/>
      <c r="B2135" s="80"/>
      <c r="C2135" s="80"/>
      <c r="D2135" s="80"/>
      <c r="E2135" s="80"/>
      <c r="F2135" s="59"/>
      <c r="G2135" s="59"/>
      <c r="H2135" s="83"/>
      <c r="I2135" s="76"/>
      <c r="J2135" s="76"/>
      <c r="K2135" s="81"/>
      <c r="L2135" s="82"/>
      <c r="M2135" s="54"/>
      <c r="N2135" s="54"/>
      <c r="O2135" s="54"/>
      <c r="P2135" s="54"/>
      <c r="Q2135" s="54"/>
      <c r="R2135" s="54"/>
      <c r="S2135" s="54"/>
      <c r="T2135" s="54"/>
      <c r="U2135" s="54"/>
      <c r="V2135" s="54"/>
      <c r="W2135" s="54"/>
      <c r="X2135" s="54"/>
      <c r="Y2135" s="54"/>
      <c r="Z2135" s="54"/>
      <c r="AA2135" s="54"/>
      <c r="AB2135" s="54"/>
      <c r="AC2135" s="54"/>
      <c r="AD2135" s="54"/>
      <c r="AE2135" s="54"/>
      <c r="AF2135" s="54"/>
      <c r="AG2135" s="54"/>
      <c r="AH2135" s="54"/>
    </row>
    <row r="2136">
      <c r="A2136" s="80"/>
      <c r="B2136" s="80"/>
      <c r="C2136" s="80"/>
      <c r="D2136" s="80"/>
      <c r="E2136" s="80"/>
      <c r="F2136" s="59"/>
      <c r="G2136" s="59"/>
      <c r="H2136" s="83"/>
      <c r="I2136" s="76"/>
      <c r="J2136" s="76"/>
      <c r="K2136" s="81"/>
      <c r="L2136" s="82"/>
      <c r="M2136" s="54"/>
      <c r="N2136" s="54"/>
      <c r="O2136" s="54"/>
      <c r="P2136" s="54"/>
      <c r="Q2136" s="54"/>
      <c r="R2136" s="54"/>
      <c r="S2136" s="54"/>
      <c r="T2136" s="54"/>
      <c r="U2136" s="54"/>
      <c r="V2136" s="54"/>
      <c r="W2136" s="54"/>
      <c r="X2136" s="54"/>
      <c r="Y2136" s="54"/>
      <c r="Z2136" s="54"/>
      <c r="AA2136" s="54"/>
      <c r="AB2136" s="54"/>
      <c r="AC2136" s="54"/>
      <c r="AD2136" s="54"/>
      <c r="AE2136" s="54"/>
      <c r="AF2136" s="54"/>
      <c r="AG2136" s="54"/>
      <c r="AH2136" s="54"/>
    </row>
    <row r="2137">
      <c r="A2137" s="80"/>
      <c r="B2137" s="80"/>
      <c r="C2137" s="80"/>
      <c r="D2137" s="80"/>
      <c r="E2137" s="80"/>
      <c r="F2137" s="59"/>
      <c r="G2137" s="59"/>
      <c r="H2137" s="83"/>
      <c r="I2137" s="76"/>
      <c r="J2137" s="76"/>
      <c r="K2137" s="81"/>
      <c r="L2137" s="82"/>
      <c r="M2137" s="54"/>
      <c r="N2137" s="54"/>
      <c r="O2137" s="54"/>
      <c r="P2137" s="54"/>
      <c r="Q2137" s="54"/>
      <c r="R2137" s="54"/>
      <c r="S2137" s="54"/>
      <c r="T2137" s="54"/>
      <c r="U2137" s="54"/>
      <c r="V2137" s="54"/>
      <c r="W2137" s="54"/>
      <c r="X2137" s="54"/>
      <c r="Y2137" s="54"/>
      <c r="Z2137" s="54"/>
      <c r="AA2137" s="54"/>
      <c r="AB2137" s="54"/>
      <c r="AC2137" s="54"/>
      <c r="AD2137" s="54"/>
      <c r="AE2137" s="54"/>
      <c r="AF2137" s="54"/>
      <c r="AG2137" s="54"/>
      <c r="AH2137" s="54"/>
    </row>
    <row r="2138">
      <c r="A2138" s="80"/>
      <c r="B2138" s="80"/>
      <c r="C2138" s="80"/>
      <c r="D2138" s="80"/>
      <c r="E2138" s="80"/>
      <c r="F2138" s="59"/>
      <c r="G2138" s="59"/>
      <c r="H2138" s="83"/>
      <c r="I2138" s="76"/>
      <c r="J2138" s="76"/>
      <c r="K2138" s="81"/>
      <c r="L2138" s="82"/>
      <c r="M2138" s="54"/>
      <c r="N2138" s="54"/>
      <c r="O2138" s="54"/>
      <c r="P2138" s="54"/>
      <c r="Q2138" s="54"/>
      <c r="R2138" s="54"/>
      <c r="S2138" s="54"/>
      <c r="T2138" s="54"/>
      <c r="U2138" s="54"/>
      <c r="V2138" s="54"/>
      <c r="W2138" s="54"/>
      <c r="X2138" s="54"/>
      <c r="Y2138" s="54"/>
      <c r="Z2138" s="54"/>
      <c r="AA2138" s="54"/>
      <c r="AB2138" s="54"/>
      <c r="AC2138" s="54"/>
      <c r="AD2138" s="54"/>
      <c r="AE2138" s="54"/>
      <c r="AF2138" s="54"/>
      <c r="AG2138" s="54"/>
      <c r="AH2138" s="54"/>
    </row>
    <row r="2139">
      <c r="A2139" s="80"/>
      <c r="B2139" s="80"/>
      <c r="C2139" s="80"/>
      <c r="D2139" s="80"/>
      <c r="E2139" s="80"/>
      <c r="F2139" s="59"/>
      <c r="G2139" s="59"/>
      <c r="H2139" s="83"/>
      <c r="I2139" s="76"/>
      <c r="J2139" s="76"/>
      <c r="K2139" s="81"/>
      <c r="L2139" s="82"/>
      <c r="M2139" s="54"/>
      <c r="N2139" s="54"/>
      <c r="O2139" s="54"/>
      <c r="P2139" s="54"/>
      <c r="Q2139" s="54"/>
      <c r="R2139" s="54"/>
      <c r="S2139" s="54"/>
      <c r="T2139" s="54"/>
      <c r="U2139" s="54"/>
      <c r="V2139" s="54"/>
      <c r="W2139" s="54"/>
      <c r="X2139" s="54"/>
      <c r="Y2139" s="54"/>
      <c r="Z2139" s="54"/>
      <c r="AA2139" s="54"/>
      <c r="AB2139" s="54"/>
      <c r="AC2139" s="54"/>
      <c r="AD2139" s="54"/>
      <c r="AE2139" s="54"/>
      <c r="AF2139" s="54"/>
      <c r="AG2139" s="54"/>
      <c r="AH2139" s="54"/>
    </row>
    <row r="2140">
      <c r="A2140" s="80"/>
      <c r="B2140" s="80"/>
      <c r="C2140" s="80"/>
      <c r="D2140" s="80"/>
      <c r="E2140" s="80"/>
      <c r="F2140" s="59"/>
      <c r="G2140" s="59"/>
      <c r="H2140" s="83"/>
      <c r="I2140" s="76"/>
      <c r="J2140" s="76"/>
      <c r="K2140" s="81"/>
      <c r="L2140" s="82"/>
      <c r="M2140" s="54"/>
      <c r="N2140" s="54"/>
      <c r="O2140" s="54"/>
      <c r="P2140" s="54"/>
      <c r="Q2140" s="54"/>
      <c r="R2140" s="54"/>
      <c r="S2140" s="54"/>
      <c r="T2140" s="54"/>
      <c r="U2140" s="54"/>
      <c r="V2140" s="54"/>
      <c r="W2140" s="54"/>
      <c r="X2140" s="54"/>
      <c r="Y2140" s="54"/>
      <c r="Z2140" s="54"/>
      <c r="AA2140" s="54"/>
      <c r="AB2140" s="54"/>
      <c r="AC2140" s="54"/>
      <c r="AD2140" s="54"/>
      <c r="AE2140" s="54"/>
      <c r="AF2140" s="54"/>
      <c r="AG2140" s="54"/>
      <c r="AH2140" s="54"/>
    </row>
    <row r="2141">
      <c r="A2141" s="80"/>
      <c r="B2141" s="80"/>
      <c r="C2141" s="80"/>
      <c r="D2141" s="80"/>
      <c r="E2141" s="80"/>
      <c r="F2141" s="59"/>
      <c r="G2141" s="59"/>
      <c r="H2141" s="83"/>
      <c r="I2141" s="76"/>
      <c r="J2141" s="76"/>
      <c r="K2141" s="81"/>
      <c r="L2141" s="82"/>
      <c r="M2141" s="54"/>
      <c r="N2141" s="54"/>
      <c r="O2141" s="54"/>
      <c r="P2141" s="54"/>
      <c r="Q2141" s="54"/>
      <c r="R2141" s="54"/>
      <c r="S2141" s="54"/>
      <c r="T2141" s="54"/>
      <c r="U2141" s="54"/>
      <c r="V2141" s="54"/>
      <c r="W2141" s="54"/>
      <c r="X2141" s="54"/>
      <c r="Y2141" s="54"/>
      <c r="Z2141" s="54"/>
      <c r="AA2141" s="54"/>
      <c r="AB2141" s="54"/>
      <c r="AC2141" s="54"/>
      <c r="AD2141" s="54"/>
      <c r="AE2141" s="54"/>
      <c r="AF2141" s="54"/>
      <c r="AG2141" s="54"/>
      <c r="AH2141" s="54"/>
    </row>
    <row r="2142">
      <c r="A2142" s="80"/>
      <c r="B2142" s="80"/>
      <c r="C2142" s="80"/>
      <c r="D2142" s="80"/>
      <c r="E2142" s="80"/>
      <c r="F2142" s="59"/>
      <c r="G2142" s="59"/>
      <c r="H2142" s="83"/>
      <c r="I2142" s="76"/>
      <c r="J2142" s="76"/>
      <c r="K2142" s="81"/>
      <c r="L2142" s="82"/>
      <c r="M2142" s="54"/>
      <c r="N2142" s="54"/>
      <c r="O2142" s="54"/>
      <c r="P2142" s="54"/>
      <c r="Q2142" s="54"/>
      <c r="R2142" s="54"/>
      <c r="S2142" s="54"/>
      <c r="T2142" s="54"/>
      <c r="U2142" s="54"/>
      <c r="V2142" s="54"/>
      <c r="W2142" s="54"/>
      <c r="X2142" s="54"/>
      <c r="Y2142" s="54"/>
      <c r="Z2142" s="54"/>
      <c r="AA2142" s="54"/>
      <c r="AB2142" s="54"/>
      <c r="AC2142" s="54"/>
      <c r="AD2142" s="54"/>
      <c r="AE2142" s="54"/>
      <c r="AF2142" s="54"/>
      <c r="AG2142" s="54"/>
      <c r="AH2142" s="54"/>
    </row>
    <row r="2143">
      <c r="A2143" s="80"/>
      <c r="B2143" s="80"/>
      <c r="C2143" s="80"/>
      <c r="D2143" s="80"/>
      <c r="E2143" s="80"/>
      <c r="F2143" s="59"/>
      <c r="G2143" s="59"/>
      <c r="H2143" s="83"/>
      <c r="I2143" s="76"/>
      <c r="J2143" s="76"/>
      <c r="K2143" s="81"/>
      <c r="L2143" s="82"/>
      <c r="M2143" s="54"/>
      <c r="N2143" s="54"/>
      <c r="O2143" s="54"/>
      <c r="P2143" s="54"/>
      <c r="Q2143" s="54"/>
      <c r="R2143" s="54"/>
      <c r="S2143" s="54"/>
      <c r="T2143" s="54"/>
      <c r="U2143" s="54"/>
      <c r="V2143" s="54"/>
      <c r="W2143" s="54"/>
      <c r="X2143" s="54"/>
      <c r="Y2143" s="54"/>
      <c r="Z2143" s="54"/>
      <c r="AA2143" s="54"/>
      <c r="AB2143" s="54"/>
      <c r="AC2143" s="54"/>
      <c r="AD2143" s="54"/>
      <c r="AE2143" s="54"/>
      <c r="AF2143" s="54"/>
      <c r="AG2143" s="54"/>
      <c r="AH2143" s="54"/>
    </row>
    <row r="2144">
      <c r="A2144" s="80"/>
      <c r="B2144" s="80"/>
      <c r="C2144" s="80"/>
      <c r="D2144" s="80"/>
      <c r="E2144" s="80"/>
      <c r="F2144" s="59"/>
      <c r="G2144" s="59"/>
      <c r="H2144" s="83"/>
      <c r="I2144" s="76"/>
      <c r="J2144" s="76"/>
      <c r="K2144" s="81"/>
      <c r="L2144" s="82"/>
      <c r="M2144" s="54"/>
      <c r="N2144" s="54"/>
      <c r="O2144" s="54"/>
      <c r="P2144" s="54"/>
      <c r="Q2144" s="54"/>
      <c r="R2144" s="54"/>
      <c r="S2144" s="54"/>
      <c r="T2144" s="54"/>
      <c r="U2144" s="54"/>
      <c r="V2144" s="54"/>
      <c r="W2144" s="54"/>
      <c r="X2144" s="54"/>
      <c r="Y2144" s="54"/>
      <c r="Z2144" s="54"/>
      <c r="AA2144" s="54"/>
      <c r="AB2144" s="54"/>
      <c r="AC2144" s="54"/>
      <c r="AD2144" s="54"/>
      <c r="AE2144" s="54"/>
      <c r="AF2144" s="54"/>
      <c r="AG2144" s="54"/>
      <c r="AH2144" s="54"/>
    </row>
    <row r="2145">
      <c r="A2145" s="80"/>
      <c r="B2145" s="80"/>
      <c r="C2145" s="80"/>
      <c r="D2145" s="80"/>
      <c r="E2145" s="80"/>
      <c r="F2145" s="59"/>
      <c r="G2145" s="59"/>
      <c r="H2145" s="83"/>
      <c r="I2145" s="76"/>
      <c r="J2145" s="76"/>
      <c r="K2145" s="81"/>
      <c r="L2145" s="82"/>
      <c r="M2145" s="54"/>
      <c r="N2145" s="54"/>
      <c r="O2145" s="54"/>
      <c r="P2145" s="54"/>
      <c r="Q2145" s="54"/>
      <c r="R2145" s="54"/>
      <c r="S2145" s="54"/>
      <c r="T2145" s="54"/>
      <c r="U2145" s="54"/>
      <c r="V2145" s="54"/>
      <c r="W2145" s="54"/>
      <c r="X2145" s="54"/>
      <c r="Y2145" s="54"/>
      <c r="Z2145" s="54"/>
      <c r="AA2145" s="54"/>
      <c r="AB2145" s="54"/>
      <c r="AC2145" s="54"/>
      <c r="AD2145" s="54"/>
      <c r="AE2145" s="54"/>
      <c r="AF2145" s="54"/>
      <c r="AG2145" s="54"/>
      <c r="AH2145" s="54"/>
    </row>
    <row r="2146">
      <c r="A2146" s="80"/>
      <c r="B2146" s="80"/>
      <c r="C2146" s="80"/>
      <c r="D2146" s="80"/>
      <c r="E2146" s="80"/>
      <c r="F2146" s="59"/>
      <c r="G2146" s="59"/>
      <c r="H2146" s="83"/>
      <c r="I2146" s="76"/>
      <c r="J2146" s="76"/>
      <c r="K2146" s="81"/>
      <c r="L2146" s="82"/>
      <c r="M2146" s="54"/>
      <c r="N2146" s="54"/>
      <c r="O2146" s="54"/>
      <c r="P2146" s="54"/>
      <c r="Q2146" s="54"/>
      <c r="R2146" s="54"/>
      <c r="S2146" s="54"/>
      <c r="T2146" s="54"/>
      <c r="U2146" s="54"/>
      <c r="V2146" s="54"/>
      <c r="W2146" s="54"/>
      <c r="X2146" s="54"/>
      <c r="Y2146" s="54"/>
      <c r="Z2146" s="54"/>
      <c r="AA2146" s="54"/>
      <c r="AB2146" s="54"/>
      <c r="AC2146" s="54"/>
      <c r="AD2146" s="54"/>
      <c r="AE2146" s="54"/>
      <c r="AF2146" s="54"/>
      <c r="AG2146" s="54"/>
      <c r="AH2146" s="54"/>
    </row>
    <row r="2147">
      <c r="A2147" s="80"/>
      <c r="B2147" s="80"/>
      <c r="C2147" s="80"/>
      <c r="D2147" s="80"/>
      <c r="E2147" s="80"/>
      <c r="F2147" s="59"/>
      <c r="G2147" s="59"/>
      <c r="H2147" s="83"/>
      <c r="I2147" s="76"/>
      <c r="J2147" s="76"/>
      <c r="K2147" s="81"/>
      <c r="L2147" s="82"/>
      <c r="M2147" s="54"/>
      <c r="N2147" s="54"/>
      <c r="O2147" s="54"/>
      <c r="P2147" s="54"/>
      <c r="Q2147" s="54"/>
      <c r="R2147" s="54"/>
      <c r="S2147" s="54"/>
      <c r="T2147" s="54"/>
      <c r="U2147" s="54"/>
      <c r="V2147" s="54"/>
      <c r="W2147" s="54"/>
      <c r="X2147" s="54"/>
      <c r="Y2147" s="54"/>
      <c r="Z2147" s="54"/>
      <c r="AA2147" s="54"/>
      <c r="AB2147" s="54"/>
      <c r="AC2147" s="54"/>
      <c r="AD2147" s="54"/>
      <c r="AE2147" s="54"/>
      <c r="AF2147" s="54"/>
      <c r="AG2147" s="54"/>
      <c r="AH2147" s="54"/>
    </row>
    <row r="2148">
      <c r="A2148" s="80"/>
      <c r="B2148" s="80"/>
      <c r="C2148" s="80"/>
      <c r="D2148" s="80"/>
      <c r="E2148" s="80"/>
      <c r="F2148" s="59"/>
      <c r="G2148" s="59"/>
      <c r="H2148" s="83"/>
      <c r="I2148" s="76"/>
      <c r="J2148" s="76"/>
      <c r="K2148" s="81"/>
      <c r="L2148" s="82"/>
      <c r="M2148" s="54"/>
      <c r="N2148" s="54"/>
      <c r="O2148" s="54"/>
      <c r="P2148" s="54"/>
      <c r="Q2148" s="54"/>
      <c r="R2148" s="54"/>
      <c r="S2148" s="54"/>
      <c r="T2148" s="54"/>
      <c r="U2148" s="54"/>
      <c r="V2148" s="54"/>
      <c r="W2148" s="54"/>
      <c r="X2148" s="54"/>
      <c r="Y2148" s="54"/>
      <c r="Z2148" s="54"/>
      <c r="AA2148" s="54"/>
      <c r="AB2148" s="54"/>
      <c r="AC2148" s="54"/>
      <c r="AD2148" s="54"/>
      <c r="AE2148" s="54"/>
      <c r="AF2148" s="54"/>
      <c r="AG2148" s="54"/>
      <c r="AH2148" s="54"/>
    </row>
    <row r="2149">
      <c r="A2149" s="80"/>
      <c r="B2149" s="80"/>
      <c r="C2149" s="80"/>
      <c r="D2149" s="80"/>
      <c r="E2149" s="80"/>
      <c r="F2149" s="59"/>
      <c r="G2149" s="59"/>
      <c r="H2149" s="83"/>
      <c r="I2149" s="76"/>
      <c r="J2149" s="76"/>
      <c r="K2149" s="81"/>
      <c r="L2149" s="82"/>
      <c r="M2149" s="54"/>
      <c r="N2149" s="54"/>
      <c r="O2149" s="54"/>
      <c r="P2149" s="54"/>
      <c r="Q2149" s="54"/>
      <c r="R2149" s="54"/>
      <c r="S2149" s="54"/>
      <c r="T2149" s="54"/>
      <c r="U2149" s="54"/>
      <c r="V2149" s="54"/>
      <c r="W2149" s="54"/>
      <c r="X2149" s="54"/>
      <c r="Y2149" s="54"/>
      <c r="Z2149" s="54"/>
      <c r="AA2149" s="54"/>
      <c r="AB2149" s="54"/>
      <c r="AC2149" s="54"/>
      <c r="AD2149" s="54"/>
      <c r="AE2149" s="54"/>
      <c r="AF2149" s="54"/>
      <c r="AG2149" s="54"/>
      <c r="AH2149" s="54"/>
    </row>
    <row r="2150">
      <c r="A2150" s="80"/>
      <c r="B2150" s="80"/>
      <c r="C2150" s="80"/>
      <c r="D2150" s="80"/>
      <c r="E2150" s="80"/>
      <c r="F2150" s="59"/>
      <c r="G2150" s="59"/>
      <c r="H2150" s="83"/>
      <c r="I2150" s="76"/>
      <c r="J2150" s="76"/>
      <c r="K2150" s="81"/>
      <c r="L2150" s="82"/>
      <c r="M2150" s="54"/>
      <c r="N2150" s="54"/>
      <c r="O2150" s="54"/>
      <c r="P2150" s="54"/>
      <c r="Q2150" s="54"/>
      <c r="R2150" s="54"/>
      <c r="S2150" s="54"/>
      <c r="T2150" s="54"/>
      <c r="U2150" s="54"/>
      <c r="V2150" s="54"/>
      <c r="W2150" s="54"/>
      <c r="X2150" s="54"/>
      <c r="Y2150" s="54"/>
      <c r="Z2150" s="54"/>
      <c r="AA2150" s="54"/>
      <c r="AB2150" s="54"/>
      <c r="AC2150" s="54"/>
      <c r="AD2150" s="54"/>
      <c r="AE2150" s="54"/>
      <c r="AF2150" s="54"/>
      <c r="AG2150" s="54"/>
      <c r="AH2150" s="54"/>
    </row>
    <row r="2151">
      <c r="A2151" s="80"/>
      <c r="B2151" s="80"/>
      <c r="C2151" s="80"/>
      <c r="D2151" s="80"/>
      <c r="E2151" s="80"/>
      <c r="F2151" s="59"/>
      <c r="G2151" s="59"/>
      <c r="H2151" s="83"/>
      <c r="I2151" s="76"/>
      <c r="J2151" s="76"/>
      <c r="K2151" s="81"/>
      <c r="L2151" s="82"/>
      <c r="M2151" s="54"/>
      <c r="N2151" s="54"/>
      <c r="O2151" s="54"/>
      <c r="P2151" s="54"/>
      <c r="Q2151" s="54"/>
      <c r="R2151" s="54"/>
      <c r="S2151" s="54"/>
      <c r="T2151" s="54"/>
      <c r="U2151" s="54"/>
      <c r="V2151" s="54"/>
      <c r="W2151" s="54"/>
      <c r="X2151" s="54"/>
      <c r="Y2151" s="54"/>
      <c r="Z2151" s="54"/>
      <c r="AA2151" s="54"/>
      <c r="AB2151" s="54"/>
      <c r="AC2151" s="54"/>
      <c r="AD2151" s="54"/>
      <c r="AE2151" s="54"/>
      <c r="AF2151" s="54"/>
      <c r="AG2151" s="54"/>
      <c r="AH2151" s="54"/>
    </row>
    <row r="2152">
      <c r="A2152" s="80"/>
      <c r="B2152" s="80"/>
      <c r="C2152" s="80"/>
      <c r="D2152" s="80"/>
      <c r="E2152" s="80"/>
      <c r="F2152" s="59"/>
      <c r="G2152" s="59"/>
      <c r="H2152" s="83"/>
      <c r="I2152" s="76"/>
      <c r="J2152" s="76"/>
      <c r="K2152" s="81"/>
      <c r="L2152" s="82"/>
      <c r="M2152" s="54"/>
      <c r="N2152" s="54"/>
      <c r="O2152" s="54"/>
      <c r="P2152" s="54"/>
      <c r="Q2152" s="54"/>
      <c r="R2152" s="54"/>
      <c r="S2152" s="54"/>
      <c r="T2152" s="54"/>
      <c r="U2152" s="54"/>
      <c r="V2152" s="54"/>
      <c r="W2152" s="54"/>
      <c r="X2152" s="54"/>
      <c r="Y2152" s="54"/>
      <c r="Z2152" s="54"/>
      <c r="AA2152" s="54"/>
      <c r="AB2152" s="54"/>
      <c r="AC2152" s="54"/>
      <c r="AD2152" s="54"/>
      <c r="AE2152" s="54"/>
      <c r="AF2152" s="54"/>
      <c r="AG2152" s="54"/>
      <c r="AH2152" s="54"/>
    </row>
    <row r="2153">
      <c r="A2153" s="80"/>
      <c r="B2153" s="80"/>
      <c r="C2153" s="80"/>
      <c r="D2153" s="80"/>
      <c r="E2153" s="80"/>
      <c r="F2153" s="59"/>
      <c r="G2153" s="59"/>
      <c r="H2153" s="83"/>
      <c r="I2153" s="76"/>
      <c r="J2153" s="76"/>
      <c r="K2153" s="81"/>
      <c r="L2153" s="82"/>
      <c r="M2153" s="54"/>
      <c r="N2153" s="54"/>
      <c r="O2153" s="54"/>
      <c r="P2153" s="54"/>
      <c r="Q2153" s="54"/>
      <c r="R2153" s="54"/>
      <c r="S2153" s="54"/>
      <c r="T2153" s="54"/>
      <c r="U2153" s="54"/>
      <c r="V2153" s="54"/>
      <c r="W2153" s="54"/>
      <c r="X2153" s="54"/>
      <c r="Y2153" s="54"/>
      <c r="Z2153" s="54"/>
      <c r="AA2153" s="54"/>
      <c r="AB2153" s="54"/>
      <c r="AC2153" s="54"/>
      <c r="AD2153" s="54"/>
      <c r="AE2153" s="54"/>
      <c r="AF2153" s="54"/>
      <c r="AG2153" s="54"/>
      <c r="AH2153" s="54"/>
    </row>
    <row r="2154">
      <c r="A2154" s="80"/>
      <c r="B2154" s="80"/>
      <c r="C2154" s="80"/>
      <c r="D2154" s="80"/>
      <c r="E2154" s="80"/>
      <c r="F2154" s="59"/>
      <c r="G2154" s="59"/>
      <c r="H2154" s="83"/>
      <c r="I2154" s="76"/>
      <c r="J2154" s="76"/>
      <c r="K2154" s="81"/>
      <c r="L2154" s="82"/>
      <c r="M2154" s="54"/>
      <c r="N2154" s="54"/>
      <c r="O2154" s="54"/>
      <c r="P2154" s="54"/>
      <c r="Q2154" s="54"/>
      <c r="R2154" s="54"/>
      <c r="S2154" s="54"/>
      <c r="T2154" s="54"/>
      <c r="U2154" s="54"/>
      <c r="V2154" s="54"/>
      <c r="W2154" s="54"/>
      <c r="X2154" s="54"/>
      <c r="Y2154" s="54"/>
      <c r="Z2154" s="54"/>
      <c r="AA2154" s="54"/>
      <c r="AB2154" s="54"/>
      <c r="AC2154" s="54"/>
      <c r="AD2154" s="54"/>
      <c r="AE2154" s="54"/>
      <c r="AF2154" s="54"/>
      <c r="AG2154" s="54"/>
      <c r="AH2154" s="54"/>
    </row>
    <row r="2155">
      <c r="A2155" s="80"/>
      <c r="B2155" s="80"/>
      <c r="C2155" s="80"/>
      <c r="D2155" s="80"/>
      <c r="E2155" s="80"/>
      <c r="F2155" s="59"/>
      <c r="G2155" s="59"/>
      <c r="H2155" s="83"/>
      <c r="I2155" s="76"/>
      <c r="J2155" s="76"/>
      <c r="K2155" s="81"/>
      <c r="L2155" s="82"/>
      <c r="M2155" s="54"/>
      <c r="N2155" s="54"/>
      <c r="O2155" s="54"/>
      <c r="P2155" s="54"/>
      <c r="Q2155" s="54"/>
      <c r="R2155" s="54"/>
      <c r="S2155" s="54"/>
      <c r="T2155" s="54"/>
      <c r="U2155" s="54"/>
      <c r="V2155" s="54"/>
      <c r="W2155" s="54"/>
      <c r="X2155" s="54"/>
      <c r="Y2155" s="54"/>
      <c r="Z2155" s="54"/>
      <c r="AA2155" s="54"/>
      <c r="AB2155" s="54"/>
      <c r="AC2155" s="54"/>
      <c r="AD2155" s="54"/>
      <c r="AE2155" s="54"/>
      <c r="AF2155" s="54"/>
      <c r="AG2155" s="54"/>
      <c r="AH2155" s="54"/>
    </row>
    <row r="2156">
      <c r="A2156" s="80"/>
      <c r="B2156" s="80"/>
      <c r="C2156" s="80"/>
      <c r="D2156" s="80"/>
      <c r="E2156" s="80"/>
      <c r="F2156" s="59"/>
      <c r="G2156" s="59"/>
      <c r="H2156" s="83"/>
      <c r="I2156" s="76"/>
      <c r="J2156" s="76"/>
      <c r="K2156" s="81"/>
      <c r="L2156" s="82"/>
      <c r="M2156" s="54"/>
      <c r="N2156" s="54"/>
      <c r="O2156" s="54"/>
      <c r="P2156" s="54"/>
      <c r="Q2156" s="54"/>
      <c r="R2156" s="54"/>
      <c r="S2156" s="54"/>
      <c r="T2156" s="54"/>
      <c r="U2156" s="54"/>
      <c r="V2156" s="54"/>
      <c r="W2156" s="54"/>
      <c r="X2156" s="54"/>
      <c r="Y2156" s="54"/>
      <c r="Z2156" s="54"/>
      <c r="AA2156" s="54"/>
      <c r="AB2156" s="54"/>
      <c r="AC2156" s="54"/>
      <c r="AD2156" s="54"/>
      <c r="AE2156" s="54"/>
      <c r="AF2156" s="54"/>
      <c r="AG2156" s="54"/>
      <c r="AH2156" s="54"/>
    </row>
    <row r="2157">
      <c r="A2157" s="80"/>
      <c r="B2157" s="80"/>
      <c r="C2157" s="80"/>
      <c r="D2157" s="80"/>
      <c r="E2157" s="80"/>
      <c r="F2157" s="59"/>
      <c r="G2157" s="59"/>
      <c r="H2157" s="83"/>
      <c r="I2157" s="76"/>
      <c r="J2157" s="76"/>
      <c r="K2157" s="81"/>
      <c r="L2157" s="82"/>
      <c r="M2157" s="54"/>
      <c r="N2157" s="54"/>
      <c r="O2157" s="54"/>
      <c r="P2157" s="54"/>
      <c r="Q2157" s="54"/>
      <c r="R2157" s="54"/>
      <c r="S2157" s="54"/>
      <c r="T2157" s="54"/>
      <c r="U2157" s="54"/>
      <c r="V2157" s="54"/>
      <c r="W2157" s="54"/>
      <c r="X2157" s="54"/>
      <c r="Y2157" s="54"/>
      <c r="Z2157" s="54"/>
      <c r="AA2157" s="54"/>
      <c r="AB2157" s="54"/>
      <c r="AC2157" s="54"/>
      <c r="AD2157" s="54"/>
      <c r="AE2157" s="54"/>
      <c r="AF2157" s="54"/>
      <c r="AG2157" s="54"/>
      <c r="AH2157" s="54"/>
    </row>
    <row r="2158">
      <c r="A2158" s="80"/>
      <c r="B2158" s="80"/>
      <c r="C2158" s="80"/>
      <c r="D2158" s="80"/>
      <c r="E2158" s="80"/>
      <c r="F2158" s="59"/>
      <c r="G2158" s="59"/>
      <c r="H2158" s="83"/>
      <c r="I2158" s="76"/>
      <c r="J2158" s="76"/>
      <c r="K2158" s="81"/>
      <c r="L2158" s="82"/>
      <c r="M2158" s="54"/>
      <c r="N2158" s="54"/>
      <c r="O2158" s="54"/>
      <c r="P2158" s="54"/>
      <c r="Q2158" s="54"/>
      <c r="R2158" s="54"/>
      <c r="S2158" s="54"/>
      <c r="T2158" s="54"/>
      <c r="U2158" s="54"/>
      <c r="V2158" s="54"/>
      <c r="W2158" s="54"/>
      <c r="X2158" s="54"/>
      <c r="Y2158" s="54"/>
      <c r="Z2158" s="54"/>
      <c r="AA2158" s="54"/>
      <c r="AB2158" s="54"/>
      <c r="AC2158" s="54"/>
      <c r="AD2158" s="54"/>
      <c r="AE2158" s="54"/>
      <c r="AF2158" s="54"/>
      <c r="AG2158" s="54"/>
      <c r="AH2158" s="54"/>
    </row>
    <row r="2159">
      <c r="A2159" s="80"/>
      <c r="B2159" s="80"/>
      <c r="C2159" s="80"/>
      <c r="D2159" s="80"/>
      <c r="E2159" s="80"/>
      <c r="F2159" s="59"/>
      <c r="G2159" s="59"/>
      <c r="H2159" s="83"/>
      <c r="I2159" s="76"/>
      <c r="J2159" s="76"/>
      <c r="K2159" s="81"/>
      <c r="L2159" s="82"/>
      <c r="M2159" s="54"/>
      <c r="N2159" s="54"/>
      <c r="O2159" s="54"/>
      <c r="P2159" s="54"/>
      <c r="Q2159" s="54"/>
      <c r="R2159" s="54"/>
      <c r="S2159" s="54"/>
      <c r="T2159" s="54"/>
      <c r="U2159" s="54"/>
      <c r="V2159" s="54"/>
      <c r="W2159" s="54"/>
      <c r="X2159" s="54"/>
      <c r="Y2159" s="54"/>
      <c r="Z2159" s="54"/>
      <c r="AA2159" s="54"/>
      <c r="AB2159" s="54"/>
      <c r="AC2159" s="54"/>
      <c r="AD2159" s="54"/>
      <c r="AE2159" s="54"/>
      <c r="AF2159" s="54"/>
      <c r="AG2159" s="54"/>
      <c r="AH2159" s="54"/>
    </row>
    <row r="2160">
      <c r="A2160" s="80"/>
      <c r="B2160" s="80"/>
      <c r="C2160" s="80"/>
      <c r="D2160" s="80"/>
      <c r="E2160" s="80"/>
      <c r="F2160" s="59"/>
      <c r="G2160" s="59"/>
      <c r="H2160" s="83"/>
      <c r="I2160" s="76"/>
      <c r="J2160" s="76"/>
      <c r="K2160" s="81"/>
      <c r="L2160" s="82"/>
      <c r="M2160" s="54"/>
      <c r="N2160" s="54"/>
      <c r="O2160" s="54"/>
      <c r="P2160" s="54"/>
      <c r="Q2160" s="54"/>
      <c r="R2160" s="54"/>
      <c r="S2160" s="54"/>
      <c r="T2160" s="54"/>
      <c r="U2160" s="54"/>
      <c r="V2160" s="54"/>
      <c r="W2160" s="54"/>
      <c r="X2160" s="54"/>
      <c r="Y2160" s="54"/>
      <c r="Z2160" s="54"/>
      <c r="AA2160" s="54"/>
      <c r="AB2160" s="54"/>
      <c r="AC2160" s="54"/>
      <c r="AD2160" s="54"/>
      <c r="AE2160" s="54"/>
      <c r="AF2160" s="54"/>
      <c r="AG2160" s="54"/>
      <c r="AH2160" s="54"/>
    </row>
    <row r="2161">
      <c r="A2161" s="80"/>
      <c r="B2161" s="80"/>
      <c r="C2161" s="80"/>
      <c r="D2161" s="80"/>
      <c r="E2161" s="80"/>
      <c r="F2161" s="59"/>
      <c r="G2161" s="59"/>
      <c r="H2161" s="83"/>
      <c r="I2161" s="76"/>
      <c r="J2161" s="76"/>
      <c r="K2161" s="81"/>
      <c r="L2161" s="82"/>
      <c r="M2161" s="54"/>
      <c r="N2161" s="54"/>
      <c r="O2161" s="54"/>
      <c r="P2161" s="54"/>
      <c r="Q2161" s="54"/>
      <c r="R2161" s="54"/>
      <c r="S2161" s="54"/>
      <c r="T2161" s="54"/>
      <c r="U2161" s="54"/>
      <c r="V2161" s="54"/>
      <c r="W2161" s="54"/>
      <c r="X2161" s="54"/>
      <c r="Y2161" s="54"/>
      <c r="Z2161" s="54"/>
      <c r="AA2161" s="54"/>
      <c r="AB2161" s="54"/>
      <c r="AC2161" s="54"/>
      <c r="AD2161" s="54"/>
      <c r="AE2161" s="54"/>
      <c r="AF2161" s="54"/>
      <c r="AG2161" s="54"/>
      <c r="AH2161" s="54"/>
    </row>
    <row r="2162">
      <c r="A2162" s="80"/>
      <c r="B2162" s="80"/>
      <c r="C2162" s="80"/>
      <c r="D2162" s="80"/>
      <c r="E2162" s="80"/>
      <c r="F2162" s="59"/>
      <c r="G2162" s="59"/>
      <c r="H2162" s="83"/>
      <c r="I2162" s="76"/>
      <c r="J2162" s="76"/>
      <c r="K2162" s="81"/>
      <c r="L2162" s="82"/>
      <c r="M2162" s="54"/>
      <c r="N2162" s="54"/>
      <c r="O2162" s="54"/>
      <c r="P2162" s="54"/>
      <c r="Q2162" s="54"/>
      <c r="R2162" s="54"/>
      <c r="S2162" s="54"/>
      <c r="T2162" s="54"/>
      <c r="U2162" s="54"/>
      <c r="V2162" s="54"/>
      <c r="W2162" s="54"/>
      <c r="X2162" s="54"/>
      <c r="Y2162" s="54"/>
      <c r="Z2162" s="54"/>
      <c r="AA2162" s="54"/>
      <c r="AB2162" s="54"/>
      <c r="AC2162" s="54"/>
      <c r="AD2162" s="54"/>
      <c r="AE2162" s="54"/>
      <c r="AF2162" s="54"/>
      <c r="AG2162" s="54"/>
      <c r="AH2162" s="54"/>
    </row>
    <row r="2163">
      <c r="A2163" s="80"/>
      <c r="B2163" s="80"/>
      <c r="C2163" s="80"/>
      <c r="D2163" s="80"/>
      <c r="E2163" s="80"/>
      <c r="F2163" s="59"/>
      <c r="G2163" s="59"/>
      <c r="H2163" s="83"/>
      <c r="I2163" s="76"/>
      <c r="J2163" s="76"/>
      <c r="K2163" s="81"/>
      <c r="L2163" s="82"/>
      <c r="M2163" s="54"/>
      <c r="N2163" s="54"/>
      <c r="O2163" s="54"/>
      <c r="P2163" s="54"/>
      <c r="Q2163" s="54"/>
      <c r="R2163" s="54"/>
      <c r="S2163" s="54"/>
      <c r="T2163" s="54"/>
      <c r="U2163" s="54"/>
      <c r="V2163" s="54"/>
      <c r="W2163" s="54"/>
      <c r="X2163" s="54"/>
      <c r="Y2163" s="54"/>
      <c r="Z2163" s="54"/>
      <c r="AA2163" s="54"/>
      <c r="AB2163" s="54"/>
      <c r="AC2163" s="54"/>
      <c r="AD2163" s="54"/>
      <c r="AE2163" s="54"/>
      <c r="AF2163" s="54"/>
      <c r="AG2163" s="54"/>
      <c r="AH2163" s="54"/>
    </row>
    <row r="2164">
      <c r="A2164" s="80"/>
      <c r="B2164" s="80"/>
      <c r="C2164" s="80"/>
      <c r="D2164" s="80"/>
      <c r="E2164" s="80"/>
      <c r="F2164" s="59"/>
      <c r="G2164" s="59"/>
      <c r="H2164" s="83"/>
      <c r="I2164" s="76"/>
      <c r="J2164" s="76"/>
      <c r="K2164" s="81"/>
      <c r="L2164" s="82"/>
      <c r="M2164" s="54"/>
      <c r="N2164" s="54"/>
      <c r="O2164" s="54"/>
      <c r="P2164" s="54"/>
      <c r="Q2164" s="54"/>
      <c r="R2164" s="54"/>
      <c r="S2164" s="54"/>
      <c r="T2164" s="54"/>
      <c r="U2164" s="54"/>
      <c r="V2164" s="54"/>
      <c r="W2164" s="54"/>
      <c r="X2164" s="54"/>
      <c r="Y2164" s="54"/>
      <c r="Z2164" s="54"/>
      <c r="AA2164" s="54"/>
      <c r="AB2164" s="54"/>
      <c r="AC2164" s="54"/>
      <c r="AD2164" s="54"/>
      <c r="AE2164" s="54"/>
      <c r="AF2164" s="54"/>
      <c r="AG2164" s="54"/>
      <c r="AH2164" s="54"/>
    </row>
    <row r="2165">
      <c r="A2165" s="80"/>
      <c r="B2165" s="80"/>
      <c r="C2165" s="80"/>
      <c r="D2165" s="80"/>
      <c r="E2165" s="80"/>
      <c r="F2165" s="59"/>
      <c r="G2165" s="59"/>
      <c r="H2165" s="83"/>
      <c r="I2165" s="76"/>
      <c r="J2165" s="76"/>
      <c r="K2165" s="81"/>
      <c r="L2165" s="82"/>
      <c r="M2165" s="54"/>
      <c r="N2165" s="54"/>
      <c r="O2165" s="54"/>
      <c r="P2165" s="54"/>
      <c r="Q2165" s="54"/>
      <c r="R2165" s="54"/>
      <c r="S2165" s="54"/>
      <c r="T2165" s="54"/>
      <c r="U2165" s="54"/>
      <c r="V2165" s="54"/>
      <c r="W2165" s="54"/>
      <c r="X2165" s="54"/>
      <c r="Y2165" s="54"/>
      <c r="Z2165" s="54"/>
      <c r="AA2165" s="54"/>
      <c r="AB2165" s="54"/>
      <c r="AC2165" s="54"/>
      <c r="AD2165" s="54"/>
      <c r="AE2165" s="54"/>
      <c r="AF2165" s="54"/>
      <c r="AG2165" s="54"/>
      <c r="AH2165" s="54"/>
    </row>
    <row r="2166">
      <c r="A2166" s="80"/>
      <c r="B2166" s="80"/>
      <c r="C2166" s="80"/>
      <c r="D2166" s="80"/>
      <c r="E2166" s="80"/>
      <c r="F2166" s="59"/>
      <c r="G2166" s="59"/>
      <c r="H2166" s="83"/>
      <c r="I2166" s="76"/>
      <c r="J2166" s="76"/>
      <c r="K2166" s="81"/>
      <c r="L2166" s="82"/>
      <c r="M2166" s="54"/>
      <c r="N2166" s="54"/>
      <c r="O2166" s="54"/>
      <c r="P2166" s="54"/>
      <c r="Q2166" s="54"/>
      <c r="R2166" s="54"/>
      <c r="S2166" s="54"/>
      <c r="T2166" s="54"/>
      <c r="U2166" s="54"/>
      <c r="V2166" s="54"/>
      <c r="W2166" s="54"/>
      <c r="X2166" s="54"/>
      <c r="Y2166" s="54"/>
      <c r="Z2166" s="54"/>
      <c r="AA2166" s="54"/>
      <c r="AB2166" s="54"/>
      <c r="AC2166" s="54"/>
      <c r="AD2166" s="54"/>
      <c r="AE2166" s="54"/>
      <c r="AF2166" s="54"/>
      <c r="AG2166" s="54"/>
      <c r="AH2166" s="54"/>
    </row>
    <row r="2167">
      <c r="A2167" s="80"/>
      <c r="B2167" s="80"/>
      <c r="C2167" s="80"/>
      <c r="D2167" s="80"/>
      <c r="E2167" s="80"/>
      <c r="F2167" s="59"/>
      <c r="G2167" s="59"/>
      <c r="H2167" s="83"/>
      <c r="I2167" s="76"/>
      <c r="J2167" s="76"/>
      <c r="K2167" s="81"/>
      <c r="L2167" s="82"/>
      <c r="M2167" s="54"/>
      <c r="N2167" s="54"/>
      <c r="O2167" s="54"/>
      <c r="P2167" s="54"/>
      <c r="Q2167" s="54"/>
      <c r="R2167" s="54"/>
      <c r="S2167" s="54"/>
      <c r="T2167" s="54"/>
      <c r="U2167" s="54"/>
      <c r="V2167" s="54"/>
      <c r="W2167" s="54"/>
      <c r="X2167" s="54"/>
      <c r="Y2167" s="54"/>
      <c r="Z2167" s="54"/>
      <c r="AA2167" s="54"/>
      <c r="AB2167" s="54"/>
      <c r="AC2167" s="54"/>
      <c r="AD2167" s="54"/>
      <c r="AE2167" s="54"/>
      <c r="AF2167" s="54"/>
      <c r="AG2167" s="54"/>
      <c r="AH2167" s="54"/>
    </row>
    <row r="2168">
      <c r="A2168" s="80"/>
      <c r="B2168" s="80"/>
      <c r="C2168" s="80"/>
      <c r="D2168" s="80"/>
      <c r="E2168" s="80"/>
      <c r="F2168" s="59"/>
      <c r="G2168" s="59"/>
      <c r="H2168" s="83"/>
      <c r="I2168" s="76"/>
      <c r="J2168" s="76"/>
      <c r="K2168" s="81"/>
      <c r="L2168" s="82"/>
      <c r="M2168" s="54"/>
      <c r="N2168" s="54"/>
      <c r="O2168" s="54"/>
      <c r="P2168" s="54"/>
      <c r="Q2168" s="54"/>
      <c r="R2168" s="54"/>
      <c r="S2168" s="54"/>
      <c r="T2168" s="54"/>
      <c r="U2168" s="54"/>
      <c r="V2168" s="54"/>
      <c r="W2168" s="54"/>
      <c r="X2168" s="54"/>
      <c r="Y2168" s="54"/>
      <c r="Z2168" s="54"/>
      <c r="AA2168" s="54"/>
      <c r="AB2168" s="54"/>
      <c r="AC2168" s="54"/>
      <c r="AD2168" s="54"/>
      <c r="AE2168" s="54"/>
      <c r="AF2168" s="54"/>
      <c r="AG2168" s="54"/>
      <c r="AH2168" s="54"/>
    </row>
    <row r="2169">
      <c r="A2169" s="80"/>
      <c r="B2169" s="80"/>
      <c r="C2169" s="80"/>
      <c r="D2169" s="80"/>
      <c r="E2169" s="80"/>
      <c r="F2169" s="59"/>
      <c r="G2169" s="59"/>
      <c r="H2169" s="83"/>
      <c r="I2169" s="76"/>
      <c r="J2169" s="76"/>
      <c r="K2169" s="81"/>
      <c r="L2169" s="82"/>
      <c r="M2169" s="54"/>
      <c r="N2169" s="54"/>
      <c r="O2169" s="54"/>
      <c r="P2169" s="54"/>
      <c r="Q2169" s="54"/>
      <c r="R2169" s="54"/>
      <c r="S2169" s="54"/>
      <c r="T2169" s="54"/>
      <c r="U2169" s="54"/>
      <c r="V2169" s="54"/>
      <c r="W2169" s="54"/>
      <c r="X2169" s="54"/>
      <c r="Y2169" s="54"/>
      <c r="Z2169" s="54"/>
      <c r="AA2169" s="54"/>
      <c r="AB2169" s="54"/>
      <c r="AC2169" s="54"/>
      <c r="AD2169" s="54"/>
      <c r="AE2169" s="54"/>
      <c r="AF2169" s="54"/>
      <c r="AG2169" s="54"/>
      <c r="AH2169" s="54"/>
    </row>
    <row r="2170">
      <c r="A2170" s="80"/>
      <c r="B2170" s="80"/>
      <c r="C2170" s="80"/>
      <c r="D2170" s="80"/>
      <c r="E2170" s="80"/>
      <c r="F2170" s="59"/>
      <c r="G2170" s="59"/>
      <c r="H2170" s="83"/>
      <c r="I2170" s="76"/>
      <c r="J2170" s="76"/>
      <c r="K2170" s="81"/>
      <c r="L2170" s="82"/>
      <c r="M2170" s="54"/>
      <c r="N2170" s="54"/>
      <c r="O2170" s="54"/>
      <c r="P2170" s="54"/>
      <c r="Q2170" s="54"/>
      <c r="R2170" s="54"/>
      <c r="S2170" s="54"/>
      <c r="T2170" s="54"/>
      <c r="U2170" s="54"/>
      <c r="V2170" s="54"/>
      <c r="W2170" s="54"/>
      <c r="X2170" s="54"/>
      <c r="Y2170" s="54"/>
      <c r="Z2170" s="54"/>
      <c r="AA2170" s="54"/>
      <c r="AB2170" s="54"/>
      <c r="AC2170" s="54"/>
      <c r="AD2170" s="54"/>
      <c r="AE2170" s="54"/>
      <c r="AF2170" s="54"/>
      <c r="AG2170" s="54"/>
      <c r="AH2170" s="54"/>
    </row>
    <row r="2171">
      <c r="A2171" s="80"/>
      <c r="B2171" s="80"/>
      <c r="C2171" s="80"/>
      <c r="D2171" s="80"/>
      <c r="E2171" s="80"/>
      <c r="F2171" s="59"/>
      <c r="G2171" s="59"/>
      <c r="H2171" s="83"/>
      <c r="I2171" s="76"/>
      <c r="J2171" s="76"/>
      <c r="K2171" s="81"/>
      <c r="L2171" s="82"/>
      <c r="M2171" s="54"/>
      <c r="N2171" s="54"/>
      <c r="O2171" s="54"/>
      <c r="P2171" s="54"/>
      <c r="Q2171" s="54"/>
      <c r="R2171" s="54"/>
      <c r="S2171" s="54"/>
      <c r="T2171" s="54"/>
      <c r="U2171" s="54"/>
      <c r="V2171" s="54"/>
      <c r="W2171" s="54"/>
      <c r="X2171" s="54"/>
      <c r="Y2171" s="54"/>
      <c r="Z2171" s="54"/>
      <c r="AA2171" s="54"/>
      <c r="AB2171" s="54"/>
      <c r="AC2171" s="54"/>
      <c r="AD2171" s="54"/>
      <c r="AE2171" s="54"/>
      <c r="AF2171" s="54"/>
      <c r="AG2171" s="54"/>
      <c r="AH2171" s="54"/>
    </row>
    <row r="2172">
      <c r="A2172" s="80"/>
      <c r="B2172" s="80"/>
      <c r="C2172" s="80"/>
      <c r="D2172" s="80"/>
      <c r="E2172" s="80"/>
      <c r="F2172" s="59"/>
      <c r="G2172" s="59"/>
      <c r="H2172" s="83"/>
      <c r="I2172" s="76"/>
      <c r="J2172" s="76"/>
      <c r="K2172" s="81"/>
      <c r="L2172" s="82"/>
      <c r="M2172" s="54"/>
      <c r="N2172" s="54"/>
      <c r="O2172" s="54"/>
      <c r="P2172" s="54"/>
      <c r="Q2172" s="54"/>
      <c r="R2172" s="54"/>
      <c r="S2172" s="54"/>
      <c r="T2172" s="54"/>
      <c r="U2172" s="54"/>
      <c r="V2172" s="54"/>
      <c r="W2172" s="54"/>
      <c r="X2172" s="54"/>
      <c r="Y2172" s="54"/>
      <c r="Z2172" s="54"/>
      <c r="AA2172" s="54"/>
      <c r="AB2172" s="54"/>
      <c r="AC2172" s="54"/>
      <c r="AD2172" s="54"/>
      <c r="AE2172" s="54"/>
      <c r="AF2172" s="54"/>
      <c r="AG2172" s="54"/>
      <c r="AH2172" s="54"/>
    </row>
    <row r="2173">
      <c r="A2173" s="80"/>
      <c r="B2173" s="80"/>
      <c r="C2173" s="80"/>
      <c r="D2173" s="80"/>
      <c r="E2173" s="80"/>
      <c r="F2173" s="59"/>
      <c r="G2173" s="59"/>
      <c r="H2173" s="83"/>
      <c r="I2173" s="76"/>
      <c r="J2173" s="76"/>
      <c r="K2173" s="81"/>
      <c r="L2173" s="82"/>
      <c r="M2173" s="54"/>
      <c r="N2173" s="54"/>
      <c r="O2173" s="54"/>
      <c r="P2173" s="54"/>
      <c r="Q2173" s="54"/>
      <c r="R2173" s="54"/>
      <c r="S2173" s="54"/>
      <c r="T2173" s="54"/>
      <c r="U2173" s="54"/>
      <c r="V2173" s="54"/>
      <c r="W2173" s="54"/>
      <c r="X2173" s="54"/>
      <c r="Y2173" s="54"/>
      <c r="Z2173" s="54"/>
      <c r="AA2173" s="54"/>
      <c r="AB2173" s="54"/>
      <c r="AC2173" s="54"/>
      <c r="AD2173" s="54"/>
      <c r="AE2173" s="54"/>
      <c r="AF2173" s="54"/>
      <c r="AG2173" s="54"/>
      <c r="AH2173" s="54"/>
    </row>
    <row r="2174">
      <c r="A2174" s="80"/>
      <c r="B2174" s="80"/>
      <c r="C2174" s="80"/>
      <c r="D2174" s="80"/>
      <c r="E2174" s="80"/>
      <c r="F2174" s="59"/>
      <c r="G2174" s="59"/>
      <c r="H2174" s="83"/>
      <c r="I2174" s="76"/>
      <c r="J2174" s="76"/>
      <c r="K2174" s="81"/>
      <c r="L2174" s="82"/>
      <c r="M2174" s="54"/>
      <c r="N2174" s="54"/>
      <c r="O2174" s="54"/>
      <c r="P2174" s="54"/>
      <c r="Q2174" s="54"/>
      <c r="R2174" s="54"/>
      <c r="S2174" s="54"/>
      <c r="T2174" s="54"/>
      <c r="U2174" s="54"/>
      <c r="V2174" s="54"/>
      <c r="W2174" s="54"/>
      <c r="X2174" s="54"/>
      <c r="Y2174" s="54"/>
      <c r="Z2174" s="54"/>
      <c r="AA2174" s="54"/>
      <c r="AB2174" s="54"/>
      <c r="AC2174" s="54"/>
      <c r="AD2174" s="54"/>
      <c r="AE2174" s="54"/>
      <c r="AF2174" s="54"/>
      <c r="AG2174" s="54"/>
      <c r="AH2174" s="54"/>
    </row>
    <row r="2175">
      <c r="A2175" s="80"/>
      <c r="B2175" s="80"/>
      <c r="C2175" s="80"/>
      <c r="D2175" s="80"/>
      <c r="E2175" s="80"/>
      <c r="F2175" s="59"/>
      <c r="G2175" s="59"/>
      <c r="H2175" s="83"/>
      <c r="I2175" s="76"/>
      <c r="J2175" s="76"/>
      <c r="K2175" s="81"/>
      <c r="L2175" s="82"/>
      <c r="M2175" s="54"/>
      <c r="N2175" s="54"/>
      <c r="O2175" s="54"/>
      <c r="P2175" s="54"/>
      <c r="Q2175" s="54"/>
      <c r="R2175" s="54"/>
      <c r="S2175" s="54"/>
      <c r="T2175" s="54"/>
      <c r="U2175" s="54"/>
      <c r="V2175" s="54"/>
      <c r="W2175" s="54"/>
      <c r="X2175" s="54"/>
      <c r="Y2175" s="54"/>
      <c r="Z2175" s="54"/>
      <c r="AA2175" s="54"/>
      <c r="AB2175" s="54"/>
      <c r="AC2175" s="54"/>
      <c r="AD2175" s="54"/>
      <c r="AE2175" s="54"/>
      <c r="AF2175" s="54"/>
      <c r="AG2175" s="54"/>
      <c r="AH2175" s="54"/>
    </row>
    <row r="2176">
      <c r="A2176" s="80"/>
      <c r="B2176" s="80"/>
      <c r="C2176" s="80"/>
      <c r="D2176" s="80"/>
      <c r="E2176" s="80"/>
      <c r="F2176" s="59"/>
      <c r="G2176" s="59"/>
      <c r="H2176" s="83"/>
      <c r="I2176" s="76"/>
      <c r="J2176" s="76"/>
      <c r="K2176" s="81"/>
      <c r="L2176" s="82"/>
      <c r="M2176" s="54"/>
      <c r="N2176" s="54"/>
      <c r="O2176" s="54"/>
      <c r="P2176" s="54"/>
      <c r="Q2176" s="54"/>
      <c r="R2176" s="54"/>
      <c r="S2176" s="54"/>
      <c r="T2176" s="54"/>
      <c r="U2176" s="54"/>
      <c r="V2176" s="54"/>
      <c r="W2176" s="54"/>
      <c r="X2176" s="54"/>
      <c r="Y2176" s="54"/>
      <c r="Z2176" s="54"/>
      <c r="AA2176" s="54"/>
      <c r="AB2176" s="54"/>
      <c r="AC2176" s="54"/>
      <c r="AD2176" s="54"/>
      <c r="AE2176" s="54"/>
      <c r="AF2176" s="54"/>
      <c r="AG2176" s="54"/>
      <c r="AH2176" s="54"/>
    </row>
    <row r="2177">
      <c r="A2177" s="80"/>
      <c r="B2177" s="80"/>
      <c r="C2177" s="80"/>
      <c r="D2177" s="80"/>
      <c r="E2177" s="80"/>
      <c r="F2177" s="59"/>
      <c r="G2177" s="59"/>
      <c r="H2177" s="83"/>
      <c r="I2177" s="76"/>
      <c r="J2177" s="76"/>
      <c r="K2177" s="81"/>
      <c r="L2177" s="82"/>
      <c r="M2177" s="54"/>
      <c r="N2177" s="54"/>
      <c r="O2177" s="54"/>
      <c r="P2177" s="54"/>
      <c r="Q2177" s="54"/>
      <c r="R2177" s="54"/>
      <c r="S2177" s="54"/>
      <c r="T2177" s="54"/>
      <c r="U2177" s="54"/>
      <c r="V2177" s="54"/>
      <c r="W2177" s="54"/>
      <c r="X2177" s="54"/>
      <c r="Y2177" s="54"/>
      <c r="Z2177" s="54"/>
      <c r="AA2177" s="54"/>
      <c r="AB2177" s="54"/>
      <c r="AC2177" s="54"/>
      <c r="AD2177" s="54"/>
      <c r="AE2177" s="54"/>
      <c r="AF2177" s="54"/>
      <c r="AG2177" s="54"/>
      <c r="AH2177" s="54"/>
    </row>
    <row r="2178">
      <c r="A2178" s="80"/>
      <c r="B2178" s="80"/>
      <c r="C2178" s="80"/>
      <c r="D2178" s="80"/>
      <c r="E2178" s="80"/>
      <c r="F2178" s="59"/>
      <c r="G2178" s="59"/>
      <c r="H2178" s="83"/>
      <c r="I2178" s="76"/>
      <c r="J2178" s="76"/>
      <c r="K2178" s="81"/>
      <c r="L2178" s="82"/>
      <c r="M2178" s="54"/>
      <c r="N2178" s="54"/>
      <c r="O2178" s="54"/>
      <c r="P2178" s="54"/>
      <c r="Q2178" s="54"/>
      <c r="R2178" s="54"/>
      <c r="S2178" s="54"/>
      <c r="T2178" s="54"/>
      <c r="U2178" s="54"/>
      <c r="V2178" s="54"/>
      <c r="W2178" s="54"/>
      <c r="X2178" s="54"/>
      <c r="Y2178" s="54"/>
      <c r="Z2178" s="54"/>
      <c r="AA2178" s="54"/>
      <c r="AB2178" s="54"/>
      <c r="AC2178" s="54"/>
      <c r="AD2178" s="54"/>
      <c r="AE2178" s="54"/>
      <c r="AF2178" s="54"/>
      <c r="AG2178" s="54"/>
      <c r="AH2178" s="54"/>
    </row>
    <row r="2179">
      <c r="A2179" s="80"/>
      <c r="B2179" s="80"/>
      <c r="C2179" s="80"/>
      <c r="D2179" s="80"/>
      <c r="E2179" s="80"/>
      <c r="F2179" s="59"/>
      <c r="G2179" s="59"/>
      <c r="H2179" s="83"/>
      <c r="I2179" s="76"/>
      <c r="J2179" s="76"/>
      <c r="K2179" s="81"/>
      <c r="L2179" s="82"/>
      <c r="M2179" s="54"/>
      <c r="N2179" s="54"/>
      <c r="O2179" s="54"/>
      <c r="P2179" s="54"/>
      <c r="Q2179" s="54"/>
      <c r="R2179" s="54"/>
      <c r="S2179" s="54"/>
      <c r="T2179" s="54"/>
      <c r="U2179" s="54"/>
      <c r="V2179" s="54"/>
      <c r="W2179" s="54"/>
      <c r="X2179" s="54"/>
      <c r="Y2179" s="54"/>
      <c r="Z2179" s="54"/>
      <c r="AA2179" s="54"/>
      <c r="AB2179" s="54"/>
      <c r="AC2179" s="54"/>
      <c r="AD2179" s="54"/>
      <c r="AE2179" s="54"/>
      <c r="AF2179" s="54"/>
      <c r="AG2179" s="54"/>
      <c r="AH2179" s="54"/>
    </row>
    <row r="2180">
      <c r="A2180" s="80"/>
      <c r="B2180" s="80"/>
      <c r="C2180" s="80"/>
      <c r="D2180" s="80"/>
      <c r="E2180" s="80"/>
      <c r="F2180" s="59"/>
      <c r="G2180" s="59"/>
      <c r="H2180" s="83"/>
      <c r="I2180" s="76"/>
      <c r="J2180" s="76"/>
      <c r="K2180" s="81"/>
      <c r="L2180" s="82"/>
      <c r="M2180" s="54"/>
      <c r="N2180" s="54"/>
      <c r="O2180" s="54"/>
      <c r="P2180" s="54"/>
      <c r="Q2180" s="54"/>
      <c r="R2180" s="54"/>
      <c r="S2180" s="54"/>
      <c r="T2180" s="54"/>
      <c r="U2180" s="54"/>
      <c r="V2180" s="54"/>
      <c r="W2180" s="54"/>
      <c r="X2180" s="54"/>
      <c r="Y2180" s="54"/>
      <c r="Z2180" s="54"/>
      <c r="AA2180" s="54"/>
      <c r="AB2180" s="54"/>
      <c r="AC2180" s="54"/>
      <c r="AD2180" s="54"/>
      <c r="AE2180" s="54"/>
      <c r="AF2180" s="54"/>
      <c r="AG2180" s="54"/>
      <c r="AH2180" s="54"/>
    </row>
    <row r="2181">
      <c r="A2181" s="80"/>
      <c r="B2181" s="80"/>
      <c r="C2181" s="80"/>
      <c r="D2181" s="80"/>
      <c r="E2181" s="80"/>
      <c r="F2181" s="59"/>
      <c r="G2181" s="59"/>
      <c r="H2181" s="83"/>
      <c r="I2181" s="76"/>
      <c r="J2181" s="76"/>
      <c r="K2181" s="81"/>
      <c r="L2181" s="82"/>
      <c r="M2181" s="54"/>
      <c r="N2181" s="54"/>
      <c r="O2181" s="54"/>
      <c r="P2181" s="54"/>
      <c r="Q2181" s="54"/>
      <c r="R2181" s="54"/>
      <c r="S2181" s="54"/>
      <c r="T2181" s="54"/>
      <c r="U2181" s="54"/>
      <c r="V2181" s="54"/>
      <c r="W2181" s="54"/>
      <c r="X2181" s="54"/>
      <c r="Y2181" s="54"/>
      <c r="Z2181" s="54"/>
      <c r="AA2181" s="54"/>
      <c r="AB2181" s="54"/>
      <c r="AC2181" s="54"/>
      <c r="AD2181" s="54"/>
      <c r="AE2181" s="54"/>
      <c r="AF2181" s="54"/>
      <c r="AG2181" s="54"/>
      <c r="AH2181" s="54"/>
    </row>
    <row r="2182">
      <c r="A2182" s="80"/>
      <c r="B2182" s="80"/>
      <c r="C2182" s="80"/>
      <c r="D2182" s="80"/>
      <c r="E2182" s="80"/>
      <c r="F2182" s="59"/>
      <c r="G2182" s="59"/>
      <c r="H2182" s="83"/>
      <c r="I2182" s="76"/>
      <c r="J2182" s="76"/>
      <c r="K2182" s="81"/>
      <c r="L2182" s="82"/>
      <c r="M2182" s="54"/>
      <c r="N2182" s="54"/>
      <c r="O2182" s="54"/>
      <c r="P2182" s="54"/>
      <c r="Q2182" s="54"/>
      <c r="R2182" s="54"/>
      <c r="S2182" s="54"/>
      <c r="T2182" s="54"/>
      <c r="U2182" s="54"/>
      <c r="V2182" s="54"/>
      <c r="W2182" s="54"/>
      <c r="X2182" s="54"/>
      <c r="Y2182" s="54"/>
      <c r="Z2182" s="54"/>
      <c r="AA2182" s="54"/>
      <c r="AB2182" s="54"/>
      <c r="AC2182" s="54"/>
      <c r="AD2182" s="54"/>
      <c r="AE2182" s="54"/>
      <c r="AF2182" s="54"/>
      <c r="AG2182" s="54"/>
      <c r="AH2182" s="54"/>
    </row>
    <row r="2183">
      <c r="A2183" s="80"/>
      <c r="B2183" s="80"/>
      <c r="C2183" s="80"/>
      <c r="D2183" s="80"/>
      <c r="E2183" s="80"/>
      <c r="F2183" s="59"/>
      <c r="G2183" s="59"/>
      <c r="H2183" s="83"/>
      <c r="I2183" s="76"/>
      <c r="J2183" s="76"/>
      <c r="K2183" s="81"/>
      <c r="L2183" s="82"/>
      <c r="M2183" s="54"/>
      <c r="N2183" s="54"/>
      <c r="O2183" s="54"/>
      <c r="P2183" s="54"/>
      <c r="Q2183" s="54"/>
      <c r="R2183" s="54"/>
      <c r="S2183" s="54"/>
      <c r="T2183" s="54"/>
      <c r="U2183" s="54"/>
      <c r="V2183" s="54"/>
      <c r="W2183" s="54"/>
      <c r="X2183" s="54"/>
      <c r="Y2183" s="54"/>
      <c r="Z2183" s="54"/>
      <c r="AA2183" s="54"/>
      <c r="AB2183" s="54"/>
      <c r="AC2183" s="54"/>
      <c r="AD2183" s="54"/>
      <c r="AE2183" s="54"/>
      <c r="AF2183" s="54"/>
      <c r="AG2183" s="54"/>
      <c r="AH2183" s="54"/>
    </row>
    <row r="2184">
      <c r="A2184" s="80"/>
      <c r="B2184" s="80"/>
      <c r="C2184" s="80"/>
      <c r="D2184" s="80"/>
      <c r="E2184" s="80"/>
      <c r="F2184" s="59"/>
      <c r="G2184" s="59"/>
      <c r="H2184" s="83"/>
      <c r="I2184" s="76"/>
      <c r="J2184" s="76"/>
      <c r="K2184" s="81"/>
      <c r="L2184" s="82"/>
      <c r="M2184" s="54"/>
      <c r="N2184" s="54"/>
      <c r="O2184" s="54"/>
      <c r="P2184" s="54"/>
      <c r="Q2184" s="54"/>
      <c r="R2184" s="54"/>
      <c r="S2184" s="54"/>
      <c r="T2184" s="54"/>
      <c r="U2184" s="54"/>
      <c r="V2184" s="54"/>
      <c r="W2184" s="54"/>
      <c r="X2184" s="54"/>
      <c r="Y2184" s="54"/>
      <c r="Z2184" s="54"/>
      <c r="AA2184" s="54"/>
      <c r="AB2184" s="54"/>
      <c r="AC2184" s="54"/>
      <c r="AD2184" s="54"/>
      <c r="AE2184" s="54"/>
      <c r="AF2184" s="54"/>
      <c r="AG2184" s="54"/>
      <c r="AH2184" s="54"/>
    </row>
    <row r="2185">
      <c r="A2185" s="80"/>
      <c r="B2185" s="80"/>
      <c r="C2185" s="80"/>
      <c r="D2185" s="80"/>
      <c r="E2185" s="80"/>
      <c r="F2185" s="59"/>
      <c r="G2185" s="59"/>
      <c r="H2185" s="83"/>
      <c r="I2185" s="76"/>
      <c r="J2185" s="76"/>
      <c r="K2185" s="81"/>
      <c r="L2185" s="82"/>
      <c r="M2185" s="54"/>
      <c r="N2185" s="54"/>
      <c r="O2185" s="54"/>
      <c r="P2185" s="54"/>
      <c r="Q2185" s="54"/>
      <c r="R2185" s="54"/>
      <c r="S2185" s="54"/>
      <c r="T2185" s="54"/>
      <c r="U2185" s="54"/>
      <c r="V2185" s="54"/>
      <c r="W2185" s="54"/>
      <c r="X2185" s="54"/>
      <c r="Y2185" s="54"/>
      <c r="Z2185" s="54"/>
      <c r="AA2185" s="54"/>
      <c r="AB2185" s="54"/>
      <c r="AC2185" s="54"/>
      <c r="AD2185" s="54"/>
      <c r="AE2185" s="54"/>
      <c r="AF2185" s="54"/>
      <c r="AG2185" s="54"/>
      <c r="AH2185" s="54"/>
    </row>
    <row r="2186">
      <c r="A2186" s="80"/>
      <c r="B2186" s="80"/>
      <c r="C2186" s="80"/>
      <c r="D2186" s="80"/>
      <c r="E2186" s="80"/>
      <c r="F2186" s="59"/>
      <c r="G2186" s="59"/>
      <c r="H2186" s="83"/>
      <c r="I2186" s="76"/>
      <c r="J2186" s="76"/>
      <c r="K2186" s="81"/>
      <c r="L2186" s="82"/>
      <c r="M2186" s="54"/>
      <c r="N2186" s="54"/>
      <c r="O2186" s="54"/>
      <c r="P2186" s="54"/>
      <c r="Q2186" s="54"/>
      <c r="R2186" s="54"/>
      <c r="S2186" s="54"/>
      <c r="T2186" s="54"/>
      <c r="U2186" s="54"/>
      <c r="V2186" s="54"/>
      <c r="W2186" s="54"/>
      <c r="X2186" s="54"/>
      <c r="Y2186" s="54"/>
      <c r="Z2186" s="54"/>
      <c r="AA2186" s="54"/>
      <c r="AB2186" s="54"/>
      <c r="AC2186" s="54"/>
      <c r="AD2186" s="54"/>
      <c r="AE2186" s="54"/>
      <c r="AF2186" s="54"/>
      <c r="AG2186" s="54"/>
      <c r="AH2186" s="54"/>
    </row>
    <row r="2187">
      <c r="A2187" s="80"/>
      <c r="B2187" s="80"/>
      <c r="C2187" s="80"/>
      <c r="D2187" s="80"/>
      <c r="E2187" s="80"/>
      <c r="F2187" s="59"/>
      <c r="G2187" s="59"/>
      <c r="H2187" s="83"/>
      <c r="I2187" s="76"/>
      <c r="J2187" s="76"/>
      <c r="K2187" s="81"/>
      <c r="L2187" s="82"/>
      <c r="M2187" s="54"/>
      <c r="N2187" s="54"/>
      <c r="O2187" s="54"/>
      <c r="P2187" s="54"/>
      <c r="Q2187" s="54"/>
      <c r="R2187" s="54"/>
      <c r="S2187" s="54"/>
      <c r="T2187" s="54"/>
      <c r="U2187" s="54"/>
      <c r="V2187" s="54"/>
      <c r="W2187" s="54"/>
      <c r="X2187" s="54"/>
      <c r="Y2187" s="54"/>
      <c r="Z2187" s="54"/>
      <c r="AA2187" s="54"/>
      <c r="AB2187" s="54"/>
      <c r="AC2187" s="54"/>
      <c r="AD2187" s="54"/>
      <c r="AE2187" s="54"/>
      <c r="AF2187" s="54"/>
      <c r="AG2187" s="54"/>
      <c r="AH2187" s="54"/>
    </row>
    <row r="2188">
      <c r="A2188" s="80"/>
      <c r="B2188" s="80"/>
      <c r="C2188" s="80"/>
      <c r="D2188" s="80"/>
      <c r="E2188" s="80"/>
      <c r="F2188" s="59"/>
      <c r="G2188" s="59"/>
      <c r="H2188" s="83"/>
      <c r="I2188" s="76"/>
      <c r="J2188" s="76"/>
      <c r="K2188" s="81"/>
      <c r="L2188" s="82"/>
      <c r="M2188" s="54"/>
      <c r="N2188" s="54"/>
      <c r="O2188" s="54"/>
      <c r="P2188" s="54"/>
      <c r="Q2188" s="54"/>
      <c r="R2188" s="54"/>
      <c r="S2188" s="54"/>
      <c r="T2188" s="54"/>
      <c r="U2188" s="54"/>
      <c r="V2188" s="54"/>
      <c r="W2188" s="54"/>
      <c r="X2188" s="54"/>
      <c r="Y2188" s="54"/>
      <c r="Z2188" s="54"/>
      <c r="AA2188" s="54"/>
      <c r="AB2188" s="54"/>
      <c r="AC2188" s="54"/>
      <c r="AD2188" s="54"/>
      <c r="AE2188" s="54"/>
      <c r="AF2188" s="54"/>
      <c r="AG2188" s="54"/>
      <c r="AH2188" s="54"/>
    </row>
    <row r="2189">
      <c r="A2189" s="80"/>
      <c r="B2189" s="80"/>
      <c r="C2189" s="80"/>
      <c r="D2189" s="80"/>
      <c r="E2189" s="80"/>
      <c r="F2189" s="59"/>
      <c r="G2189" s="59"/>
      <c r="H2189" s="83"/>
      <c r="I2189" s="76"/>
      <c r="J2189" s="76"/>
      <c r="K2189" s="81"/>
      <c r="L2189" s="82"/>
      <c r="M2189" s="54"/>
      <c r="N2189" s="54"/>
      <c r="O2189" s="54"/>
      <c r="P2189" s="54"/>
      <c r="Q2189" s="54"/>
      <c r="R2189" s="54"/>
      <c r="S2189" s="54"/>
      <c r="T2189" s="54"/>
      <c r="U2189" s="54"/>
      <c r="V2189" s="54"/>
      <c r="W2189" s="54"/>
      <c r="X2189" s="54"/>
      <c r="Y2189" s="54"/>
      <c r="Z2189" s="54"/>
      <c r="AA2189" s="54"/>
      <c r="AB2189" s="54"/>
      <c r="AC2189" s="54"/>
      <c r="AD2189" s="54"/>
      <c r="AE2189" s="54"/>
      <c r="AF2189" s="54"/>
      <c r="AG2189" s="54"/>
      <c r="AH2189" s="54"/>
    </row>
    <row r="2190">
      <c r="A2190" s="80"/>
      <c r="B2190" s="80"/>
      <c r="C2190" s="80"/>
      <c r="D2190" s="80"/>
      <c r="E2190" s="80"/>
      <c r="F2190" s="59"/>
      <c r="G2190" s="59"/>
      <c r="H2190" s="83"/>
      <c r="I2190" s="76"/>
      <c r="J2190" s="76"/>
      <c r="K2190" s="81"/>
      <c r="L2190" s="82"/>
      <c r="M2190" s="54"/>
      <c r="N2190" s="54"/>
      <c r="O2190" s="54"/>
      <c r="P2190" s="54"/>
      <c r="Q2190" s="54"/>
      <c r="R2190" s="54"/>
      <c r="S2190" s="54"/>
      <c r="T2190" s="54"/>
      <c r="U2190" s="54"/>
      <c r="V2190" s="54"/>
      <c r="W2190" s="54"/>
      <c r="X2190" s="54"/>
      <c r="Y2190" s="54"/>
      <c r="Z2190" s="54"/>
      <c r="AA2190" s="54"/>
      <c r="AB2190" s="54"/>
      <c r="AC2190" s="54"/>
      <c r="AD2190" s="54"/>
      <c r="AE2190" s="54"/>
      <c r="AF2190" s="54"/>
      <c r="AG2190" s="54"/>
      <c r="AH2190" s="54"/>
    </row>
    <row r="2191">
      <c r="A2191" s="80"/>
      <c r="B2191" s="80"/>
      <c r="C2191" s="80"/>
      <c r="D2191" s="80"/>
      <c r="E2191" s="80"/>
      <c r="F2191" s="59"/>
      <c r="G2191" s="59"/>
      <c r="H2191" s="83"/>
      <c r="I2191" s="76"/>
      <c r="J2191" s="76"/>
      <c r="K2191" s="81"/>
      <c r="L2191" s="82"/>
      <c r="M2191" s="54"/>
      <c r="N2191" s="54"/>
      <c r="O2191" s="54"/>
      <c r="P2191" s="54"/>
      <c r="Q2191" s="54"/>
      <c r="R2191" s="54"/>
      <c r="S2191" s="54"/>
      <c r="T2191" s="54"/>
      <c r="U2191" s="54"/>
      <c r="V2191" s="54"/>
      <c r="W2191" s="54"/>
      <c r="X2191" s="54"/>
      <c r="Y2191" s="54"/>
      <c r="Z2191" s="54"/>
      <c r="AA2191" s="54"/>
      <c r="AB2191" s="54"/>
      <c r="AC2191" s="54"/>
      <c r="AD2191" s="54"/>
      <c r="AE2191" s="54"/>
      <c r="AF2191" s="54"/>
      <c r="AG2191" s="54"/>
      <c r="AH2191" s="54"/>
    </row>
    <row r="2192">
      <c r="A2192" s="80"/>
      <c r="B2192" s="80"/>
      <c r="C2192" s="80"/>
      <c r="D2192" s="80"/>
      <c r="E2192" s="80"/>
      <c r="F2192" s="59"/>
      <c r="G2192" s="59"/>
      <c r="H2192" s="83"/>
      <c r="I2192" s="76"/>
      <c r="J2192" s="76"/>
      <c r="K2192" s="81"/>
      <c r="L2192" s="82"/>
      <c r="M2192" s="54"/>
      <c r="N2192" s="54"/>
      <c r="O2192" s="54"/>
      <c r="P2192" s="54"/>
      <c r="Q2192" s="54"/>
      <c r="R2192" s="54"/>
      <c r="S2192" s="54"/>
      <c r="T2192" s="54"/>
      <c r="U2192" s="54"/>
      <c r="V2192" s="54"/>
      <c r="W2192" s="54"/>
      <c r="X2192" s="54"/>
      <c r="Y2192" s="54"/>
      <c r="Z2192" s="54"/>
      <c r="AA2192" s="54"/>
      <c r="AB2192" s="54"/>
      <c r="AC2192" s="54"/>
      <c r="AD2192" s="54"/>
      <c r="AE2192" s="54"/>
      <c r="AF2192" s="54"/>
      <c r="AG2192" s="54"/>
      <c r="AH2192" s="54"/>
    </row>
    <row r="2193">
      <c r="A2193" s="80"/>
      <c r="B2193" s="80"/>
      <c r="C2193" s="80"/>
      <c r="D2193" s="80"/>
      <c r="E2193" s="80"/>
      <c r="F2193" s="59"/>
      <c r="G2193" s="59"/>
      <c r="H2193" s="83"/>
      <c r="I2193" s="76"/>
      <c r="J2193" s="76"/>
      <c r="K2193" s="81"/>
      <c r="L2193" s="82"/>
      <c r="M2193" s="54"/>
      <c r="N2193" s="54"/>
      <c r="O2193" s="54"/>
      <c r="P2193" s="54"/>
      <c r="Q2193" s="54"/>
      <c r="R2193" s="54"/>
      <c r="S2193" s="54"/>
      <c r="T2193" s="54"/>
      <c r="U2193" s="54"/>
      <c r="V2193" s="54"/>
      <c r="W2193" s="54"/>
      <c r="X2193" s="54"/>
      <c r="Y2193" s="54"/>
      <c r="Z2193" s="54"/>
      <c r="AA2193" s="54"/>
      <c r="AB2193" s="54"/>
      <c r="AC2193" s="54"/>
      <c r="AD2193" s="54"/>
      <c r="AE2193" s="54"/>
      <c r="AF2193" s="54"/>
      <c r="AG2193" s="54"/>
      <c r="AH2193" s="54"/>
    </row>
    <row r="2194">
      <c r="A2194" s="80"/>
      <c r="B2194" s="80"/>
      <c r="C2194" s="80"/>
      <c r="D2194" s="80"/>
      <c r="E2194" s="80"/>
      <c r="F2194" s="59"/>
      <c r="G2194" s="59"/>
      <c r="H2194" s="83"/>
      <c r="I2194" s="76"/>
      <c r="J2194" s="76"/>
      <c r="K2194" s="81"/>
      <c r="L2194" s="82"/>
      <c r="M2194" s="54"/>
      <c r="N2194" s="54"/>
      <c r="O2194" s="54"/>
      <c r="P2194" s="54"/>
      <c r="Q2194" s="54"/>
      <c r="R2194" s="54"/>
      <c r="S2194" s="54"/>
      <c r="T2194" s="54"/>
      <c r="U2194" s="54"/>
      <c r="V2194" s="54"/>
      <c r="W2194" s="54"/>
      <c r="X2194" s="54"/>
      <c r="Y2194" s="54"/>
      <c r="Z2194" s="54"/>
      <c r="AA2194" s="54"/>
      <c r="AB2194" s="54"/>
      <c r="AC2194" s="54"/>
      <c r="AD2194" s="54"/>
      <c r="AE2194" s="54"/>
      <c r="AF2194" s="54"/>
      <c r="AG2194" s="54"/>
      <c r="AH2194" s="54"/>
    </row>
    <row r="2195">
      <c r="A2195" s="80"/>
      <c r="B2195" s="80"/>
      <c r="C2195" s="80"/>
      <c r="D2195" s="80"/>
      <c r="E2195" s="80"/>
      <c r="F2195" s="59"/>
      <c r="G2195" s="59"/>
      <c r="H2195" s="83"/>
      <c r="I2195" s="76"/>
      <c r="J2195" s="76"/>
      <c r="K2195" s="81"/>
      <c r="L2195" s="82"/>
      <c r="M2195" s="54"/>
      <c r="N2195" s="54"/>
      <c r="O2195" s="54"/>
      <c r="P2195" s="54"/>
      <c r="Q2195" s="54"/>
      <c r="R2195" s="54"/>
      <c r="S2195" s="54"/>
      <c r="T2195" s="54"/>
      <c r="U2195" s="54"/>
      <c r="V2195" s="54"/>
      <c r="W2195" s="54"/>
      <c r="X2195" s="54"/>
      <c r="Y2195" s="54"/>
      <c r="Z2195" s="54"/>
      <c r="AA2195" s="54"/>
      <c r="AB2195" s="54"/>
      <c r="AC2195" s="54"/>
      <c r="AD2195" s="54"/>
      <c r="AE2195" s="54"/>
      <c r="AF2195" s="54"/>
      <c r="AG2195" s="54"/>
      <c r="AH2195" s="54"/>
    </row>
    <row r="2196">
      <c r="A2196" s="80"/>
      <c r="B2196" s="80"/>
      <c r="C2196" s="80"/>
      <c r="D2196" s="80"/>
      <c r="E2196" s="80"/>
      <c r="F2196" s="59"/>
      <c r="G2196" s="59"/>
      <c r="H2196" s="83"/>
      <c r="I2196" s="76"/>
      <c r="J2196" s="76"/>
      <c r="K2196" s="81"/>
      <c r="L2196" s="82"/>
      <c r="M2196" s="54"/>
      <c r="N2196" s="54"/>
      <c r="O2196" s="54"/>
      <c r="P2196" s="54"/>
      <c r="Q2196" s="54"/>
      <c r="R2196" s="54"/>
      <c r="S2196" s="54"/>
      <c r="T2196" s="54"/>
      <c r="U2196" s="54"/>
      <c r="V2196" s="54"/>
      <c r="W2196" s="54"/>
      <c r="X2196" s="54"/>
      <c r="Y2196" s="54"/>
      <c r="Z2196" s="54"/>
      <c r="AA2196" s="54"/>
      <c r="AB2196" s="54"/>
      <c r="AC2196" s="54"/>
      <c r="AD2196" s="54"/>
      <c r="AE2196" s="54"/>
      <c r="AF2196" s="54"/>
      <c r="AG2196" s="54"/>
      <c r="AH2196" s="54"/>
    </row>
    <row r="2197">
      <c r="A2197" s="80"/>
      <c r="B2197" s="80"/>
      <c r="C2197" s="80"/>
      <c r="D2197" s="80"/>
      <c r="E2197" s="80"/>
      <c r="F2197" s="59"/>
      <c r="G2197" s="59"/>
      <c r="H2197" s="83"/>
      <c r="I2197" s="76"/>
      <c r="J2197" s="76"/>
      <c r="K2197" s="81"/>
      <c r="L2197" s="82"/>
      <c r="M2197" s="54"/>
      <c r="N2197" s="54"/>
      <c r="O2197" s="54"/>
      <c r="P2197" s="54"/>
      <c r="Q2197" s="54"/>
      <c r="R2197" s="54"/>
      <c r="S2197" s="54"/>
      <c r="T2197" s="54"/>
      <c r="U2197" s="54"/>
      <c r="V2197" s="54"/>
      <c r="W2197" s="54"/>
      <c r="X2197" s="54"/>
      <c r="Y2197" s="54"/>
      <c r="Z2197" s="54"/>
      <c r="AA2197" s="54"/>
      <c r="AB2197" s="54"/>
      <c r="AC2197" s="54"/>
      <c r="AD2197" s="54"/>
      <c r="AE2197" s="54"/>
      <c r="AF2197" s="54"/>
      <c r="AG2197" s="54"/>
      <c r="AH2197" s="54"/>
    </row>
    <row r="2198">
      <c r="A2198" s="80"/>
      <c r="B2198" s="80"/>
      <c r="C2198" s="80"/>
      <c r="D2198" s="80"/>
      <c r="E2198" s="80"/>
      <c r="F2198" s="59"/>
      <c r="G2198" s="59"/>
      <c r="H2198" s="83"/>
      <c r="I2198" s="76"/>
      <c r="J2198" s="76"/>
      <c r="K2198" s="81"/>
      <c r="L2198" s="82"/>
      <c r="M2198" s="54"/>
      <c r="N2198" s="54"/>
      <c r="O2198" s="54"/>
      <c r="P2198" s="54"/>
      <c r="Q2198" s="54"/>
      <c r="R2198" s="54"/>
      <c r="S2198" s="54"/>
      <c r="T2198" s="54"/>
      <c r="U2198" s="54"/>
      <c r="V2198" s="54"/>
      <c r="W2198" s="54"/>
      <c r="X2198" s="54"/>
      <c r="Y2198" s="54"/>
      <c r="Z2198" s="54"/>
      <c r="AA2198" s="54"/>
      <c r="AB2198" s="54"/>
      <c r="AC2198" s="54"/>
      <c r="AD2198" s="54"/>
      <c r="AE2198" s="54"/>
      <c r="AF2198" s="54"/>
      <c r="AG2198" s="54"/>
      <c r="AH2198" s="54"/>
    </row>
    <row r="2199">
      <c r="A2199" s="80"/>
      <c r="B2199" s="80"/>
      <c r="C2199" s="80"/>
      <c r="D2199" s="80"/>
      <c r="E2199" s="80"/>
      <c r="F2199" s="59"/>
      <c r="G2199" s="59"/>
      <c r="H2199" s="83"/>
      <c r="I2199" s="76"/>
      <c r="J2199" s="76"/>
      <c r="K2199" s="81"/>
      <c r="L2199" s="82"/>
      <c r="M2199" s="54"/>
      <c r="N2199" s="54"/>
      <c r="O2199" s="54"/>
      <c r="P2199" s="54"/>
      <c r="Q2199" s="54"/>
      <c r="R2199" s="54"/>
      <c r="S2199" s="54"/>
      <c r="T2199" s="54"/>
      <c r="U2199" s="54"/>
      <c r="V2199" s="54"/>
      <c r="W2199" s="54"/>
      <c r="X2199" s="54"/>
      <c r="Y2199" s="54"/>
      <c r="Z2199" s="54"/>
      <c r="AA2199" s="54"/>
      <c r="AB2199" s="54"/>
      <c r="AC2199" s="54"/>
      <c r="AD2199" s="54"/>
      <c r="AE2199" s="54"/>
      <c r="AF2199" s="54"/>
      <c r="AG2199" s="54"/>
      <c r="AH2199" s="54"/>
    </row>
    <row r="2200">
      <c r="A2200" s="80"/>
      <c r="B2200" s="80"/>
      <c r="C2200" s="80"/>
      <c r="D2200" s="80"/>
      <c r="E2200" s="80"/>
      <c r="F2200" s="59"/>
      <c r="G2200" s="59"/>
      <c r="H2200" s="83"/>
      <c r="I2200" s="76"/>
      <c r="J2200" s="76"/>
      <c r="K2200" s="81"/>
      <c r="L2200" s="82"/>
      <c r="M2200" s="54"/>
      <c r="N2200" s="54"/>
      <c r="O2200" s="54"/>
      <c r="P2200" s="54"/>
      <c r="Q2200" s="54"/>
      <c r="R2200" s="54"/>
      <c r="S2200" s="54"/>
      <c r="T2200" s="54"/>
      <c r="U2200" s="54"/>
      <c r="V2200" s="54"/>
      <c r="W2200" s="54"/>
      <c r="X2200" s="54"/>
      <c r="Y2200" s="54"/>
      <c r="Z2200" s="54"/>
      <c r="AA2200" s="54"/>
      <c r="AB2200" s="54"/>
      <c r="AC2200" s="54"/>
      <c r="AD2200" s="54"/>
      <c r="AE2200" s="54"/>
      <c r="AF2200" s="54"/>
      <c r="AG2200" s="54"/>
      <c r="AH2200" s="54"/>
    </row>
    <row r="2201">
      <c r="A2201" s="80"/>
      <c r="B2201" s="80"/>
      <c r="C2201" s="80"/>
      <c r="D2201" s="80"/>
      <c r="E2201" s="80"/>
      <c r="F2201" s="59"/>
      <c r="G2201" s="59"/>
      <c r="H2201" s="83"/>
      <c r="I2201" s="76"/>
      <c r="J2201" s="76"/>
      <c r="K2201" s="81"/>
      <c r="L2201" s="82"/>
      <c r="M2201" s="54"/>
      <c r="N2201" s="54"/>
      <c r="O2201" s="54"/>
      <c r="P2201" s="54"/>
      <c r="Q2201" s="54"/>
      <c r="R2201" s="54"/>
      <c r="S2201" s="54"/>
      <c r="T2201" s="54"/>
      <c r="U2201" s="54"/>
      <c r="V2201" s="54"/>
      <c r="W2201" s="54"/>
      <c r="X2201" s="54"/>
      <c r="Y2201" s="54"/>
      <c r="Z2201" s="54"/>
      <c r="AA2201" s="54"/>
      <c r="AB2201" s="54"/>
      <c r="AC2201" s="54"/>
      <c r="AD2201" s="54"/>
      <c r="AE2201" s="54"/>
      <c r="AF2201" s="54"/>
      <c r="AG2201" s="54"/>
      <c r="AH2201" s="54"/>
    </row>
    <row r="2202">
      <c r="A2202" s="80"/>
      <c r="B2202" s="80"/>
      <c r="C2202" s="80"/>
      <c r="D2202" s="80"/>
      <c r="E2202" s="80"/>
      <c r="F2202" s="59"/>
      <c r="G2202" s="59"/>
      <c r="H2202" s="83"/>
      <c r="I2202" s="76"/>
      <c r="J2202" s="76"/>
      <c r="K2202" s="81"/>
      <c r="L2202" s="82"/>
      <c r="M2202" s="54"/>
      <c r="N2202" s="54"/>
      <c r="O2202" s="54"/>
      <c r="P2202" s="54"/>
      <c r="Q2202" s="54"/>
      <c r="R2202" s="54"/>
      <c r="S2202" s="54"/>
      <c r="T2202" s="54"/>
      <c r="U2202" s="54"/>
      <c r="V2202" s="54"/>
      <c r="W2202" s="54"/>
      <c r="X2202" s="54"/>
      <c r="Y2202" s="54"/>
      <c r="Z2202" s="54"/>
      <c r="AA2202" s="54"/>
      <c r="AB2202" s="54"/>
      <c r="AC2202" s="54"/>
      <c r="AD2202" s="54"/>
      <c r="AE2202" s="54"/>
      <c r="AF2202" s="54"/>
      <c r="AG2202" s="54"/>
      <c r="AH2202" s="54"/>
    </row>
    <row r="2203">
      <c r="A2203" s="80"/>
      <c r="B2203" s="80"/>
      <c r="C2203" s="80"/>
      <c r="D2203" s="80"/>
      <c r="E2203" s="80"/>
      <c r="F2203" s="59"/>
      <c r="G2203" s="59"/>
      <c r="H2203" s="83"/>
      <c r="I2203" s="76"/>
      <c r="J2203" s="76"/>
      <c r="K2203" s="81"/>
      <c r="L2203" s="82"/>
      <c r="M2203" s="54"/>
      <c r="N2203" s="54"/>
      <c r="O2203" s="54"/>
      <c r="P2203" s="54"/>
      <c r="Q2203" s="54"/>
      <c r="R2203" s="54"/>
      <c r="S2203" s="54"/>
      <c r="T2203" s="54"/>
      <c r="U2203" s="54"/>
      <c r="V2203" s="54"/>
      <c r="W2203" s="54"/>
      <c r="X2203" s="54"/>
      <c r="Y2203" s="54"/>
      <c r="Z2203" s="54"/>
      <c r="AA2203" s="54"/>
      <c r="AB2203" s="54"/>
      <c r="AC2203" s="54"/>
      <c r="AD2203" s="54"/>
      <c r="AE2203" s="54"/>
      <c r="AF2203" s="54"/>
      <c r="AG2203" s="54"/>
      <c r="AH2203" s="54"/>
    </row>
    <row r="2204">
      <c r="A2204" s="80"/>
      <c r="B2204" s="80"/>
      <c r="C2204" s="80"/>
      <c r="D2204" s="80"/>
      <c r="E2204" s="80"/>
      <c r="F2204" s="59"/>
      <c r="G2204" s="59"/>
      <c r="H2204" s="83"/>
      <c r="I2204" s="76"/>
      <c r="J2204" s="76"/>
      <c r="K2204" s="81"/>
      <c r="L2204" s="82"/>
      <c r="M2204" s="54"/>
      <c r="N2204" s="54"/>
      <c r="O2204" s="54"/>
      <c r="P2204" s="54"/>
      <c r="Q2204" s="54"/>
      <c r="R2204" s="54"/>
      <c r="S2204" s="54"/>
      <c r="T2204" s="54"/>
      <c r="U2204" s="54"/>
      <c r="V2204" s="54"/>
      <c r="W2204" s="54"/>
      <c r="X2204" s="54"/>
      <c r="Y2204" s="54"/>
      <c r="Z2204" s="54"/>
      <c r="AA2204" s="54"/>
      <c r="AB2204" s="54"/>
      <c r="AC2204" s="54"/>
      <c r="AD2204" s="54"/>
      <c r="AE2204" s="54"/>
      <c r="AF2204" s="54"/>
      <c r="AG2204" s="54"/>
      <c r="AH2204" s="54"/>
    </row>
    <row r="2205">
      <c r="A2205" s="80"/>
      <c r="B2205" s="80"/>
      <c r="C2205" s="80"/>
      <c r="D2205" s="80"/>
      <c r="E2205" s="80"/>
      <c r="F2205" s="59"/>
      <c r="G2205" s="59"/>
      <c r="H2205" s="83"/>
      <c r="I2205" s="76"/>
      <c r="J2205" s="76"/>
      <c r="K2205" s="81"/>
      <c r="L2205" s="82"/>
      <c r="M2205" s="54"/>
      <c r="N2205" s="54"/>
      <c r="O2205" s="54"/>
      <c r="P2205" s="54"/>
      <c r="Q2205" s="54"/>
      <c r="R2205" s="54"/>
      <c r="S2205" s="54"/>
      <c r="T2205" s="54"/>
      <c r="U2205" s="54"/>
      <c r="V2205" s="54"/>
      <c r="W2205" s="54"/>
      <c r="X2205" s="54"/>
      <c r="Y2205" s="54"/>
      <c r="Z2205" s="54"/>
      <c r="AA2205" s="54"/>
      <c r="AB2205" s="54"/>
      <c r="AC2205" s="54"/>
      <c r="AD2205" s="54"/>
      <c r="AE2205" s="54"/>
      <c r="AF2205" s="54"/>
      <c r="AG2205" s="54"/>
      <c r="AH2205" s="54"/>
    </row>
    <row r="2206">
      <c r="A2206" s="80"/>
      <c r="B2206" s="80"/>
      <c r="C2206" s="80"/>
      <c r="D2206" s="80"/>
      <c r="E2206" s="80"/>
      <c r="F2206" s="59"/>
      <c r="G2206" s="59"/>
      <c r="H2206" s="83"/>
      <c r="I2206" s="76"/>
      <c r="J2206" s="76"/>
      <c r="K2206" s="81"/>
      <c r="L2206" s="82"/>
      <c r="M2206" s="54"/>
      <c r="N2206" s="54"/>
      <c r="O2206" s="54"/>
      <c r="P2206" s="54"/>
      <c r="Q2206" s="54"/>
      <c r="R2206" s="54"/>
      <c r="S2206" s="54"/>
      <c r="T2206" s="54"/>
      <c r="U2206" s="54"/>
      <c r="V2206" s="54"/>
      <c r="W2206" s="54"/>
      <c r="X2206" s="54"/>
      <c r="Y2206" s="54"/>
      <c r="Z2206" s="54"/>
      <c r="AA2206" s="54"/>
      <c r="AB2206" s="54"/>
      <c r="AC2206" s="54"/>
      <c r="AD2206" s="54"/>
      <c r="AE2206" s="54"/>
      <c r="AF2206" s="54"/>
      <c r="AG2206" s="54"/>
      <c r="AH2206" s="54"/>
    </row>
    <row r="2207">
      <c r="A2207" s="80"/>
      <c r="B2207" s="80"/>
      <c r="C2207" s="80"/>
      <c r="D2207" s="80"/>
      <c r="E2207" s="80"/>
      <c r="F2207" s="59"/>
      <c r="G2207" s="59"/>
      <c r="H2207" s="83"/>
      <c r="I2207" s="76"/>
      <c r="J2207" s="76"/>
      <c r="K2207" s="81"/>
      <c r="L2207" s="82"/>
      <c r="M2207" s="54"/>
      <c r="N2207" s="54"/>
      <c r="O2207" s="54"/>
      <c r="P2207" s="54"/>
      <c r="Q2207" s="54"/>
      <c r="R2207" s="54"/>
      <c r="S2207" s="54"/>
      <c r="T2207" s="54"/>
      <c r="U2207" s="54"/>
      <c r="V2207" s="54"/>
      <c r="W2207" s="54"/>
      <c r="X2207" s="54"/>
      <c r="Y2207" s="54"/>
      <c r="Z2207" s="54"/>
      <c r="AA2207" s="54"/>
      <c r="AB2207" s="54"/>
      <c r="AC2207" s="54"/>
      <c r="AD2207" s="54"/>
      <c r="AE2207" s="54"/>
      <c r="AF2207" s="54"/>
      <c r="AG2207" s="54"/>
      <c r="AH2207" s="54"/>
    </row>
    <row r="2208">
      <c r="A2208" s="80"/>
      <c r="B2208" s="80"/>
      <c r="C2208" s="80"/>
      <c r="D2208" s="80"/>
      <c r="E2208" s="80"/>
      <c r="F2208" s="59"/>
      <c r="G2208" s="59"/>
      <c r="H2208" s="83"/>
      <c r="I2208" s="76"/>
      <c r="J2208" s="76"/>
      <c r="K2208" s="81"/>
      <c r="L2208" s="82"/>
      <c r="M2208" s="54"/>
      <c r="N2208" s="54"/>
      <c r="O2208" s="54"/>
      <c r="P2208" s="54"/>
      <c r="Q2208" s="54"/>
      <c r="R2208" s="54"/>
      <c r="S2208" s="54"/>
      <c r="T2208" s="54"/>
      <c r="U2208" s="54"/>
      <c r="V2208" s="54"/>
      <c r="W2208" s="54"/>
      <c r="X2208" s="54"/>
      <c r="Y2208" s="54"/>
      <c r="Z2208" s="54"/>
      <c r="AA2208" s="54"/>
      <c r="AB2208" s="54"/>
      <c r="AC2208" s="54"/>
      <c r="AD2208" s="54"/>
      <c r="AE2208" s="54"/>
      <c r="AF2208" s="54"/>
      <c r="AG2208" s="54"/>
      <c r="AH2208" s="54"/>
    </row>
    <row r="2209">
      <c r="A2209" s="80"/>
      <c r="B2209" s="80"/>
      <c r="C2209" s="80"/>
      <c r="D2209" s="80"/>
      <c r="E2209" s="80"/>
      <c r="F2209" s="59"/>
      <c r="G2209" s="59"/>
      <c r="H2209" s="83"/>
      <c r="I2209" s="76"/>
      <c r="J2209" s="76"/>
      <c r="K2209" s="81"/>
      <c r="L2209" s="82"/>
      <c r="M2209" s="54"/>
      <c r="N2209" s="54"/>
      <c r="O2209" s="54"/>
      <c r="P2209" s="54"/>
      <c r="Q2209" s="54"/>
      <c r="R2209" s="54"/>
      <c r="S2209" s="54"/>
      <c r="T2209" s="54"/>
      <c r="U2209" s="54"/>
      <c r="V2209" s="54"/>
      <c r="W2209" s="54"/>
      <c r="X2209" s="54"/>
      <c r="Y2209" s="54"/>
      <c r="Z2209" s="54"/>
      <c r="AA2209" s="54"/>
      <c r="AB2209" s="54"/>
      <c r="AC2209" s="54"/>
      <c r="AD2209" s="54"/>
      <c r="AE2209" s="54"/>
      <c r="AF2209" s="54"/>
      <c r="AG2209" s="54"/>
      <c r="AH2209" s="54"/>
    </row>
    <row r="2210">
      <c r="A2210" s="80"/>
      <c r="B2210" s="80"/>
      <c r="C2210" s="80"/>
      <c r="D2210" s="80"/>
      <c r="E2210" s="80"/>
      <c r="F2210" s="59"/>
      <c r="G2210" s="59"/>
      <c r="H2210" s="83"/>
      <c r="I2210" s="76"/>
      <c r="J2210" s="76"/>
      <c r="K2210" s="81"/>
      <c r="L2210" s="82"/>
      <c r="M2210" s="54"/>
      <c r="N2210" s="54"/>
      <c r="O2210" s="54"/>
      <c r="P2210" s="54"/>
      <c r="Q2210" s="54"/>
      <c r="R2210" s="54"/>
      <c r="S2210" s="54"/>
      <c r="T2210" s="54"/>
      <c r="U2210" s="54"/>
      <c r="V2210" s="54"/>
      <c r="W2210" s="54"/>
      <c r="X2210" s="54"/>
      <c r="Y2210" s="54"/>
      <c r="Z2210" s="54"/>
      <c r="AA2210" s="54"/>
      <c r="AB2210" s="54"/>
      <c r="AC2210" s="54"/>
      <c r="AD2210" s="54"/>
      <c r="AE2210" s="54"/>
      <c r="AF2210" s="54"/>
      <c r="AG2210" s="54"/>
      <c r="AH2210" s="54"/>
    </row>
    <row r="2211">
      <c r="A2211" s="80"/>
      <c r="B2211" s="80"/>
      <c r="C2211" s="80"/>
      <c r="D2211" s="80"/>
      <c r="E2211" s="80"/>
      <c r="F2211" s="59"/>
      <c r="G2211" s="59"/>
      <c r="H2211" s="83"/>
      <c r="I2211" s="76"/>
      <c r="J2211" s="76"/>
      <c r="K2211" s="81"/>
      <c r="L2211" s="82"/>
      <c r="M2211" s="54"/>
      <c r="N2211" s="54"/>
      <c r="O2211" s="54"/>
      <c r="P2211" s="54"/>
      <c r="Q2211" s="54"/>
      <c r="R2211" s="54"/>
      <c r="S2211" s="54"/>
      <c r="T2211" s="54"/>
      <c r="U2211" s="54"/>
      <c r="V2211" s="54"/>
      <c r="W2211" s="54"/>
      <c r="X2211" s="54"/>
      <c r="Y2211" s="54"/>
      <c r="Z2211" s="54"/>
      <c r="AA2211" s="54"/>
      <c r="AB2211" s="54"/>
      <c r="AC2211" s="54"/>
      <c r="AD2211" s="54"/>
      <c r="AE2211" s="54"/>
      <c r="AF2211" s="54"/>
      <c r="AG2211" s="54"/>
      <c r="AH2211" s="54"/>
    </row>
    <row r="2212">
      <c r="A2212" s="80"/>
      <c r="B2212" s="80"/>
      <c r="C2212" s="80"/>
      <c r="D2212" s="80"/>
      <c r="E2212" s="80"/>
      <c r="F2212" s="59"/>
      <c r="G2212" s="59"/>
      <c r="H2212" s="83"/>
      <c r="I2212" s="76"/>
      <c r="J2212" s="76"/>
      <c r="K2212" s="81"/>
      <c r="L2212" s="82"/>
      <c r="M2212" s="54"/>
      <c r="N2212" s="54"/>
      <c r="O2212" s="54"/>
      <c r="P2212" s="54"/>
      <c r="Q2212" s="54"/>
      <c r="R2212" s="54"/>
      <c r="S2212" s="54"/>
      <c r="T2212" s="54"/>
      <c r="U2212" s="54"/>
      <c r="V2212" s="54"/>
      <c r="W2212" s="54"/>
      <c r="X2212" s="54"/>
      <c r="Y2212" s="54"/>
      <c r="Z2212" s="54"/>
      <c r="AA2212" s="54"/>
      <c r="AB2212" s="54"/>
      <c r="AC2212" s="54"/>
      <c r="AD2212" s="54"/>
      <c r="AE2212" s="54"/>
      <c r="AF2212" s="54"/>
      <c r="AG2212" s="54"/>
      <c r="AH2212" s="54"/>
    </row>
    <row r="2213">
      <c r="A2213" s="80"/>
      <c r="B2213" s="80"/>
      <c r="C2213" s="80"/>
      <c r="D2213" s="80"/>
      <c r="E2213" s="80"/>
      <c r="F2213" s="59"/>
      <c r="G2213" s="59"/>
      <c r="H2213" s="83"/>
      <c r="I2213" s="76"/>
      <c r="J2213" s="76"/>
      <c r="K2213" s="81"/>
      <c r="L2213" s="82"/>
      <c r="M2213" s="54"/>
      <c r="N2213" s="54"/>
      <c r="O2213" s="54"/>
      <c r="P2213" s="54"/>
      <c r="Q2213" s="54"/>
      <c r="R2213" s="54"/>
      <c r="S2213" s="54"/>
      <c r="T2213" s="54"/>
      <c r="U2213" s="54"/>
      <c r="V2213" s="54"/>
      <c r="W2213" s="54"/>
      <c r="X2213" s="54"/>
      <c r="Y2213" s="54"/>
      <c r="Z2213" s="54"/>
      <c r="AA2213" s="54"/>
      <c r="AB2213" s="54"/>
      <c r="AC2213" s="54"/>
      <c r="AD2213" s="54"/>
      <c r="AE2213" s="54"/>
      <c r="AF2213" s="54"/>
      <c r="AG2213" s="54"/>
      <c r="AH2213" s="54"/>
    </row>
    <row r="2214">
      <c r="A2214" s="80"/>
      <c r="B2214" s="80"/>
      <c r="C2214" s="80"/>
      <c r="D2214" s="80"/>
      <c r="E2214" s="80"/>
      <c r="F2214" s="59"/>
      <c r="G2214" s="59"/>
      <c r="H2214" s="83"/>
      <c r="I2214" s="76"/>
      <c r="J2214" s="76"/>
      <c r="K2214" s="81"/>
      <c r="L2214" s="82"/>
      <c r="M2214" s="54"/>
      <c r="N2214" s="54"/>
      <c r="O2214" s="54"/>
      <c r="P2214" s="54"/>
      <c r="Q2214" s="54"/>
      <c r="R2214" s="54"/>
      <c r="S2214" s="54"/>
      <c r="T2214" s="54"/>
      <c r="U2214" s="54"/>
      <c r="V2214" s="54"/>
      <c r="W2214" s="54"/>
      <c r="X2214" s="54"/>
      <c r="Y2214" s="54"/>
      <c r="Z2214" s="54"/>
      <c r="AA2214" s="54"/>
      <c r="AB2214" s="54"/>
      <c r="AC2214" s="54"/>
      <c r="AD2214" s="54"/>
      <c r="AE2214" s="54"/>
      <c r="AF2214" s="54"/>
      <c r="AG2214" s="54"/>
      <c r="AH2214" s="54"/>
    </row>
    <row r="2215">
      <c r="A2215" s="80"/>
      <c r="B2215" s="80"/>
      <c r="C2215" s="80"/>
      <c r="D2215" s="80"/>
      <c r="E2215" s="80"/>
      <c r="F2215" s="59"/>
      <c r="G2215" s="59"/>
      <c r="H2215" s="83"/>
      <c r="I2215" s="76"/>
      <c r="J2215" s="76"/>
      <c r="K2215" s="81"/>
      <c r="L2215" s="82"/>
      <c r="M2215" s="54"/>
      <c r="N2215" s="54"/>
      <c r="O2215" s="54"/>
      <c r="P2215" s="54"/>
      <c r="Q2215" s="54"/>
      <c r="R2215" s="54"/>
      <c r="S2215" s="54"/>
      <c r="T2215" s="54"/>
      <c r="U2215" s="54"/>
      <c r="V2215" s="54"/>
      <c r="W2215" s="54"/>
      <c r="X2215" s="54"/>
      <c r="Y2215" s="54"/>
      <c r="Z2215" s="54"/>
      <c r="AA2215" s="54"/>
      <c r="AB2215" s="54"/>
      <c r="AC2215" s="54"/>
      <c r="AD2215" s="54"/>
      <c r="AE2215" s="54"/>
      <c r="AF2215" s="54"/>
      <c r="AG2215" s="54"/>
      <c r="AH2215" s="54"/>
    </row>
    <row r="2216">
      <c r="A2216" s="80"/>
      <c r="B2216" s="80"/>
      <c r="C2216" s="80"/>
      <c r="D2216" s="80"/>
      <c r="E2216" s="80"/>
      <c r="F2216" s="59"/>
      <c r="G2216" s="59"/>
      <c r="H2216" s="83"/>
      <c r="I2216" s="76"/>
      <c r="J2216" s="76"/>
      <c r="K2216" s="81"/>
      <c r="L2216" s="82"/>
      <c r="M2216" s="54"/>
      <c r="N2216" s="54"/>
      <c r="O2216" s="54"/>
      <c r="P2216" s="54"/>
      <c r="Q2216" s="54"/>
      <c r="R2216" s="54"/>
      <c r="S2216" s="54"/>
      <c r="T2216" s="54"/>
      <c r="U2216" s="54"/>
      <c r="V2216" s="54"/>
      <c r="W2216" s="54"/>
      <c r="X2216" s="54"/>
      <c r="Y2216" s="54"/>
      <c r="Z2216" s="54"/>
      <c r="AA2216" s="54"/>
      <c r="AB2216" s="54"/>
      <c r="AC2216" s="54"/>
      <c r="AD2216" s="54"/>
      <c r="AE2216" s="54"/>
      <c r="AF2216" s="54"/>
      <c r="AG2216" s="54"/>
      <c r="AH2216" s="54"/>
    </row>
    <row r="2217">
      <c r="A2217" s="80"/>
      <c r="B2217" s="80"/>
      <c r="C2217" s="80"/>
      <c r="D2217" s="80"/>
      <c r="E2217" s="80"/>
      <c r="F2217" s="59"/>
      <c r="G2217" s="59"/>
      <c r="H2217" s="83"/>
      <c r="I2217" s="76"/>
      <c r="J2217" s="76"/>
      <c r="K2217" s="81"/>
      <c r="L2217" s="82"/>
      <c r="M2217" s="54"/>
      <c r="N2217" s="54"/>
      <c r="O2217" s="54"/>
      <c r="P2217" s="54"/>
      <c r="Q2217" s="54"/>
      <c r="R2217" s="54"/>
      <c r="S2217" s="54"/>
      <c r="T2217" s="54"/>
      <c r="U2217" s="54"/>
      <c r="V2217" s="54"/>
      <c r="W2217" s="54"/>
      <c r="X2217" s="54"/>
      <c r="Y2217" s="54"/>
      <c r="Z2217" s="54"/>
      <c r="AA2217" s="54"/>
      <c r="AB2217" s="54"/>
      <c r="AC2217" s="54"/>
      <c r="AD2217" s="54"/>
      <c r="AE2217" s="54"/>
      <c r="AF2217" s="54"/>
      <c r="AG2217" s="54"/>
      <c r="AH2217" s="54"/>
    </row>
    <row r="2218">
      <c r="A2218" s="80"/>
      <c r="B2218" s="80"/>
      <c r="C2218" s="80"/>
      <c r="D2218" s="80"/>
      <c r="E2218" s="80"/>
      <c r="F2218" s="59"/>
      <c r="G2218" s="59"/>
      <c r="H2218" s="83"/>
      <c r="I2218" s="76"/>
      <c r="J2218" s="76"/>
      <c r="K2218" s="81"/>
      <c r="L2218" s="82"/>
      <c r="M2218" s="54"/>
      <c r="N2218" s="54"/>
      <c r="O2218" s="54"/>
      <c r="P2218" s="54"/>
      <c r="Q2218" s="54"/>
      <c r="R2218" s="54"/>
      <c r="S2218" s="54"/>
      <c r="T2218" s="54"/>
      <c r="U2218" s="54"/>
      <c r="V2218" s="54"/>
      <c r="W2218" s="54"/>
      <c r="X2218" s="54"/>
      <c r="Y2218" s="54"/>
      <c r="Z2218" s="54"/>
      <c r="AA2218" s="54"/>
      <c r="AB2218" s="54"/>
      <c r="AC2218" s="54"/>
      <c r="AD2218" s="54"/>
      <c r="AE2218" s="54"/>
      <c r="AF2218" s="54"/>
      <c r="AG2218" s="54"/>
      <c r="AH2218" s="54"/>
    </row>
    <row r="2219">
      <c r="A2219" s="80"/>
      <c r="B2219" s="80"/>
      <c r="C2219" s="80"/>
      <c r="D2219" s="80"/>
      <c r="E2219" s="80"/>
      <c r="F2219" s="59"/>
      <c r="G2219" s="59"/>
      <c r="H2219" s="83"/>
      <c r="I2219" s="76"/>
      <c r="J2219" s="76"/>
      <c r="K2219" s="81"/>
      <c r="L2219" s="82"/>
      <c r="M2219" s="54"/>
      <c r="N2219" s="54"/>
      <c r="O2219" s="54"/>
      <c r="P2219" s="54"/>
      <c r="Q2219" s="54"/>
      <c r="R2219" s="54"/>
      <c r="S2219" s="54"/>
      <c r="T2219" s="54"/>
      <c r="U2219" s="54"/>
      <c r="V2219" s="54"/>
      <c r="W2219" s="54"/>
      <c r="X2219" s="54"/>
      <c r="Y2219" s="54"/>
      <c r="Z2219" s="54"/>
      <c r="AA2219" s="54"/>
      <c r="AB2219" s="54"/>
      <c r="AC2219" s="54"/>
      <c r="AD2219" s="54"/>
      <c r="AE2219" s="54"/>
      <c r="AF2219" s="54"/>
      <c r="AG2219" s="54"/>
      <c r="AH2219" s="54"/>
    </row>
    <row r="2220">
      <c r="A2220" s="80"/>
      <c r="B2220" s="80"/>
      <c r="C2220" s="80"/>
      <c r="D2220" s="80"/>
      <c r="E2220" s="80"/>
      <c r="F2220" s="59"/>
      <c r="G2220" s="59"/>
      <c r="H2220" s="83"/>
      <c r="I2220" s="76"/>
      <c r="J2220" s="76"/>
      <c r="K2220" s="81"/>
      <c r="L2220" s="82"/>
      <c r="M2220" s="54"/>
      <c r="N2220" s="54"/>
      <c r="O2220" s="54"/>
      <c r="P2220" s="54"/>
      <c r="Q2220" s="54"/>
      <c r="R2220" s="54"/>
      <c r="S2220" s="54"/>
      <c r="T2220" s="54"/>
      <c r="U2220" s="54"/>
      <c r="V2220" s="54"/>
      <c r="W2220" s="54"/>
      <c r="X2220" s="54"/>
      <c r="Y2220" s="54"/>
      <c r="Z2220" s="54"/>
      <c r="AA2220" s="54"/>
      <c r="AB2220" s="54"/>
      <c r="AC2220" s="54"/>
      <c r="AD2220" s="54"/>
      <c r="AE2220" s="54"/>
      <c r="AF2220" s="54"/>
      <c r="AG2220" s="54"/>
      <c r="AH2220" s="54"/>
    </row>
    <row r="2221">
      <c r="A2221" s="80"/>
      <c r="B2221" s="80"/>
      <c r="C2221" s="80"/>
      <c r="D2221" s="80"/>
      <c r="E2221" s="80"/>
      <c r="F2221" s="59"/>
      <c r="G2221" s="59"/>
      <c r="H2221" s="83"/>
      <c r="I2221" s="76"/>
      <c r="J2221" s="76"/>
      <c r="K2221" s="81"/>
      <c r="L2221" s="82"/>
      <c r="M2221" s="54"/>
      <c r="N2221" s="54"/>
      <c r="O2221" s="54"/>
      <c r="P2221" s="54"/>
      <c r="Q2221" s="54"/>
      <c r="R2221" s="54"/>
      <c r="S2221" s="54"/>
      <c r="T2221" s="54"/>
      <c r="U2221" s="54"/>
      <c r="V2221" s="54"/>
      <c r="W2221" s="54"/>
      <c r="X2221" s="54"/>
      <c r="Y2221" s="54"/>
      <c r="Z2221" s="54"/>
      <c r="AA2221" s="54"/>
      <c r="AB2221" s="54"/>
      <c r="AC2221" s="54"/>
      <c r="AD2221" s="54"/>
      <c r="AE2221" s="54"/>
      <c r="AF2221" s="54"/>
      <c r="AG2221" s="54"/>
      <c r="AH2221" s="54"/>
    </row>
    <row r="2222">
      <c r="A2222" s="80"/>
      <c r="B2222" s="80"/>
      <c r="C2222" s="80"/>
      <c r="D2222" s="80"/>
      <c r="E2222" s="80"/>
      <c r="F2222" s="59"/>
      <c r="G2222" s="59"/>
      <c r="H2222" s="83"/>
      <c r="I2222" s="76"/>
      <c r="J2222" s="76"/>
      <c r="K2222" s="81"/>
      <c r="L2222" s="82"/>
      <c r="M2222" s="54"/>
      <c r="N2222" s="54"/>
      <c r="O2222" s="54"/>
      <c r="P2222" s="54"/>
      <c r="Q2222" s="54"/>
      <c r="R2222" s="54"/>
      <c r="S2222" s="54"/>
      <c r="T2222" s="54"/>
      <c r="U2222" s="54"/>
      <c r="V2222" s="54"/>
      <c r="W2222" s="54"/>
      <c r="X2222" s="54"/>
      <c r="Y2222" s="54"/>
      <c r="Z2222" s="54"/>
      <c r="AA2222" s="54"/>
      <c r="AB2222" s="54"/>
      <c r="AC2222" s="54"/>
      <c r="AD2222" s="54"/>
      <c r="AE2222" s="54"/>
      <c r="AF2222" s="54"/>
      <c r="AG2222" s="54"/>
      <c r="AH2222" s="54"/>
    </row>
    <row r="2223">
      <c r="A2223" s="80"/>
      <c r="B2223" s="80"/>
      <c r="C2223" s="80"/>
      <c r="D2223" s="80"/>
      <c r="E2223" s="80"/>
      <c r="F2223" s="59"/>
      <c r="G2223" s="59"/>
      <c r="H2223" s="83"/>
      <c r="I2223" s="76"/>
      <c r="J2223" s="76"/>
      <c r="K2223" s="81"/>
      <c r="L2223" s="82"/>
      <c r="M2223" s="54"/>
      <c r="N2223" s="54"/>
      <c r="O2223" s="54"/>
      <c r="P2223" s="54"/>
      <c r="Q2223" s="54"/>
      <c r="R2223" s="54"/>
      <c r="S2223" s="54"/>
      <c r="T2223" s="54"/>
      <c r="U2223" s="54"/>
      <c r="V2223" s="54"/>
      <c r="W2223" s="54"/>
      <c r="X2223" s="54"/>
      <c r="Y2223" s="54"/>
      <c r="Z2223" s="54"/>
      <c r="AA2223" s="54"/>
      <c r="AB2223" s="54"/>
      <c r="AC2223" s="54"/>
      <c r="AD2223" s="54"/>
      <c r="AE2223" s="54"/>
      <c r="AF2223" s="54"/>
      <c r="AG2223" s="54"/>
      <c r="AH2223" s="54"/>
    </row>
    <row r="2224">
      <c r="A2224" s="80"/>
      <c r="B2224" s="80"/>
      <c r="C2224" s="80"/>
      <c r="D2224" s="80"/>
      <c r="E2224" s="80"/>
      <c r="F2224" s="59"/>
      <c r="G2224" s="59"/>
      <c r="H2224" s="83"/>
      <c r="I2224" s="76"/>
      <c r="J2224" s="76"/>
      <c r="K2224" s="81"/>
      <c r="L2224" s="82"/>
      <c r="M2224" s="54"/>
      <c r="N2224" s="54"/>
      <c r="O2224" s="54"/>
      <c r="P2224" s="54"/>
      <c r="Q2224" s="54"/>
      <c r="R2224" s="54"/>
      <c r="S2224" s="54"/>
      <c r="T2224" s="54"/>
      <c r="U2224" s="54"/>
      <c r="V2224" s="54"/>
      <c r="W2224" s="54"/>
      <c r="X2224" s="54"/>
      <c r="Y2224" s="54"/>
      <c r="Z2224" s="54"/>
      <c r="AA2224" s="54"/>
      <c r="AB2224" s="54"/>
      <c r="AC2224" s="54"/>
      <c r="AD2224" s="54"/>
      <c r="AE2224" s="54"/>
      <c r="AF2224" s="54"/>
      <c r="AG2224" s="54"/>
      <c r="AH2224" s="54"/>
    </row>
    <row r="2225">
      <c r="A2225" s="80"/>
      <c r="B2225" s="80"/>
      <c r="C2225" s="80"/>
      <c r="D2225" s="80"/>
      <c r="E2225" s="80"/>
      <c r="F2225" s="59"/>
      <c r="G2225" s="59"/>
      <c r="H2225" s="83"/>
      <c r="I2225" s="76"/>
      <c r="J2225" s="76"/>
      <c r="K2225" s="81"/>
      <c r="L2225" s="82"/>
      <c r="M2225" s="54"/>
      <c r="N2225" s="54"/>
      <c r="O2225" s="54"/>
      <c r="P2225" s="54"/>
      <c r="Q2225" s="54"/>
      <c r="R2225" s="54"/>
      <c r="S2225" s="54"/>
      <c r="T2225" s="54"/>
      <c r="U2225" s="54"/>
      <c r="V2225" s="54"/>
      <c r="W2225" s="54"/>
      <c r="X2225" s="54"/>
      <c r="Y2225" s="54"/>
      <c r="Z2225" s="54"/>
      <c r="AA2225" s="54"/>
      <c r="AB2225" s="54"/>
      <c r="AC2225" s="54"/>
      <c r="AD2225" s="54"/>
      <c r="AE2225" s="54"/>
      <c r="AF2225" s="54"/>
      <c r="AG2225" s="54"/>
      <c r="AH2225" s="54"/>
    </row>
    <row r="2226">
      <c r="A2226" s="80"/>
      <c r="B2226" s="80"/>
      <c r="C2226" s="80"/>
      <c r="D2226" s="80"/>
      <c r="E2226" s="80"/>
      <c r="F2226" s="59"/>
      <c r="G2226" s="59"/>
      <c r="H2226" s="83"/>
      <c r="I2226" s="76"/>
      <c r="J2226" s="76"/>
      <c r="K2226" s="81"/>
      <c r="L2226" s="82"/>
      <c r="M2226" s="54"/>
      <c r="N2226" s="54"/>
      <c r="O2226" s="54"/>
      <c r="P2226" s="54"/>
      <c r="Q2226" s="54"/>
      <c r="R2226" s="54"/>
      <c r="S2226" s="54"/>
      <c r="T2226" s="54"/>
      <c r="U2226" s="54"/>
      <c r="V2226" s="54"/>
      <c r="W2226" s="54"/>
      <c r="X2226" s="54"/>
      <c r="Y2226" s="54"/>
      <c r="Z2226" s="54"/>
      <c r="AA2226" s="54"/>
      <c r="AB2226" s="54"/>
      <c r="AC2226" s="54"/>
      <c r="AD2226" s="54"/>
      <c r="AE2226" s="54"/>
      <c r="AF2226" s="54"/>
      <c r="AG2226" s="54"/>
      <c r="AH2226" s="54"/>
    </row>
    <row r="2227">
      <c r="A2227" s="80"/>
      <c r="B2227" s="80"/>
      <c r="C2227" s="80"/>
      <c r="D2227" s="80"/>
      <c r="E2227" s="80"/>
      <c r="F2227" s="59"/>
      <c r="G2227" s="59"/>
      <c r="H2227" s="83"/>
      <c r="I2227" s="76"/>
      <c r="J2227" s="76"/>
      <c r="K2227" s="81"/>
      <c r="L2227" s="82"/>
      <c r="M2227" s="54"/>
      <c r="N2227" s="54"/>
      <c r="O2227" s="54"/>
      <c r="P2227" s="54"/>
      <c r="Q2227" s="54"/>
      <c r="R2227" s="54"/>
      <c r="S2227" s="54"/>
      <c r="T2227" s="54"/>
      <c r="U2227" s="54"/>
      <c r="V2227" s="54"/>
      <c r="W2227" s="54"/>
      <c r="X2227" s="54"/>
      <c r="Y2227" s="54"/>
      <c r="Z2227" s="54"/>
      <c r="AA2227" s="54"/>
      <c r="AB2227" s="54"/>
      <c r="AC2227" s="54"/>
      <c r="AD2227" s="54"/>
      <c r="AE2227" s="54"/>
      <c r="AF2227" s="54"/>
      <c r="AG2227" s="54"/>
      <c r="AH2227" s="54"/>
    </row>
    <row r="2228">
      <c r="A2228" s="80"/>
      <c r="B2228" s="80"/>
      <c r="C2228" s="80"/>
      <c r="D2228" s="80"/>
      <c r="E2228" s="80"/>
      <c r="F2228" s="59"/>
      <c r="G2228" s="59"/>
      <c r="H2228" s="83"/>
      <c r="I2228" s="76"/>
      <c r="J2228" s="76"/>
      <c r="K2228" s="81"/>
      <c r="L2228" s="82"/>
      <c r="M2228" s="54"/>
      <c r="N2228" s="54"/>
      <c r="O2228" s="54"/>
      <c r="P2228" s="54"/>
      <c r="Q2228" s="54"/>
      <c r="R2228" s="54"/>
      <c r="S2228" s="54"/>
      <c r="T2228" s="54"/>
      <c r="U2228" s="54"/>
      <c r="V2228" s="54"/>
      <c r="W2228" s="54"/>
      <c r="X2228" s="54"/>
      <c r="Y2228" s="54"/>
      <c r="Z2228" s="54"/>
      <c r="AA2228" s="54"/>
      <c r="AB2228" s="54"/>
      <c r="AC2228" s="54"/>
      <c r="AD2228" s="54"/>
      <c r="AE2228" s="54"/>
      <c r="AF2228" s="54"/>
      <c r="AG2228" s="54"/>
      <c r="AH2228" s="54"/>
    </row>
    <row r="2229">
      <c r="A2229" s="80"/>
      <c r="B2229" s="80"/>
      <c r="C2229" s="80"/>
      <c r="D2229" s="80"/>
      <c r="E2229" s="80"/>
      <c r="F2229" s="59"/>
      <c r="G2229" s="59"/>
      <c r="H2229" s="83"/>
      <c r="I2229" s="76"/>
      <c r="J2229" s="76"/>
      <c r="K2229" s="81"/>
      <c r="L2229" s="82"/>
      <c r="M2229" s="54"/>
      <c r="N2229" s="54"/>
      <c r="O2229" s="54"/>
      <c r="P2229" s="54"/>
      <c r="Q2229" s="54"/>
      <c r="R2229" s="54"/>
      <c r="S2229" s="54"/>
      <c r="T2229" s="54"/>
      <c r="U2229" s="54"/>
      <c r="V2229" s="54"/>
      <c r="W2229" s="54"/>
      <c r="X2229" s="54"/>
      <c r="Y2229" s="54"/>
      <c r="Z2229" s="54"/>
      <c r="AA2229" s="54"/>
      <c r="AB2229" s="54"/>
      <c r="AC2229" s="54"/>
      <c r="AD2229" s="54"/>
      <c r="AE2229" s="54"/>
      <c r="AF2229" s="54"/>
      <c r="AG2229" s="54"/>
      <c r="AH2229" s="54"/>
    </row>
    <row r="2230">
      <c r="A2230" s="80"/>
      <c r="B2230" s="80"/>
      <c r="C2230" s="80"/>
      <c r="D2230" s="80"/>
      <c r="E2230" s="80"/>
      <c r="F2230" s="59"/>
      <c r="G2230" s="59"/>
      <c r="H2230" s="83"/>
      <c r="I2230" s="76"/>
      <c r="J2230" s="76"/>
      <c r="K2230" s="81"/>
      <c r="L2230" s="82"/>
      <c r="M2230" s="54"/>
      <c r="N2230" s="54"/>
      <c r="O2230" s="54"/>
      <c r="P2230" s="54"/>
      <c r="Q2230" s="54"/>
      <c r="R2230" s="54"/>
      <c r="S2230" s="54"/>
      <c r="T2230" s="54"/>
      <c r="U2230" s="54"/>
      <c r="V2230" s="54"/>
      <c r="W2230" s="54"/>
      <c r="X2230" s="54"/>
      <c r="Y2230" s="54"/>
      <c r="Z2230" s="54"/>
      <c r="AA2230" s="54"/>
      <c r="AB2230" s="54"/>
      <c r="AC2230" s="54"/>
      <c r="AD2230" s="54"/>
      <c r="AE2230" s="54"/>
      <c r="AF2230" s="54"/>
      <c r="AG2230" s="54"/>
      <c r="AH2230" s="54"/>
    </row>
    <row r="2231">
      <c r="A2231" s="80"/>
      <c r="B2231" s="80"/>
      <c r="C2231" s="80"/>
      <c r="D2231" s="80"/>
      <c r="E2231" s="80"/>
      <c r="F2231" s="59"/>
      <c r="G2231" s="59"/>
      <c r="H2231" s="83"/>
      <c r="I2231" s="76"/>
      <c r="J2231" s="76"/>
      <c r="K2231" s="81"/>
      <c r="L2231" s="82"/>
      <c r="M2231" s="54"/>
      <c r="N2231" s="54"/>
      <c r="O2231" s="54"/>
      <c r="P2231" s="54"/>
      <c r="Q2231" s="54"/>
      <c r="R2231" s="54"/>
      <c r="S2231" s="54"/>
      <c r="T2231" s="54"/>
      <c r="U2231" s="54"/>
      <c r="V2231" s="54"/>
      <c r="W2231" s="54"/>
      <c r="X2231" s="54"/>
      <c r="Y2231" s="54"/>
      <c r="Z2231" s="54"/>
      <c r="AA2231" s="54"/>
      <c r="AB2231" s="54"/>
      <c r="AC2231" s="54"/>
      <c r="AD2231" s="54"/>
      <c r="AE2231" s="54"/>
      <c r="AF2231" s="54"/>
      <c r="AG2231" s="54"/>
      <c r="AH2231" s="54"/>
    </row>
    <row r="2232">
      <c r="A2232" s="80"/>
      <c r="B2232" s="80"/>
      <c r="C2232" s="80"/>
      <c r="D2232" s="80"/>
      <c r="E2232" s="80"/>
      <c r="F2232" s="59"/>
      <c r="G2232" s="59"/>
      <c r="H2232" s="83"/>
      <c r="I2232" s="76"/>
      <c r="J2232" s="76"/>
      <c r="K2232" s="81"/>
      <c r="L2232" s="82"/>
      <c r="M2232" s="54"/>
      <c r="N2232" s="54"/>
      <c r="O2232" s="54"/>
      <c r="P2232" s="54"/>
      <c r="Q2232" s="54"/>
      <c r="R2232" s="54"/>
      <c r="S2232" s="54"/>
      <c r="T2232" s="54"/>
      <c r="U2232" s="54"/>
      <c r="V2232" s="54"/>
      <c r="W2232" s="54"/>
      <c r="X2232" s="54"/>
      <c r="Y2232" s="54"/>
      <c r="Z2232" s="54"/>
      <c r="AA2232" s="54"/>
      <c r="AB2232" s="54"/>
      <c r="AC2232" s="54"/>
      <c r="AD2232" s="54"/>
      <c r="AE2232" s="54"/>
      <c r="AF2232" s="54"/>
      <c r="AG2232" s="54"/>
      <c r="AH2232" s="54"/>
    </row>
    <row r="2233">
      <c r="A2233" s="80"/>
      <c r="B2233" s="80"/>
      <c r="C2233" s="80"/>
      <c r="D2233" s="80"/>
      <c r="E2233" s="80"/>
      <c r="F2233" s="59"/>
      <c r="G2233" s="59"/>
      <c r="H2233" s="83"/>
      <c r="I2233" s="76"/>
      <c r="J2233" s="76"/>
      <c r="K2233" s="81"/>
      <c r="L2233" s="82"/>
      <c r="M2233" s="54"/>
      <c r="N2233" s="54"/>
      <c r="O2233" s="54"/>
      <c r="P2233" s="54"/>
      <c r="Q2233" s="54"/>
      <c r="R2233" s="54"/>
      <c r="S2233" s="54"/>
      <c r="T2233" s="54"/>
      <c r="U2233" s="54"/>
      <c r="V2233" s="54"/>
      <c r="W2233" s="54"/>
      <c r="X2233" s="54"/>
      <c r="Y2233" s="54"/>
      <c r="Z2233" s="54"/>
      <c r="AA2233" s="54"/>
      <c r="AB2233" s="54"/>
      <c r="AC2233" s="54"/>
      <c r="AD2233" s="54"/>
      <c r="AE2233" s="54"/>
      <c r="AF2233" s="54"/>
      <c r="AG2233" s="54"/>
      <c r="AH2233" s="54"/>
    </row>
    <row r="2234">
      <c r="A2234" s="80"/>
      <c r="B2234" s="80"/>
      <c r="C2234" s="80"/>
      <c r="D2234" s="80"/>
      <c r="E2234" s="80"/>
      <c r="F2234" s="59"/>
      <c r="G2234" s="59"/>
      <c r="H2234" s="83"/>
      <c r="I2234" s="76"/>
      <c r="J2234" s="76"/>
      <c r="K2234" s="81"/>
      <c r="L2234" s="82"/>
      <c r="M2234" s="54"/>
      <c r="N2234" s="54"/>
      <c r="O2234" s="54"/>
      <c r="P2234" s="54"/>
      <c r="Q2234" s="54"/>
      <c r="R2234" s="54"/>
      <c r="S2234" s="54"/>
      <c r="T2234" s="54"/>
      <c r="U2234" s="54"/>
      <c r="V2234" s="54"/>
      <c r="W2234" s="54"/>
      <c r="X2234" s="54"/>
      <c r="Y2234" s="54"/>
      <c r="Z2234" s="54"/>
      <c r="AA2234" s="54"/>
      <c r="AB2234" s="54"/>
      <c r="AC2234" s="54"/>
      <c r="AD2234" s="54"/>
      <c r="AE2234" s="54"/>
      <c r="AF2234" s="54"/>
      <c r="AG2234" s="54"/>
      <c r="AH2234" s="54"/>
    </row>
    <row r="2235">
      <c r="A2235" s="80"/>
      <c r="B2235" s="80"/>
      <c r="C2235" s="80"/>
      <c r="D2235" s="80"/>
      <c r="E2235" s="80"/>
      <c r="F2235" s="59"/>
      <c r="G2235" s="59"/>
      <c r="H2235" s="83"/>
      <c r="I2235" s="76"/>
      <c r="J2235" s="76"/>
      <c r="K2235" s="81"/>
      <c r="L2235" s="82"/>
      <c r="M2235" s="54"/>
      <c r="N2235" s="54"/>
      <c r="O2235" s="54"/>
      <c r="P2235" s="54"/>
      <c r="Q2235" s="54"/>
      <c r="R2235" s="54"/>
      <c r="S2235" s="54"/>
      <c r="T2235" s="54"/>
      <c r="U2235" s="54"/>
      <c r="V2235" s="54"/>
      <c r="W2235" s="54"/>
      <c r="X2235" s="54"/>
      <c r="Y2235" s="54"/>
      <c r="Z2235" s="54"/>
      <c r="AA2235" s="54"/>
      <c r="AB2235" s="54"/>
      <c r="AC2235" s="54"/>
      <c r="AD2235" s="54"/>
      <c r="AE2235" s="54"/>
      <c r="AF2235" s="54"/>
      <c r="AG2235" s="54"/>
      <c r="AH2235" s="54"/>
    </row>
    <row r="2236">
      <c r="A2236" s="80"/>
      <c r="B2236" s="80"/>
      <c r="C2236" s="80"/>
      <c r="D2236" s="80"/>
      <c r="E2236" s="80"/>
      <c r="F2236" s="59"/>
      <c r="G2236" s="59"/>
      <c r="H2236" s="83"/>
      <c r="I2236" s="76"/>
      <c r="J2236" s="76"/>
      <c r="K2236" s="81"/>
      <c r="L2236" s="82"/>
      <c r="M2236" s="54"/>
      <c r="N2236" s="54"/>
      <c r="O2236" s="54"/>
      <c r="P2236" s="54"/>
      <c r="Q2236" s="54"/>
      <c r="R2236" s="54"/>
      <c r="S2236" s="54"/>
      <c r="T2236" s="54"/>
      <c r="U2236" s="54"/>
      <c r="V2236" s="54"/>
      <c r="W2236" s="54"/>
      <c r="X2236" s="54"/>
      <c r="Y2236" s="54"/>
      <c r="Z2236" s="54"/>
      <c r="AA2236" s="54"/>
      <c r="AB2236" s="54"/>
      <c r="AC2236" s="54"/>
      <c r="AD2236" s="54"/>
      <c r="AE2236" s="54"/>
      <c r="AF2236" s="54"/>
      <c r="AG2236" s="54"/>
      <c r="AH2236" s="54"/>
    </row>
    <row r="2237">
      <c r="A2237" s="80"/>
      <c r="B2237" s="80"/>
      <c r="C2237" s="80"/>
      <c r="D2237" s="80"/>
      <c r="E2237" s="80"/>
      <c r="F2237" s="59"/>
      <c r="G2237" s="59"/>
      <c r="H2237" s="83"/>
      <c r="I2237" s="76"/>
      <c r="J2237" s="76"/>
      <c r="K2237" s="81"/>
      <c r="L2237" s="82"/>
      <c r="M2237" s="54"/>
      <c r="N2237" s="54"/>
      <c r="O2237" s="54"/>
      <c r="P2237" s="54"/>
      <c r="Q2237" s="54"/>
      <c r="R2237" s="54"/>
      <c r="S2237" s="54"/>
      <c r="T2237" s="54"/>
      <c r="U2237" s="54"/>
      <c r="V2237" s="54"/>
      <c r="W2237" s="54"/>
      <c r="X2237" s="54"/>
      <c r="Y2237" s="54"/>
      <c r="Z2237" s="54"/>
      <c r="AA2237" s="54"/>
      <c r="AB2237" s="54"/>
      <c r="AC2237" s="54"/>
      <c r="AD2237" s="54"/>
      <c r="AE2237" s="54"/>
      <c r="AF2237" s="54"/>
      <c r="AG2237" s="54"/>
      <c r="AH2237" s="54"/>
    </row>
    <row r="2238">
      <c r="A2238" s="80"/>
      <c r="B2238" s="80"/>
      <c r="C2238" s="80"/>
      <c r="D2238" s="80"/>
      <c r="E2238" s="80"/>
      <c r="F2238" s="59"/>
      <c r="G2238" s="59"/>
      <c r="H2238" s="83"/>
      <c r="I2238" s="76"/>
      <c r="J2238" s="76"/>
      <c r="K2238" s="81"/>
      <c r="L2238" s="82"/>
      <c r="M2238" s="54"/>
      <c r="N2238" s="54"/>
      <c r="O2238" s="54"/>
      <c r="P2238" s="54"/>
      <c r="Q2238" s="54"/>
      <c r="R2238" s="54"/>
      <c r="S2238" s="54"/>
      <c r="T2238" s="54"/>
      <c r="U2238" s="54"/>
      <c r="V2238" s="54"/>
      <c r="W2238" s="54"/>
      <c r="X2238" s="54"/>
      <c r="Y2238" s="54"/>
      <c r="Z2238" s="54"/>
      <c r="AA2238" s="54"/>
      <c r="AB2238" s="54"/>
      <c r="AC2238" s="54"/>
      <c r="AD2238" s="54"/>
      <c r="AE2238" s="54"/>
      <c r="AF2238" s="54"/>
      <c r="AG2238" s="54"/>
      <c r="AH2238" s="54"/>
    </row>
    <row r="2239">
      <c r="A2239" s="80"/>
      <c r="B2239" s="80"/>
      <c r="C2239" s="80"/>
      <c r="D2239" s="80"/>
      <c r="E2239" s="80"/>
      <c r="F2239" s="59"/>
      <c r="G2239" s="59"/>
      <c r="H2239" s="83"/>
      <c r="I2239" s="76"/>
      <c r="J2239" s="76"/>
      <c r="K2239" s="81"/>
      <c r="L2239" s="82"/>
      <c r="M2239" s="54"/>
      <c r="N2239" s="54"/>
      <c r="O2239" s="54"/>
      <c r="P2239" s="54"/>
      <c r="Q2239" s="54"/>
      <c r="R2239" s="54"/>
      <c r="S2239" s="54"/>
      <c r="T2239" s="54"/>
      <c r="U2239" s="54"/>
      <c r="V2239" s="54"/>
      <c r="W2239" s="54"/>
      <c r="X2239" s="54"/>
      <c r="Y2239" s="54"/>
      <c r="Z2239" s="54"/>
      <c r="AA2239" s="54"/>
      <c r="AB2239" s="54"/>
      <c r="AC2239" s="54"/>
      <c r="AD2239" s="54"/>
      <c r="AE2239" s="54"/>
      <c r="AF2239" s="54"/>
      <c r="AG2239" s="54"/>
      <c r="AH2239" s="54"/>
    </row>
    <row r="2240">
      <c r="A2240" s="80"/>
      <c r="B2240" s="80"/>
      <c r="C2240" s="80"/>
      <c r="D2240" s="80"/>
      <c r="E2240" s="80"/>
      <c r="F2240" s="59"/>
      <c r="G2240" s="59"/>
      <c r="H2240" s="83"/>
      <c r="I2240" s="76"/>
      <c r="J2240" s="76"/>
      <c r="K2240" s="81"/>
      <c r="L2240" s="82"/>
      <c r="M2240" s="54"/>
      <c r="N2240" s="54"/>
      <c r="O2240" s="54"/>
      <c r="P2240" s="54"/>
      <c r="Q2240" s="54"/>
      <c r="R2240" s="54"/>
      <c r="S2240" s="54"/>
      <c r="T2240" s="54"/>
      <c r="U2240" s="54"/>
      <c r="V2240" s="54"/>
      <c r="W2240" s="54"/>
      <c r="X2240" s="54"/>
      <c r="Y2240" s="54"/>
      <c r="Z2240" s="54"/>
      <c r="AA2240" s="54"/>
      <c r="AB2240" s="54"/>
      <c r="AC2240" s="54"/>
      <c r="AD2240" s="54"/>
      <c r="AE2240" s="54"/>
      <c r="AF2240" s="54"/>
      <c r="AG2240" s="54"/>
      <c r="AH2240" s="54"/>
    </row>
    <row r="2241">
      <c r="A2241" s="80"/>
      <c r="B2241" s="80"/>
      <c r="C2241" s="80"/>
      <c r="D2241" s="80"/>
      <c r="E2241" s="80"/>
      <c r="F2241" s="59"/>
      <c r="G2241" s="59"/>
      <c r="H2241" s="83"/>
      <c r="I2241" s="76"/>
      <c r="J2241" s="76"/>
      <c r="K2241" s="81"/>
      <c r="L2241" s="82"/>
      <c r="M2241" s="54"/>
      <c r="N2241" s="54"/>
      <c r="O2241" s="54"/>
      <c r="P2241" s="54"/>
      <c r="Q2241" s="54"/>
      <c r="R2241" s="54"/>
      <c r="S2241" s="54"/>
      <c r="T2241" s="54"/>
      <c r="U2241" s="54"/>
      <c r="V2241" s="54"/>
      <c r="W2241" s="54"/>
      <c r="X2241" s="54"/>
      <c r="Y2241" s="54"/>
      <c r="Z2241" s="54"/>
      <c r="AA2241" s="54"/>
      <c r="AB2241" s="54"/>
      <c r="AC2241" s="54"/>
      <c r="AD2241" s="54"/>
      <c r="AE2241" s="54"/>
      <c r="AF2241" s="54"/>
      <c r="AG2241" s="54"/>
      <c r="AH2241" s="54"/>
    </row>
    <row r="2242">
      <c r="A2242" s="80"/>
      <c r="B2242" s="80"/>
      <c r="C2242" s="80"/>
      <c r="D2242" s="80"/>
      <c r="E2242" s="80"/>
      <c r="F2242" s="59"/>
      <c r="G2242" s="59"/>
      <c r="H2242" s="83"/>
      <c r="I2242" s="76"/>
      <c r="J2242" s="76"/>
      <c r="K2242" s="81"/>
      <c r="L2242" s="82"/>
      <c r="M2242" s="54"/>
      <c r="N2242" s="54"/>
      <c r="O2242" s="54"/>
      <c r="P2242" s="54"/>
      <c r="Q2242" s="54"/>
      <c r="R2242" s="54"/>
      <c r="S2242" s="54"/>
      <c r="T2242" s="54"/>
      <c r="U2242" s="54"/>
      <c r="V2242" s="54"/>
      <c r="W2242" s="54"/>
      <c r="X2242" s="54"/>
      <c r="Y2242" s="54"/>
      <c r="Z2242" s="54"/>
      <c r="AA2242" s="54"/>
      <c r="AB2242" s="54"/>
      <c r="AC2242" s="54"/>
      <c r="AD2242" s="54"/>
      <c r="AE2242" s="54"/>
      <c r="AF2242" s="54"/>
      <c r="AG2242" s="54"/>
      <c r="AH2242" s="54"/>
    </row>
    <row r="2243">
      <c r="A2243" s="80"/>
      <c r="B2243" s="80"/>
      <c r="C2243" s="80"/>
      <c r="D2243" s="80"/>
      <c r="E2243" s="80"/>
      <c r="F2243" s="59"/>
      <c r="G2243" s="59"/>
      <c r="H2243" s="83"/>
      <c r="I2243" s="76"/>
      <c r="J2243" s="76"/>
      <c r="K2243" s="81"/>
      <c r="L2243" s="82"/>
      <c r="M2243" s="54"/>
      <c r="N2243" s="54"/>
      <c r="O2243" s="54"/>
      <c r="P2243" s="54"/>
      <c r="Q2243" s="54"/>
      <c r="R2243" s="54"/>
      <c r="S2243" s="54"/>
      <c r="T2243" s="54"/>
      <c r="U2243" s="54"/>
      <c r="V2243" s="54"/>
      <c r="W2243" s="54"/>
      <c r="X2243" s="54"/>
      <c r="Y2243" s="54"/>
      <c r="Z2243" s="54"/>
      <c r="AA2243" s="54"/>
      <c r="AB2243" s="54"/>
      <c r="AC2243" s="54"/>
      <c r="AD2243" s="54"/>
      <c r="AE2243" s="54"/>
      <c r="AF2243" s="54"/>
      <c r="AG2243" s="54"/>
      <c r="AH2243" s="54"/>
    </row>
    <row r="2244">
      <c r="A2244" s="80"/>
      <c r="B2244" s="80"/>
      <c r="C2244" s="80"/>
      <c r="D2244" s="80"/>
      <c r="E2244" s="80"/>
      <c r="F2244" s="59"/>
      <c r="G2244" s="59"/>
      <c r="H2244" s="83"/>
      <c r="I2244" s="76"/>
      <c r="J2244" s="76"/>
      <c r="K2244" s="81"/>
      <c r="L2244" s="82"/>
      <c r="M2244" s="54"/>
      <c r="N2244" s="54"/>
      <c r="O2244" s="54"/>
      <c r="P2244" s="54"/>
      <c r="Q2244" s="54"/>
      <c r="R2244" s="54"/>
      <c r="S2244" s="54"/>
      <c r="T2244" s="54"/>
      <c r="U2244" s="54"/>
      <c r="V2244" s="54"/>
      <c r="W2244" s="54"/>
      <c r="X2244" s="54"/>
      <c r="Y2244" s="54"/>
      <c r="Z2244" s="54"/>
      <c r="AA2244" s="54"/>
      <c r="AB2244" s="54"/>
      <c r="AC2244" s="54"/>
      <c r="AD2244" s="54"/>
      <c r="AE2244" s="54"/>
      <c r="AF2244" s="54"/>
      <c r="AG2244" s="54"/>
      <c r="AH2244" s="54"/>
    </row>
    <row r="2245">
      <c r="A2245" s="80"/>
      <c r="B2245" s="80"/>
      <c r="C2245" s="80"/>
      <c r="D2245" s="80"/>
      <c r="E2245" s="80"/>
      <c r="F2245" s="59"/>
      <c r="G2245" s="59"/>
      <c r="H2245" s="83"/>
      <c r="I2245" s="76"/>
      <c r="J2245" s="76"/>
      <c r="K2245" s="81"/>
      <c r="L2245" s="82"/>
      <c r="M2245" s="54"/>
      <c r="N2245" s="54"/>
      <c r="O2245" s="54"/>
      <c r="P2245" s="54"/>
      <c r="Q2245" s="54"/>
      <c r="R2245" s="54"/>
      <c r="S2245" s="54"/>
      <c r="T2245" s="54"/>
      <c r="U2245" s="54"/>
      <c r="V2245" s="54"/>
      <c r="W2245" s="54"/>
      <c r="X2245" s="54"/>
      <c r="Y2245" s="54"/>
      <c r="Z2245" s="54"/>
      <c r="AA2245" s="54"/>
      <c r="AB2245" s="54"/>
      <c r="AC2245" s="54"/>
      <c r="AD2245" s="54"/>
      <c r="AE2245" s="54"/>
      <c r="AF2245" s="54"/>
      <c r="AG2245" s="54"/>
      <c r="AH2245" s="54"/>
    </row>
    <row r="2246">
      <c r="A2246" s="80"/>
      <c r="B2246" s="80"/>
      <c r="C2246" s="80"/>
      <c r="D2246" s="80"/>
      <c r="E2246" s="80"/>
      <c r="F2246" s="59"/>
      <c r="G2246" s="59"/>
      <c r="H2246" s="83"/>
      <c r="I2246" s="76"/>
      <c r="J2246" s="76"/>
      <c r="K2246" s="81"/>
      <c r="L2246" s="82"/>
      <c r="M2246" s="54"/>
      <c r="N2246" s="54"/>
      <c r="O2246" s="54"/>
      <c r="P2246" s="54"/>
      <c r="Q2246" s="54"/>
      <c r="R2246" s="54"/>
      <c r="S2246" s="54"/>
      <c r="T2246" s="54"/>
      <c r="U2246" s="54"/>
      <c r="V2246" s="54"/>
      <c r="W2246" s="54"/>
      <c r="X2246" s="54"/>
      <c r="Y2246" s="54"/>
      <c r="Z2246" s="54"/>
      <c r="AA2246" s="54"/>
      <c r="AB2246" s="54"/>
      <c r="AC2246" s="54"/>
      <c r="AD2246" s="54"/>
      <c r="AE2246" s="54"/>
      <c r="AF2246" s="54"/>
      <c r="AG2246" s="54"/>
      <c r="AH2246" s="54"/>
    </row>
    <row r="2247">
      <c r="A2247" s="80"/>
      <c r="B2247" s="80"/>
      <c r="C2247" s="80"/>
      <c r="D2247" s="80"/>
      <c r="E2247" s="80"/>
      <c r="F2247" s="59"/>
      <c r="G2247" s="59"/>
      <c r="H2247" s="83"/>
      <c r="I2247" s="76"/>
      <c r="J2247" s="76"/>
      <c r="K2247" s="81"/>
      <c r="L2247" s="82"/>
      <c r="M2247" s="54"/>
      <c r="N2247" s="54"/>
      <c r="O2247" s="54"/>
      <c r="P2247" s="54"/>
      <c r="Q2247" s="54"/>
      <c r="R2247" s="54"/>
      <c r="S2247" s="54"/>
      <c r="T2247" s="54"/>
      <c r="U2247" s="54"/>
      <c r="V2247" s="54"/>
      <c r="W2247" s="54"/>
      <c r="X2247" s="54"/>
      <c r="Y2247" s="54"/>
      <c r="Z2247" s="54"/>
      <c r="AA2247" s="54"/>
      <c r="AB2247" s="54"/>
      <c r="AC2247" s="54"/>
      <c r="AD2247" s="54"/>
      <c r="AE2247" s="54"/>
      <c r="AF2247" s="54"/>
      <c r="AG2247" s="54"/>
      <c r="AH2247" s="54"/>
    </row>
    <row r="2248">
      <c r="A2248" s="80"/>
      <c r="B2248" s="80"/>
      <c r="C2248" s="80"/>
      <c r="D2248" s="80"/>
      <c r="E2248" s="80"/>
      <c r="F2248" s="59"/>
      <c r="G2248" s="59"/>
      <c r="H2248" s="83"/>
      <c r="I2248" s="76"/>
      <c r="J2248" s="76"/>
      <c r="K2248" s="81"/>
      <c r="L2248" s="82"/>
      <c r="M2248" s="54"/>
      <c r="N2248" s="54"/>
      <c r="O2248" s="54"/>
      <c r="P2248" s="54"/>
      <c r="Q2248" s="54"/>
      <c r="R2248" s="54"/>
      <c r="S2248" s="54"/>
      <c r="T2248" s="54"/>
      <c r="U2248" s="54"/>
      <c r="V2248" s="54"/>
      <c r="W2248" s="54"/>
      <c r="X2248" s="54"/>
      <c r="Y2248" s="54"/>
      <c r="Z2248" s="54"/>
      <c r="AA2248" s="54"/>
      <c r="AB2248" s="54"/>
      <c r="AC2248" s="54"/>
      <c r="AD2248" s="54"/>
      <c r="AE2248" s="54"/>
      <c r="AF2248" s="54"/>
      <c r="AG2248" s="54"/>
      <c r="AH2248" s="54"/>
    </row>
    <row r="2249">
      <c r="A2249" s="80"/>
      <c r="B2249" s="80"/>
      <c r="C2249" s="80"/>
      <c r="D2249" s="80"/>
      <c r="E2249" s="80"/>
      <c r="F2249" s="59"/>
      <c r="G2249" s="59"/>
      <c r="H2249" s="83"/>
      <c r="I2249" s="76"/>
      <c r="J2249" s="76"/>
      <c r="K2249" s="81"/>
      <c r="L2249" s="82"/>
      <c r="M2249" s="54"/>
      <c r="N2249" s="54"/>
      <c r="O2249" s="54"/>
      <c r="P2249" s="54"/>
      <c r="Q2249" s="54"/>
      <c r="R2249" s="54"/>
      <c r="S2249" s="54"/>
      <c r="T2249" s="54"/>
      <c r="U2249" s="54"/>
      <c r="V2249" s="54"/>
      <c r="W2249" s="54"/>
      <c r="X2249" s="54"/>
      <c r="Y2249" s="54"/>
      <c r="Z2249" s="54"/>
      <c r="AA2249" s="54"/>
      <c r="AB2249" s="54"/>
      <c r="AC2249" s="54"/>
      <c r="AD2249" s="54"/>
      <c r="AE2249" s="54"/>
      <c r="AF2249" s="54"/>
      <c r="AG2249" s="54"/>
      <c r="AH2249" s="54"/>
    </row>
    <row r="2250">
      <c r="A2250" s="80"/>
      <c r="B2250" s="80"/>
      <c r="C2250" s="80"/>
      <c r="D2250" s="80"/>
      <c r="E2250" s="80"/>
      <c r="F2250" s="59"/>
      <c r="G2250" s="59"/>
      <c r="H2250" s="83"/>
      <c r="I2250" s="76"/>
      <c r="J2250" s="76"/>
      <c r="K2250" s="81"/>
      <c r="L2250" s="82"/>
      <c r="M2250" s="54"/>
      <c r="N2250" s="54"/>
      <c r="O2250" s="54"/>
      <c r="P2250" s="54"/>
      <c r="Q2250" s="54"/>
      <c r="R2250" s="54"/>
      <c r="S2250" s="54"/>
      <c r="T2250" s="54"/>
      <c r="U2250" s="54"/>
      <c r="V2250" s="54"/>
      <c r="W2250" s="54"/>
      <c r="X2250" s="54"/>
      <c r="Y2250" s="54"/>
      <c r="Z2250" s="54"/>
      <c r="AA2250" s="54"/>
      <c r="AB2250" s="54"/>
      <c r="AC2250" s="54"/>
      <c r="AD2250" s="54"/>
      <c r="AE2250" s="54"/>
      <c r="AF2250" s="54"/>
      <c r="AG2250" s="54"/>
      <c r="AH2250" s="54"/>
    </row>
    <row r="2251">
      <c r="A2251" s="80"/>
      <c r="B2251" s="80"/>
      <c r="C2251" s="80"/>
      <c r="D2251" s="80"/>
      <c r="E2251" s="80"/>
      <c r="F2251" s="59"/>
      <c r="G2251" s="59"/>
      <c r="H2251" s="83"/>
      <c r="I2251" s="76"/>
      <c r="J2251" s="76"/>
      <c r="K2251" s="81"/>
      <c r="L2251" s="82"/>
      <c r="M2251" s="54"/>
      <c r="N2251" s="54"/>
      <c r="O2251" s="54"/>
      <c r="P2251" s="54"/>
      <c r="Q2251" s="54"/>
      <c r="R2251" s="54"/>
      <c r="S2251" s="54"/>
      <c r="T2251" s="54"/>
      <c r="U2251" s="54"/>
      <c r="V2251" s="54"/>
      <c r="W2251" s="54"/>
      <c r="X2251" s="54"/>
      <c r="Y2251" s="54"/>
      <c r="Z2251" s="54"/>
      <c r="AA2251" s="54"/>
      <c r="AB2251" s="54"/>
      <c r="AC2251" s="54"/>
      <c r="AD2251" s="54"/>
      <c r="AE2251" s="54"/>
      <c r="AF2251" s="54"/>
      <c r="AG2251" s="54"/>
      <c r="AH2251" s="54"/>
    </row>
    <row r="2252">
      <c r="A2252" s="80"/>
      <c r="B2252" s="80"/>
      <c r="C2252" s="80"/>
      <c r="D2252" s="80"/>
      <c r="E2252" s="80"/>
      <c r="F2252" s="59"/>
      <c r="G2252" s="59"/>
      <c r="H2252" s="83"/>
      <c r="I2252" s="76"/>
      <c r="J2252" s="76"/>
      <c r="K2252" s="81"/>
      <c r="L2252" s="82"/>
      <c r="M2252" s="54"/>
      <c r="N2252" s="54"/>
      <c r="O2252" s="54"/>
      <c r="P2252" s="54"/>
      <c r="Q2252" s="54"/>
      <c r="R2252" s="54"/>
      <c r="S2252" s="54"/>
      <c r="T2252" s="54"/>
      <c r="U2252" s="54"/>
      <c r="V2252" s="54"/>
      <c r="W2252" s="54"/>
      <c r="X2252" s="54"/>
      <c r="Y2252" s="54"/>
      <c r="Z2252" s="54"/>
      <c r="AA2252" s="54"/>
      <c r="AB2252" s="54"/>
      <c r="AC2252" s="54"/>
      <c r="AD2252" s="54"/>
      <c r="AE2252" s="54"/>
      <c r="AF2252" s="54"/>
      <c r="AG2252" s="54"/>
      <c r="AH2252" s="54"/>
    </row>
    <row r="2253">
      <c r="A2253" s="80"/>
      <c r="B2253" s="80"/>
      <c r="C2253" s="80"/>
      <c r="D2253" s="80"/>
      <c r="E2253" s="80"/>
      <c r="F2253" s="59"/>
      <c r="G2253" s="59"/>
      <c r="H2253" s="83"/>
      <c r="I2253" s="76"/>
      <c r="J2253" s="76"/>
      <c r="K2253" s="81"/>
      <c r="L2253" s="82"/>
      <c r="M2253" s="54"/>
      <c r="N2253" s="54"/>
      <c r="O2253" s="54"/>
      <c r="P2253" s="54"/>
      <c r="Q2253" s="54"/>
      <c r="R2253" s="54"/>
      <c r="S2253" s="54"/>
      <c r="T2253" s="54"/>
      <c r="U2253" s="54"/>
      <c r="V2253" s="54"/>
      <c r="W2253" s="54"/>
      <c r="X2253" s="54"/>
      <c r="Y2253" s="54"/>
      <c r="Z2253" s="54"/>
      <c r="AA2253" s="54"/>
      <c r="AB2253" s="54"/>
      <c r="AC2253" s="54"/>
      <c r="AD2253" s="54"/>
      <c r="AE2253" s="54"/>
      <c r="AF2253" s="54"/>
      <c r="AG2253" s="54"/>
      <c r="AH2253" s="54"/>
    </row>
    <row r="2254">
      <c r="A2254" s="80"/>
      <c r="B2254" s="80"/>
      <c r="C2254" s="80"/>
      <c r="D2254" s="80"/>
      <c r="E2254" s="80"/>
      <c r="F2254" s="59"/>
      <c r="G2254" s="59"/>
      <c r="H2254" s="83"/>
      <c r="I2254" s="76"/>
      <c r="J2254" s="76"/>
      <c r="K2254" s="81"/>
      <c r="L2254" s="82"/>
      <c r="M2254" s="54"/>
      <c r="N2254" s="54"/>
      <c r="O2254" s="54"/>
      <c r="P2254" s="54"/>
      <c r="Q2254" s="54"/>
      <c r="R2254" s="54"/>
      <c r="S2254" s="54"/>
      <c r="T2254" s="54"/>
      <c r="U2254" s="54"/>
      <c r="V2254" s="54"/>
      <c r="W2254" s="54"/>
      <c r="X2254" s="54"/>
      <c r="Y2254" s="54"/>
      <c r="Z2254" s="54"/>
      <c r="AA2254" s="54"/>
      <c r="AB2254" s="54"/>
      <c r="AC2254" s="54"/>
      <c r="AD2254" s="54"/>
      <c r="AE2254" s="54"/>
      <c r="AF2254" s="54"/>
      <c r="AG2254" s="54"/>
      <c r="AH2254" s="54"/>
    </row>
    <row r="2255">
      <c r="A2255" s="80"/>
      <c r="B2255" s="80"/>
      <c r="C2255" s="80"/>
      <c r="D2255" s="80"/>
      <c r="E2255" s="80"/>
      <c r="F2255" s="59"/>
      <c r="G2255" s="59"/>
      <c r="H2255" s="83"/>
      <c r="I2255" s="76"/>
      <c r="J2255" s="76"/>
      <c r="K2255" s="81"/>
      <c r="L2255" s="82"/>
      <c r="M2255" s="54"/>
      <c r="N2255" s="54"/>
      <c r="O2255" s="54"/>
      <c r="P2255" s="54"/>
      <c r="Q2255" s="54"/>
      <c r="R2255" s="54"/>
      <c r="S2255" s="54"/>
      <c r="T2255" s="54"/>
      <c r="U2255" s="54"/>
      <c r="V2255" s="54"/>
      <c r="W2255" s="54"/>
      <c r="X2255" s="54"/>
      <c r="Y2255" s="54"/>
      <c r="Z2255" s="54"/>
      <c r="AA2255" s="54"/>
      <c r="AB2255" s="54"/>
      <c r="AC2255" s="54"/>
      <c r="AD2255" s="54"/>
      <c r="AE2255" s="54"/>
      <c r="AF2255" s="54"/>
      <c r="AG2255" s="54"/>
      <c r="AH2255" s="54"/>
    </row>
    <row r="2256">
      <c r="A2256" s="80"/>
      <c r="B2256" s="80"/>
      <c r="C2256" s="80"/>
      <c r="D2256" s="80"/>
      <c r="E2256" s="80"/>
      <c r="F2256" s="59"/>
      <c r="G2256" s="59"/>
      <c r="H2256" s="83"/>
      <c r="I2256" s="76"/>
      <c r="J2256" s="76"/>
      <c r="K2256" s="81"/>
      <c r="L2256" s="82"/>
      <c r="M2256" s="54"/>
      <c r="N2256" s="54"/>
      <c r="O2256" s="54"/>
      <c r="P2256" s="54"/>
      <c r="Q2256" s="54"/>
      <c r="R2256" s="54"/>
      <c r="S2256" s="54"/>
      <c r="T2256" s="54"/>
      <c r="U2256" s="54"/>
      <c r="V2256" s="54"/>
      <c r="W2256" s="54"/>
      <c r="X2256" s="54"/>
      <c r="Y2256" s="54"/>
      <c r="Z2256" s="54"/>
      <c r="AA2256" s="54"/>
      <c r="AB2256" s="54"/>
      <c r="AC2256" s="54"/>
      <c r="AD2256" s="54"/>
      <c r="AE2256" s="54"/>
      <c r="AF2256" s="54"/>
      <c r="AG2256" s="54"/>
      <c r="AH2256" s="54"/>
    </row>
    <row r="2257">
      <c r="A2257" s="80"/>
      <c r="B2257" s="80"/>
      <c r="C2257" s="80"/>
      <c r="D2257" s="80"/>
      <c r="E2257" s="80"/>
      <c r="F2257" s="59"/>
      <c r="G2257" s="59"/>
      <c r="H2257" s="83"/>
      <c r="I2257" s="76"/>
      <c r="J2257" s="76"/>
      <c r="K2257" s="81"/>
      <c r="L2257" s="82"/>
      <c r="M2257" s="54"/>
      <c r="N2257" s="54"/>
      <c r="O2257" s="54"/>
      <c r="P2257" s="54"/>
      <c r="Q2257" s="54"/>
      <c r="R2257" s="54"/>
      <c r="S2257" s="54"/>
      <c r="T2257" s="54"/>
      <c r="U2257" s="54"/>
      <c r="V2257" s="54"/>
      <c r="W2257" s="54"/>
      <c r="X2257" s="54"/>
      <c r="Y2257" s="54"/>
      <c r="Z2257" s="54"/>
      <c r="AA2257" s="54"/>
      <c r="AB2257" s="54"/>
      <c r="AC2257" s="54"/>
      <c r="AD2257" s="54"/>
      <c r="AE2257" s="54"/>
      <c r="AF2257" s="54"/>
      <c r="AG2257" s="54"/>
      <c r="AH2257" s="54"/>
    </row>
    <row r="2258">
      <c r="A2258" s="80"/>
      <c r="B2258" s="80"/>
      <c r="C2258" s="80"/>
      <c r="D2258" s="80"/>
      <c r="E2258" s="80"/>
      <c r="F2258" s="59"/>
      <c r="G2258" s="59"/>
      <c r="H2258" s="83"/>
      <c r="I2258" s="76"/>
      <c r="J2258" s="76"/>
      <c r="K2258" s="81"/>
      <c r="L2258" s="82"/>
      <c r="M2258" s="54"/>
      <c r="N2258" s="54"/>
      <c r="O2258" s="54"/>
      <c r="P2258" s="54"/>
      <c r="Q2258" s="54"/>
      <c r="R2258" s="54"/>
      <c r="S2258" s="54"/>
      <c r="T2258" s="54"/>
      <c r="U2258" s="54"/>
      <c r="V2258" s="54"/>
      <c r="W2258" s="54"/>
      <c r="X2258" s="54"/>
      <c r="Y2258" s="54"/>
      <c r="Z2258" s="54"/>
      <c r="AA2258" s="54"/>
      <c r="AB2258" s="54"/>
      <c r="AC2258" s="54"/>
      <c r="AD2258" s="54"/>
      <c r="AE2258" s="54"/>
      <c r="AF2258" s="54"/>
      <c r="AG2258" s="54"/>
      <c r="AH2258" s="54"/>
    </row>
    <row r="2259">
      <c r="A2259" s="80"/>
      <c r="B2259" s="80"/>
      <c r="C2259" s="80"/>
      <c r="D2259" s="80"/>
      <c r="E2259" s="80"/>
      <c r="F2259" s="59"/>
      <c r="G2259" s="59"/>
      <c r="H2259" s="83"/>
      <c r="I2259" s="76"/>
      <c r="J2259" s="76"/>
      <c r="K2259" s="81"/>
      <c r="L2259" s="82"/>
      <c r="M2259" s="54"/>
      <c r="N2259" s="54"/>
      <c r="O2259" s="54"/>
      <c r="P2259" s="54"/>
      <c r="Q2259" s="54"/>
      <c r="R2259" s="54"/>
      <c r="S2259" s="54"/>
      <c r="T2259" s="54"/>
      <c r="U2259" s="54"/>
      <c r="V2259" s="54"/>
      <c r="W2259" s="54"/>
      <c r="X2259" s="54"/>
      <c r="Y2259" s="54"/>
      <c r="Z2259" s="54"/>
      <c r="AA2259" s="54"/>
      <c r="AB2259" s="54"/>
      <c r="AC2259" s="54"/>
      <c r="AD2259" s="54"/>
      <c r="AE2259" s="54"/>
      <c r="AF2259" s="54"/>
      <c r="AG2259" s="54"/>
      <c r="AH2259" s="54"/>
    </row>
    <row r="2260">
      <c r="A2260" s="80"/>
      <c r="B2260" s="80"/>
      <c r="C2260" s="80"/>
      <c r="D2260" s="80"/>
      <c r="E2260" s="80"/>
      <c r="F2260" s="59"/>
      <c r="G2260" s="59"/>
      <c r="H2260" s="83"/>
      <c r="I2260" s="76"/>
      <c r="J2260" s="76"/>
      <c r="K2260" s="81"/>
      <c r="L2260" s="82"/>
      <c r="M2260" s="54"/>
      <c r="N2260" s="54"/>
      <c r="O2260" s="54"/>
      <c r="P2260" s="54"/>
      <c r="Q2260" s="54"/>
      <c r="R2260" s="54"/>
      <c r="S2260" s="54"/>
      <c r="T2260" s="54"/>
      <c r="U2260" s="54"/>
      <c r="V2260" s="54"/>
      <c r="W2260" s="54"/>
      <c r="X2260" s="54"/>
      <c r="Y2260" s="54"/>
      <c r="Z2260" s="54"/>
      <c r="AA2260" s="54"/>
      <c r="AB2260" s="54"/>
      <c r="AC2260" s="54"/>
      <c r="AD2260" s="54"/>
      <c r="AE2260" s="54"/>
      <c r="AF2260" s="54"/>
      <c r="AG2260" s="54"/>
      <c r="AH2260" s="54"/>
    </row>
    <row r="2261">
      <c r="A2261" s="80"/>
      <c r="B2261" s="80"/>
      <c r="C2261" s="80"/>
      <c r="D2261" s="80"/>
      <c r="E2261" s="80"/>
      <c r="F2261" s="59"/>
      <c r="G2261" s="59"/>
      <c r="H2261" s="83"/>
      <c r="I2261" s="76"/>
      <c r="J2261" s="76"/>
      <c r="K2261" s="81"/>
      <c r="L2261" s="82"/>
      <c r="M2261" s="54"/>
      <c r="N2261" s="54"/>
      <c r="O2261" s="54"/>
      <c r="P2261" s="54"/>
      <c r="Q2261" s="54"/>
      <c r="R2261" s="54"/>
      <c r="S2261" s="54"/>
      <c r="T2261" s="54"/>
      <c r="U2261" s="54"/>
      <c r="V2261" s="54"/>
      <c r="W2261" s="54"/>
      <c r="X2261" s="54"/>
      <c r="Y2261" s="54"/>
      <c r="Z2261" s="54"/>
      <c r="AA2261" s="54"/>
      <c r="AB2261" s="54"/>
      <c r="AC2261" s="54"/>
      <c r="AD2261" s="54"/>
      <c r="AE2261" s="54"/>
      <c r="AF2261" s="54"/>
      <c r="AG2261" s="54"/>
      <c r="AH2261" s="54"/>
    </row>
    <row r="2262">
      <c r="A2262" s="80"/>
      <c r="B2262" s="80"/>
      <c r="C2262" s="80"/>
      <c r="D2262" s="80"/>
      <c r="E2262" s="80"/>
      <c r="F2262" s="59"/>
      <c r="G2262" s="59"/>
      <c r="H2262" s="83"/>
      <c r="I2262" s="76"/>
      <c r="J2262" s="76"/>
      <c r="K2262" s="81"/>
      <c r="L2262" s="82"/>
      <c r="M2262" s="54"/>
      <c r="N2262" s="54"/>
      <c r="O2262" s="54"/>
      <c r="P2262" s="54"/>
      <c r="Q2262" s="54"/>
      <c r="R2262" s="54"/>
      <c r="S2262" s="54"/>
      <c r="T2262" s="54"/>
      <c r="U2262" s="54"/>
      <c r="V2262" s="54"/>
      <c r="W2262" s="54"/>
      <c r="X2262" s="54"/>
      <c r="Y2262" s="54"/>
      <c r="Z2262" s="54"/>
      <c r="AA2262" s="54"/>
      <c r="AB2262" s="54"/>
      <c r="AC2262" s="54"/>
      <c r="AD2262" s="54"/>
      <c r="AE2262" s="54"/>
      <c r="AF2262" s="54"/>
      <c r="AG2262" s="54"/>
      <c r="AH2262" s="54"/>
    </row>
    <row r="2263">
      <c r="A2263" s="80"/>
      <c r="B2263" s="80"/>
      <c r="C2263" s="80"/>
      <c r="D2263" s="80"/>
      <c r="E2263" s="80"/>
      <c r="F2263" s="59"/>
      <c r="G2263" s="59"/>
      <c r="H2263" s="83"/>
      <c r="I2263" s="76"/>
      <c r="J2263" s="76"/>
      <c r="K2263" s="81"/>
      <c r="L2263" s="82"/>
      <c r="M2263" s="54"/>
      <c r="N2263" s="54"/>
      <c r="O2263" s="54"/>
      <c r="P2263" s="54"/>
      <c r="Q2263" s="54"/>
      <c r="R2263" s="54"/>
      <c r="S2263" s="54"/>
      <c r="T2263" s="54"/>
      <c r="U2263" s="54"/>
      <c r="V2263" s="54"/>
      <c r="W2263" s="54"/>
      <c r="X2263" s="54"/>
      <c r="Y2263" s="54"/>
      <c r="Z2263" s="54"/>
      <c r="AA2263" s="54"/>
      <c r="AB2263" s="54"/>
      <c r="AC2263" s="54"/>
      <c r="AD2263" s="54"/>
      <c r="AE2263" s="54"/>
      <c r="AF2263" s="54"/>
      <c r="AG2263" s="54"/>
      <c r="AH2263" s="54"/>
    </row>
    <row r="2264">
      <c r="A2264" s="80"/>
      <c r="B2264" s="80"/>
      <c r="C2264" s="80"/>
      <c r="D2264" s="80"/>
      <c r="E2264" s="80"/>
      <c r="F2264" s="59"/>
      <c r="G2264" s="59"/>
      <c r="H2264" s="83"/>
      <c r="I2264" s="76"/>
      <c r="J2264" s="76"/>
      <c r="K2264" s="81"/>
      <c r="L2264" s="82"/>
      <c r="M2264" s="54"/>
      <c r="N2264" s="54"/>
      <c r="O2264" s="54"/>
      <c r="P2264" s="54"/>
      <c r="Q2264" s="54"/>
      <c r="R2264" s="54"/>
      <c r="S2264" s="54"/>
      <c r="T2264" s="54"/>
      <c r="U2264" s="54"/>
      <c r="V2264" s="54"/>
      <c r="W2264" s="54"/>
      <c r="X2264" s="54"/>
      <c r="Y2264" s="54"/>
      <c r="Z2264" s="54"/>
      <c r="AA2264" s="54"/>
      <c r="AB2264" s="54"/>
      <c r="AC2264" s="54"/>
      <c r="AD2264" s="54"/>
      <c r="AE2264" s="54"/>
      <c r="AF2264" s="54"/>
      <c r="AG2264" s="54"/>
      <c r="AH2264" s="54"/>
    </row>
    <row r="2265">
      <c r="A2265" s="80"/>
      <c r="B2265" s="80"/>
      <c r="C2265" s="80"/>
      <c r="D2265" s="80"/>
      <c r="E2265" s="80"/>
      <c r="F2265" s="59"/>
      <c r="G2265" s="59"/>
      <c r="H2265" s="83"/>
      <c r="I2265" s="76"/>
      <c r="J2265" s="76"/>
      <c r="K2265" s="81"/>
      <c r="L2265" s="82"/>
      <c r="M2265" s="54"/>
      <c r="N2265" s="54"/>
      <c r="O2265" s="54"/>
      <c r="P2265" s="54"/>
      <c r="Q2265" s="54"/>
      <c r="R2265" s="54"/>
      <c r="S2265" s="54"/>
      <c r="T2265" s="54"/>
      <c r="U2265" s="54"/>
      <c r="V2265" s="54"/>
      <c r="W2265" s="54"/>
      <c r="X2265" s="54"/>
      <c r="Y2265" s="54"/>
      <c r="Z2265" s="54"/>
      <c r="AA2265" s="54"/>
      <c r="AB2265" s="54"/>
      <c r="AC2265" s="54"/>
      <c r="AD2265" s="54"/>
      <c r="AE2265" s="54"/>
      <c r="AF2265" s="54"/>
      <c r="AG2265" s="54"/>
      <c r="AH2265" s="54"/>
    </row>
    <row r="2266">
      <c r="A2266" s="80"/>
      <c r="B2266" s="80"/>
      <c r="C2266" s="80"/>
      <c r="D2266" s="80"/>
      <c r="E2266" s="80"/>
      <c r="F2266" s="59"/>
      <c r="G2266" s="59"/>
      <c r="H2266" s="83"/>
      <c r="I2266" s="76"/>
      <c r="J2266" s="76"/>
      <c r="K2266" s="81"/>
      <c r="L2266" s="82"/>
      <c r="M2266" s="54"/>
      <c r="N2266" s="54"/>
      <c r="O2266" s="54"/>
      <c r="P2266" s="54"/>
      <c r="Q2266" s="54"/>
      <c r="R2266" s="54"/>
      <c r="S2266" s="54"/>
      <c r="T2266" s="54"/>
      <c r="U2266" s="54"/>
      <c r="V2266" s="54"/>
      <c r="W2266" s="54"/>
      <c r="X2266" s="54"/>
      <c r="Y2266" s="54"/>
      <c r="Z2266" s="54"/>
      <c r="AA2266" s="54"/>
      <c r="AB2266" s="54"/>
      <c r="AC2266" s="54"/>
      <c r="AD2266" s="54"/>
      <c r="AE2266" s="54"/>
      <c r="AF2266" s="54"/>
      <c r="AG2266" s="54"/>
      <c r="AH2266" s="54"/>
    </row>
    <row r="2267">
      <c r="A2267" s="80"/>
      <c r="B2267" s="80"/>
      <c r="C2267" s="80"/>
      <c r="D2267" s="80"/>
      <c r="E2267" s="80"/>
      <c r="F2267" s="59"/>
      <c r="G2267" s="59"/>
      <c r="H2267" s="83"/>
      <c r="I2267" s="76"/>
      <c r="J2267" s="76"/>
      <c r="K2267" s="81"/>
      <c r="L2267" s="82"/>
      <c r="M2267" s="54"/>
      <c r="N2267" s="54"/>
      <c r="O2267" s="54"/>
      <c r="P2267" s="54"/>
      <c r="Q2267" s="54"/>
      <c r="R2267" s="54"/>
      <c r="S2267" s="54"/>
      <c r="T2267" s="54"/>
      <c r="U2267" s="54"/>
      <c r="V2267" s="54"/>
      <c r="W2267" s="54"/>
      <c r="X2267" s="54"/>
      <c r="Y2267" s="54"/>
      <c r="Z2267" s="54"/>
      <c r="AA2267" s="54"/>
      <c r="AB2267" s="54"/>
      <c r="AC2267" s="54"/>
      <c r="AD2267" s="54"/>
      <c r="AE2267" s="54"/>
      <c r="AF2267" s="54"/>
      <c r="AG2267" s="54"/>
      <c r="AH2267" s="54"/>
    </row>
    <row r="2268">
      <c r="A2268" s="80"/>
      <c r="B2268" s="80"/>
      <c r="C2268" s="80"/>
      <c r="D2268" s="80"/>
      <c r="E2268" s="80"/>
      <c r="F2268" s="59"/>
      <c r="G2268" s="59"/>
      <c r="H2268" s="83"/>
      <c r="I2268" s="76"/>
      <c r="J2268" s="76"/>
      <c r="K2268" s="81"/>
      <c r="L2268" s="82"/>
      <c r="M2268" s="54"/>
      <c r="N2268" s="54"/>
      <c r="O2268" s="54"/>
      <c r="P2268" s="54"/>
      <c r="Q2268" s="54"/>
      <c r="R2268" s="54"/>
      <c r="S2268" s="54"/>
      <c r="T2268" s="54"/>
      <c r="U2268" s="54"/>
      <c r="V2268" s="54"/>
      <c r="W2268" s="54"/>
      <c r="X2268" s="54"/>
      <c r="Y2268" s="54"/>
      <c r="Z2268" s="54"/>
      <c r="AA2268" s="54"/>
      <c r="AB2268" s="54"/>
      <c r="AC2268" s="54"/>
      <c r="AD2268" s="54"/>
      <c r="AE2268" s="54"/>
      <c r="AF2268" s="54"/>
      <c r="AG2268" s="54"/>
      <c r="AH2268" s="54"/>
    </row>
    <row r="2269">
      <c r="A2269" s="80"/>
      <c r="B2269" s="80"/>
      <c r="C2269" s="80"/>
      <c r="D2269" s="80"/>
      <c r="E2269" s="80"/>
      <c r="F2269" s="59"/>
      <c r="G2269" s="59"/>
      <c r="H2269" s="83"/>
      <c r="I2269" s="76"/>
      <c r="J2269" s="76"/>
      <c r="K2269" s="81"/>
      <c r="L2269" s="82"/>
      <c r="M2269" s="54"/>
      <c r="N2269" s="54"/>
      <c r="O2269" s="54"/>
      <c r="P2269" s="54"/>
      <c r="Q2269" s="54"/>
      <c r="R2269" s="54"/>
      <c r="S2269" s="54"/>
      <c r="T2269" s="54"/>
      <c r="U2269" s="54"/>
      <c r="V2269" s="54"/>
      <c r="W2269" s="54"/>
      <c r="X2269" s="54"/>
      <c r="Y2269" s="54"/>
      <c r="Z2269" s="54"/>
      <c r="AA2269" s="54"/>
      <c r="AB2269" s="54"/>
      <c r="AC2269" s="54"/>
      <c r="AD2269" s="54"/>
      <c r="AE2269" s="54"/>
      <c r="AF2269" s="54"/>
      <c r="AG2269" s="54"/>
      <c r="AH2269" s="54"/>
    </row>
    <row r="2270">
      <c r="A2270" s="80"/>
      <c r="B2270" s="80"/>
      <c r="C2270" s="80"/>
      <c r="D2270" s="80"/>
      <c r="E2270" s="80"/>
      <c r="F2270" s="59"/>
      <c r="G2270" s="59"/>
      <c r="H2270" s="83"/>
      <c r="I2270" s="76"/>
      <c r="J2270" s="76"/>
      <c r="K2270" s="81"/>
      <c r="L2270" s="82"/>
      <c r="M2270" s="54"/>
      <c r="N2270" s="54"/>
      <c r="O2270" s="54"/>
      <c r="P2270" s="54"/>
      <c r="Q2270" s="54"/>
      <c r="R2270" s="54"/>
      <c r="S2270" s="54"/>
      <c r="T2270" s="54"/>
      <c r="U2270" s="54"/>
      <c r="V2270" s="54"/>
      <c r="W2270" s="54"/>
      <c r="X2270" s="54"/>
      <c r="Y2270" s="54"/>
      <c r="Z2270" s="54"/>
      <c r="AA2270" s="54"/>
      <c r="AB2270" s="54"/>
      <c r="AC2270" s="54"/>
      <c r="AD2270" s="54"/>
      <c r="AE2270" s="54"/>
      <c r="AF2270" s="54"/>
      <c r="AG2270" s="54"/>
      <c r="AH2270" s="54"/>
    </row>
    <row r="2271">
      <c r="A2271" s="80"/>
      <c r="B2271" s="80"/>
      <c r="C2271" s="80"/>
      <c r="D2271" s="80"/>
      <c r="E2271" s="80"/>
      <c r="F2271" s="59"/>
      <c r="G2271" s="59"/>
      <c r="H2271" s="83"/>
      <c r="I2271" s="76"/>
      <c r="J2271" s="76"/>
      <c r="K2271" s="81"/>
      <c r="L2271" s="82"/>
      <c r="M2271" s="54"/>
      <c r="N2271" s="54"/>
      <c r="O2271" s="54"/>
      <c r="P2271" s="54"/>
      <c r="Q2271" s="54"/>
      <c r="R2271" s="54"/>
      <c r="S2271" s="54"/>
      <c r="T2271" s="54"/>
      <c r="U2271" s="54"/>
      <c r="V2271" s="54"/>
      <c r="W2271" s="54"/>
      <c r="X2271" s="54"/>
      <c r="Y2271" s="54"/>
      <c r="Z2271" s="54"/>
      <c r="AA2271" s="54"/>
      <c r="AB2271" s="54"/>
      <c r="AC2271" s="54"/>
      <c r="AD2271" s="54"/>
      <c r="AE2271" s="54"/>
      <c r="AF2271" s="54"/>
      <c r="AG2271" s="54"/>
      <c r="AH2271" s="54"/>
    </row>
    <row r="2272">
      <c r="A2272" s="80"/>
      <c r="B2272" s="80"/>
      <c r="C2272" s="80"/>
      <c r="D2272" s="80"/>
      <c r="E2272" s="80"/>
      <c r="F2272" s="59"/>
      <c r="G2272" s="59"/>
      <c r="H2272" s="83"/>
      <c r="I2272" s="76"/>
      <c r="J2272" s="76"/>
      <c r="K2272" s="81"/>
      <c r="L2272" s="82"/>
      <c r="M2272" s="54"/>
      <c r="N2272" s="54"/>
      <c r="O2272" s="54"/>
      <c r="P2272" s="54"/>
      <c r="Q2272" s="54"/>
      <c r="R2272" s="54"/>
      <c r="S2272" s="54"/>
      <c r="T2272" s="54"/>
      <c r="U2272" s="54"/>
      <c r="V2272" s="54"/>
      <c r="W2272" s="54"/>
      <c r="X2272" s="54"/>
      <c r="Y2272" s="54"/>
      <c r="Z2272" s="54"/>
      <c r="AA2272" s="54"/>
      <c r="AB2272" s="54"/>
      <c r="AC2272" s="54"/>
      <c r="AD2272" s="54"/>
      <c r="AE2272" s="54"/>
      <c r="AF2272" s="54"/>
      <c r="AG2272" s="54"/>
      <c r="AH2272" s="54"/>
    </row>
    <row r="2273">
      <c r="A2273" s="80"/>
      <c r="B2273" s="80"/>
      <c r="C2273" s="80"/>
      <c r="D2273" s="80"/>
      <c r="E2273" s="80"/>
      <c r="F2273" s="59"/>
      <c r="G2273" s="59"/>
      <c r="H2273" s="83"/>
      <c r="I2273" s="76"/>
      <c r="J2273" s="76"/>
      <c r="K2273" s="81"/>
      <c r="L2273" s="82"/>
      <c r="M2273" s="54"/>
      <c r="N2273" s="54"/>
      <c r="O2273" s="54"/>
      <c r="P2273" s="54"/>
      <c r="Q2273" s="54"/>
      <c r="R2273" s="54"/>
      <c r="S2273" s="54"/>
      <c r="T2273" s="54"/>
      <c r="U2273" s="54"/>
      <c r="V2273" s="54"/>
      <c r="W2273" s="54"/>
      <c r="X2273" s="54"/>
      <c r="Y2273" s="54"/>
      <c r="Z2273" s="54"/>
      <c r="AA2273" s="54"/>
      <c r="AB2273" s="54"/>
      <c r="AC2273" s="54"/>
      <c r="AD2273" s="54"/>
      <c r="AE2273" s="54"/>
      <c r="AF2273" s="54"/>
      <c r="AG2273" s="54"/>
      <c r="AH2273" s="54"/>
    </row>
    <row r="2274">
      <c r="A2274" s="80"/>
      <c r="B2274" s="80"/>
      <c r="C2274" s="80"/>
      <c r="D2274" s="80"/>
      <c r="E2274" s="80"/>
      <c r="F2274" s="59"/>
      <c r="G2274" s="59"/>
      <c r="H2274" s="83"/>
      <c r="I2274" s="76"/>
      <c r="J2274" s="76"/>
      <c r="K2274" s="81"/>
      <c r="L2274" s="82"/>
      <c r="M2274" s="54"/>
      <c r="N2274" s="54"/>
      <c r="O2274" s="54"/>
      <c r="P2274" s="54"/>
      <c r="Q2274" s="54"/>
      <c r="R2274" s="54"/>
      <c r="S2274" s="54"/>
      <c r="T2274" s="54"/>
      <c r="U2274" s="54"/>
      <c r="V2274" s="54"/>
      <c r="W2274" s="54"/>
      <c r="X2274" s="54"/>
      <c r="Y2274" s="54"/>
      <c r="Z2274" s="54"/>
      <c r="AA2274" s="54"/>
      <c r="AB2274" s="54"/>
      <c r="AC2274" s="54"/>
      <c r="AD2274" s="54"/>
      <c r="AE2274" s="54"/>
      <c r="AF2274" s="54"/>
      <c r="AG2274" s="54"/>
      <c r="AH2274" s="54"/>
    </row>
    <row r="2275">
      <c r="A2275" s="80"/>
      <c r="B2275" s="80"/>
      <c r="C2275" s="80"/>
      <c r="D2275" s="80"/>
      <c r="E2275" s="80"/>
      <c r="F2275" s="59"/>
      <c r="G2275" s="59"/>
      <c r="H2275" s="83"/>
      <c r="I2275" s="76"/>
      <c r="J2275" s="76"/>
      <c r="K2275" s="81"/>
      <c r="L2275" s="82"/>
      <c r="M2275" s="54"/>
      <c r="N2275" s="54"/>
      <c r="O2275" s="54"/>
      <c r="P2275" s="54"/>
      <c r="Q2275" s="54"/>
      <c r="R2275" s="54"/>
      <c r="S2275" s="54"/>
      <c r="T2275" s="54"/>
      <c r="U2275" s="54"/>
      <c r="V2275" s="54"/>
      <c r="W2275" s="54"/>
      <c r="X2275" s="54"/>
      <c r="Y2275" s="54"/>
      <c r="Z2275" s="54"/>
      <c r="AA2275" s="54"/>
      <c r="AB2275" s="54"/>
      <c r="AC2275" s="54"/>
      <c r="AD2275" s="54"/>
      <c r="AE2275" s="54"/>
      <c r="AF2275" s="54"/>
      <c r="AG2275" s="54"/>
      <c r="AH2275" s="54"/>
    </row>
    <row r="2276">
      <c r="A2276" s="80"/>
      <c r="B2276" s="80"/>
      <c r="C2276" s="80"/>
      <c r="D2276" s="80"/>
      <c r="E2276" s="80"/>
      <c r="F2276" s="59"/>
      <c r="G2276" s="59"/>
      <c r="H2276" s="83"/>
      <c r="I2276" s="76"/>
      <c r="J2276" s="76"/>
      <c r="K2276" s="81"/>
      <c r="L2276" s="82"/>
      <c r="M2276" s="54"/>
      <c r="N2276" s="54"/>
      <c r="O2276" s="54"/>
      <c r="P2276" s="54"/>
      <c r="Q2276" s="54"/>
      <c r="R2276" s="54"/>
      <c r="S2276" s="54"/>
      <c r="T2276" s="54"/>
      <c r="U2276" s="54"/>
      <c r="V2276" s="54"/>
      <c r="W2276" s="54"/>
      <c r="X2276" s="54"/>
      <c r="Y2276" s="54"/>
      <c r="Z2276" s="54"/>
      <c r="AA2276" s="54"/>
      <c r="AB2276" s="54"/>
      <c r="AC2276" s="54"/>
      <c r="AD2276" s="54"/>
      <c r="AE2276" s="54"/>
      <c r="AF2276" s="54"/>
      <c r="AG2276" s="54"/>
      <c r="AH2276" s="54"/>
    </row>
    <row r="2277">
      <c r="A2277" s="80"/>
      <c r="B2277" s="80"/>
      <c r="C2277" s="80"/>
      <c r="D2277" s="80"/>
      <c r="E2277" s="80"/>
      <c r="F2277" s="59"/>
      <c r="G2277" s="59"/>
      <c r="H2277" s="83"/>
      <c r="I2277" s="76"/>
      <c r="J2277" s="76"/>
      <c r="K2277" s="81"/>
      <c r="L2277" s="82"/>
      <c r="M2277" s="54"/>
      <c r="N2277" s="54"/>
      <c r="O2277" s="54"/>
      <c r="P2277" s="54"/>
      <c r="Q2277" s="54"/>
      <c r="R2277" s="54"/>
      <c r="S2277" s="54"/>
      <c r="T2277" s="54"/>
      <c r="U2277" s="54"/>
      <c r="V2277" s="54"/>
      <c r="W2277" s="54"/>
      <c r="X2277" s="54"/>
      <c r="Y2277" s="54"/>
      <c r="Z2277" s="54"/>
      <c r="AA2277" s="54"/>
      <c r="AB2277" s="54"/>
      <c r="AC2277" s="54"/>
      <c r="AD2277" s="54"/>
      <c r="AE2277" s="54"/>
      <c r="AF2277" s="54"/>
      <c r="AG2277" s="54"/>
      <c r="AH2277" s="54"/>
    </row>
    <row r="2278">
      <c r="A2278" s="80"/>
      <c r="B2278" s="80"/>
      <c r="C2278" s="80"/>
      <c r="D2278" s="80"/>
      <c r="E2278" s="80"/>
      <c r="F2278" s="59"/>
      <c r="G2278" s="59"/>
      <c r="H2278" s="83"/>
      <c r="I2278" s="76"/>
      <c r="J2278" s="76"/>
      <c r="K2278" s="81"/>
      <c r="L2278" s="82"/>
      <c r="M2278" s="54"/>
      <c r="N2278" s="54"/>
      <c r="O2278" s="54"/>
      <c r="P2278" s="54"/>
      <c r="Q2278" s="54"/>
      <c r="R2278" s="54"/>
      <c r="S2278" s="54"/>
      <c r="T2278" s="54"/>
      <c r="U2278" s="54"/>
      <c r="V2278" s="54"/>
      <c r="W2278" s="54"/>
      <c r="X2278" s="54"/>
      <c r="Y2278" s="54"/>
      <c r="Z2278" s="54"/>
      <c r="AA2278" s="54"/>
      <c r="AB2278" s="54"/>
      <c r="AC2278" s="54"/>
      <c r="AD2278" s="54"/>
      <c r="AE2278" s="54"/>
      <c r="AF2278" s="54"/>
      <c r="AG2278" s="54"/>
      <c r="AH2278" s="54"/>
    </row>
    <row r="2279">
      <c r="A2279" s="80"/>
      <c r="B2279" s="80"/>
      <c r="C2279" s="80"/>
      <c r="D2279" s="80"/>
      <c r="E2279" s="80"/>
      <c r="F2279" s="59"/>
      <c r="G2279" s="59"/>
      <c r="H2279" s="83"/>
      <c r="I2279" s="76"/>
      <c r="J2279" s="76"/>
      <c r="K2279" s="81"/>
      <c r="L2279" s="82"/>
      <c r="M2279" s="54"/>
      <c r="N2279" s="54"/>
      <c r="O2279" s="54"/>
      <c r="P2279" s="54"/>
      <c r="Q2279" s="54"/>
      <c r="R2279" s="54"/>
      <c r="S2279" s="54"/>
      <c r="T2279" s="54"/>
      <c r="U2279" s="54"/>
      <c r="V2279" s="54"/>
      <c r="W2279" s="54"/>
      <c r="X2279" s="54"/>
      <c r="Y2279" s="54"/>
      <c r="Z2279" s="54"/>
      <c r="AA2279" s="54"/>
      <c r="AB2279" s="54"/>
      <c r="AC2279" s="54"/>
      <c r="AD2279" s="54"/>
      <c r="AE2279" s="54"/>
      <c r="AF2279" s="54"/>
      <c r="AG2279" s="54"/>
      <c r="AH2279" s="54"/>
    </row>
    <row r="2280">
      <c r="A2280" s="80"/>
      <c r="B2280" s="80"/>
      <c r="C2280" s="80"/>
      <c r="D2280" s="80"/>
      <c r="E2280" s="80"/>
      <c r="F2280" s="59"/>
      <c r="G2280" s="59"/>
      <c r="H2280" s="83"/>
      <c r="I2280" s="76"/>
      <c r="J2280" s="76"/>
      <c r="K2280" s="81"/>
      <c r="L2280" s="82"/>
      <c r="M2280" s="54"/>
      <c r="N2280" s="54"/>
      <c r="O2280" s="54"/>
      <c r="P2280" s="54"/>
      <c r="Q2280" s="54"/>
      <c r="R2280" s="54"/>
      <c r="S2280" s="54"/>
      <c r="T2280" s="54"/>
      <c r="U2280" s="54"/>
      <c r="V2280" s="54"/>
      <c r="W2280" s="54"/>
      <c r="X2280" s="54"/>
      <c r="Y2280" s="54"/>
      <c r="Z2280" s="54"/>
      <c r="AA2280" s="54"/>
      <c r="AB2280" s="54"/>
      <c r="AC2280" s="54"/>
      <c r="AD2280" s="54"/>
      <c r="AE2280" s="54"/>
      <c r="AF2280" s="54"/>
      <c r="AG2280" s="54"/>
      <c r="AH2280" s="54"/>
    </row>
    <row r="2281">
      <c r="A2281" s="80"/>
      <c r="B2281" s="80"/>
      <c r="C2281" s="80"/>
      <c r="D2281" s="80"/>
      <c r="E2281" s="80"/>
      <c r="F2281" s="59"/>
      <c r="G2281" s="59"/>
      <c r="H2281" s="83"/>
      <c r="I2281" s="76"/>
      <c r="J2281" s="76"/>
      <c r="K2281" s="81"/>
      <c r="L2281" s="82"/>
      <c r="M2281" s="54"/>
      <c r="N2281" s="54"/>
      <c r="O2281" s="54"/>
      <c r="P2281" s="54"/>
      <c r="Q2281" s="54"/>
      <c r="R2281" s="54"/>
      <c r="S2281" s="54"/>
      <c r="T2281" s="54"/>
      <c r="U2281" s="54"/>
      <c r="V2281" s="54"/>
      <c r="W2281" s="54"/>
      <c r="X2281" s="54"/>
      <c r="Y2281" s="54"/>
      <c r="Z2281" s="54"/>
      <c r="AA2281" s="54"/>
      <c r="AB2281" s="54"/>
      <c r="AC2281" s="54"/>
      <c r="AD2281" s="54"/>
      <c r="AE2281" s="54"/>
      <c r="AF2281" s="54"/>
      <c r="AG2281" s="54"/>
      <c r="AH2281" s="54"/>
    </row>
    <row r="2282">
      <c r="A2282" s="80"/>
      <c r="B2282" s="80"/>
      <c r="C2282" s="80"/>
      <c r="D2282" s="80"/>
      <c r="E2282" s="80"/>
      <c r="F2282" s="59"/>
      <c r="G2282" s="59"/>
      <c r="H2282" s="83"/>
      <c r="I2282" s="76"/>
      <c r="J2282" s="76"/>
      <c r="K2282" s="81"/>
      <c r="L2282" s="82"/>
      <c r="M2282" s="54"/>
      <c r="N2282" s="54"/>
      <c r="O2282" s="54"/>
      <c r="P2282" s="54"/>
      <c r="Q2282" s="54"/>
      <c r="R2282" s="54"/>
      <c r="S2282" s="54"/>
      <c r="T2282" s="54"/>
      <c r="U2282" s="54"/>
      <c r="V2282" s="54"/>
      <c r="W2282" s="54"/>
      <c r="X2282" s="54"/>
      <c r="Y2282" s="54"/>
      <c r="Z2282" s="54"/>
      <c r="AA2282" s="54"/>
      <c r="AB2282" s="54"/>
      <c r="AC2282" s="54"/>
      <c r="AD2282" s="54"/>
      <c r="AE2282" s="54"/>
      <c r="AF2282" s="54"/>
      <c r="AG2282" s="54"/>
      <c r="AH2282" s="54"/>
    </row>
    <row r="2283">
      <c r="A2283" s="80"/>
      <c r="B2283" s="80"/>
      <c r="C2283" s="80"/>
      <c r="D2283" s="80"/>
      <c r="E2283" s="80"/>
      <c r="F2283" s="59"/>
      <c r="G2283" s="59"/>
      <c r="H2283" s="83"/>
      <c r="I2283" s="76"/>
      <c r="J2283" s="76"/>
      <c r="K2283" s="81"/>
      <c r="L2283" s="82"/>
      <c r="M2283" s="54"/>
      <c r="N2283" s="54"/>
      <c r="O2283" s="54"/>
      <c r="P2283" s="54"/>
      <c r="Q2283" s="54"/>
      <c r="R2283" s="54"/>
      <c r="S2283" s="54"/>
      <c r="T2283" s="54"/>
      <c r="U2283" s="54"/>
      <c r="V2283" s="54"/>
      <c r="W2283" s="54"/>
      <c r="X2283" s="54"/>
      <c r="Y2283" s="54"/>
      <c r="Z2283" s="54"/>
      <c r="AA2283" s="54"/>
      <c r="AB2283" s="54"/>
      <c r="AC2283" s="54"/>
      <c r="AD2283" s="54"/>
      <c r="AE2283" s="54"/>
      <c r="AF2283" s="54"/>
      <c r="AG2283" s="54"/>
      <c r="AH2283" s="54"/>
    </row>
    <row r="2284">
      <c r="A2284" s="80"/>
      <c r="B2284" s="80"/>
      <c r="C2284" s="80"/>
      <c r="D2284" s="80"/>
      <c r="E2284" s="80"/>
      <c r="F2284" s="59"/>
      <c r="G2284" s="59"/>
      <c r="H2284" s="83"/>
      <c r="I2284" s="76"/>
      <c r="J2284" s="76"/>
      <c r="K2284" s="81"/>
      <c r="L2284" s="82"/>
      <c r="M2284" s="54"/>
      <c r="N2284" s="54"/>
      <c r="O2284" s="54"/>
      <c r="P2284" s="54"/>
      <c r="Q2284" s="54"/>
      <c r="R2284" s="54"/>
      <c r="S2284" s="54"/>
      <c r="T2284" s="54"/>
      <c r="U2284" s="54"/>
      <c r="V2284" s="54"/>
      <c r="W2284" s="54"/>
      <c r="X2284" s="54"/>
      <c r="Y2284" s="54"/>
      <c r="Z2284" s="54"/>
      <c r="AA2284" s="54"/>
      <c r="AB2284" s="54"/>
      <c r="AC2284" s="54"/>
      <c r="AD2284" s="54"/>
      <c r="AE2284" s="54"/>
      <c r="AF2284" s="54"/>
      <c r="AG2284" s="54"/>
      <c r="AH2284" s="54"/>
    </row>
    <row r="2285">
      <c r="A2285" s="80"/>
      <c r="B2285" s="80"/>
      <c r="C2285" s="80"/>
      <c r="D2285" s="80"/>
      <c r="E2285" s="80"/>
      <c r="F2285" s="59"/>
      <c r="G2285" s="59"/>
      <c r="H2285" s="83"/>
      <c r="I2285" s="76"/>
      <c r="J2285" s="76"/>
      <c r="K2285" s="81"/>
      <c r="L2285" s="82"/>
      <c r="M2285" s="54"/>
      <c r="N2285" s="54"/>
      <c r="O2285" s="54"/>
      <c r="P2285" s="54"/>
      <c r="Q2285" s="54"/>
      <c r="R2285" s="54"/>
      <c r="S2285" s="54"/>
      <c r="T2285" s="54"/>
      <c r="U2285" s="54"/>
      <c r="V2285" s="54"/>
      <c r="W2285" s="54"/>
      <c r="X2285" s="54"/>
      <c r="Y2285" s="54"/>
      <c r="Z2285" s="54"/>
      <c r="AA2285" s="54"/>
      <c r="AB2285" s="54"/>
      <c r="AC2285" s="54"/>
      <c r="AD2285" s="54"/>
      <c r="AE2285" s="54"/>
      <c r="AF2285" s="54"/>
      <c r="AG2285" s="54"/>
      <c r="AH2285" s="54"/>
    </row>
    <row r="2286">
      <c r="A2286" s="80"/>
      <c r="B2286" s="80"/>
      <c r="C2286" s="80"/>
      <c r="D2286" s="80"/>
      <c r="E2286" s="80"/>
      <c r="F2286" s="59"/>
      <c r="G2286" s="59"/>
      <c r="H2286" s="83"/>
      <c r="I2286" s="76"/>
      <c r="J2286" s="76"/>
      <c r="K2286" s="81"/>
      <c r="L2286" s="82"/>
      <c r="M2286" s="54"/>
      <c r="N2286" s="54"/>
      <c r="O2286" s="54"/>
      <c r="P2286" s="54"/>
      <c r="Q2286" s="54"/>
      <c r="R2286" s="54"/>
      <c r="S2286" s="54"/>
      <c r="T2286" s="54"/>
      <c r="U2286" s="54"/>
      <c r="V2286" s="54"/>
      <c r="W2286" s="54"/>
      <c r="X2286" s="54"/>
      <c r="Y2286" s="54"/>
      <c r="Z2286" s="54"/>
      <c r="AA2286" s="54"/>
      <c r="AB2286" s="54"/>
      <c r="AC2286" s="54"/>
      <c r="AD2286" s="54"/>
      <c r="AE2286" s="54"/>
      <c r="AF2286" s="54"/>
      <c r="AG2286" s="54"/>
      <c r="AH2286" s="54"/>
    </row>
    <row r="2287">
      <c r="A2287" s="80"/>
      <c r="B2287" s="80"/>
      <c r="C2287" s="80"/>
      <c r="D2287" s="80"/>
      <c r="E2287" s="80"/>
      <c r="F2287" s="59"/>
      <c r="G2287" s="59"/>
      <c r="H2287" s="83"/>
      <c r="I2287" s="76"/>
      <c r="J2287" s="76"/>
      <c r="K2287" s="81"/>
      <c r="L2287" s="82"/>
      <c r="M2287" s="54"/>
      <c r="N2287" s="54"/>
      <c r="O2287" s="54"/>
      <c r="P2287" s="54"/>
      <c r="Q2287" s="54"/>
      <c r="R2287" s="54"/>
      <c r="S2287" s="54"/>
      <c r="T2287" s="54"/>
      <c r="U2287" s="54"/>
      <c r="V2287" s="54"/>
      <c r="W2287" s="54"/>
      <c r="X2287" s="54"/>
      <c r="Y2287" s="54"/>
      <c r="Z2287" s="54"/>
      <c r="AA2287" s="54"/>
      <c r="AB2287" s="54"/>
      <c r="AC2287" s="54"/>
      <c r="AD2287" s="54"/>
      <c r="AE2287" s="54"/>
      <c r="AF2287" s="54"/>
      <c r="AG2287" s="54"/>
      <c r="AH2287" s="54"/>
    </row>
    <row r="2288">
      <c r="A2288" s="80"/>
      <c r="B2288" s="80"/>
      <c r="C2288" s="80"/>
      <c r="D2288" s="80"/>
      <c r="E2288" s="80"/>
      <c r="F2288" s="59"/>
      <c r="G2288" s="59"/>
      <c r="H2288" s="83"/>
      <c r="I2288" s="76"/>
      <c r="J2288" s="76"/>
      <c r="K2288" s="81"/>
      <c r="L2288" s="82"/>
      <c r="M2288" s="54"/>
      <c r="N2288" s="54"/>
      <c r="O2288" s="54"/>
      <c r="P2288" s="54"/>
      <c r="Q2288" s="54"/>
      <c r="R2288" s="54"/>
      <c r="S2288" s="54"/>
      <c r="T2288" s="54"/>
      <c r="U2288" s="54"/>
      <c r="V2288" s="54"/>
      <c r="W2288" s="54"/>
      <c r="X2288" s="54"/>
      <c r="Y2288" s="54"/>
      <c r="Z2288" s="54"/>
      <c r="AA2288" s="54"/>
      <c r="AB2288" s="54"/>
      <c r="AC2288" s="54"/>
      <c r="AD2288" s="54"/>
      <c r="AE2288" s="54"/>
      <c r="AF2288" s="54"/>
      <c r="AG2288" s="54"/>
      <c r="AH2288" s="54"/>
    </row>
    <row r="2289">
      <c r="A2289" s="80"/>
      <c r="B2289" s="80"/>
      <c r="C2289" s="80"/>
      <c r="D2289" s="80"/>
      <c r="E2289" s="80"/>
      <c r="F2289" s="59"/>
      <c r="G2289" s="59"/>
      <c r="H2289" s="83"/>
      <c r="I2289" s="76"/>
      <c r="J2289" s="76"/>
      <c r="K2289" s="81"/>
      <c r="L2289" s="82"/>
      <c r="M2289" s="54"/>
      <c r="N2289" s="54"/>
      <c r="O2289" s="54"/>
      <c r="P2289" s="54"/>
      <c r="Q2289" s="54"/>
      <c r="R2289" s="54"/>
      <c r="S2289" s="54"/>
      <c r="T2289" s="54"/>
      <c r="U2289" s="54"/>
      <c r="V2289" s="54"/>
      <c r="W2289" s="54"/>
      <c r="X2289" s="54"/>
      <c r="Y2289" s="54"/>
      <c r="Z2289" s="54"/>
      <c r="AA2289" s="54"/>
      <c r="AB2289" s="54"/>
      <c r="AC2289" s="54"/>
      <c r="AD2289" s="54"/>
      <c r="AE2289" s="54"/>
      <c r="AF2289" s="54"/>
      <c r="AG2289" s="54"/>
      <c r="AH2289" s="54"/>
    </row>
    <row r="2290">
      <c r="A2290" s="80"/>
      <c r="B2290" s="80"/>
      <c r="C2290" s="80"/>
      <c r="D2290" s="80"/>
      <c r="E2290" s="80"/>
      <c r="F2290" s="59"/>
      <c r="G2290" s="59"/>
      <c r="H2290" s="83"/>
      <c r="I2290" s="76"/>
      <c r="J2290" s="76"/>
      <c r="K2290" s="81"/>
      <c r="L2290" s="82"/>
      <c r="M2290" s="54"/>
      <c r="N2290" s="54"/>
      <c r="O2290" s="54"/>
      <c r="P2290" s="54"/>
      <c r="Q2290" s="54"/>
      <c r="R2290" s="54"/>
      <c r="S2290" s="54"/>
      <c r="T2290" s="54"/>
      <c r="U2290" s="54"/>
      <c r="V2290" s="54"/>
      <c r="W2290" s="54"/>
      <c r="X2290" s="54"/>
      <c r="Y2290" s="54"/>
      <c r="Z2290" s="54"/>
      <c r="AA2290" s="54"/>
      <c r="AB2290" s="54"/>
      <c r="AC2290" s="54"/>
      <c r="AD2290" s="54"/>
      <c r="AE2290" s="54"/>
      <c r="AF2290" s="54"/>
      <c r="AG2290" s="54"/>
      <c r="AH2290" s="54"/>
    </row>
    <row r="2291">
      <c r="A2291" s="80"/>
      <c r="B2291" s="80"/>
      <c r="C2291" s="80"/>
      <c r="D2291" s="80"/>
      <c r="E2291" s="80"/>
      <c r="F2291" s="59"/>
      <c r="G2291" s="59"/>
      <c r="H2291" s="83"/>
      <c r="I2291" s="76"/>
      <c r="J2291" s="76"/>
      <c r="K2291" s="81"/>
      <c r="L2291" s="82"/>
      <c r="M2291" s="54"/>
      <c r="N2291" s="54"/>
      <c r="O2291" s="54"/>
      <c r="P2291" s="54"/>
      <c r="Q2291" s="54"/>
      <c r="R2291" s="54"/>
      <c r="S2291" s="54"/>
      <c r="T2291" s="54"/>
      <c r="U2291" s="54"/>
      <c r="V2291" s="54"/>
      <c r="W2291" s="54"/>
      <c r="X2291" s="54"/>
      <c r="Y2291" s="54"/>
      <c r="Z2291" s="54"/>
      <c r="AA2291" s="54"/>
      <c r="AB2291" s="54"/>
      <c r="AC2291" s="54"/>
      <c r="AD2291" s="54"/>
      <c r="AE2291" s="54"/>
      <c r="AF2291" s="54"/>
      <c r="AG2291" s="54"/>
      <c r="AH2291" s="54"/>
    </row>
    <row r="2292">
      <c r="A2292" s="80"/>
      <c r="B2292" s="80"/>
      <c r="C2292" s="80"/>
      <c r="D2292" s="80"/>
      <c r="E2292" s="80"/>
      <c r="F2292" s="59"/>
      <c r="G2292" s="59"/>
      <c r="H2292" s="83"/>
      <c r="I2292" s="76"/>
      <c r="J2292" s="76"/>
      <c r="K2292" s="81"/>
      <c r="L2292" s="82"/>
      <c r="M2292" s="54"/>
      <c r="N2292" s="54"/>
      <c r="O2292" s="54"/>
      <c r="P2292" s="54"/>
      <c r="Q2292" s="54"/>
      <c r="R2292" s="54"/>
      <c r="S2292" s="54"/>
      <c r="T2292" s="54"/>
      <c r="U2292" s="54"/>
      <c r="V2292" s="54"/>
      <c r="W2292" s="54"/>
      <c r="X2292" s="54"/>
      <c r="Y2292" s="54"/>
      <c r="Z2292" s="54"/>
      <c r="AA2292" s="54"/>
      <c r="AB2292" s="54"/>
      <c r="AC2292" s="54"/>
      <c r="AD2292" s="54"/>
      <c r="AE2292" s="54"/>
      <c r="AF2292" s="54"/>
      <c r="AG2292" s="54"/>
      <c r="AH2292" s="54"/>
    </row>
    <row r="2293">
      <c r="A2293" s="80"/>
      <c r="B2293" s="80"/>
      <c r="C2293" s="80"/>
      <c r="D2293" s="80"/>
      <c r="E2293" s="80"/>
      <c r="F2293" s="59"/>
      <c r="G2293" s="59"/>
      <c r="H2293" s="83"/>
      <c r="I2293" s="76"/>
      <c r="J2293" s="76"/>
      <c r="K2293" s="81"/>
      <c r="L2293" s="82"/>
      <c r="M2293" s="54"/>
      <c r="N2293" s="54"/>
      <c r="O2293" s="54"/>
      <c r="P2293" s="54"/>
      <c r="Q2293" s="54"/>
      <c r="R2293" s="54"/>
      <c r="S2293" s="54"/>
      <c r="T2293" s="54"/>
      <c r="U2293" s="54"/>
      <c r="V2293" s="54"/>
      <c r="W2293" s="54"/>
      <c r="X2293" s="54"/>
      <c r="Y2293" s="54"/>
      <c r="Z2293" s="54"/>
      <c r="AA2293" s="54"/>
      <c r="AB2293" s="54"/>
      <c r="AC2293" s="54"/>
      <c r="AD2293" s="54"/>
      <c r="AE2293" s="54"/>
      <c r="AF2293" s="54"/>
      <c r="AG2293" s="54"/>
      <c r="AH2293" s="54"/>
    </row>
    <row r="2294">
      <c r="A2294" s="80"/>
      <c r="B2294" s="80"/>
      <c r="C2294" s="80"/>
      <c r="D2294" s="80"/>
      <c r="E2294" s="80"/>
      <c r="F2294" s="59"/>
      <c r="G2294" s="59"/>
      <c r="H2294" s="83"/>
      <c r="I2294" s="76"/>
      <c r="J2294" s="76"/>
      <c r="K2294" s="81"/>
      <c r="L2294" s="82"/>
      <c r="M2294" s="54"/>
      <c r="N2294" s="54"/>
      <c r="O2294" s="54"/>
      <c r="P2294" s="54"/>
      <c r="Q2294" s="54"/>
      <c r="R2294" s="54"/>
      <c r="S2294" s="54"/>
      <c r="T2294" s="54"/>
      <c r="U2294" s="54"/>
      <c r="V2294" s="54"/>
      <c r="W2294" s="54"/>
      <c r="X2294" s="54"/>
      <c r="Y2294" s="54"/>
      <c r="Z2294" s="54"/>
      <c r="AA2294" s="54"/>
      <c r="AB2294" s="54"/>
      <c r="AC2294" s="54"/>
      <c r="AD2294" s="54"/>
      <c r="AE2294" s="54"/>
      <c r="AF2294" s="54"/>
      <c r="AG2294" s="54"/>
      <c r="AH2294" s="54"/>
    </row>
    <row r="2295">
      <c r="A2295" s="80"/>
      <c r="B2295" s="80"/>
      <c r="C2295" s="80"/>
      <c r="D2295" s="80"/>
      <c r="E2295" s="80"/>
      <c r="F2295" s="59"/>
      <c r="G2295" s="59"/>
      <c r="H2295" s="83"/>
      <c r="I2295" s="76"/>
      <c r="J2295" s="76"/>
      <c r="K2295" s="81"/>
      <c r="L2295" s="82"/>
      <c r="M2295" s="54"/>
      <c r="N2295" s="54"/>
      <c r="O2295" s="54"/>
      <c r="P2295" s="54"/>
      <c r="Q2295" s="54"/>
      <c r="R2295" s="54"/>
      <c r="S2295" s="54"/>
      <c r="T2295" s="54"/>
      <c r="U2295" s="54"/>
      <c r="V2295" s="54"/>
      <c r="W2295" s="54"/>
      <c r="X2295" s="54"/>
      <c r="Y2295" s="54"/>
      <c r="Z2295" s="54"/>
      <c r="AA2295" s="54"/>
      <c r="AB2295" s="54"/>
      <c r="AC2295" s="54"/>
      <c r="AD2295" s="54"/>
      <c r="AE2295" s="54"/>
      <c r="AF2295" s="54"/>
      <c r="AG2295" s="54"/>
      <c r="AH2295" s="54"/>
    </row>
    <row r="2296">
      <c r="A2296" s="80"/>
      <c r="B2296" s="80"/>
      <c r="C2296" s="80"/>
      <c r="D2296" s="80"/>
      <c r="E2296" s="80"/>
      <c r="F2296" s="59"/>
      <c r="G2296" s="59"/>
      <c r="H2296" s="83"/>
      <c r="I2296" s="76"/>
      <c r="J2296" s="76"/>
      <c r="K2296" s="81"/>
      <c r="L2296" s="82"/>
      <c r="M2296" s="54"/>
      <c r="N2296" s="54"/>
      <c r="O2296" s="54"/>
      <c r="P2296" s="54"/>
      <c r="Q2296" s="54"/>
      <c r="R2296" s="54"/>
      <c r="S2296" s="54"/>
      <c r="T2296" s="54"/>
      <c r="U2296" s="54"/>
      <c r="V2296" s="54"/>
      <c r="W2296" s="54"/>
      <c r="X2296" s="54"/>
      <c r="Y2296" s="54"/>
      <c r="Z2296" s="54"/>
      <c r="AA2296" s="54"/>
      <c r="AB2296" s="54"/>
      <c r="AC2296" s="54"/>
      <c r="AD2296" s="54"/>
      <c r="AE2296" s="54"/>
      <c r="AF2296" s="54"/>
      <c r="AG2296" s="54"/>
      <c r="AH2296" s="54"/>
    </row>
    <row r="2297">
      <c r="A2297" s="80"/>
      <c r="B2297" s="80"/>
      <c r="C2297" s="80"/>
      <c r="D2297" s="80"/>
      <c r="E2297" s="80"/>
      <c r="F2297" s="59"/>
      <c r="G2297" s="59"/>
      <c r="H2297" s="83"/>
      <c r="I2297" s="76"/>
      <c r="J2297" s="76"/>
      <c r="K2297" s="81"/>
      <c r="L2297" s="82"/>
      <c r="M2297" s="54"/>
      <c r="N2297" s="54"/>
      <c r="O2297" s="54"/>
      <c r="P2297" s="54"/>
      <c r="Q2297" s="54"/>
      <c r="R2297" s="54"/>
      <c r="S2297" s="54"/>
      <c r="T2297" s="54"/>
      <c r="U2297" s="54"/>
      <c r="V2297" s="54"/>
      <c r="W2297" s="54"/>
      <c r="X2297" s="54"/>
      <c r="Y2297" s="54"/>
      <c r="Z2297" s="54"/>
      <c r="AA2297" s="54"/>
      <c r="AB2297" s="54"/>
      <c r="AC2297" s="54"/>
      <c r="AD2297" s="54"/>
      <c r="AE2297" s="54"/>
      <c r="AF2297" s="54"/>
      <c r="AG2297" s="54"/>
      <c r="AH2297" s="54"/>
    </row>
    <row r="2298">
      <c r="A2298" s="80"/>
      <c r="B2298" s="80"/>
      <c r="C2298" s="80"/>
      <c r="D2298" s="80"/>
      <c r="E2298" s="80"/>
      <c r="F2298" s="59"/>
      <c r="G2298" s="59"/>
      <c r="H2298" s="83"/>
      <c r="I2298" s="76"/>
      <c r="J2298" s="76"/>
      <c r="K2298" s="81"/>
      <c r="L2298" s="82"/>
      <c r="M2298" s="54"/>
      <c r="N2298" s="54"/>
      <c r="O2298" s="54"/>
      <c r="P2298" s="54"/>
      <c r="Q2298" s="54"/>
      <c r="R2298" s="54"/>
      <c r="S2298" s="54"/>
      <c r="T2298" s="54"/>
      <c r="U2298" s="54"/>
      <c r="V2298" s="54"/>
      <c r="W2298" s="54"/>
      <c r="X2298" s="54"/>
      <c r="Y2298" s="54"/>
      <c r="Z2298" s="54"/>
      <c r="AA2298" s="54"/>
      <c r="AB2298" s="54"/>
      <c r="AC2298" s="54"/>
      <c r="AD2298" s="54"/>
      <c r="AE2298" s="54"/>
      <c r="AF2298" s="54"/>
      <c r="AG2298" s="54"/>
      <c r="AH2298" s="54"/>
    </row>
    <row r="2299">
      <c r="A2299" s="80"/>
      <c r="B2299" s="80"/>
      <c r="C2299" s="80"/>
      <c r="D2299" s="80"/>
      <c r="E2299" s="80"/>
      <c r="F2299" s="59"/>
      <c r="G2299" s="59"/>
      <c r="H2299" s="83"/>
      <c r="I2299" s="76"/>
      <c r="J2299" s="76"/>
      <c r="K2299" s="81"/>
      <c r="L2299" s="82"/>
      <c r="M2299" s="54"/>
      <c r="N2299" s="54"/>
      <c r="O2299" s="54"/>
      <c r="P2299" s="54"/>
      <c r="Q2299" s="54"/>
      <c r="R2299" s="54"/>
      <c r="S2299" s="54"/>
      <c r="T2299" s="54"/>
      <c r="U2299" s="54"/>
      <c r="V2299" s="54"/>
      <c r="W2299" s="54"/>
      <c r="X2299" s="54"/>
      <c r="Y2299" s="54"/>
      <c r="Z2299" s="54"/>
      <c r="AA2299" s="54"/>
      <c r="AB2299" s="54"/>
      <c r="AC2299" s="54"/>
      <c r="AD2299" s="54"/>
      <c r="AE2299" s="54"/>
      <c r="AF2299" s="54"/>
      <c r="AG2299" s="54"/>
      <c r="AH2299" s="54"/>
    </row>
    <row r="2300">
      <c r="A2300" s="80"/>
      <c r="B2300" s="80"/>
      <c r="C2300" s="80"/>
      <c r="D2300" s="80"/>
      <c r="E2300" s="80"/>
      <c r="F2300" s="59"/>
      <c r="G2300" s="59"/>
      <c r="H2300" s="83"/>
      <c r="I2300" s="76"/>
      <c r="J2300" s="76"/>
      <c r="K2300" s="81"/>
      <c r="L2300" s="82"/>
      <c r="M2300" s="54"/>
      <c r="N2300" s="54"/>
      <c r="O2300" s="54"/>
      <c r="P2300" s="54"/>
      <c r="Q2300" s="54"/>
      <c r="R2300" s="54"/>
      <c r="S2300" s="54"/>
      <c r="T2300" s="54"/>
      <c r="U2300" s="54"/>
      <c r="V2300" s="54"/>
      <c r="W2300" s="54"/>
      <c r="X2300" s="54"/>
      <c r="Y2300" s="54"/>
      <c r="Z2300" s="54"/>
      <c r="AA2300" s="54"/>
      <c r="AB2300" s="54"/>
      <c r="AC2300" s="54"/>
      <c r="AD2300" s="54"/>
      <c r="AE2300" s="54"/>
      <c r="AF2300" s="54"/>
      <c r="AG2300" s="54"/>
      <c r="AH2300" s="54"/>
    </row>
    <row r="2301">
      <c r="A2301" s="80"/>
      <c r="B2301" s="80"/>
      <c r="C2301" s="80"/>
      <c r="D2301" s="80"/>
      <c r="E2301" s="80"/>
      <c r="F2301" s="59"/>
      <c r="G2301" s="59"/>
      <c r="H2301" s="83"/>
      <c r="I2301" s="76"/>
      <c r="J2301" s="76"/>
      <c r="K2301" s="81"/>
      <c r="L2301" s="82"/>
      <c r="M2301" s="54"/>
      <c r="N2301" s="54"/>
      <c r="O2301" s="54"/>
      <c r="P2301" s="54"/>
      <c r="Q2301" s="54"/>
      <c r="R2301" s="54"/>
      <c r="S2301" s="54"/>
      <c r="T2301" s="54"/>
      <c r="U2301" s="54"/>
      <c r="V2301" s="54"/>
      <c r="W2301" s="54"/>
      <c r="X2301" s="54"/>
      <c r="Y2301" s="54"/>
      <c r="Z2301" s="54"/>
      <c r="AA2301" s="54"/>
      <c r="AB2301" s="54"/>
      <c r="AC2301" s="54"/>
      <c r="AD2301" s="54"/>
      <c r="AE2301" s="54"/>
      <c r="AF2301" s="54"/>
      <c r="AG2301" s="54"/>
      <c r="AH2301" s="54"/>
    </row>
    <row r="2302">
      <c r="A2302" s="80"/>
      <c r="B2302" s="80"/>
      <c r="C2302" s="80"/>
      <c r="D2302" s="80"/>
      <c r="E2302" s="80"/>
      <c r="F2302" s="59"/>
      <c r="G2302" s="59"/>
      <c r="H2302" s="83"/>
      <c r="I2302" s="76"/>
      <c r="J2302" s="76"/>
      <c r="K2302" s="81"/>
      <c r="L2302" s="82"/>
      <c r="M2302" s="54"/>
      <c r="N2302" s="54"/>
      <c r="O2302" s="54"/>
      <c r="P2302" s="54"/>
      <c r="Q2302" s="54"/>
      <c r="R2302" s="54"/>
      <c r="S2302" s="54"/>
      <c r="T2302" s="54"/>
      <c r="U2302" s="54"/>
      <c r="V2302" s="54"/>
      <c r="W2302" s="54"/>
      <c r="X2302" s="54"/>
      <c r="Y2302" s="54"/>
      <c r="Z2302" s="54"/>
      <c r="AA2302" s="54"/>
      <c r="AB2302" s="54"/>
      <c r="AC2302" s="54"/>
      <c r="AD2302" s="54"/>
      <c r="AE2302" s="54"/>
      <c r="AF2302" s="54"/>
      <c r="AG2302" s="54"/>
      <c r="AH2302" s="54"/>
    </row>
    <row r="2303">
      <c r="A2303" s="80"/>
      <c r="B2303" s="80"/>
      <c r="C2303" s="80"/>
      <c r="D2303" s="80"/>
      <c r="E2303" s="80"/>
      <c r="F2303" s="59"/>
      <c r="G2303" s="59"/>
      <c r="H2303" s="83"/>
      <c r="I2303" s="76"/>
      <c r="J2303" s="76"/>
      <c r="K2303" s="81"/>
      <c r="L2303" s="82"/>
      <c r="M2303" s="54"/>
      <c r="N2303" s="54"/>
      <c r="O2303" s="54"/>
      <c r="P2303" s="54"/>
      <c r="Q2303" s="54"/>
      <c r="R2303" s="54"/>
      <c r="S2303" s="54"/>
      <c r="T2303" s="54"/>
      <c r="U2303" s="54"/>
      <c r="V2303" s="54"/>
      <c r="W2303" s="54"/>
      <c r="X2303" s="54"/>
      <c r="Y2303" s="54"/>
      <c r="Z2303" s="54"/>
      <c r="AA2303" s="54"/>
      <c r="AB2303" s="54"/>
      <c r="AC2303" s="54"/>
      <c r="AD2303" s="54"/>
      <c r="AE2303" s="54"/>
      <c r="AF2303" s="54"/>
      <c r="AG2303" s="54"/>
      <c r="AH2303" s="54"/>
    </row>
    <row r="2304">
      <c r="A2304" s="80"/>
      <c r="B2304" s="80"/>
      <c r="C2304" s="80"/>
      <c r="D2304" s="80"/>
      <c r="E2304" s="80"/>
      <c r="F2304" s="59"/>
      <c r="G2304" s="59"/>
      <c r="H2304" s="83"/>
      <c r="I2304" s="76"/>
      <c r="J2304" s="76"/>
      <c r="K2304" s="81"/>
      <c r="L2304" s="82"/>
      <c r="M2304" s="54"/>
      <c r="N2304" s="54"/>
      <c r="O2304" s="54"/>
      <c r="P2304" s="54"/>
      <c r="Q2304" s="54"/>
      <c r="R2304" s="54"/>
      <c r="S2304" s="54"/>
      <c r="T2304" s="54"/>
      <c r="U2304" s="54"/>
      <c r="V2304" s="54"/>
      <c r="W2304" s="54"/>
      <c r="X2304" s="54"/>
      <c r="Y2304" s="54"/>
      <c r="Z2304" s="54"/>
      <c r="AA2304" s="54"/>
      <c r="AB2304" s="54"/>
      <c r="AC2304" s="54"/>
      <c r="AD2304" s="54"/>
      <c r="AE2304" s="54"/>
      <c r="AF2304" s="54"/>
      <c r="AG2304" s="54"/>
      <c r="AH2304" s="54"/>
    </row>
    <row r="2305">
      <c r="A2305" s="80"/>
      <c r="B2305" s="80"/>
      <c r="C2305" s="80"/>
      <c r="D2305" s="80"/>
      <c r="E2305" s="80"/>
      <c r="F2305" s="59"/>
      <c r="G2305" s="59"/>
      <c r="H2305" s="83"/>
      <c r="I2305" s="76"/>
      <c r="J2305" s="76"/>
      <c r="K2305" s="81"/>
      <c r="L2305" s="82"/>
      <c r="M2305" s="54"/>
      <c r="N2305" s="54"/>
      <c r="O2305" s="54"/>
      <c r="P2305" s="54"/>
      <c r="Q2305" s="54"/>
      <c r="R2305" s="54"/>
      <c r="S2305" s="54"/>
      <c r="T2305" s="54"/>
      <c r="U2305" s="54"/>
      <c r="V2305" s="54"/>
      <c r="W2305" s="54"/>
      <c r="X2305" s="54"/>
      <c r="Y2305" s="54"/>
      <c r="Z2305" s="54"/>
      <c r="AA2305" s="54"/>
      <c r="AB2305" s="54"/>
      <c r="AC2305" s="54"/>
      <c r="AD2305" s="54"/>
      <c r="AE2305" s="54"/>
      <c r="AF2305" s="54"/>
      <c r="AG2305" s="54"/>
      <c r="AH2305" s="54"/>
    </row>
    <row r="2306">
      <c r="A2306" s="80"/>
      <c r="B2306" s="80"/>
      <c r="C2306" s="80"/>
      <c r="D2306" s="80"/>
      <c r="E2306" s="80"/>
      <c r="F2306" s="59"/>
      <c r="G2306" s="59"/>
      <c r="H2306" s="83"/>
      <c r="I2306" s="76"/>
      <c r="J2306" s="76"/>
      <c r="K2306" s="81"/>
      <c r="L2306" s="82"/>
      <c r="M2306" s="54"/>
      <c r="N2306" s="54"/>
      <c r="O2306" s="54"/>
      <c r="P2306" s="54"/>
      <c r="Q2306" s="54"/>
      <c r="R2306" s="54"/>
      <c r="S2306" s="54"/>
      <c r="T2306" s="54"/>
      <c r="U2306" s="54"/>
      <c r="V2306" s="54"/>
      <c r="W2306" s="54"/>
      <c r="X2306" s="54"/>
      <c r="Y2306" s="54"/>
      <c r="Z2306" s="54"/>
      <c r="AA2306" s="54"/>
      <c r="AB2306" s="54"/>
      <c r="AC2306" s="54"/>
      <c r="AD2306" s="54"/>
      <c r="AE2306" s="54"/>
      <c r="AF2306" s="54"/>
      <c r="AG2306" s="54"/>
      <c r="AH2306" s="54"/>
    </row>
    <row r="2307">
      <c r="A2307" s="80"/>
      <c r="B2307" s="80"/>
      <c r="C2307" s="80"/>
      <c r="D2307" s="80"/>
      <c r="E2307" s="80"/>
      <c r="F2307" s="59"/>
      <c r="G2307" s="59"/>
      <c r="H2307" s="83"/>
      <c r="I2307" s="76"/>
      <c r="J2307" s="76"/>
      <c r="K2307" s="81"/>
      <c r="L2307" s="82"/>
      <c r="M2307" s="54"/>
      <c r="N2307" s="54"/>
      <c r="O2307" s="54"/>
      <c r="P2307" s="54"/>
      <c r="Q2307" s="54"/>
      <c r="R2307" s="54"/>
      <c r="S2307" s="54"/>
      <c r="T2307" s="54"/>
      <c r="U2307" s="54"/>
      <c r="V2307" s="54"/>
      <c r="W2307" s="54"/>
      <c r="X2307" s="54"/>
      <c r="Y2307" s="54"/>
      <c r="Z2307" s="54"/>
      <c r="AA2307" s="54"/>
      <c r="AB2307" s="54"/>
      <c r="AC2307" s="54"/>
      <c r="AD2307" s="54"/>
      <c r="AE2307" s="54"/>
      <c r="AF2307" s="54"/>
      <c r="AG2307" s="54"/>
      <c r="AH2307" s="54"/>
    </row>
    <row r="2308">
      <c r="A2308" s="80"/>
      <c r="B2308" s="80"/>
      <c r="C2308" s="80"/>
      <c r="D2308" s="80"/>
      <c r="E2308" s="80"/>
      <c r="F2308" s="59"/>
      <c r="G2308" s="59"/>
      <c r="H2308" s="83"/>
      <c r="I2308" s="76"/>
      <c r="J2308" s="76"/>
      <c r="K2308" s="81"/>
      <c r="L2308" s="82"/>
      <c r="M2308" s="54"/>
      <c r="N2308" s="54"/>
      <c r="O2308" s="54"/>
      <c r="P2308" s="54"/>
      <c r="Q2308" s="54"/>
      <c r="R2308" s="54"/>
      <c r="S2308" s="54"/>
      <c r="T2308" s="54"/>
      <c r="U2308" s="54"/>
      <c r="V2308" s="54"/>
      <c r="W2308" s="54"/>
      <c r="X2308" s="54"/>
      <c r="Y2308" s="54"/>
      <c r="Z2308" s="54"/>
      <c r="AA2308" s="54"/>
      <c r="AB2308" s="54"/>
      <c r="AC2308" s="54"/>
      <c r="AD2308" s="54"/>
      <c r="AE2308" s="54"/>
      <c r="AF2308" s="54"/>
      <c r="AG2308" s="54"/>
      <c r="AH2308" s="54"/>
    </row>
    <row r="2309">
      <c r="A2309" s="80"/>
      <c r="B2309" s="80"/>
      <c r="C2309" s="80"/>
      <c r="D2309" s="80"/>
      <c r="E2309" s="80"/>
      <c r="F2309" s="59"/>
      <c r="G2309" s="59"/>
      <c r="H2309" s="83"/>
      <c r="I2309" s="76"/>
      <c r="J2309" s="76"/>
      <c r="K2309" s="81"/>
      <c r="L2309" s="82"/>
      <c r="M2309" s="54"/>
      <c r="N2309" s="54"/>
      <c r="O2309" s="54"/>
      <c r="P2309" s="54"/>
      <c r="Q2309" s="54"/>
      <c r="R2309" s="54"/>
      <c r="S2309" s="54"/>
      <c r="T2309" s="54"/>
      <c r="U2309" s="54"/>
      <c r="V2309" s="54"/>
      <c r="W2309" s="54"/>
      <c r="X2309" s="54"/>
      <c r="Y2309" s="54"/>
      <c r="Z2309" s="54"/>
      <c r="AA2309" s="54"/>
      <c r="AB2309" s="54"/>
      <c r="AC2309" s="54"/>
      <c r="AD2309" s="54"/>
      <c r="AE2309" s="54"/>
      <c r="AF2309" s="54"/>
      <c r="AG2309" s="54"/>
      <c r="AH2309" s="54"/>
    </row>
    <row r="2310">
      <c r="A2310" s="80"/>
      <c r="B2310" s="80"/>
      <c r="C2310" s="80"/>
      <c r="D2310" s="80"/>
      <c r="E2310" s="80"/>
      <c r="F2310" s="59"/>
      <c r="G2310" s="59"/>
      <c r="H2310" s="83"/>
      <c r="I2310" s="76"/>
      <c r="J2310" s="76"/>
      <c r="K2310" s="81"/>
      <c r="L2310" s="82"/>
      <c r="M2310" s="54"/>
      <c r="N2310" s="54"/>
      <c r="O2310" s="54"/>
      <c r="P2310" s="54"/>
      <c r="Q2310" s="54"/>
      <c r="R2310" s="54"/>
      <c r="S2310" s="54"/>
      <c r="T2310" s="54"/>
      <c r="U2310" s="54"/>
      <c r="V2310" s="54"/>
      <c r="W2310" s="54"/>
      <c r="X2310" s="54"/>
      <c r="Y2310" s="54"/>
      <c r="Z2310" s="54"/>
      <c r="AA2310" s="54"/>
      <c r="AB2310" s="54"/>
      <c r="AC2310" s="54"/>
      <c r="AD2310" s="54"/>
      <c r="AE2310" s="54"/>
      <c r="AF2310" s="54"/>
      <c r="AG2310" s="54"/>
      <c r="AH2310" s="54"/>
    </row>
    <row r="2311">
      <c r="A2311" s="80"/>
      <c r="B2311" s="80"/>
      <c r="C2311" s="80"/>
      <c r="D2311" s="80"/>
      <c r="E2311" s="80"/>
      <c r="F2311" s="59"/>
      <c r="G2311" s="59"/>
      <c r="H2311" s="83"/>
      <c r="I2311" s="76"/>
      <c r="J2311" s="76"/>
      <c r="K2311" s="81"/>
      <c r="L2311" s="82"/>
      <c r="M2311" s="54"/>
      <c r="N2311" s="54"/>
      <c r="O2311" s="54"/>
      <c r="P2311" s="54"/>
      <c r="Q2311" s="54"/>
      <c r="R2311" s="54"/>
      <c r="S2311" s="54"/>
      <c r="T2311" s="54"/>
      <c r="U2311" s="54"/>
      <c r="V2311" s="54"/>
      <c r="W2311" s="54"/>
      <c r="X2311" s="54"/>
      <c r="Y2311" s="54"/>
      <c r="Z2311" s="54"/>
      <c r="AA2311" s="54"/>
      <c r="AB2311" s="54"/>
      <c r="AC2311" s="54"/>
      <c r="AD2311" s="54"/>
      <c r="AE2311" s="54"/>
      <c r="AF2311" s="54"/>
      <c r="AG2311" s="54"/>
      <c r="AH2311" s="54"/>
    </row>
    <row r="2312">
      <c r="A2312" s="80"/>
      <c r="B2312" s="80"/>
      <c r="C2312" s="80"/>
      <c r="D2312" s="80"/>
      <c r="E2312" s="80"/>
      <c r="F2312" s="59"/>
      <c r="G2312" s="59"/>
      <c r="H2312" s="83"/>
      <c r="I2312" s="76"/>
      <c r="J2312" s="76"/>
      <c r="K2312" s="81"/>
      <c r="L2312" s="82"/>
      <c r="M2312" s="54"/>
      <c r="N2312" s="54"/>
      <c r="O2312" s="54"/>
      <c r="P2312" s="54"/>
      <c r="Q2312" s="54"/>
      <c r="R2312" s="54"/>
      <c r="S2312" s="54"/>
      <c r="T2312" s="54"/>
      <c r="U2312" s="54"/>
      <c r="V2312" s="54"/>
      <c r="W2312" s="54"/>
      <c r="X2312" s="54"/>
      <c r="Y2312" s="54"/>
      <c r="Z2312" s="54"/>
      <c r="AA2312" s="54"/>
      <c r="AB2312" s="54"/>
      <c r="AC2312" s="54"/>
      <c r="AD2312" s="54"/>
      <c r="AE2312" s="54"/>
      <c r="AF2312" s="54"/>
      <c r="AG2312" s="54"/>
      <c r="AH2312" s="54"/>
    </row>
    <row r="2313">
      <c r="A2313" s="80"/>
      <c r="B2313" s="80"/>
      <c r="C2313" s="80"/>
      <c r="D2313" s="80"/>
      <c r="E2313" s="80"/>
      <c r="F2313" s="59"/>
      <c r="G2313" s="59"/>
      <c r="H2313" s="83"/>
      <c r="I2313" s="76"/>
      <c r="J2313" s="76"/>
      <c r="K2313" s="81"/>
      <c r="L2313" s="82"/>
      <c r="M2313" s="54"/>
      <c r="N2313" s="54"/>
      <c r="O2313" s="54"/>
      <c r="P2313" s="54"/>
      <c r="Q2313" s="54"/>
      <c r="R2313" s="54"/>
      <c r="S2313" s="54"/>
      <c r="T2313" s="54"/>
      <c r="U2313" s="54"/>
      <c r="V2313" s="54"/>
      <c r="W2313" s="54"/>
      <c r="X2313" s="54"/>
      <c r="Y2313" s="54"/>
      <c r="Z2313" s="54"/>
      <c r="AA2313" s="54"/>
      <c r="AB2313" s="54"/>
      <c r="AC2313" s="54"/>
      <c r="AD2313" s="54"/>
      <c r="AE2313" s="54"/>
      <c r="AF2313" s="54"/>
      <c r="AG2313" s="54"/>
      <c r="AH2313" s="54"/>
    </row>
    <row r="2314">
      <c r="A2314" s="80"/>
      <c r="B2314" s="80"/>
      <c r="C2314" s="80"/>
      <c r="D2314" s="80"/>
      <c r="E2314" s="80"/>
      <c r="F2314" s="59"/>
      <c r="G2314" s="59"/>
      <c r="H2314" s="83"/>
      <c r="I2314" s="76"/>
      <c r="J2314" s="76"/>
      <c r="K2314" s="81"/>
      <c r="L2314" s="82"/>
      <c r="M2314" s="54"/>
      <c r="N2314" s="54"/>
      <c r="O2314" s="54"/>
      <c r="P2314" s="54"/>
      <c r="Q2314" s="54"/>
      <c r="R2314" s="54"/>
      <c r="S2314" s="54"/>
      <c r="T2314" s="54"/>
      <c r="U2314" s="54"/>
      <c r="V2314" s="54"/>
      <c r="W2314" s="54"/>
      <c r="X2314" s="54"/>
      <c r="Y2314" s="54"/>
      <c r="Z2314" s="54"/>
      <c r="AA2314" s="54"/>
      <c r="AB2314" s="54"/>
      <c r="AC2314" s="54"/>
      <c r="AD2314" s="54"/>
      <c r="AE2314" s="54"/>
      <c r="AF2314" s="54"/>
      <c r="AG2314" s="54"/>
      <c r="AH2314" s="54"/>
    </row>
    <row r="2315">
      <c r="A2315" s="80"/>
      <c r="B2315" s="80"/>
      <c r="C2315" s="80"/>
      <c r="D2315" s="80"/>
      <c r="E2315" s="80"/>
      <c r="F2315" s="59"/>
      <c r="G2315" s="59"/>
      <c r="H2315" s="83"/>
      <c r="I2315" s="76"/>
      <c r="J2315" s="76"/>
      <c r="K2315" s="81"/>
      <c r="L2315" s="82"/>
      <c r="M2315" s="54"/>
      <c r="N2315" s="54"/>
      <c r="O2315" s="54"/>
      <c r="P2315" s="54"/>
      <c r="Q2315" s="54"/>
      <c r="R2315" s="54"/>
      <c r="S2315" s="54"/>
      <c r="T2315" s="54"/>
      <c r="U2315" s="54"/>
      <c r="V2315" s="54"/>
      <c r="W2315" s="54"/>
      <c r="X2315" s="54"/>
      <c r="Y2315" s="54"/>
      <c r="Z2315" s="54"/>
      <c r="AA2315" s="54"/>
      <c r="AB2315" s="54"/>
      <c r="AC2315" s="54"/>
      <c r="AD2315" s="54"/>
      <c r="AE2315" s="54"/>
      <c r="AF2315" s="54"/>
      <c r="AG2315" s="54"/>
      <c r="AH2315" s="54"/>
    </row>
    <row r="2316">
      <c r="A2316" s="80"/>
      <c r="B2316" s="80"/>
      <c r="C2316" s="80"/>
      <c r="D2316" s="80"/>
      <c r="E2316" s="80"/>
      <c r="F2316" s="59"/>
      <c r="G2316" s="59"/>
      <c r="H2316" s="83"/>
      <c r="I2316" s="76"/>
      <c r="J2316" s="76"/>
      <c r="K2316" s="81"/>
      <c r="L2316" s="82"/>
      <c r="M2316" s="54"/>
      <c r="N2316" s="54"/>
      <c r="O2316" s="54"/>
      <c r="P2316" s="54"/>
      <c r="Q2316" s="54"/>
      <c r="R2316" s="54"/>
      <c r="S2316" s="54"/>
      <c r="T2316" s="54"/>
      <c r="U2316" s="54"/>
      <c r="V2316" s="54"/>
      <c r="W2316" s="54"/>
      <c r="X2316" s="54"/>
      <c r="Y2316" s="54"/>
      <c r="Z2316" s="54"/>
      <c r="AA2316" s="54"/>
      <c r="AB2316" s="54"/>
      <c r="AC2316" s="54"/>
      <c r="AD2316" s="54"/>
      <c r="AE2316" s="54"/>
      <c r="AF2316" s="54"/>
      <c r="AG2316" s="54"/>
      <c r="AH2316" s="54"/>
    </row>
    <row r="2317">
      <c r="A2317" s="80"/>
      <c r="B2317" s="80"/>
      <c r="C2317" s="80"/>
      <c r="D2317" s="80"/>
      <c r="E2317" s="80"/>
      <c r="F2317" s="59"/>
      <c r="G2317" s="59"/>
      <c r="H2317" s="83"/>
      <c r="I2317" s="76"/>
      <c r="J2317" s="76"/>
      <c r="K2317" s="81"/>
      <c r="L2317" s="82"/>
      <c r="M2317" s="54"/>
      <c r="N2317" s="54"/>
      <c r="O2317" s="54"/>
      <c r="P2317" s="54"/>
      <c r="Q2317" s="54"/>
      <c r="R2317" s="54"/>
      <c r="S2317" s="54"/>
      <c r="T2317" s="54"/>
      <c r="U2317" s="54"/>
      <c r="V2317" s="54"/>
      <c r="W2317" s="54"/>
      <c r="X2317" s="54"/>
      <c r="Y2317" s="54"/>
      <c r="Z2317" s="54"/>
      <c r="AA2317" s="54"/>
      <c r="AB2317" s="54"/>
      <c r="AC2317" s="54"/>
      <c r="AD2317" s="54"/>
      <c r="AE2317" s="54"/>
      <c r="AF2317" s="54"/>
      <c r="AG2317" s="54"/>
      <c r="AH2317" s="54"/>
    </row>
    <row r="2318">
      <c r="A2318" s="80"/>
      <c r="B2318" s="80"/>
      <c r="C2318" s="80"/>
      <c r="D2318" s="80"/>
      <c r="E2318" s="80"/>
      <c r="F2318" s="59"/>
      <c r="G2318" s="59"/>
      <c r="H2318" s="83"/>
      <c r="I2318" s="76"/>
      <c r="J2318" s="76"/>
      <c r="K2318" s="81"/>
      <c r="L2318" s="82"/>
      <c r="M2318" s="54"/>
      <c r="N2318" s="54"/>
      <c r="O2318" s="54"/>
      <c r="P2318" s="54"/>
      <c r="Q2318" s="54"/>
      <c r="R2318" s="54"/>
      <c r="S2318" s="54"/>
      <c r="T2318" s="54"/>
      <c r="U2318" s="54"/>
      <c r="V2318" s="54"/>
      <c r="W2318" s="54"/>
      <c r="X2318" s="54"/>
      <c r="Y2318" s="54"/>
      <c r="Z2318" s="54"/>
      <c r="AA2318" s="54"/>
      <c r="AB2318" s="54"/>
      <c r="AC2318" s="54"/>
      <c r="AD2318" s="54"/>
      <c r="AE2318" s="54"/>
      <c r="AF2318" s="54"/>
      <c r="AG2318" s="54"/>
      <c r="AH2318" s="54"/>
    </row>
    <row r="2319">
      <c r="A2319" s="80"/>
      <c r="B2319" s="80"/>
      <c r="C2319" s="80"/>
      <c r="D2319" s="80"/>
      <c r="E2319" s="80"/>
      <c r="F2319" s="59"/>
      <c r="G2319" s="59"/>
      <c r="H2319" s="83"/>
      <c r="I2319" s="76"/>
      <c r="J2319" s="76"/>
      <c r="K2319" s="81"/>
      <c r="L2319" s="82"/>
      <c r="M2319" s="54"/>
      <c r="N2319" s="54"/>
      <c r="O2319" s="54"/>
      <c r="P2319" s="54"/>
      <c r="Q2319" s="54"/>
      <c r="R2319" s="54"/>
      <c r="S2319" s="54"/>
      <c r="T2319" s="54"/>
      <c r="U2319" s="54"/>
      <c r="V2319" s="54"/>
      <c r="W2319" s="54"/>
      <c r="X2319" s="54"/>
      <c r="Y2319" s="54"/>
      <c r="Z2319" s="54"/>
      <c r="AA2319" s="54"/>
      <c r="AB2319" s="54"/>
      <c r="AC2319" s="54"/>
      <c r="AD2319" s="54"/>
      <c r="AE2319" s="54"/>
      <c r="AF2319" s="54"/>
      <c r="AG2319" s="54"/>
      <c r="AH2319" s="54"/>
    </row>
    <row r="2320">
      <c r="A2320" s="80"/>
      <c r="B2320" s="80"/>
      <c r="C2320" s="80"/>
      <c r="D2320" s="80"/>
      <c r="E2320" s="80"/>
      <c r="F2320" s="59"/>
      <c r="G2320" s="59"/>
      <c r="H2320" s="83"/>
      <c r="I2320" s="76"/>
      <c r="J2320" s="76"/>
      <c r="K2320" s="81"/>
      <c r="L2320" s="82"/>
      <c r="M2320" s="54"/>
      <c r="N2320" s="54"/>
      <c r="O2320" s="54"/>
      <c r="P2320" s="54"/>
      <c r="Q2320" s="54"/>
      <c r="R2320" s="54"/>
      <c r="S2320" s="54"/>
      <c r="T2320" s="54"/>
      <c r="U2320" s="54"/>
      <c r="V2320" s="54"/>
      <c r="W2320" s="54"/>
      <c r="X2320" s="54"/>
      <c r="Y2320" s="54"/>
      <c r="Z2320" s="54"/>
      <c r="AA2320" s="54"/>
      <c r="AB2320" s="54"/>
      <c r="AC2320" s="54"/>
      <c r="AD2320" s="54"/>
      <c r="AE2320" s="54"/>
      <c r="AF2320" s="54"/>
      <c r="AG2320" s="54"/>
      <c r="AH2320" s="54"/>
    </row>
    <row r="2321">
      <c r="A2321" s="80"/>
      <c r="B2321" s="80"/>
      <c r="C2321" s="80"/>
      <c r="D2321" s="80"/>
      <c r="E2321" s="80"/>
      <c r="F2321" s="59"/>
      <c r="G2321" s="59"/>
      <c r="H2321" s="83"/>
      <c r="I2321" s="76"/>
      <c r="J2321" s="76"/>
      <c r="K2321" s="81"/>
      <c r="L2321" s="82"/>
      <c r="M2321" s="54"/>
      <c r="N2321" s="54"/>
      <c r="O2321" s="54"/>
      <c r="P2321" s="54"/>
      <c r="Q2321" s="54"/>
      <c r="R2321" s="54"/>
      <c r="S2321" s="54"/>
      <c r="T2321" s="54"/>
      <c r="U2321" s="54"/>
      <c r="V2321" s="54"/>
      <c r="W2321" s="54"/>
      <c r="X2321" s="54"/>
      <c r="Y2321" s="54"/>
      <c r="Z2321" s="54"/>
      <c r="AA2321" s="54"/>
      <c r="AB2321" s="54"/>
      <c r="AC2321" s="54"/>
      <c r="AD2321" s="54"/>
      <c r="AE2321" s="54"/>
      <c r="AF2321" s="54"/>
      <c r="AG2321" s="54"/>
      <c r="AH2321" s="54"/>
    </row>
    <row r="2322">
      <c r="A2322" s="80"/>
      <c r="B2322" s="80"/>
      <c r="C2322" s="80"/>
      <c r="D2322" s="80"/>
      <c r="E2322" s="80"/>
      <c r="F2322" s="59"/>
      <c r="G2322" s="59"/>
      <c r="H2322" s="83"/>
      <c r="I2322" s="76"/>
      <c r="J2322" s="76"/>
      <c r="K2322" s="81"/>
      <c r="L2322" s="82"/>
      <c r="M2322" s="54"/>
      <c r="N2322" s="54"/>
      <c r="O2322" s="54"/>
      <c r="P2322" s="54"/>
      <c r="Q2322" s="54"/>
      <c r="R2322" s="54"/>
      <c r="S2322" s="54"/>
      <c r="T2322" s="54"/>
      <c r="U2322" s="54"/>
      <c r="V2322" s="54"/>
      <c r="W2322" s="54"/>
      <c r="X2322" s="54"/>
      <c r="Y2322" s="54"/>
      <c r="Z2322" s="54"/>
      <c r="AA2322" s="54"/>
      <c r="AB2322" s="54"/>
      <c r="AC2322" s="54"/>
      <c r="AD2322" s="54"/>
      <c r="AE2322" s="54"/>
      <c r="AF2322" s="54"/>
      <c r="AG2322" s="54"/>
      <c r="AH2322" s="54"/>
    </row>
    <row r="2323">
      <c r="A2323" s="80"/>
      <c r="B2323" s="80"/>
      <c r="C2323" s="80"/>
      <c r="D2323" s="80"/>
      <c r="E2323" s="80"/>
      <c r="F2323" s="59"/>
      <c r="G2323" s="59"/>
      <c r="H2323" s="83"/>
      <c r="I2323" s="76"/>
      <c r="J2323" s="76"/>
      <c r="K2323" s="81"/>
      <c r="L2323" s="82"/>
      <c r="M2323" s="54"/>
      <c r="N2323" s="54"/>
      <c r="O2323" s="54"/>
      <c r="P2323" s="54"/>
      <c r="Q2323" s="54"/>
      <c r="R2323" s="54"/>
      <c r="S2323" s="54"/>
      <c r="T2323" s="54"/>
      <c r="U2323" s="54"/>
      <c r="V2323" s="54"/>
      <c r="W2323" s="54"/>
      <c r="X2323" s="54"/>
      <c r="Y2323" s="54"/>
      <c r="Z2323" s="54"/>
      <c r="AA2323" s="54"/>
      <c r="AB2323" s="54"/>
      <c r="AC2323" s="54"/>
      <c r="AD2323" s="54"/>
      <c r="AE2323" s="54"/>
      <c r="AF2323" s="54"/>
      <c r="AG2323" s="54"/>
      <c r="AH2323" s="54"/>
    </row>
    <row r="2324">
      <c r="A2324" s="80"/>
      <c r="B2324" s="80"/>
      <c r="C2324" s="80"/>
      <c r="D2324" s="80"/>
      <c r="E2324" s="80"/>
      <c r="F2324" s="59"/>
      <c r="G2324" s="59"/>
      <c r="H2324" s="83"/>
      <c r="I2324" s="76"/>
      <c r="J2324" s="76"/>
      <c r="K2324" s="81"/>
      <c r="L2324" s="82"/>
      <c r="M2324" s="54"/>
      <c r="N2324" s="54"/>
      <c r="O2324" s="54"/>
      <c r="P2324" s="54"/>
      <c r="Q2324" s="54"/>
      <c r="R2324" s="54"/>
      <c r="S2324" s="54"/>
      <c r="T2324" s="54"/>
      <c r="U2324" s="54"/>
      <c r="V2324" s="54"/>
      <c r="W2324" s="54"/>
      <c r="X2324" s="54"/>
      <c r="Y2324" s="54"/>
      <c r="Z2324" s="54"/>
      <c r="AA2324" s="54"/>
      <c r="AB2324" s="54"/>
      <c r="AC2324" s="54"/>
      <c r="AD2324" s="54"/>
      <c r="AE2324" s="54"/>
      <c r="AF2324" s="54"/>
      <c r="AG2324" s="54"/>
      <c r="AH2324" s="54"/>
    </row>
    <row r="2325">
      <c r="A2325" s="80"/>
      <c r="B2325" s="80"/>
      <c r="C2325" s="80"/>
      <c r="D2325" s="80"/>
      <c r="E2325" s="80"/>
      <c r="F2325" s="59"/>
      <c r="G2325" s="59"/>
      <c r="H2325" s="83"/>
      <c r="I2325" s="76"/>
      <c r="J2325" s="76"/>
      <c r="K2325" s="81"/>
      <c r="L2325" s="82"/>
      <c r="M2325" s="54"/>
      <c r="N2325" s="54"/>
      <c r="O2325" s="54"/>
      <c r="P2325" s="54"/>
      <c r="Q2325" s="54"/>
      <c r="R2325" s="54"/>
      <c r="S2325" s="54"/>
      <c r="T2325" s="54"/>
      <c r="U2325" s="54"/>
      <c r="V2325" s="54"/>
      <c r="W2325" s="54"/>
      <c r="X2325" s="54"/>
      <c r="Y2325" s="54"/>
      <c r="Z2325" s="54"/>
      <c r="AA2325" s="54"/>
      <c r="AB2325" s="54"/>
      <c r="AC2325" s="54"/>
      <c r="AD2325" s="54"/>
      <c r="AE2325" s="54"/>
      <c r="AF2325" s="54"/>
      <c r="AG2325" s="54"/>
      <c r="AH2325" s="54"/>
    </row>
    <row r="2326">
      <c r="A2326" s="80"/>
      <c r="B2326" s="80"/>
      <c r="C2326" s="80"/>
      <c r="D2326" s="80"/>
      <c r="E2326" s="80"/>
      <c r="F2326" s="59"/>
      <c r="G2326" s="59"/>
      <c r="H2326" s="83"/>
      <c r="I2326" s="76"/>
      <c r="J2326" s="76"/>
      <c r="K2326" s="81"/>
      <c r="L2326" s="82"/>
      <c r="M2326" s="54"/>
      <c r="N2326" s="54"/>
      <c r="O2326" s="54"/>
      <c r="P2326" s="54"/>
      <c r="Q2326" s="54"/>
      <c r="R2326" s="54"/>
      <c r="S2326" s="54"/>
      <c r="T2326" s="54"/>
      <c r="U2326" s="54"/>
      <c r="V2326" s="54"/>
      <c r="W2326" s="54"/>
      <c r="X2326" s="54"/>
      <c r="Y2326" s="54"/>
      <c r="Z2326" s="54"/>
      <c r="AA2326" s="54"/>
      <c r="AB2326" s="54"/>
      <c r="AC2326" s="54"/>
      <c r="AD2326" s="54"/>
      <c r="AE2326" s="54"/>
      <c r="AF2326" s="54"/>
      <c r="AG2326" s="54"/>
      <c r="AH2326" s="54"/>
    </row>
    <row r="2327">
      <c r="A2327" s="80"/>
      <c r="B2327" s="80"/>
      <c r="C2327" s="80"/>
      <c r="D2327" s="80"/>
      <c r="E2327" s="80"/>
      <c r="F2327" s="59"/>
      <c r="G2327" s="59"/>
      <c r="H2327" s="83"/>
      <c r="I2327" s="76"/>
      <c r="J2327" s="76"/>
      <c r="K2327" s="81"/>
      <c r="L2327" s="82"/>
      <c r="M2327" s="54"/>
      <c r="N2327" s="54"/>
      <c r="O2327" s="54"/>
      <c r="P2327" s="54"/>
      <c r="Q2327" s="54"/>
      <c r="R2327" s="54"/>
      <c r="S2327" s="54"/>
      <c r="T2327" s="54"/>
      <c r="U2327" s="54"/>
      <c r="V2327" s="54"/>
      <c r="W2327" s="54"/>
      <c r="X2327" s="54"/>
      <c r="Y2327" s="54"/>
      <c r="Z2327" s="54"/>
      <c r="AA2327" s="54"/>
      <c r="AB2327" s="54"/>
      <c r="AC2327" s="54"/>
      <c r="AD2327" s="54"/>
      <c r="AE2327" s="54"/>
      <c r="AF2327" s="54"/>
      <c r="AG2327" s="54"/>
      <c r="AH2327" s="54"/>
    </row>
    <row r="2328">
      <c r="A2328" s="80"/>
      <c r="B2328" s="80"/>
      <c r="C2328" s="80"/>
      <c r="D2328" s="80"/>
      <c r="E2328" s="80"/>
      <c r="F2328" s="59"/>
      <c r="G2328" s="59"/>
      <c r="H2328" s="83"/>
      <c r="I2328" s="76"/>
      <c r="J2328" s="76"/>
      <c r="K2328" s="81"/>
      <c r="L2328" s="82"/>
      <c r="M2328" s="54"/>
      <c r="N2328" s="54"/>
      <c r="O2328" s="54"/>
      <c r="P2328" s="54"/>
      <c r="Q2328" s="54"/>
      <c r="R2328" s="54"/>
      <c r="S2328" s="54"/>
      <c r="T2328" s="54"/>
      <c r="U2328" s="54"/>
      <c r="V2328" s="54"/>
      <c r="W2328" s="54"/>
      <c r="X2328" s="54"/>
      <c r="Y2328" s="54"/>
      <c r="Z2328" s="54"/>
      <c r="AA2328" s="54"/>
      <c r="AB2328" s="54"/>
      <c r="AC2328" s="54"/>
      <c r="AD2328" s="54"/>
      <c r="AE2328" s="54"/>
      <c r="AF2328" s="54"/>
      <c r="AG2328" s="54"/>
      <c r="AH2328" s="54"/>
    </row>
    <row r="2329">
      <c r="A2329" s="80"/>
      <c r="B2329" s="80"/>
      <c r="C2329" s="80"/>
      <c r="D2329" s="80"/>
      <c r="E2329" s="80"/>
      <c r="F2329" s="59"/>
      <c r="G2329" s="59"/>
      <c r="H2329" s="83"/>
      <c r="I2329" s="76"/>
      <c r="J2329" s="76"/>
      <c r="K2329" s="81"/>
      <c r="L2329" s="82"/>
      <c r="M2329" s="54"/>
      <c r="N2329" s="54"/>
      <c r="O2329" s="54"/>
      <c r="P2329" s="54"/>
      <c r="Q2329" s="54"/>
      <c r="R2329" s="54"/>
      <c r="S2329" s="54"/>
      <c r="T2329" s="54"/>
      <c r="U2329" s="54"/>
      <c r="V2329" s="54"/>
      <c r="W2329" s="54"/>
      <c r="X2329" s="54"/>
      <c r="Y2329" s="54"/>
      <c r="Z2329" s="54"/>
      <c r="AA2329" s="54"/>
      <c r="AB2329" s="54"/>
      <c r="AC2329" s="54"/>
      <c r="AD2329" s="54"/>
      <c r="AE2329" s="54"/>
      <c r="AF2329" s="54"/>
      <c r="AG2329" s="54"/>
      <c r="AH2329" s="54"/>
    </row>
    <row r="2330">
      <c r="A2330" s="80"/>
      <c r="B2330" s="80"/>
      <c r="C2330" s="80"/>
      <c r="D2330" s="80"/>
      <c r="E2330" s="80"/>
      <c r="F2330" s="59"/>
      <c r="G2330" s="59"/>
      <c r="H2330" s="83"/>
      <c r="I2330" s="76"/>
      <c r="J2330" s="76"/>
      <c r="K2330" s="81"/>
      <c r="L2330" s="82"/>
      <c r="M2330" s="54"/>
      <c r="N2330" s="54"/>
      <c r="O2330" s="54"/>
      <c r="P2330" s="54"/>
      <c r="Q2330" s="54"/>
      <c r="R2330" s="54"/>
      <c r="S2330" s="54"/>
      <c r="T2330" s="54"/>
      <c r="U2330" s="54"/>
      <c r="V2330" s="54"/>
      <c r="W2330" s="54"/>
      <c r="X2330" s="54"/>
      <c r="Y2330" s="54"/>
      <c r="Z2330" s="54"/>
      <c r="AA2330" s="54"/>
      <c r="AB2330" s="54"/>
      <c r="AC2330" s="54"/>
      <c r="AD2330" s="54"/>
      <c r="AE2330" s="54"/>
      <c r="AF2330" s="54"/>
      <c r="AG2330" s="54"/>
      <c r="AH2330" s="54"/>
    </row>
    <row r="2331">
      <c r="A2331" s="80"/>
      <c r="B2331" s="80"/>
      <c r="C2331" s="80"/>
      <c r="D2331" s="80"/>
      <c r="E2331" s="80"/>
      <c r="F2331" s="59"/>
      <c r="G2331" s="59"/>
      <c r="H2331" s="83"/>
      <c r="I2331" s="76"/>
      <c r="J2331" s="76"/>
      <c r="K2331" s="81"/>
      <c r="L2331" s="82"/>
      <c r="M2331" s="54"/>
      <c r="N2331" s="54"/>
      <c r="O2331" s="54"/>
      <c r="P2331" s="54"/>
      <c r="Q2331" s="54"/>
      <c r="R2331" s="54"/>
      <c r="S2331" s="54"/>
      <c r="T2331" s="54"/>
      <c r="U2331" s="54"/>
      <c r="V2331" s="54"/>
      <c r="W2331" s="54"/>
      <c r="X2331" s="54"/>
      <c r="Y2331" s="54"/>
      <c r="Z2331" s="54"/>
      <c r="AA2331" s="54"/>
      <c r="AB2331" s="54"/>
      <c r="AC2331" s="54"/>
      <c r="AD2331" s="54"/>
      <c r="AE2331" s="54"/>
      <c r="AF2331" s="54"/>
      <c r="AG2331" s="54"/>
      <c r="AH2331" s="54"/>
    </row>
    <row r="2332">
      <c r="A2332" s="80"/>
      <c r="B2332" s="80"/>
      <c r="C2332" s="80"/>
      <c r="D2332" s="80"/>
      <c r="E2332" s="80"/>
      <c r="F2332" s="59"/>
      <c r="G2332" s="59"/>
      <c r="H2332" s="83"/>
      <c r="I2332" s="76"/>
      <c r="J2332" s="76"/>
      <c r="K2332" s="81"/>
      <c r="L2332" s="82"/>
      <c r="M2332" s="54"/>
      <c r="N2332" s="54"/>
      <c r="O2332" s="54"/>
      <c r="P2332" s="54"/>
      <c r="Q2332" s="54"/>
      <c r="R2332" s="54"/>
      <c r="S2332" s="54"/>
      <c r="T2332" s="54"/>
      <c r="U2332" s="54"/>
      <c r="V2332" s="54"/>
      <c r="W2332" s="54"/>
      <c r="X2332" s="54"/>
      <c r="Y2332" s="54"/>
      <c r="Z2332" s="54"/>
      <c r="AA2332" s="54"/>
      <c r="AB2332" s="54"/>
      <c r="AC2332" s="54"/>
      <c r="AD2332" s="54"/>
      <c r="AE2332" s="54"/>
      <c r="AF2332" s="54"/>
      <c r="AG2332" s="54"/>
      <c r="AH2332" s="54"/>
    </row>
    <row r="2333">
      <c r="A2333" s="80"/>
      <c r="B2333" s="80"/>
      <c r="C2333" s="80"/>
      <c r="D2333" s="80"/>
      <c r="E2333" s="80"/>
      <c r="F2333" s="59"/>
      <c r="G2333" s="59"/>
      <c r="H2333" s="83"/>
      <c r="I2333" s="76"/>
      <c r="J2333" s="76"/>
      <c r="K2333" s="81"/>
      <c r="L2333" s="82"/>
      <c r="M2333" s="54"/>
      <c r="N2333" s="54"/>
      <c r="O2333" s="54"/>
      <c r="P2333" s="54"/>
      <c r="Q2333" s="54"/>
      <c r="R2333" s="54"/>
      <c r="S2333" s="54"/>
      <c r="T2333" s="54"/>
      <c r="U2333" s="54"/>
      <c r="V2333" s="54"/>
      <c r="W2333" s="54"/>
      <c r="X2333" s="54"/>
      <c r="Y2333" s="54"/>
      <c r="Z2333" s="54"/>
      <c r="AA2333" s="54"/>
      <c r="AB2333" s="54"/>
      <c r="AC2333" s="54"/>
      <c r="AD2333" s="54"/>
      <c r="AE2333" s="54"/>
      <c r="AF2333" s="54"/>
      <c r="AG2333" s="54"/>
      <c r="AH2333" s="54"/>
    </row>
    <row r="2334">
      <c r="A2334" s="80"/>
      <c r="B2334" s="80"/>
      <c r="C2334" s="80"/>
      <c r="D2334" s="80"/>
      <c r="E2334" s="80"/>
      <c r="F2334" s="59"/>
      <c r="G2334" s="59"/>
      <c r="H2334" s="83"/>
      <c r="I2334" s="76"/>
      <c r="J2334" s="76"/>
      <c r="K2334" s="81"/>
      <c r="L2334" s="82"/>
      <c r="M2334" s="54"/>
      <c r="N2334" s="54"/>
      <c r="O2334" s="54"/>
      <c r="P2334" s="54"/>
      <c r="Q2334" s="54"/>
      <c r="R2334" s="54"/>
      <c r="S2334" s="54"/>
      <c r="T2334" s="54"/>
      <c r="U2334" s="54"/>
      <c r="V2334" s="54"/>
      <c r="W2334" s="54"/>
      <c r="X2334" s="54"/>
      <c r="Y2334" s="54"/>
      <c r="Z2334" s="54"/>
      <c r="AA2334" s="54"/>
      <c r="AB2334" s="54"/>
      <c r="AC2334" s="54"/>
      <c r="AD2334" s="54"/>
      <c r="AE2334" s="54"/>
      <c r="AF2334" s="54"/>
      <c r="AG2334" s="54"/>
      <c r="AH2334" s="54"/>
    </row>
    <row r="2335">
      <c r="A2335" s="80"/>
      <c r="B2335" s="80"/>
      <c r="C2335" s="80"/>
      <c r="D2335" s="80"/>
      <c r="E2335" s="80"/>
      <c r="F2335" s="59"/>
      <c r="G2335" s="59"/>
      <c r="H2335" s="83"/>
      <c r="I2335" s="76"/>
      <c r="J2335" s="76"/>
      <c r="K2335" s="81"/>
      <c r="L2335" s="82"/>
      <c r="M2335" s="54"/>
      <c r="N2335" s="54"/>
      <c r="O2335" s="54"/>
      <c r="P2335" s="54"/>
      <c r="Q2335" s="54"/>
      <c r="R2335" s="54"/>
      <c r="S2335" s="54"/>
      <c r="T2335" s="54"/>
      <c r="U2335" s="54"/>
      <c r="V2335" s="54"/>
      <c r="W2335" s="54"/>
      <c r="X2335" s="54"/>
      <c r="Y2335" s="54"/>
      <c r="Z2335" s="54"/>
      <c r="AA2335" s="54"/>
      <c r="AB2335" s="54"/>
      <c r="AC2335" s="54"/>
      <c r="AD2335" s="54"/>
      <c r="AE2335" s="54"/>
      <c r="AF2335" s="54"/>
      <c r="AG2335" s="54"/>
      <c r="AH2335" s="54"/>
    </row>
    <row r="2336">
      <c r="A2336" s="80"/>
      <c r="B2336" s="80"/>
      <c r="C2336" s="80"/>
      <c r="D2336" s="80"/>
      <c r="E2336" s="80"/>
      <c r="F2336" s="59"/>
      <c r="G2336" s="59"/>
      <c r="H2336" s="83"/>
      <c r="I2336" s="76"/>
      <c r="J2336" s="76"/>
      <c r="K2336" s="81"/>
      <c r="L2336" s="82"/>
      <c r="M2336" s="54"/>
      <c r="N2336" s="54"/>
      <c r="O2336" s="54"/>
      <c r="P2336" s="54"/>
      <c r="Q2336" s="54"/>
      <c r="R2336" s="54"/>
      <c r="S2336" s="54"/>
      <c r="T2336" s="54"/>
      <c r="U2336" s="54"/>
      <c r="V2336" s="54"/>
      <c r="W2336" s="54"/>
      <c r="X2336" s="54"/>
      <c r="Y2336" s="54"/>
      <c r="Z2336" s="54"/>
      <c r="AA2336" s="54"/>
      <c r="AB2336" s="54"/>
      <c r="AC2336" s="54"/>
      <c r="AD2336" s="54"/>
      <c r="AE2336" s="54"/>
      <c r="AF2336" s="54"/>
      <c r="AG2336" s="54"/>
      <c r="AH2336" s="54"/>
    </row>
    <row r="2337">
      <c r="A2337" s="80"/>
      <c r="B2337" s="80"/>
      <c r="C2337" s="80"/>
      <c r="D2337" s="80"/>
      <c r="E2337" s="80"/>
      <c r="F2337" s="59"/>
      <c r="G2337" s="59"/>
      <c r="H2337" s="83"/>
      <c r="I2337" s="76"/>
      <c r="J2337" s="76"/>
      <c r="K2337" s="81"/>
      <c r="L2337" s="82"/>
      <c r="M2337" s="54"/>
      <c r="N2337" s="54"/>
      <c r="O2337" s="54"/>
      <c r="P2337" s="54"/>
      <c r="Q2337" s="54"/>
      <c r="R2337" s="54"/>
      <c r="S2337" s="54"/>
      <c r="T2337" s="54"/>
      <c r="U2337" s="54"/>
      <c r="V2337" s="54"/>
      <c r="W2337" s="54"/>
      <c r="X2337" s="54"/>
      <c r="Y2337" s="54"/>
      <c r="Z2337" s="54"/>
      <c r="AA2337" s="54"/>
      <c r="AB2337" s="54"/>
      <c r="AC2337" s="54"/>
      <c r="AD2337" s="54"/>
      <c r="AE2337" s="54"/>
      <c r="AF2337" s="54"/>
      <c r="AG2337" s="54"/>
      <c r="AH2337" s="54"/>
    </row>
    <row r="2338">
      <c r="A2338" s="80"/>
      <c r="B2338" s="80"/>
      <c r="C2338" s="80"/>
      <c r="D2338" s="80"/>
      <c r="E2338" s="80"/>
      <c r="F2338" s="59"/>
      <c r="G2338" s="59"/>
      <c r="H2338" s="83"/>
      <c r="I2338" s="76"/>
      <c r="J2338" s="76"/>
      <c r="K2338" s="81"/>
      <c r="L2338" s="82"/>
      <c r="M2338" s="54"/>
      <c r="N2338" s="54"/>
      <c r="O2338" s="54"/>
      <c r="P2338" s="54"/>
      <c r="Q2338" s="54"/>
      <c r="R2338" s="54"/>
      <c r="S2338" s="54"/>
      <c r="T2338" s="54"/>
      <c r="U2338" s="54"/>
      <c r="V2338" s="54"/>
      <c r="W2338" s="54"/>
      <c r="X2338" s="54"/>
      <c r="Y2338" s="54"/>
      <c r="Z2338" s="54"/>
      <c r="AA2338" s="54"/>
      <c r="AB2338" s="54"/>
      <c r="AC2338" s="54"/>
      <c r="AD2338" s="54"/>
      <c r="AE2338" s="54"/>
      <c r="AF2338" s="54"/>
      <c r="AG2338" s="54"/>
      <c r="AH2338" s="54"/>
    </row>
    <row r="2339">
      <c r="A2339" s="80"/>
      <c r="B2339" s="80"/>
      <c r="C2339" s="80"/>
      <c r="D2339" s="80"/>
      <c r="E2339" s="80"/>
      <c r="F2339" s="59"/>
      <c r="G2339" s="59"/>
      <c r="H2339" s="83"/>
      <c r="I2339" s="76"/>
      <c r="J2339" s="76"/>
      <c r="K2339" s="81"/>
      <c r="L2339" s="82"/>
      <c r="M2339" s="54"/>
      <c r="N2339" s="54"/>
      <c r="O2339" s="54"/>
      <c r="P2339" s="54"/>
      <c r="Q2339" s="54"/>
      <c r="R2339" s="54"/>
      <c r="S2339" s="54"/>
      <c r="T2339" s="54"/>
      <c r="U2339" s="54"/>
      <c r="V2339" s="54"/>
      <c r="W2339" s="54"/>
      <c r="X2339" s="54"/>
      <c r="Y2339" s="54"/>
      <c r="Z2339" s="54"/>
      <c r="AA2339" s="54"/>
      <c r="AB2339" s="54"/>
      <c r="AC2339" s="54"/>
      <c r="AD2339" s="54"/>
      <c r="AE2339" s="54"/>
      <c r="AF2339" s="54"/>
      <c r="AG2339" s="54"/>
      <c r="AH2339" s="54"/>
    </row>
    <row r="2340">
      <c r="A2340" s="80"/>
      <c r="B2340" s="80"/>
      <c r="C2340" s="80"/>
      <c r="D2340" s="80"/>
      <c r="E2340" s="80"/>
      <c r="F2340" s="59"/>
      <c r="G2340" s="59"/>
      <c r="H2340" s="83"/>
      <c r="I2340" s="76"/>
      <c r="J2340" s="76"/>
      <c r="K2340" s="81"/>
      <c r="L2340" s="82"/>
      <c r="M2340" s="54"/>
      <c r="N2340" s="54"/>
      <c r="O2340" s="54"/>
      <c r="P2340" s="54"/>
      <c r="Q2340" s="54"/>
      <c r="R2340" s="54"/>
      <c r="S2340" s="54"/>
      <c r="T2340" s="54"/>
      <c r="U2340" s="54"/>
      <c r="V2340" s="54"/>
      <c r="W2340" s="54"/>
      <c r="X2340" s="54"/>
      <c r="Y2340" s="54"/>
      <c r="Z2340" s="54"/>
      <c r="AA2340" s="54"/>
      <c r="AB2340" s="54"/>
      <c r="AC2340" s="54"/>
      <c r="AD2340" s="54"/>
      <c r="AE2340" s="54"/>
      <c r="AF2340" s="54"/>
      <c r="AG2340" s="54"/>
      <c r="AH2340" s="54"/>
    </row>
    <row r="2341">
      <c r="A2341" s="80"/>
      <c r="B2341" s="80"/>
      <c r="C2341" s="80"/>
      <c r="D2341" s="80"/>
      <c r="E2341" s="80"/>
      <c r="F2341" s="59"/>
      <c r="G2341" s="59"/>
      <c r="H2341" s="83"/>
      <c r="I2341" s="76"/>
      <c r="J2341" s="76"/>
      <c r="K2341" s="81"/>
      <c r="L2341" s="82"/>
      <c r="M2341" s="54"/>
      <c r="N2341" s="54"/>
      <c r="O2341" s="54"/>
      <c r="P2341" s="54"/>
      <c r="Q2341" s="54"/>
      <c r="R2341" s="54"/>
      <c r="S2341" s="54"/>
      <c r="T2341" s="54"/>
      <c r="U2341" s="54"/>
      <c r="V2341" s="54"/>
      <c r="W2341" s="54"/>
      <c r="X2341" s="54"/>
      <c r="Y2341" s="54"/>
      <c r="Z2341" s="54"/>
      <c r="AA2341" s="54"/>
      <c r="AB2341" s="54"/>
      <c r="AC2341" s="54"/>
      <c r="AD2341" s="54"/>
      <c r="AE2341" s="54"/>
      <c r="AF2341" s="54"/>
      <c r="AG2341" s="54"/>
      <c r="AH2341" s="54"/>
    </row>
    <row r="2342">
      <c r="A2342" s="80"/>
      <c r="B2342" s="80"/>
      <c r="C2342" s="80"/>
      <c r="D2342" s="80"/>
      <c r="E2342" s="80"/>
      <c r="F2342" s="59"/>
      <c r="G2342" s="59"/>
      <c r="H2342" s="83"/>
      <c r="I2342" s="76"/>
      <c r="J2342" s="76"/>
      <c r="K2342" s="81"/>
      <c r="L2342" s="82"/>
      <c r="M2342" s="54"/>
      <c r="N2342" s="54"/>
      <c r="O2342" s="54"/>
      <c r="P2342" s="54"/>
      <c r="Q2342" s="54"/>
      <c r="R2342" s="54"/>
      <c r="S2342" s="54"/>
      <c r="T2342" s="54"/>
      <c r="U2342" s="54"/>
      <c r="V2342" s="54"/>
      <c r="W2342" s="54"/>
      <c r="X2342" s="54"/>
      <c r="Y2342" s="54"/>
      <c r="Z2342" s="54"/>
      <c r="AA2342" s="54"/>
      <c r="AB2342" s="54"/>
      <c r="AC2342" s="54"/>
      <c r="AD2342" s="54"/>
      <c r="AE2342" s="54"/>
      <c r="AF2342" s="54"/>
      <c r="AG2342" s="54"/>
      <c r="AH2342" s="54"/>
    </row>
    <row r="2343">
      <c r="A2343" s="80"/>
      <c r="B2343" s="80"/>
      <c r="C2343" s="80"/>
      <c r="D2343" s="80"/>
      <c r="E2343" s="80"/>
      <c r="F2343" s="59"/>
      <c r="G2343" s="59"/>
      <c r="H2343" s="83"/>
      <c r="I2343" s="76"/>
      <c r="J2343" s="76"/>
      <c r="K2343" s="81"/>
      <c r="L2343" s="82"/>
      <c r="M2343" s="54"/>
      <c r="N2343" s="54"/>
      <c r="O2343" s="54"/>
      <c r="P2343" s="54"/>
      <c r="Q2343" s="54"/>
      <c r="R2343" s="54"/>
      <c r="S2343" s="54"/>
      <c r="T2343" s="54"/>
      <c r="U2343" s="54"/>
      <c r="V2343" s="54"/>
      <c r="W2343" s="54"/>
      <c r="X2343" s="54"/>
      <c r="Y2343" s="54"/>
      <c r="Z2343" s="54"/>
      <c r="AA2343" s="54"/>
      <c r="AB2343" s="54"/>
      <c r="AC2343" s="54"/>
      <c r="AD2343" s="54"/>
      <c r="AE2343" s="54"/>
      <c r="AF2343" s="54"/>
      <c r="AG2343" s="54"/>
      <c r="AH2343" s="54"/>
    </row>
    <row r="2344">
      <c r="A2344" s="80"/>
      <c r="B2344" s="80"/>
      <c r="C2344" s="80"/>
      <c r="D2344" s="80"/>
      <c r="E2344" s="80"/>
      <c r="F2344" s="59"/>
      <c r="G2344" s="59"/>
      <c r="H2344" s="83"/>
      <c r="I2344" s="76"/>
      <c r="J2344" s="76"/>
      <c r="K2344" s="81"/>
      <c r="L2344" s="82"/>
      <c r="M2344" s="54"/>
      <c r="N2344" s="54"/>
      <c r="O2344" s="54"/>
      <c r="P2344" s="54"/>
      <c r="Q2344" s="54"/>
      <c r="R2344" s="54"/>
      <c r="S2344" s="54"/>
      <c r="T2344" s="54"/>
      <c r="U2344" s="54"/>
      <c r="V2344" s="54"/>
      <c r="W2344" s="54"/>
      <c r="X2344" s="54"/>
      <c r="Y2344" s="54"/>
      <c r="Z2344" s="54"/>
      <c r="AA2344" s="54"/>
      <c r="AB2344" s="54"/>
      <c r="AC2344" s="54"/>
      <c r="AD2344" s="54"/>
      <c r="AE2344" s="54"/>
      <c r="AF2344" s="54"/>
      <c r="AG2344" s="54"/>
      <c r="AH2344" s="54"/>
    </row>
    <row r="2345">
      <c r="A2345" s="80"/>
      <c r="B2345" s="80"/>
      <c r="C2345" s="80"/>
      <c r="D2345" s="80"/>
      <c r="E2345" s="80"/>
      <c r="F2345" s="59"/>
      <c r="G2345" s="59"/>
      <c r="H2345" s="83"/>
      <c r="I2345" s="76"/>
      <c r="J2345" s="76"/>
      <c r="K2345" s="81"/>
      <c r="L2345" s="82"/>
      <c r="M2345" s="54"/>
      <c r="N2345" s="54"/>
      <c r="O2345" s="54"/>
      <c r="P2345" s="54"/>
      <c r="Q2345" s="54"/>
      <c r="R2345" s="54"/>
      <c r="S2345" s="54"/>
      <c r="T2345" s="54"/>
      <c r="U2345" s="54"/>
      <c r="V2345" s="54"/>
      <c r="W2345" s="54"/>
      <c r="X2345" s="54"/>
      <c r="Y2345" s="54"/>
      <c r="Z2345" s="54"/>
      <c r="AA2345" s="54"/>
      <c r="AB2345" s="54"/>
      <c r="AC2345" s="54"/>
      <c r="AD2345" s="54"/>
      <c r="AE2345" s="54"/>
      <c r="AF2345" s="54"/>
      <c r="AG2345" s="54"/>
      <c r="AH2345" s="54"/>
    </row>
    <row r="2346">
      <c r="A2346" s="80"/>
      <c r="B2346" s="80"/>
      <c r="C2346" s="80"/>
      <c r="D2346" s="80"/>
      <c r="E2346" s="80"/>
      <c r="F2346" s="59"/>
      <c r="G2346" s="59"/>
      <c r="H2346" s="83"/>
      <c r="I2346" s="76"/>
      <c r="J2346" s="76"/>
      <c r="K2346" s="81"/>
      <c r="L2346" s="82"/>
      <c r="M2346" s="54"/>
      <c r="N2346" s="54"/>
      <c r="O2346" s="54"/>
      <c r="P2346" s="54"/>
      <c r="Q2346" s="54"/>
      <c r="R2346" s="54"/>
      <c r="S2346" s="54"/>
      <c r="T2346" s="54"/>
      <c r="U2346" s="54"/>
      <c r="V2346" s="54"/>
      <c r="W2346" s="54"/>
      <c r="X2346" s="54"/>
      <c r="Y2346" s="54"/>
      <c r="Z2346" s="54"/>
      <c r="AA2346" s="54"/>
      <c r="AB2346" s="54"/>
      <c r="AC2346" s="54"/>
      <c r="AD2346" s="54"/>
      <c r="AE2346" s="54"/>
      <c r="AF2346" s="54"/>
      <c r="AG2346" s="54"/>
      <c r="AH2346" s="54"/>
    </row>
    <row r="2347">
      <c r="A2347" s="80"/>
      <c r="B2347" s="80"/>
      <c r="C2347" s="80"/>
      <c r="D2347" s="80"/>
      <c r="E2347" s="80"/>
      <c r="F2347" s="59"/>
      <c r="G2347" s="59"/>
      <c r="H2347" s="83"/>
      <c r="I2347" s="76"/>
      <c r="J2347" s="76"/>
      <c r="K2347" s="81"/>
      <c r="L2347" s="82"/>
      <c r="M2347" s="54"/>
      <c r="N2347" s="54"/>
      <c r="O2347" s="54"/>
      <c r="P2347" s="54"/>
      <c r="Q2347" s="54"/>
      <c r="R2347" s="54"/>
      <c r="S2347" s="54"/>
      <c r="T2347" s="54"/>
      <c r="U2347" s="54"/>
      <c r="V2347" s="54"/>
      <c r="W2347" s="54"/>
      <c r="X2347" s="54"/>
      <c r="Y2347" s="54"/>
      <c r="Z2347" s="54"/>
      <c r="AA2347" s="54"/>
      <c r="AB2347" s="54"/>
      <c r="AC2347" s="54"/>
      <c r="AD2347" s="54"/>
      <c r="AE2347" s="54"/>
      <c r="AF2347" s="54"/>
      <c r="AG2347" s="54"/>
      <c r="AH2347" s="54"/>
    </row>
    <row r="2348">
      <c r="A2348" s="80"/>
      <c r="B2348" s="80"/>
      <c r="C2348" s="80"/>
      <c r="D2348" s="80"/>
      <c r="E2348" s="80"/>
      <c r="F2348" s="59"/>
      <c r="G2348" s="59"/>
      <c r="H2348" s="83"/>
      <c r="I2348" s="76"/>
      <c r="J2348" s="76"/>
      <c r="K2348" s="81"/>
      <c r="L2348" s="82"/>
      <c r="M2348" s="54"/>
      <c r="N2348" s="54"/>
      <c r="O2348" s="54"/>
      <c r="P2348" s="54"/>
      <c r="Q2348" s="54"/>
      <c r="R2348" s="54"/>
      <c r="S2348" s="54"/>
      <c r="T2348" s="54"/>
      <c r="U2348" s="54"/>
      <c r="V2348" s="54"/>
      <c r="W2348" s="54"/>
      <c r="X2348" s="54"/>
      <c r="Y2348" s="54"/>
      <c r="Z2348" s="54"/>
      <c r="AA2348" s="54"/>
      <c r="AB2348" s="54"/>
      <c r="AC2348" s="54"/>
      <c r="AD2348" s="54"/>
      <c r="AE2348" s="54"/>
      <c r="AF2348" s="54"/>
      <c r="AG2348" s="54"/>
      <c r="AH2348" s="54"/>
    </row>
    <row r="2349">
      <c r="A2349" s="80"/>
      <c r="B2349" s="80"/>
      <c r="C2349" s="80"/>
      <c r="D2349" s="80"/>
      <c r="E2349" s="80"/>
      <c r="F2349" s="59"/>
      <c r="G2349" s="59"/>
      <c r="H2349" s="83"/>
      <c r="I2349" s="76"/>
      <c r="J2349" s="76"/>
      <c r="K2349" s="81"/>
      <c r="L2349" s="82"/>
      <c r="M2349" s="54"/>
      <c r="N2349" s="54"/>
      <c r="O2349" s="54"/>
      <c r="P2349" s="54"/>
      <c r="Q2349" s="54"/>
      <c r="R2349" s="54"/>
      <c r="S2349" s="54"/>
      <c r="T2349" s="54"/>
      <c r="U2349" s="54"/>
      <c r="V2349" s="54"/>
      <c r="W2349" s="54"/>
      <c r="X2349" s="54"/>
      <c r="Y2349" s="54"/>
      <c r="Z2349" s="54"/>
      <c r="AA2349" s="54"/>
      <c r="AB2349" s="54"/>
      <c r="AC2349" s="54"/>
      <c r="AD2349" s="54"/>
      <c r="AE2349" s="54"/>
      <c r="AF2349" s="54"/>
      <c r="AG2349" s="54"/>
      <c r="AH2349" s="54"/>
    </row>
    <row r="2350">
      <c r="A2350" s="80"/>
      <c r="B2350" s="80"/>
      <c r="C2350" s="80"/>
      <c r="D2350" s="80"/>
      <c r="E2350" s="80"/>
      <c r="F2350" s="59"/>
      <c r="G2350" s="59"/>
      <c r="H2350" s="83"/>
      <c r="I2350" s="76"/>
      <c r="J2350" s="76"/>
      <c r="K2350" s="81"/>
      <c r="L2350" s="82"/>
      <c r="M2350" s="54"/>
      <c r="N2350" s="54"/>
      <c r="O2350" s="54"/>
      <c r="P2350" s="54"/>
      <c r="Q2350" s="54"/>
      <c r="R2350" s="54"/>
      <c r="S2350" s="54"/>
      <c r="T2350" s="54"/>
      <c r="U2350" s="54"/>
      <c r="V2350" s="54"/>
      <c r="W2350" s="54"/>
      <c r="X2350" s="54"/>
      <c r="Y2350" s="54"/>
      <c r="Z2350" s="54"/>
      <c r="AA2350" s="54"/>
      <c r="AB2350" s="54"/>
      <c r="AC2350" s="54"/>
      <c r="AD2350" s="54"/>
      <c r="AE2350" s="54"/>
      <c r="AF2350" s="54"/>
      <c r="AG2350" s="54"/>
      <c r="AH2350" s="54"/>
    </row>
    <row r="2351">
      <c r="A2351" s="80"/>
      <c r="B2351" s="80"/>
      <c r="C2351" s="80"/>
      <c r="D2351" s="80"/>
      <c r="E2351" s="80"/>
      <c r="F2351" s="59"/>
      <c r="G2351" s="59"/>
      <c r="H2351" s="83"/>
      <c r="I2351" s="76"/>
      <c r="J2351" s="76"/>
      <c r="K2351" s="81"/>
      <c r="L2351" s="82"/>
      <c r="M2351" s="54"/>
      <c r="N2351" s="54"/>
      <c r="O2351" s="54"/>
      <c r="P2351" s="54"/>
      <c r="Q2351" s="54"/>
      <c r="R2351" s="54"/>
      <c r="S2351" s="54"/>
      <c r="T2351" s="54"/>
      <c r="U2351" s="54"/>
      <c r="V2351" s="54"/>
      <c r="W2351" s="54"/>
      <c r="X2351" s="54"/>
      <c r="Y2351" s="54"/>
      <c r="Z2351" s="54"/>
      <c r="AA2351" s="54"/>
      <c r="AB2351" s="54"/>
      <c r="AC2351" s="54"/>
      <c r="AD2351" s="54"/>
      <c r="AE2351" s="54"/>
      <c r="AF2351" s="54"/>
      <c r="AG2351" s="54"/>
      <c r="AH2351" s="54"/>
    </row>
    <row r="2352">
      <c r="A2352" s="80"/>
      <c r="B2352" s="80"/>
      <c r="C2352" s="80"/>
      <c r="D2352" s="80"/>
      <c r="E2352" s="80"/>
      <c r="F2352" s="59"/>
      <c r="G2352" s="59"/>
      <c r="H2352" s="83"/>
      <c r="I2352" s="76"/>
      <c r="J2352" s="76"/>
      <c r="K2352" s="81"/>
      <c r="L2352" s="82"/>
      <c r="M2352" s="54"/>
      <c r="N2352" s="54"/>
      <c r="O2352" s="54"/>
      <c r="P2352" s="54"/>
      <c r="Q2352" s="54"/>
      <c r="R2352" s="54"/>
      <c r="S2352" s="54"/>
      <c r="T2352" s="54"/>
      <c r="U2352" s="54"/>
      <c r="V2352" s="54"/>
      <c r="W2352" s="54"/>
      <c r="X2352" s="54"/>
      <c r="Y2352" s="54"/>
      <c r="Z2352" s="54"/>
      <c r="AA2352" s="54"/>
      <c r="AB2352" s="54"/>
      <c r="AC2352" s="54"/>
      <c r="AD2352" s="54"/>
      <c r="AE2352" s="54"/>
      <c r="AF2352" s="54"/>
      <c r="AG2352" s="54"/>
      <c r="AH2352" s="54"/>
    </row>
    <row r="2353">
      <c r="A2353" s="80"/>
      <c r="B2353" s="80"/>
      <c r="C2353" s="80"/>
      <c r="D2353" s="80"/>
      <c r="E2353" s="80"/>
      <c r="F2353" s="59"/>
      <c r="G2353" s="59"/>
      <c r="H2353" s="83"/>
      <c r="I2353" s="76"/>
      <c r="J2353" s="76"/>
      <c r="K2353" s="81"/>
      <c r="L2353" s="82"/>
      <c r="M2353" s="54"/>
      <c r="N2353" s="54"/>
      <c r="O2353" s="54"/>
      <c r="P2353" s="54"/>
      <c r="Q2353" s="54"/>
      <c r="R2353" s="54"/>
      <c r="S2353" s="54"/>
      <c r="T2353" s="54"/>
      <c r="U2353" s="54"/>
      <c r="V2353" s="54"/>
      <c r="W2353" s="54"/>
      <c r="X2353" s="54"/>
      <c r="Y2353" s="54"/>
      <c r="Z2353" s="54"/>
      <c r="AA2353" s="54"/>
      <c r="AB2353" s="54"/>
      <c r="AC2353" s="54"/>
      <c r="AD2353" s="54"/>
      <c r="AE2353" s="54"/>
      <c r="AF2353" s="54"/>
      <c r="AG2353" s="54"/>
      <c r="AH2353" s="54"/>
    </row>
    <row r="2354">
      <c r="A2354" s="80"/>
      <c r="B2354" s="80"/>
      <c r="C2354" s="80"/>
      <c r="D2354" s="80"/>
      <c r="E2354" s="80"/>
      <c r="F2354" s="59"/>
      <c r="G2354" s="59"/>
      <c r="H2354" s="83"/>
      <c r="I2354" s="76"/>
      <c r="J2354" s="76"/>
      <c r="K2354" s="81"/>
      <c r="L2354" s="82"/>
      <c r="M2354" s="54"/>
      <c r="N2354" s="54"/>
      <c r="O2354" s="54"/>
      <c r="P2354" s="54"/>
      <c r="Q2354" s="54"/>
      <c r="R2354" s="54"/>
      <c r="S2354" s="54"/>
      <c r="T2354" s="54"/>
      <c r="U2354" s="54"/>
      <c r="V2354" s="54"/>
      <c r="W2354" s="54"/>
      <c r="X2354" s="54"/>
      <c r="Y2354" s="54"/>
      <c r="Z2354" s="54"/>
      <c r="AA2354" s="54"/>
      <c r="AB2354" s="54"/>
      <c r="AC2354" s="54"/>
      <c r="AD2354" s="54"/>
      <c r="AE2354" s="54"/>
      <c r="AF2354" s="54"/>
      <c r="AG2354" s="54"/>
      <c r="AH2354" s="54"/>
    </row>
    <row r="2355">
      <c r="A2355" s="80"/>
      <c r="B2355" s="80"/>
      <c r="C2355" s="80"/>
      <c r="D2355" s="80"/>
      <c r="E2355" s="80"/>
      <c r="F2355" s="59"/>
      <c r="G2355" s="59"/>
      <c r="H2355" s="83"/>
      <c r="I2355" s="76"/>
      <c r="J2355" s="76"/>
      <c r="K2355" s="81"/>
      <c r="L2355" s="82"/>
      <c r="M2355" s="54"/>
      <c r="N2355" s="54"/>
      <c r="O2355" s="54"/>
      <c r="P2355" s="54"/>
      <c r="Q2355" s="54"/>
      <c r="R2355" s="54"/>
      <c r="S2355" s="54"/>
      <c r="T2355" s="54"/>
      <c r="U2355" s="54"/>
      <c r="V2355" s="54"/>
      <c r="W2355" s="54"/>
      <c r="X2355" s="54"/>
      <c r="Y2355" s="54"/>
      <c r="Z2355" s="54"/>
      <c r="AA2355" s="54"/>
      <c r="AB2355" s="54"/>
      <c r="AC2355" s="54"/>
      <c r="AD2355" s="54"/>
      <c r="AE2355" s="54"/>
      <c r="AF2355" s="54"/>
      <c r="AG2355" s="54"/>
      <c r="AH2355" s="54"/>
    </row>
    <row r="2356">
      <c r="A2356" s="80"/>
      <c r="B2356" s="80"/>
      <c r="C2356" s="80"/>
      <c r="D2356" s="80"/>
      <c r="E2356" s="80"/>
      <c r="F2356" s="59"/>
      <c r="G2356" s="59"/>
      <c r="H2356" s="83"/>
      <c r="I2356" s="76"/>
      <c r="J2356" s="76"/>
      <c r="K2356" s="81"/>
      <c r="L2356" s="82"/>
      <c r="M2356" s="54"/>
      <c r="N2356" s="54"/>
      <c r="O2356" s="54"/>
      <c r="P2356" s="54"/>
      <c r="Q2356" s="54"/>
      <c r="R2356" s="54"/>
      <c r="S2356" s="54"/>
      <c r="T2356" s="54"/>
      <c r="U2356" s="54"/>
      <c r="V2356" s="54"/>
      <c r="W2356" s="54"/>
      <c r="X2356" s="54"/>
      <c r="Y2356" s="54"/>
      <c r="Z2356" s="54"/>
      <c r="AA2356" s="54"/>
      <c r="AB2356" s="54"/>
      <c r="AC2356" s="54"/>
      <c r="AD2356" s="54"/>
      <c r="AE2356" s="54"/>
      <c r="AF2356" s="54"/>
      <c r="AG2356" s="54"/>
      <c r="AH2356" s="54"/>
    </row>
    <row r="2357">
      <c r="A2357" s="80"/>
      <c r="B2357" s="80"/>
      <c r="C2357" s="80"/>
      <c r="D2357" s="80"/>
      <c r="E2357" s="80"/>
      <c r="F2357" s="59"/>
      <c r="G2357" s="59"/>
      <c r="H2357" s="83"/>
      <c r="I2357" s="76"/>
      <c r="J2357" s="76"/>
      <c r="K2357" s="81"/>
      <c r="L2357" s="82"/>
      <c r="M2357" s="54"/>
      <c r="N2357" s="54"/>
      <c r="O2357" s="54"/>
      <c r="P2357" s="54"/>
      <c r="Q2357" s="54"/>
      <c r="R2357" s="54"/>
      <c r="S2357" s="54"/>
      <c r="T2357" s="54"/>
      <c r="U2357" s="54"/>
      <c r="V2357" s="54"/>
      <c r="W2357" s="54"/>
      <c r="X2357" s="54"/>
      <c r="Y2357" s="54"/>
      <c r="Z2357" s="54"/>
      <c r="AA2357" s="54"/>
      <c r="AB2357" s="54"/>
      <c r="AC2357" s="54"/>
      <c r="AD2357" s="54"/>
      <c r="AE2357" s="54"/>
      <c r="AF2357" s="54"/>
      <c r="AG2357" s="54"/>
      <c r="AH2357" s="54"/>
    </row>
    <row r="2358">
      <c r="A2358" s="80"/>
      <c r="B2358" s="80"/>
      <c r="C2358" s="80"/>
      <c r="D2358" s="80"/>
      <c r="E2358" s="80"/>
      <c r="F2358" s="59"/>
      <c r="G2358" s="59"/>
      <c r="H2358" s="83"/>
      <c r="I2358" s="76"/>
      <c r="J2358" s="76"/>
      <c r="K2358" s="81"/>
      <c r="L2358" s="82"/>
      <c r="M2358" s="54"/>
      <c r="N2358" s="54"/>
      <c r="O2358" s="54"/>
      <c r="P2358" s="54"/>
      <c r="Q2358" s="54"/>
      <c r="R2358" s="54"/>
      <c r="S2358" s="54"/>
      <c r="T2358" s="54"/>
      <c r="U2358" s="54"/>
      <c r="V2358" s="54"/>
      <c r="W2358" s="54"/>
      <c r="X2358" s="54"/>
      <c r="Y2358" s="54"/>
      <c r="Z2358" s="54"/>
      <c r="AA2358" s="54"/>
      <c r="AB2358" s="54"/>
      <c r="AC2358" s="54"/>
      <c r="AD2358" s="54"/>
      <c r="AE2358" s="54"/>
      <c r="AF2358" s="54"/>
      <c r="AG2358" s="54"/>
      <c r="AH2358" s="54"/>
    </row>
    <row r="2359">
      <c r="A2359" s="80"/>
      <c r="B2359" s="80"/>
      <c r="C2359" s="80"/>
      <c r="D2359" s="80"/>
      <c r="E2359" s="80"/>
      <c r="F2359" s="59"/>
      <c r="G2359" s="59"/>
      <c r="H2359" s="83"/>
      <c r="I2359" s="76"/>
      <c r="J2359" s="76"/>
      <c r="K2359" s="81"/>
      <c r="L2359" s="82"/>
      <c r="M2359" s="54"/>
      <c r="N2359" s="54"/>
      <c r="O2359" s="54"/>
      <c r="P2359" s="54"/>
      <c r="Q2359" s="54"/>
      <c r="R2359" s="54"/>
      <c r="S2359" s="54"/>
      <c r="T2359" s="54"/>
      <c r="U2359" s="54"/>
      <c r="V2359" s="54"/>
      <c r="W2359" s="54"/>
      <c r="X2359" s="54"/>
      <c r="Y2359" s="54"/>
      <c r="Z2359" s="54"/>
      <c r="AA2359" s="54"/>
      <c r="AB2359" s="54"/>
      <c r="AC2359" s="54"/>
      <c r="AD2359" s="54"/>
      <c r="AE2359" s="54"/>
      <c r="AF2359" s="54"/>
      <c r="AG2359" s="54"/>
      <c r="AH2359" s="54"/>
    </row>
    <row r="2360">
      <c r="A2360" s="80"/>
      <c r="B2360" s="80"/>
      <c r="C2360" s="80"/>
      <c r="D2360" s="80"/>
      <c r="E2360" s="80"/>
      <c r="F2360" s="59"/>
      <c r="G2360" s="59"/>
      <c r="H2360" s="83"/>
      <c r="I2360" s="76"/>
      <c r="J2360" s="76"/>
      <c r="K2360" s="81"/>
      <c r="L2360" s="82"/>
      <c r="M2360" s="54"/>
      <c r="N2360" s="54"/>
      <c r="O2360" s="54"/>
      <c r="P2360" s="54"/>
      <c r="Q2360" s="54"/>
      <c r="R2360" s="54"/>
      <c r="S2360" s="54"/>
      <c r="T2360" s="54"/>
      <c r="U2360" s="54"/>
      <c r="V2360" s="54"/>
      <c r="W2360" s="54"/>
      <c r="X2360" s="54"/>
      <c r="Y2360" s="54"/>
      <c r="Z2360" s="54"/>
      <c r="AA2360" s="54"/>
      <c r="AB2360" s="54"/>
      <c r="AC2360" s="54"/>
      <c r="AD2360" s="54"/>
      <c r="AE2360" s="54"/>
      <c r="AF2360" s="54"/>
      <c r="AG2360" s="54"/>
      <c r="AH2360" s="54"/>
    </row>
    <row r="2361">
      <c r="A2361" s="80"/>
      <c r="B2361" s="80"/>
      <c r="C2361" s="80"/>
      <c r="D2361" s="80"/>
      <c r="E2361" s="80"/>
      <c r="F2361" s="59"/>
      <c r="G2361" s="59"/>
      <c r="H2361" s="83"/>
      <c r="I2361" s="76"/>
      <c r="J2361" s="76"/>
      <c r="K2361" s="81"/>
      <c r="L2361" s="82"/>
      <c r="M2361" s="54"/>
      <c r="N2361" s="54"/>
      <c r="O2361" s="54"/>
      <c r="P2361" s="54"/>
      <c r="Q2361" s="54"/>
      <c r="R2361" s="54"/>
      <c r="S2361" s="54"/>
      <c r="T2361" s="54"/>
      <c r="U2361" s="54"/>
      <c r="V2361" s="54"/>
      <c r="W2361" s="54"/>
      <c r="X2361" s="54"/>
      <c r="Y2361" s="54"/>
      <c r="Z2361" s="54"/>
      <c r="AA2361" s="54"/>
      <c r="AB2361" s="54"/>
      <c r="AC2361" s="54"/>
      <c r="AD2361" s="54"/>
      <c r="AE2361" s="54"/>
      <c r="AF2361" s="54"/>
      <c r="AG2361" s="54"/>
      <c r="AH2361" s="54"/>
    </row>
    <row r="2362">
      <c r="A2362" s="80"/>
      <c r="B2362" s="80"/>
      <c r="C2362" s="80"/>
      <c r="D2362" s="80"/>
      <c r="E2362" s="80"/>
      <c r="F2362" s="59"/>
      <c r="G2362" s="59"/>
      <c r="H2362" s="83"/>
      <c r="I2362" s="76"/>
      <c r="J2362" s="76"/>
      <c r="K2362" s="81"/>
      <c r="L2362" s="82"/>
      <c r="M2362" s="54"/>
      <c r="N2362" s="54"/>
      <c r="O2362" s="54"/>
      <c r="P2362" s="54"/>
      <c r="Q2362" s="54"/>
      <c r="R2362" s="54"/>
      <c r="S2362" s="54"/>
      <c r="T2362" s="54"/>
      <c r="U2362" s="54"/>
      <c r="V2362" s="54"/>
      <c r="W2362" s="54"/>
      <c r="X2362" s="54"/>
      <c r="Y2362" s="54"/>
      <c r="Z2362" s="54"/>
      <c r="AA2362" s="54"/>
      <c r="AB2362" s="54"/>
      <c r="AC2362" s="54"/>
      <c r="AD2362" s="54"/>
      <c r="AE2362" s="54"/>
      <c r="AF2362" s="54"/>
      <c r="AG2362" s="54"/>
      <c r="AH2362" s="54"/>
    </row>
    <row r="2363">
      <c r="A2363" s="80"/>
      <c r="B2363" s="80"/>
      <c r="C2363" s="80"/>
      <c r="D2363" s="80"/>
      <c r="E2363" s="80"/>
      <c r="F2363" s="59"/>
      <c r="G2363" s="59"/>
      <c r="H2363" s="83"/>
      <c r="I2363" s="76"/>
      <c r="J2363" s="76"/>
      <c r="K2363" s="81"/>
      <c r="L2363" s="82"/>
      <c r="M2363" s="54"/>
      <c r="N2363" s="54"/>
      <c r="O2363" s="54"/>
      <c r="P2363" s="54"/>
      <c r="Q2363" s="54"/>
      <c r="R2363" s="54"/>
      <c r="S2363" s="54"/>
      <c r="T2363" s="54"/>
      <c r="U2363" s="54"/>
      <c r="V2363" s="54"/>
      <c r="W2363" s="54"/>
      <c r="X2363" s="54"/>
      <c r="Y2363" s="54"/>
      <c r="Z2363" s="54"/>
      <c r="AA2363" s="54"/>
      <c r="AB2363" s="54"/>
      <c r="AC2363" s="54"/>
      <c r="AD2363" s="54"/>
      <c r="AE2363" s="54"/>
      <c r="AF2363" s="54"/>
      <c r="AG2363" s="54"/>
      <c r="AH2363" s="54"/>
    </row>
    <row r="2364">
      <c r="A2364" s="80"/>
      <c r="B2364" s="80"/>
      <c r="C2364" s="80"/>
      <c r="D2364" s="80"/>
      <c r="E2364" s="80"/>
      <c r="F2364" s="59"/>
      <c r="G2364" s="59"/>
      <c r="H2364" s="83"/>
      <c r="I2364" s="76"/>
      <c r="J2364" s="76"/>
      <c r="K2364" s="81"/>
      <c r="L2364" s="82"/>
      <c r="M2364" s="54"/>
      <c r="N2364" s="54"/>
      <c r="O2364" s="54"/>
      <c r="P2364" s="54"/>
      <c r="Q2364" s="54"/>
      <c r="R2364" s="54"/>
      <c r="S2364" s="54"/>
      <c r="T2364" s="54"/>
      <c r="U2364" s="54"/>
      <c r="V2364" s="54"/>
      <c r="W2364" s="54"/>
      <c r="X2364" s="54"/>
      <c r="Y2364" s="54"/>
      <c r="Z2364" s="54"/>
      <c r="AA2364" s="54"/>
      <c r="AB2364" s="54"/>
      <c r="AC2364" s="54"/>
      <c r="AD2364" s="54"/>
      <c r="AE2364" s="54"/>
      <c r="AF2364" s="54"/>
      <c r="AG2364" s="54"/>
      <c r="AH2364" s="54"/>
    </row>
    <row r="2365">
      <c r="A2365" s="80"/>
      <c r="B2365" s="80"/>
      <c r="C2365" s="80"/>
      <c r="D2365" s="80"/>
      <c r="E2365" s="80"/>
      <c r="F2365" s="59"/>
      <c r="G2365" s="59"/>
      <c r="H2365" s="83"/>
      <c r="I2365" s="76"/>
      <c r="J2365" s="76"/>
      <c r="K2365" s="81"/>
      <c r="L2365" s="82"/>
      <c r="M2365" s="54"/>
      <c r="N2365" s="54"/>
      <c r="O2365" s="54"/>
      <c r="P2365" s="54"/>
      <c r="Q2365" s="54"/>
      <c r="R2365" s="54"/>
      <c r="S2365" s="54"/>
      <c r="T2365" s="54"/>
      <c r="U2365" s="54"/>
      <c r="V2365" s="54"/>
      <c r="W2365" s="54"/>
      <c r="X2365" s="54"/>
      <c r="Y2365" s="54"/>
      <c r="Z2365" s="54"/>
      <c r="AA2365" s="54"/>
      <c r="AB2365" s="54"/>
      <c r="AC2365" s="54"/>
      <c r="AD2365" s="54"/>
      <c r="AE2365" s="54"/>
      <c r="AF2365" s="54"/>
      <c r="AG2365" s="54"/>
      <c r="AH2365" s="54"/>
    </row>
    <row r="2366">
      <c r="A2366" s="80"/>
      <c r="B2366" s="80"/>
      <c r="C2366" s="80"/>
      <c r="D2366" s="80"/>
      <c r="E2366" s="80"/>
      <c r="F2366" s="59"/>
      <c r="G2366" s="59"/>
      <c r="H2366" s="83"/>
      <c r="I2366" s="76"/>
      <c r="J2366" s="76"/>
      <c r="K2366" s="81"/>
      <c r="L2366" s="82"/>
      <c r="M2366" s="54"/>
      <c r="N2366" s="54"/>
      <c r="O2366" s="54"/>
      <c r="P2366" s="54"/>
      <c r="Q2366" s="54"/>
      <c r="R2366" s="54"/>
      <c r="S2366" s="54"/>
      <c r="T2366" s="54"/>
      <c r="U2366" s="54"/>
      <c r="V2366" s="54"/>
      <c r="W2366" s="54"/>
      <c r="X2366" s="54"/>
      <c r="Y2366" s="54"/>
      <c r="Z2366" s="54"/>
      <c r="AA2366" s="54"/>
      <c r="AB2366" s="54"/>
      <c r="AC2366" s="54"/>
      <c r="AD2366" s="54"/>
      <c r="AE2366" s="54"/>
      <c r="AF2366" s="54"/>
      <c r="AG2366" s="54"/>
      <c r="AH2366" s="54"/>
    </row>
    <row r="2367">
      <c r="A2367" s="80"/>
      <c r="B2367" s="80"/>
      <c r="C2367" s="80"/>
      <c r="D2367" s="80"/>
      <c r="E2367" s="80"/>
      <c r="F2367" s="59"/>
      <c r="G2367" s="59"/>
      <c r="H2367" s="83"/>
      <c r="I2367" s="76"/>
      <c r="J2367" s="76"/>
      <c r="K2367" s="81"/>
      <c r="L2367" s="82"/>
      <c r="M2367" s="54"/>
      <c r="N2367" s="54"/>
      <c r="O2367" s="54"/>
      <c r="P2367" s="54"/>
      <c r="Q2367" s="54"/>
      <c r="R2367" s="54"/>
      <c r="S2367" s="54"/>
      <c r="T2367" s="54"/>
      <c r="U2367" s="54"/>
      <c r="V2367" s="54"/>
      <c r="W2367" s="54"/>
      <c r="X2367" s="54"/>
      <c r="Y2367" s="54"/>
      <c r="Z2367" s="54"/>
      <c r="AA2367" s="54"/>
      <c r="AB2367" s="54"/>
      <c r="AC2367" s="54"/>
      <c r="AD2367" s="54"/>
      <c r="AE2367" s="54"/>
      <c r="AF2367" s="54"/>
      <c r="AG2367" s="54"/>
      <c r="AH2367" s="54"/>
    </row>
    <row r="2368">
      <c r="A2368" s="80"/>
      <c r="B2368" s="80"/>
      <c r="C2368" s="80"/>
      <c r="D2368" s="80"/>
      <c r="E2368" s="80"/>
      <c r="F2368" s="59"/>
      <c r="G2368" s="59"/>
      <c r="H2368" s="83"/>
      <c r="I2368" s="76"/>
      <c r="J2368" s="76"/>
      <c r="K2368" s="81"/>
      <c r="L2368" s="82"/>
      <c r="M2368" s="54"/>
      <c r="N2368" s="54"/>
      <c r="O2368" s="54"/>
      <c r="P2368" s="54"/>
      <c r="Q2368" s="54"/>
      <c r="R2368" s="54"/>
      <c r="S2368" s="54"/>
      <c r="T2368" s="54"/>
      <c r="U2368" s="54"/>
      <c r="V2368" s="54"/>
      <c r="W2368" s="54"/>
      <c r="X2368" s="54"/>
      <c r="Y2368" s="54"/>
      <c r="Z2368" s="54"/>
      <c r="AA2368" s="54"/>
      <c r="AB2368" s="54"/>
      <c r="AC2368" s="54"/>
      <c r="AD2368" s="54"/>
      <c r="AE2368" s="54"/>
      <c r="AF2368" s="54"/>
      <c r="AG2368" s="54"/>
      <c r="AH2368" s="54"/>
    </row>
    <row r="2369">
      <c r="A2369" s="80"/>
      <c r="B2369" s="80"/>
      <c r="C2369" s="80"/>
      <c r="D2369" s="80"/>
      <c r="E2369" s="80"/>
      <c r="F2369" s="59"/>
      <c r="G2369" s="59"/>
      <c r="H2369" s="83"/>
      <c r="I2369" s="76"/>
      <c r="J2369" s="76"/>
      <c r="K2369" s="81"/>
      <c r="L2369" s="82"/>
      <c r="M2369" s="54"/>
      <c r="N2369" s="54"/>
      <c r="O2369" s="54"/>
      <c r="P2369" s="54"/>
      <c r="Q2369" s="54"/>
      <c r="R2369" s="54"/>
      <c r="S2369" s="54"/>
      <c r="T2369" s="54"/>
      <c r="U2369" s="54"/>
      <c r="V2369" s="54"/>
      <c r="W2369" s="54"/>
      <c r="X2369" s="54"/>
      <c r="Y2369" s="54"/>
      <c r="Z2369" s="54"/>
      <c r="AA2369" s="54"/>
      <c r="AB2369" s="54"/>
      <c r="AC2369" s="54"/>
      <c r="AD2369" s="54"/>
      <c r="AE2369" s="54"/>
      <c r="AF2369" s="54"/>
      <c r="AG2369" s="54"/>
      <c r="AH2369" s="54"/>
    </row>
    <row r="2370">
      <c r="A2370" s="80"/>
      <c r="B2370" s="80"/>
      <c r="C2370" s="80"/>
      <c r="D2370" s="80"/>
      <c r="E2370" s="80"/>
      <c r="F2370" s="59"/>
      <c r="G2370" s="59"/>
      <c r="H2370" s="83"/>
      <c r="I2370" s="76"/>
      <c r="J2370" s="76"/>
      <c r="K2370" s="81"/>
      <c r="L2370" s="82"/>
      <c r="M2370" s="54"/>
      <c r="N2370" s="54"/>
      <c r="O2370" s="54"/>
      <c r="P2370" s="54"/>
      <c r="Q2370" s="54"/>
      <c r="R2370" s="54"/>
      <c r="S2370" s="54"/>
      <c r="T2370" s="54"/>
      <c r="U2370" s="54"/>
      <c r="V2370" s="54"/>
      <c r="W2370" s="54"/>
      <c r="X2370" s="54"/>
      <c r="Y2370" s="54"/>
      <c r="Z2370" s="54"/>
      <c r="AA2370" s="54"/>
      <c r="AB2370" s="54"/>
      <c r="AC2370" s="54"/>
      <c r="AD2370" s="54"/>
      <c r="AE2370" s="54"/>
      <c r="AF2370" s="54"/>
      <c r="AG2370" s="54"/>
      <c r="AH2370" s="54"/>
    </row>
    <row r="2371">
      <c r="A2371" s="80"/>
      <c r="B2371" s="80"/>
      <c r="C2371" s="80"/>
      <c r="D2371" s="80"/>
      <c r="E2371" s="80"/>
      <c r="F2371" s="59"/>
      <c r="G2371" s="59"/>
      <c r="H2371" s="83"/>
      <c r="I2371" s="76"/>
      <c r="J2371" s="76"/>
      <c r="K2371" s="81"/>
      <c r="L2371" s="82"/>
      <c r="M2371" s="54"/>
      <c r="N2371" s="54"/>
      <c r="O2371" s="54"/>
      <c r="P2371" s="54"/>
      <c r="Q2371" s="54"/>
      <c r="R2371" s="54"/>
      <c r="S2371" s="54"/>
      <c r="T2371" s="54"/>
      <c r="U2371" s="54"/>
      <c r="V2371" s="54"/>
      <c r="W2371" s="54"/>
      <c r="X2371" s="54"/>
      <c r="Y2371" s="54"/>
      <c r="Z2371" s="54"/>
      <c r="AA2371" s="54"/>
      <c r="AB2371" s="54"/>
      <c r="AC2371" s="54"/>
      <c r="AD2371" s="54"/>
      <c r="AE2371" s="54"/>
      <c r="AF2371" s="54"/>
      <c r="AG2371" s="54"/>
      <c r="AH2371" s="54"/>
    </row>
    <row r="2372">
      <c r="A2372" s="80"/>
      <c r="B2372" s="80"/>
      <c r="C2372" s="80"/>
      <c r="D2372" s="80"/>
      <c r="E2372" s="80"/>
      <c r="F2372" s="59"/>
      <c r="G2372" s="59"/>
      <c r="H2372" s="83"/>
      <c r="I2372" s="76"/>
      <c r="J2372" s="76"/>
      <c r="K2372" s="81"/>
      <c r="L2372" s="82"/>
      <c r="M2372" s="54"/>
      <c r="N2372" s="54"/>
      <c r="O2372" s="54"/>
      <c r="P2372" s="54"/>
      <c r="Q2372" s="54"/>
      <c r="R2372" s="54"/>
      <c r="S2372" s="54"/>
      <c r="T2372" s="54"/>
      <c r="U2372" s="54"/>
      <c r="V2372" s="54"/>
      <c r="W2372" s="54"/>
      <c r="X2372" s="54"/>
      <c r="Y2372" s="54"/>
      <c r="Z2372" s="54"/>
      <c r="AA2372" s="54"/>
      <c r="AB2372" s="54"/>
      <c r="AC2372" s="54"/>
      <c r="AD2372" s="54"/>
      <c r="AE2372" s="54"/>
      <c r="AF2372" s="54"/>
      <c r="AG2372" s="54"/>
      <c r="AH2372" s="54"/>
    </row>
    <row r="2373">
      <c r="A2373" s="80"/>
      <c r="B2373" s="80"/>
      <c r="C2373" s="80"/>
      <c r="D2373" s="80"/>
      <c r="E2373" s="80"/>
      <c r="F2373" s="59"/>
      <c r="G2373" s="59"/>
      <c r="H2373" s="83"/>
      <c r="I2373" s="76"/>
      <c r="J2373" s="76"/>
      <c r="K2373" s="81"/>
      <c r="L2373" s="82"/>
      <c r="M2373" s="54"/>
      <c r="N2373" s="54"/>
      <c r="O2373" s="54"/>
      <c r="P2373" s="54"/>
      <c r="Q2373" s="54"/>
      <c r="R2373" s="54"/>
      <c r="S2373" s="54"/>
      <c r="T2373" s="54"/>
      <c r="U2373" s="54"/>
      <c r="V2373" s="54"/>
      <c r="W2373" s="54"/>
      <c r="X2373" s="54"/>
      <c r="Y2373" s="54"/>
      <c r="Z2373" s="54"/>
      <c r="AA2373" s="54"/>
      <c r="AB2373" s="54"/>
      <c r="AC2373" s="54"/>
      <c r="AD2373" s="54"/>
      <c r="AE2373" s="54"/>
      <c r="AF2373" s="54"/>
      <c r="AG2373" s="54"/>
      <c r="AH2373" s="54"/>
    </row>
    <row r="2374">
      <c r="A2374" s="80"/>
      <c r="B2374" s="80"/>
      <c r="C2374" s="80"/>
      <c r="D2374" s="80"/>
      <c r="E2374" s="80"/>
      <c r="F2374" s="59"/>
      <c r="G2374" s="59"/>
      <c r="H2374" s="83"/>
      <c r="I2374" s="76"/>
      <c r="J2374" s="76"/>
      <c r="K2374" s="81"/>
      <c r="L2374" s="82"/>
      <c r="M2374" s="54"/>
      <c r="N2374" s="54"/>
      <c r="O2374" s="54"/>
      <c r="P2374" s="54"/>
      <c r="Q2374" s="54"/>
      <c r="R2374" s="54"/>
      <c r="S2374" s="54"/>
      <c r="T2374" s="54"/>
      <c r="U2374" s="54"/>
      <c r="V2374" s="54"/>
      <c r="W2374" s="54"/>
      <c r="X2374" s="54"/>
      <c r="Y2374" s="54"/>
      <c r="Z2374" s="54"/>
      <c r="AA2374" s="54"/>
      <c r="AB2374" s="54"/>
      <c r="AC2374" s="54"/>
      <c r="AD2374" s="54"/>
      <c r="AE2374" s="54"/>
      <c r="AF2374" s="54"/>
      <c r="AG2374" s="54"/>
      <c r="AH2374" s="54"/>
    </row>
    <row r="2375">
      <c r="A2375" s="80"/>
      <c r="B2375" s="80"/>
      <c r="C2375" s="80"/>
      <c r="D2375" s="80"/>
      <c r="E2375" s="80"/>
      <c r="F2375" s="59"/>
      <c r="G2375" s="59"/>
      <c r="H2375" s="83"/>
      <c r="I2375" s="76"/>
      <c r="J2375" s="76"/>
      <c r="K2375" s="81"/>
      <c r="L2375" s="82"/>
      <c r="M2375" s="54"/>
      <c r="N2375" s="54"/>
      <c r="O2375" s="54"/>
      <c r="P2375" s="54"/>
      <c r="Q2375" s="54"/>
      <c r="R2375" s="54"/>
      <c r="S2375" s="54"/>
      <c r="T2375" s="54"/>
      <c r="U2375" s="54"/>
      <c r="V2375" s="54"/>
      <c r="W2375" s="54"/>
      <c r="X2375" s="54"/>
      <c r="Y2375" s="54"/>
      <c r="Z2375" s="54"/>
      <c r="AA2375" s="54"/>
      <c r="AB2375" s="54"/>
      <c r="AC2375" s="54"/>
      <c r="AD2375" s="54"/>
      <c r="AE2375" s="54"/>
      <c r="AF2375" s="54"/>
      <c r="AG2375" s="54"/>
      <c r="AH2375" s="54"/>
    </row>
    <row r="2376">
      <c r="A2376" s="80"/>
      <c r="B2376" s="80"/>
      <c r="C2376" s="80"/>
      <c r="D2376" s="80"/>
      <c r="E2376" s="80"/>
      <c r="F2376" s="59"/>
      <c r="G2376" s="59"/>
      <c r="H2376" s="83"/>
      <c r="I2376" s="76"/>
      <c r="J2376" s="76"/>
      <c r="K2376" s="81"/>
      <c r="L2376" s="82"/>
      <c r="M2376" s="54"/>
      <c r="N2376" s="54"/>
      <c r="O2376" s="54"/>
      <c r="P2376" s="54"/>
      <c r="Q2376" s="54"/>
      <c r="R2376" s="54"/>
      <c r="S2376" s="54"/>
      <c r="T2376" s="54"/>
      <c r="U2376" s="54"/>
      <c r="V2376" s="54"/>
      <c r="W2376" s="54"/>
      <c r="X2376" s="54"/>
      <c r="Y2376" s="54"/>
      <c r="Z2376" s="54"/>
      <c r="AA2376" s="54"/>
      <c r="AB2376" s="54"/>
      <c r="AC2376" s="54"/>
      <c r="AD2376" s="54"/>
      <c r="AE2376" s="54"/>
      <c r="AF2376" s="54"/>
      <c r="AG2376" s="54"/>
      <c r="AH2376" s="54"/>
    </row>
    <row r="2377">
      <c r="A2377" s="80"/>
      <c r="B2377" s="80"/>
      <c r="C2377" s="80"/>
      <c r="D2377" s="80"/>
      <c r="E2377" s="80"/>
      <c r="F2377" s="59"/>
      <c r="G2377" s="59"/>
      <c r="H2377" s="83"/>
      <c r="I2377" s="76"/>
      <c r="J2377" s="76"/>
      <c r="K2377" s="81"/>
      <c r="L2377" s="82"/>
      <c r="M2377" s="54"/>
      <c r="N2377" s="54"/>
      <c r="O2377" s="54"/>
      <c r="P2377" s="54"/>
      <c r="Q2377" s="54"/>
      <c r="R2377" s="54"/>
      <c r="S2377" s="54"/>
      <c r="T2377" s="54"/>
      <c r="U2377" s="54"/>
      <c r="V2377" s="54"/>
      <c r="W2377" s="54"/>
      <c r="X2377" s="54"/>
      <c r="Y2377" s="54"/>
      <c r="Z2377" s="54"/>
      <c r="AA2377" s="54"/>
      <c r="AB2377" s="54"/>
      <c r="AC2377" s="54"/>
      <c r="AD2377" s="54"/>
      <c r="AE2377" s="54"/>
      <c r="AF2377" s="54"/>
      <c r="AG2377" s="54"/>
      <c r="AH2377" s="54"/>
    </row>
    <row r="2378">
      <c r="A2378" s="80"/>
      <c r="B2378" s="80"/>
      <c r="C2378" s="80"/>
      <c r="D2378" s="80"/>
      <c r="E2378" s="80"/>
      <c r="F2378" s="59"/>
      <c r="G2378" s="59"/>
      <c r="H2378" s="83"/>
      <c r="I2378" s="76"/>
      <c r="J2378" s="76"/>
      <c r="K2378" s="81"/>
      <c r="L2378" s="82"/>
      <c r="M2378" s="54"/>
      <c r="N2378" s="54"/>
      <c r="O2378" s="54"/>
      <c r="P2378" s="54"/>
      <c r="Q2378" s="54"/>
      <c r="R2378" s="54"/>
      <c r="S2378" s="54"/>
      <c r="T2378" s="54"/>
      <c r="U2378" s="54"/>
      <c r="V2378" s="54"/>
      <c r="W2378" s="54"/>
      <c r="X2378" s="54"/>
      <c r="Y2378" s="54"/>
      <c r="Z2378" s="54"/>
      <c r="AA2378" s="54"/>
      <c r="AB2378" s="54"/>
      <c r="AC2378" s="54"/>
      <c r="AD2378" s="54"/>
      <c r="AE2378" s="54"/>
      <c r="AF2378" s="54"/>
      <c r="AG2378" s="54"/>
      <c r="AH2378" s="54"/>
    </row>
    <row r="2379">
      <c r="A2379" s="80"/>
      <c r="B2379" s="80"/>
      <c r="C2379" s="80"/>
      <c r="D2379" s="80"/>
      <c r="E2379" s="80"/>
      <c r="F2379" s="59"/>
      <c r="G2379" s="59"/>
      <c r="H2379" s="83"/>
      <c r="I2379" s="76"/>
      <c r="J2379" s="76"/>
      <c r="K2379" s="81"/>
      <c r="L2379" s="82"/>
      <c r="M2379" s="54"/>
      <c r="N2379" s="54"/>
      <c r="O2379" s="54"/>
      <c r="P2379" s="54"/>
      <c r="Q2379" s="54"/>
      <c r="R2379" s="54"/>
      <c r="S2379" s="54"/>
      <c r="T2379" s="54"/>
      <c r="U2379" s="54"/>
      <c r="V2379" s="54"/>
      <c r="W2379" s="54"/>
      <c r="X2379" s="54"/>
      <c r="Y2379" s="54"/>
      <c r="Z2379" s="54"/>
      <c r="AA2379" s="54"/>
      <c r="AB2379" s="54"/>
      <c r="AC2379" s="54"/>
      <c r="AD2379" s="54"/>
      <c r="AE2379" s="54"/>
      <c r="AF2379" s="54"/>
      <c r="AG2379" s="54"/>
      <c r="AH2379" s="54"/>
    </row>
    <row r="2380">
      <c r="A2380" s="80"/>
      <c r="B2380" s="80"/>
      <c r="C2380" s="80"/>
      <c r="D2380" s="80"/>
      <c r="E2380" s="80"/>
      <c r="F2380" s="59"/>
      <c r="G2380" s="59"/>
      <c r="H2380" s="83"/>
      <c r="I2380" s="76"/>
      <c r="J2380" s="76"/>
      <c r="K2380" s="81"/>
      <c r="L2380" s="82"/>
      <c r="M2380" s="54"/>
      <c r="N2380" s="54"/>
      <c r="O2380" s="54"/>
      <c r="P2380" s="54"/>
      <c r="Q2380" s="54"/>
      <c r="R2380" s="54"/>
      <c r="S2380" s="54"/>
      <c r="T2380" s="54"/>
      <c r="U2380" s="54"/>
      <c r="V2380" s="54"/>
      <c r="W2380" s="54"/>
      <c r="X2380" s="54"/>
      <c r="Y2380" s="54"/>
      <c r="Z2380" s="54"/>
      <c r="AA2380" s="54"/>
      <c r="AB2380" s="54"/>
      <c r="AC2380" s="54"/>
      <c r="AD2380" s="54"/>
      <c r="AE2380" s="54"/>
      <c r="AF2380" s="54"/>
      <c r="AG2380" s="54"/>
      <c r="AH2380" s="54"/>
    </row>
    <row r="2381">
      <c r="A2381" s="80"/>
      <c r="B2381" s="80"/>
      <c r="C2381" s="80"/>
      <c r="D2381" s="80"/>
      <c r="E2381" s="80"/>
      <c r="F2381" s="59"/>
      <c r="G2381" s="59"/>
      <c r="H2381" s="83"/>
      <c r="I2381" s="76"/>
      <c r="J2381" s="76"/>
      <c r="K2381" s="81"/>
      <c r="L2381" s="82"/>
      <c r="M2381" s="54"/>
      <c r="N2381" s="54"/>
      <c r="O2381" s="54"/>
      <c r="P2381" s="54"/>
      <c r="Q2381" s="54"/>
      <c r="R2381" s="54"/>
      <c r="S2381" s="54"/>
      <c r="T2381" s="54"/>
      <c r="U2381" s="54"/>
      <c r="V2381" s="54"/>
      <c r="W2381" s="54"/>
      <c r="X2381" s="54"/>
      <c r="Y2381" s="54"/>
      <c r="Z2381" s="54"/>
      <c r="AA2381" s="54"/>
      <c r="AB2381" s="54"/>
      <c r="AC2381" s="54"/>
      <c r="AD2381" s="54"/>
      <c r="AE2381" s="54"/>
      <c r="AF2381" s="54"/>
      <c r="AG2381" s="54"/>
      <c r="AH2381" s="54"/>
    </row>
    <row r="2382">
      <c r="A2382" s="80"/>
      <c r="B2382" s="80"/>
      <c r="C2382" s="80"/>
      <c r="D2382" s="80"/>
      <c r="E2382" s="80"/>
      <c r="F2382" s="59"/>
      <c r="G2382" s="59"/>
      <c r="H2382" s="83"/>
      <c r="I2382" s="76"/>
      <c r="J2382" s="76"/>
      <c r="K2382" s="81"/>
      <c r="L2382" s="82"/>
      <c r="M2382" s="54"/>
      <c r="N2382" s="54"/>
      <c r="O2382" s="54"/>
      <c r="P2382" s="54"/>
      <c r="Q2382" s="54"/>
      <c r="R2382" s="54"/>
      <c r="S2382" s="54"/>
      <c r="T2382" s="54"/>
      <c r="U2382" s="54"/>
      <c r="V2382" s="54"/>
      <c r="W2382" s="54"/>
      <c r="X2382" s="54"/>
      <c r="Y2382" s="54"/>
      <c r="Z2382" s="54"/>
      <c r="AA2382" s="54"/>
      <c r="AB2382" s="54"/>
      <c r="AC2382" s="54"/>
      <c r="AD2382" s="54"/>
      <c r="AE2382" s="54"/>
      <c r="AF2382" s="54"/>
      <c r="AG2382" s="54"/>
      <c r="AH2382" s="54"/>
    </row>
    <row r="2383">
      <c r="A2383" s="80"/>
      <c r="B2383" s="80"/>
      <c r="C2383" s="80"/>
      <c r="D2383" s="80"/>
      <c r="E2383" s="80"/>
      <c r="F2383" s="59"/>
      <c r="G2383" s="59"/>
      <c r="H2383" s="83"/>
      <c r="I2383" s="76"/>
      <c r="J2383" s="76"/>
      <c r="K2383" s="81"/>
      <c r="L2383" s="82"/>
      <c r="M2383" s="54"/>
      <c r="N2383" s="54"/>
      <c r="O2383" s="54"/>
      <c r="P2383" s="54"/>
      <c r="Q2383" s="54"/>
      <c r="R2383" s="54"/>
      <c r="S2383" s="54"/>
      <c r="T2383" s="54"/>
      <c r="U2383" s="54"/>
      <c r="V2383" s="54"/>
      <c r="W2383" s="54"/>
      <c r="X2383" s="54"/>
      <c r="Y2383" s="54"/>
      <c r="Z2383" s="54"/>
      <c r="AA2383" s="54"/>
      <c r="AB2383" s="54"/>
      <c r="AC2383" s="54"/>
      <c r="AD2383" s="54"/>
      <c r="AE2383" s="54"/>
      <c r="AF2383" s="54"/>
      <c r="AG2383" s="54"/>
      <c r="AH2383" s="54"/>
    </row>
    <row r="2384">
      <c r="A2384" s="80"/>
      <c r="B2384" s="80"/>
      <c r="C2384" s="80"/>
      <c r="D2384" s="80"/>
      <c r="E2384" s="80"/>
      <c r="F2384" s="59"/>
      <c r="G2384" s="59"/>
      <c r="H2384" s="83"/>
      <c r="I2384" s="76"/>
      <c r="J2384" s="76"/>
      <c r="K2384" s="81"/>
      <c r="L2384" s="82"/>
      <c r="M2384" s="54"/>
      <c r="N2384" s="54"/>
      <c r="O2384" s="54"/>
      <c r="P2384" s="54"/>
      <c r="Q2384" s="54"/>
      <c r="R2384" s="54"/>
      <c r="S2384" s="54"/>
      <c r="T2384" s="54"/>
      <c r="U2384" s="54"/>
      <c r="V2384" s="54"/>
      <c r="W2384" s="54"/>
      <c r="X2384" s="54"/>
      <c r="Y2384" s="54"/>
      <c r="Z2384" s="54"/>
      <c r="AA2384" s="54"/>
      <c r="AB2384" s="54"/>
      <c r="AC2384" s="54"/>
      <c r="AD2384" s="54"/>
      <c r="AE2384" s="54"/>
      <c r="AF2384" s="54"/>
      <c r="AG2384" s="54"/>
      <c r="AH2384" s="54"/>
    </row>
    <row r="2385">
      <c r="A2385" s="80"/>
      <c r="B2385" s="80"/>
      <c r="C2385" s="80"/>
      <c r="D2385" s="80"/>
      <c r="E2385" s="80"/>
      <c r="F2385" s="59"/>
      <c r="G2385" s="59"/>
      <c r="H2385" s="83"/>
      <c r="I2385" s="76"/>
      <c r="J2385" s="76"/>
      <c r="K2385" s="81"/>
      <c r="L2385" s="82"/>
      <c r="M2385" s="54"/>
      <c r="N2385" s="54"/>
      <c r="O2385" s="54"/>
      <c r="P2385" s="54"/>
      <c r="Q2385" s="54"/>
      <c r="R2385" s="54"/>
      <c r="S2385" s="54"/>
      <c r="T2385" s="54"/>
      <c r="U2385" s="54"/>
      <c r="V2385" s="54"/>
      <c r="W2385" s="54"/>
      <c r="X2385" s="54"/>
      <c r="Y2385" s="54"/>
      <c r="Z2385" s="54"/>
      <c r="AA2385" s="54"/>
      <c r="AB2385" s="54"/>
      <c r="AC2385" s="54"/>
      <c r="AD2385" s="54"/>
      <c r="AE2385" s="54"/>
      <c r="AF2385" s="54"/>
      <c r="AG2385" s="54"/>
      <c r="AH2385" s="54"/>
    </row>
    <row r="2386">
      <c r="A2386" s="80"/>
      <c r="B2386" s="80"/>
      <c r="C2386" s="80"/>
      <c r="D2386" s="80"/>
      <c r="E2386" s="80"/>
      <c r="F2386" s="59"/>
      <c r="G2386" s="59"/>
      <c r="H2386" s="83"/>
      <c r="I2386" s="76"/>
      <c r="J2386" s="76"/>
      <c r="K2386" s="81"/>
      <c r="L2386" s="82"/>
      <c r="M2386" s="54"/>
      <c r="N2386" s="54"/>
      <c r="O2386" s="54"/>
      <c r="P2386" s="54"/>
      <c r="Q2386" s="54"/>
      <c r="R2386" s="54"/>
      <c r="S2386" s="54"/>
      <c r="T2386" s="54"/>
      <c r="U2386" s="54"/>
      <c r="V2386" s="54"/>
      <c r="W2386" s="54"/>
      <c r="X2386" s="54"/>
      <c r="Y2386" s="54"/>
      <c r="Z2386" s="54"/>
      <c r="AA2386" s="54"/>
      <c r="AB2386" s="54"/>
      <c r="AC2386" s="54"/>
      <c r="AD2386" s="54"/>
      <c r="AE2386" s="54"/>
      <c r="AF2386" s="54"/>
      <c r="AG2386" s="54"/>
      <c r="AH2386" s="54"/>
    </row>
    <row r="2387">
      <c r="A2387" s="80"/>
      <c r="B2387" s="80"/>
      <c r="C2387" s="80"/>
      <c r="D2387" s="80"/>
      <c r="E2387" s="80"/>
      <c r="F2387" s="59"/>
      <c r="G2387" s="59"/>
      <c r="H2387" s="83"/>
      <c r="I2387" s="76"/>
      <c r="J2387" s="76"/>
      <c r="K2387" s="81"/>
      <c r="L2387" s="82"/>
      <c r="M2387" s="54"/>
      <c r="N2387" s="54"/>
      <c r="O2387" s="54"/>
      <c r="P2387" s="54"/>
      <c r="Q2387" s="54"/>
      <c r="R2387" s="54"/>
      <c r="S2387" s="54"/>
      <c r="T2387" s="54"/>
      <c r="U2387" s="54"/>
      <c r="V2387" s="54"/>
      <c r="W2387" s="54"/>
      <c r="X2387" s="54"/>
      <c r="Y2387" s="54"/>
      <c r="Z2387" s="54"/>
      <c r="AA2387" s="54"/>
      <c r="AB2387" s="54"/>
      <c r="AC2387" s="54"/>
      <c r="AD2387" s="54"/>
      <c r="AE2387" s="54"/>
      <c r="AF2387" s="54"/>
      <c r="AG2387" s="54"/>
      <c r="AH2387" s="54"/>
    </row>
    <row r="2388">
      <c r="A2388" s="80"/>
      <c r="B2388" s="80"/>
      <c r="C2388" s="80"/>
      <c r="D2388" s="80"/>
      <c r="E2388" s="80"/>
      <c r="F2388" s="59"/>
      <c r="G2388" s="59"/>
      <c r="H2388" s="83"/>
      <c r="I2388" s="76"/>
      <c r="J2388" s="76"/>
      <c r="K2388" s="81"/>
      <c r="L2388" s="82"/>
      <c r="M2388" s="54"/>
      <c r="N2388" s="54"/>
      <c r="O2388" s="54"/>
      <c r="P2388" s="54"/>
      <c r="Q2388" s="54"/>
      <c r="R2388" s="54"/>
      <c r="S2388" s="54"/>
      <c r="T2388" s="54"/>
      <c r="U2388" s="54"/>
      <c r="V2388" s="54"/>
      <c r="W2388" s="54"/>
      <c r="X2388" s="54"/>
      <c r="Y2388" s="54"/>
      <c r="Z2388" s="54"/>
      <c r="AA2388" s="54"/>
      <c r="AB2388" s="54"/>
      <c r="AC2388" s="54"/>
      <c r="AD2388" s="54"/>
      <c r="AE2388" s="54"/>
      <c r="AF2388" s="54"/>
      <c r="AG2388" s="54"/>
      <c r="AH2388" s="54"/>
    </row>
    <row r="2389">
      <c r="A2389" s="80"/>
      <c r="B2389" s="80"/>
      <c r="C2389" s="80"/>
      <c r="D2389" s="80"/>
      <c r="E2389" s="80"/>
      <c r="F2389" s="59"/>
      <c r="G2389" s="59"/>
      <c r="H2389" s="83"/>
      <c r="I2389" s="76"/>
      <c r="J2389" s="76"/>
      <c r="K2389" s="81"/>
      <c r="L2389" s="82"/>
      <c r="M2389" s="54"/>
      <c r="N2389" s="54"/>
      <c r="O2389" s="54"/>
      <c r="P2389" s="54"/>
      <c r="Q2389" s="54"/>
      <c r="R2389" s="54"/>
      <c r="S2389" s="54"/>
      <c r="T2389" s="54"/>
      <c r="U2389" s="54"/>
      <c r="V2389" s="54"/>
      <c r="W2389" s="54"/>
      <c r="X2389" s="54"/>
      <c r="Y2389" s="54"/>
      <c r="Z2389" s="54"/>
      <c r="AA2389" s="54"/>
      <c r="AB2389" s="54"/>
      <c r="AC2389" s="54"/>
      <c r="AD2389" s="54"/>
      <c r="AE2389" s="54"/>
      <c r="AF2389" s="54"/>
      <c r="AG2389" s="54"/>
      <c r="AH2389" s="54"/>
    </row>
    <row r="2390">
      <c r="A2390" s="80"/>
      <c r="B2390" s="80"/>
      <c r="C2390" s="80"/>
      <c r="D2390" s="80"/>
      <c r="E2390" s="80"/>
      <c r="F2390" s="59"/>
      <c r="G2390" s="59"/>
      <c r="H2390" s="83"/>
      <c r="I2390" s="76"/>
      <c r="J2390" s="76"/>
      <c r="K2390" s="81"/>
      <c r="L2390" s="82"/>
      <c r="M2390" s="54"/>
      <c r="N2390" s="54"/>
      <c r="O2390" s="54"/>
      <c r="P2390" s="54"/>
      <c r="Q2390" s="54"/>
      <c r="R2390" s="54"/>
      <c r="S2390" s="54"/>
      <c r="T2390" s="54"/>
      <c r="U2390" s="54"/>
      <c r="V2390" s="54"/>
      <c r="W2390" s="54"/>
      <c r="X2390" s="54"/>
      <c r="Y2390" s="54"/>
      <c r="Z2390" s="54"/>
      <c r="AA2390" s="54"/>
      <c r="AB2390" s="54"/>
      <c r="AC2390" s="54"/>
      <c r="AD2390" s="54"/>
      <c r="AE2390" s="54"/>
      <c r="AF2390" s="54"/>
      <c r="AG2390" s="54"/>
      <c r="AH2390" s="54"/>
    </row>
    <row r="2391">
      <c r="A2391" s="80"/>
      <c r="B2391" s="80"/>
      <c r="C2391" s="80"/>
      <c r="D2391" s="80"/>
      <c r="E2391" s="80"/>
      <c r="F2391" s="59"/>
      <c r="G2391" s="59"/>
      <c r="H2391" s="83"/>
      <c r="I2391" s="76"/>
      <c r="J2391" s="76"/>
      <c r="K2391" s="81"/>
      <c r="L2391" s="82"/>
      <c r="M2391" s="54"/>
      <c r="N2391" s="54"/>
      <c r="O2391" s="54"/>
      <c r="P2391" s="54"/>
      <c r="Q2391" s="54"/>
      <c r="R2391" s="54"/>
      <c r="S2391" s="54"/>
      <c r="T2391" s="54"/>
      <c r="U2391" s="54"/>
      <c r="V2391" s="54"/>
      <c r="W2391" s="54"/>
      <c r="X2391" s="54"/>
      <c r="Y2391" s="54"/>
      <c r="Z2391" s="54"/>
      <c r="AA2391" s="54"/>
      <c r="AB2391" s="54"/>
      <c r="AC2391" s="54"/>
      <c r="AD2391" s="54"/>
      <c r="AE2391" s="54"/>
      <c r="AF2391" s="54"/>
      <c r="AG2391" s="54"/>
      <c r="AH2391" s="54"/>
    </row>
    <row r="2392">
      <c r="A2392" s="80"/>
      <c r="B2392" s="80"/>
      <c r="C2392" s="80"/>
      <c r="D2392" s="80"/>
      <c r="E2392" s="80"/>
      <c r="F2392" s="59"/>
      <c r="G2392" s="59"/>
      <c r="H2392" s="83"/>
      <c r="I2392" s="76"/>
      <c r="J2392" s="76"/>
      <c r="K2392" s="81"/>
      <c r="L2392" s="82"/>
      <c r="M2392" s="54"/>
      <c r="N2392" s="54"/>
      <c r="O2392" s="54"/>
      <c r="P2392" s="54"/>
      <c r="Q2392" s="54"/>
      <c r="R2392" s="54"/>
      <c r="S2392" s="54"/>
      <c r="T2392" s="54"/>
      <c r="U2392" s="54"/>
      <c r="V2392" s="54"/>
      <c r="W2392" s="54"/>
      <c r="X2392" s="54"/>
      <c r="Y2392" s="54"/>
      <c r="Z2392" s="54"/>
      <c r="AA2392" s="54"/>
      <c r="AB2392" s="54"/>
      <c r="AC2392" s="54"/>
      <c r="AD2392" s="54"/>
      <c r="AE2392" s="54"/>
      <c r="AF2392" s="54"/>
      <c r="AG2392" s="54"/>
      <c r="AH2392" s="54"/>
    </row>
    <row r="2393">
      <c r="A2393" s="80"/>
      <c r="B2393" s="80"/>
      <c r="C2393" s="80"/>
      <c r="D2393" s="80"/>
      <c r="E2393" s="80"/>
      <c r="F2393" s="59"/>
      <c r="G2393" s="59"/>
      <c r="H2393" s="83"/>
      <c r="I2393" s="76"/>
      <c r="J2393" s="76"/>
      <c r="K2393" s="81"/>
      <c r="L2393" s="82"/>
      <c r="M2393" s="54"/>
      <c r="N2393" s="54"/>
      <c r="O2393" s="54"/>
      <c r="P2393" s="54"/>
      <c r="Q2393" s="54"/>
      <c r="R2393" s="54"/>
      <c r="S2393" s="54"/>
      <c r="T2393" s="54"/>
      <c r="U2393" s="54"/>
      <c r="V2393" s="54"/>
      <c r="W2393" s="54"/>
      <c r="X2393" s="54"/>
      <c r="Y2393" s="54"/>
      <c r="Z2393" s="54"/>
      <c r="AA2393" s="54"/>
      <c r="AB2393" s="54"/>
      <c r="AC2393" s="54"/>
      <c r="AD2393" s="54"/>
      <c r="AE2393" s="54"/>
      <c r="AF2393" s="54"/>
      <c r="AG2393" s="54"/>
      <c r="AH2393" s="54"/>
    </row>
    <row r="2394">
      <c r="A2394" s="80"/>
      <c r="B2394" s="80"/>
      <c r="C2394" s="80"/>
      <c r="D2394" s="80"/>
      <c r="E2394" s="80"/>
      <c r="F2394" s="59"/>
      <c r="G2394" s="59"/>
      <c r="H2394" s="83"/>
      <c r="I2394" s="76"/>
      <c r="J2394" s="76"/>
      <c r="K2394" s="81"/>
      <c r="L2394" s="82"/>
      <c r="M2394" s="54"/>
      <c r="N2394" s="54"/>
      <c r="O2394" s="54"/>
      <c r="P2394" s="54"/>
      <c r="Q2394" s="54"/>
      <c r="R2394" s="54"/>
      <c r="S2394" s="54"/>
      <c r="T2394" s="54"/>
      <c r="U2394" s="54"/>
      <c r="V2394" s="54"/>
      <c r="W2394" s="54"/>
      <c r="X2394" s="54"/>
      <c r="Y2394" s="54"/>
      <c r="Z2394" s="54"/>
      <c r="AA2394" s="54"/>
      <c r="AB2394" s="54"/>
      <c r="AC2394" s="54"/>
      <c r="AD2394" s="54"/>
      <c r="AE2394" s="54"/>
      <c r="AF2394" s="54"/>
      <c r="AG2394" s="54"/>
      <c r="AH2394" s="54"/>
    </row>
    <row r="2395">
      <c r="A2395" s="80"/>
      <c r="B2395" s="80"/>
      <c r="C2395" s="80"/>
      <c r="D2395" s="80"/>
      <c r="E2395" s="80"/>
      <c r="F2395" s="59"/>
      <c r="G2395" s="59"/>
      <c r="H2395" s="83"/>
      <c r="I2395" s="76"/>
      <c r="J2395" s="76"/>
      <c r="K2395" s="81"/>
      <c r="L2395" s="82"/>
      <c r="M2395" s="54"/>
      <c r="N2395" s="54"/>
      <c r="O2395" s="54"/>
      <c r="P2395" s="54"/>
      <c r="Q2395" s="54"/>
      <c r="R2395" s="54"/>
      <c r="S2395" s="54"/>
      <c r="T2395" s="54"/>
      <c r="U2395" s="54"/>
      <c r="V2395" s="54"/>
      <c r="W2395" s="54"/>
      <c r="X2395" s="54"/>
      <c r="Y2395" s="54"/>
      <c r="Z2395" s="54"/>
      <c r="AA2395" s="54"/>
      <c r="AB2395" s="54"/>
      <c r="AC2395" s="54"/>
      <c r="AD2395" s="54"/>
      <c r="AE2395" s="54"/>
      <c r="AF2395" s="54"/>
      <c r="AG2395" s="54"/>
      <c r="AH2395" s="54"/>
    </row>
    <row r="2396">
      <c r="A2396" s="80"/>
      <c r="B2396" s="80"/>
      <c r="C2396" s="80"/>
      <c r="D2396" s="80"/>
      <c r="E2396" s="80"/>
      <c r="F2396" s="59"/>
      <c r="G2396" s="59"/>
      <c r="H2396" s="83"/>
      <c r="I2396" s="76"/>
      <c r="J2396" s="76"/>
      <c r="K2396" s="81"/>
      <c r="L2396" s="82"/>
      <c r="M2396" s="54"/>
      <c r="N2396" s="54"/>
      <c r="O2396" s="54"/>
      <c r="P2396" s="54"/>
      <c r="Q2396" s="54"/>
      <c r="R2396" s="54"/>
      <c r="S2396" s="54"/>
      <c r="T2396" s="54"/>
      <c r="U2396" s="54"/>
      <c r="V2396" s="54"/>
      <c r="W2396" s="54"/>
      <c r="X2396" s="54"/>
      <c r="Y2396" s="54"/>
      <c r="Z2396" s="54"/>
      <c r="AA2396" s="54"/>
      <c r="AB2396" s="54"/>
      <c r="AC2396" s="54"/>
      <c r="AD2396" s="54"/>
      <c r="AE2396" s="54"/>
      <c r="AF2396" s="54"/>
      <c r="AG2396" s="54"/>
      <c r="AH2396" s="54"/>
    </row>
    <row r="2397">
      <c r="A2397" s="80"/>
      <c r="B2397" s="80"/>
      <c r="C2397" s="80"/>
      <c r="D2397" s="80"/>
      <c r="E2397" s="80"/>
      <c r="F2397" s="59"/>
      <c r="G2397" s="59"/>
      <c r="H2397" s="83"/>
      <c r="I2397" s="76"/>
      <c r="J2397" s="76"/>
      <c r="K2397" s="81"/>
      <c r="L2397" s="82"/>
      <c r="M2397" s="54"/>
      <c r="N2397" s="54"/>
      <c r="O2397" s="54"/>
      <c r="P2397" s="54"/>
      <c r="Q2397" s="54"/>
      <c r="R2397" s="54"/>
      <c r="S2397" s="54"/>
      <c r="T2397" s="54"/>
      <c r="U2397" s="54"/>
      <c r="V2397" s="54"/>
      <c r="W2397" s="54"/>
      <c r="X2397" s="54"/>
      <c r="Y2397" s="54"/>
      <c r="Z2397" s="54"/>
      <c r="AA2397" s="54"/>
      <c r="AB2397" s="54"/>
      <c r="AC2397" s="54"/>
      <c r="AD2397" s="54"/>
      <c r="AE2397" s="54"/>
      <c r="AF2397" s="54"/>
      <c r="AG2397" s="54"/>
      <c r="AH2397" s="54"/>
    </row>
    <row r="2398">
      <c r="A2398" s="80"/>
      <c r="B2398" s="80"/>
      <c r="C2398" s="80"/>
      <c r="D2398" s="80"/>
      <c r="E2398" s="80"/>
      <c r="F2398" s="59"/>
      <c r="G2398" s="59"/>
      <c r="H2398" s="83"/>
      <c r="I2398" s="76"/>
      <c r="J2398" s="76"/>
      <c r="K2398" s="81"/>
      <c r="L2398" s="82"/>
      <c r="M2398" s="54"/>
      <c r="N2398" s="54"/>
      <c r="O2398" s="54"/>
      <c r="P2398" s="54"/>
      <c r="Q2398" s="54"/>
      <c r="R2398" s="54"/>
      <c r="S2398" s="54"/>
      <c r="T2398" s="54"/>
      <c r="U2398" s="54"/>
      <c r="V2398" s="54"/>
      <c r="W2398" s="54"/>
      <c r="X2398" s="54"/>
      <c r="Y2398" s="54"/>
      <c r="Z2398" s="54"/>
      <c r="AA2398" s="54"/>
      <c r="AB2398" s="54"/>
      <c r="AC2398" s="54"/>
      <c r="AD2398" s="54"/>
      <c r="AE2398" s="54"/>
      <c r="AF2398" s="54"/>
      <c r="AG2398" s="54"/>
      <c r="AH2398" s="54"/>
    </row>
    <row r="2399">
      <c r="A2399" s="80"/>
      <c r="B2399" s="80"/>
      <c r="C2399" s="80"/>
      <c r="D2399" s="80"/>
      <c r="E2399" s="80"/>
      <c r="F2399" s="59"/>
      <c r="G2399" s="59"/>
      <c r="H2399" s="83"/>
      <c r="I2399" s="76"/>
      <c r="J2399" s="76"/>
      <c r="K2399" s="81"/>
      <c r="L2399" s="82"/>
      <c r="M2399" s="54"/>
      <c r="N2399" s="54"/>
      <c r="O2399" s="54"/>
      <c r="P2399" s="54"/>
      <c r="Q2399" s="54"/>
      <c r="R2399" s="54"/>
      <c r="S2399" s="54"/>
      <c r="T2399" s="54"/>
      <c r="U2399" s="54"/>
      <c r="V2399" s="54"/>
      <c r="W2399" s="54"/>
      <c r="X2399" s="54"/>
      <c r="Y2399" s="54"/>
      <c r="Z2399" s="54"/>
      <c r="AA2399" s="54"/>
      <c r="AB2399" s="54"/>
      <c r="AC2399" s="54"/>
      <c r="AD2399" s="54"/>
      <c r="AE2399" s="54"/>
      <c r="AF2399" s="54"/>
      <c r="AG2399" s="54"/>
      <c r="AH2399" s="54"/>
    </row>
    <row r="2400">
      <c r="A2400" s="80"/>
      <c r="B2400" s="80"/>
      <c r="C2400" s="80"/>
      <c r="D2400" s="80"/>
      <c r="E2400" s="80"/>
      <c r="F2400" s="59"/>
      <c r="G2400" s="59"/>
      <c r="H2400" s="83"/>
      <c r="I2400" s="76"/>
      <c r="J2400" s="76"/>
      <c r="K2400" s="81"/>
      <c r="L2400" s="82"/>
      <c r="M2400" s="54"/>
      <c r="N2400" s="54"/>
      <c r="O2400" s="54"/>
      <c r="P2400" s="54"/>
      <c r="Q2400" s="54"/>
      <c r="R2400" s="54"/>
      <c r="S2400" s="54"/>
      <c r="T2400" s="54"/>
      <c r="U2400" s="54"/>
      <c r="V2400" s="54"/>
      <c r="W2400" s="54"/>
      <c r="X2400" s="54"/>
      <c r="Y2400" s="54"/>
      <c r="Z2400" s="54"/>
      <c r="AA2400" s="54"/>
      <c r="AB2400" s="54"/>
      <c r="AC2400" s="54"/>
      <c r="AD2400" s="54"/>
      <c r="AE2400" s="54"/>
      <c r="AF2400" s="54"/>
      <c r="AG2400" s="54"/>
      <c r="AH2400" s="54"/>
    </row>
    <row r="2401">
      <c r="A2401" s="80"/>
      <c r="B2401" s="80"/>
      <c r="C2401" s="80"/>
      <c r="D2401" s="80"/>
      <c r="E2401" s="80"/>
      <c r="F2401" s="59"/>
      <c r="G2401" s="59"/>
      <c r="H2401" s="83"/>
      <c r="I2401" s="76"/>
      <c r="J2401" s="76"/>
      <c r="K2401" s="81"/>
      <c r="L2401" s="82"/>
      <c r="M2401" s="54"/>
      <c r="N2401" s="54"/>
      <c r="O2401" s="54"/>
      <c r="P2401" s="54"/>
      <c r="Q2401" s="54"/>
      <c r="R2401" s="54"/>
      <c r="S2401" s="54"/>
      <c r="T2401" s="54"/>
      <c r="U2401" s="54"/>
      <c r="V2401" s="54"/>
      <c r="W2401" s="54"/>
      <c r="X2401" s="54"/>
      <c r="Y2401" s="54"/>
      <c r="Z2401" s="54"/>
      <c r="AA2401" s="54"/>
      <c r="AB2401" s="54"/>
      <c r="AC2401" s="54"/>
      <c r="AD2401" s="54"/>
      <c r="AE2401" s="54"/>
      <c r="AF2401" s="54"/>
      <c r="AG2401" s="54"/>
      <c r="AH2401" s="54"/>
    </row>
    <row r="2402">
      <c r="A2402" s="80"/>
      <c r="B2402" s="80"/>
      <c r="C2402" s="80"/>
      <c r="D2402" s="80"/>
      <c r="E2402" s="80"/>
      <c r="F2402" s="59"/>
      <c r="G2402" s="59"/>
      <c r="H2402" s="83"/>
      <c r="I2402" s="76"/>
      <c r="J2402" s="76"/>
      <c r="K2402" s="81"/>
      <c r="L2402" s="82"/>
      <c r="M2402" s="54"/>
      <c r="N2402" s="54"/>
      <c r="O2402" s="54"/>
      <c r="P2402" s="54"/>
      <c r="Q2402" s="54"/>
      <c r="R2402" s="54"/>
      <c r="S2402" s="54"/>
      <c r="T2402" s="54"/>
      <c r="U2402" s="54"/>
      <c r="V2402" s="54"/>
      <c r="W2402" s="54"/>
      <c r="X2402" s="54"/>
      <c r="Y2402" s="54"/>
      <c r="Z2402" s="54"/>
      <c r="AA2402" s="54"/>
      <c r="AB2402" s="54"/>
      <c r="AC2402" s="54"/>
      <c r="AD2402" s="54"/>
      <c r="AE2402" s="54"/>
      <c r="AF2402" s="54"/>
      <c r="AG2402" s="54"/>
      <c r="AH2402" s="54"/>
    </row>
    <row r="2403">
      <c r="A2403" s="80"/>
      <c r="B2403" s="80"/>
      <c r="C2403" s="80"/>
      <c r="D2403" s="80"/>
      <c r="E2403" s="80"/>
      <c r="F2403" s="59"/>
      <c r="G2403" s="59"/>
      <c r="H2403" s="83"/>
      <c r="I2403" s="76"/>
      <c r="J2403" s="76"/>
      <c r="K2403" s="81"/>
      <c r="L2403" s="82"/>
      <c r="M2403" s="54"/>
      <c r="N2403" s="54"/>
      <c r="O2403" s="54"/>
      <c r="P2403" s="54"/>
      <c r="Q2403" s="54"/>
      <c r="R2403" s="54"/>
      <c r="S2403" s="54"/>
      <c r="T2403" s="54"/>
      <c r="U2403" s="54"/>
      <c r="V2403" s="54"/>
      <c r="W2403" s="54"/>
      <c r="X2403" s="54"/>
      <c r="Y2403" s="54"/>
      <c r="Z2403" s="54"/>
      <c r="AA2403" s="54"/>
      <c r="AB2403" s="54"/>
      <c r="AC2403" s="54"/>
      <c r="AD2403" s="54"/>
      <c r="AE2403" s="54"/>
      <c r="AF2403" s="54"/>
      <c r="AG2403" s="54"/>
      <c r="AH2403" s="54"/>
    </row>
    <row r="2404">
      <c r="A2404" s="80"/>
      <c r="B2404" s="80"/>
      <c r="C2404" s="80"/>
      <c r="D2404" s="80"/>
      <c r="E2404" s="80"/>
      <c r="F2404" s="59"/>
      <c r="G2404" s="59"/>
      <c r="H2404" s="83"/>
      <c r="I2404" s="76"/>
      <c r="J2404" s="76"/>
      <c r="K2404" s="81"/>
      <c r="L2404" s="82"/>
      <c r="M2404" s="54"/>
      <c r="N2404" s="54"/>
      <c r="O2404" s="54"/>
      <c r="P2404" s="54"/>
      <c r="Q2404" s="54"/>
      <c r="R2404" s="54"/>
      <c r="S2404" s="54"/>
      <c r="T2404" s="54"/>
      <c r="U2404" s="54"/>
      <c r="V2404" s="54"/>
      <c r="W2404" s="54"/>
      <c r="X2404" s="54"/>
      <c r="Y2404" s="54"/>
      <c r="Z2404" s="54"/>
      <c r="AA2404" s="54"/>
      <c r="AB2404" s="54"/>
      <c r="AC2404" s="54"/>
      <c r="AD2404" s="54"/>
      <c r="AE2404" s="54"/>
      <c r="AF2404" s="54"/>
      <c r="AG2404" s="54"/>
      <c r="AH2404" s="54"/>
    </row>
    <row r="2405">
      <c r="A2405" s="80"/>
      <c r="B2405" s="80"/>
      <c r="C2405" s="80"/>
      <c r="D2405" s="80"/>
      <c r="E2405" s="80"/>
      <c r="F2405" s="59"/>
      <c r="G2405" s="59"/>
      <c r="H2405" s="83"/>
      <c r="I2405" s="76"/>
      <c r="J2405" s="76"/>
      <c r="K2405" s="81"/>
      <c r="L2405" s="82"/>
      <c r="M2405" s="54"/>
      <c r="N2405" s="54"/>
      <c r="O2405" s="54"/>
      <c r="P2405" s="54"/>
      <c r="Q2405" s="54"/>
      <c r="R2405" s="54"/>
      <c r="S2405" s="54"/>
      <c r="T2405" s="54"/>
      <c r="U2405" s="54"/>
      <c r="V2405" s="54"/>
      <c r="W2405" s="54"/>
      <c r="X2405" s="54"/>
      <c r="Y2405" s="54"/>
      <c r="Z2405" s="54"/>
      <c r="AA2405" s="54"/>
      <c r="AB2405" s="54"/>
      <c r="AC2405" s="54"/>
      <c r="AD2405" s="54"/>
      <c r="AE2405" s="54"/>
      <c r="AF2405" s="54"/>
      <c r="AG2405" s="54"/>
      <c r="AH2405" s="54"/>
    </row>
    <row r="2406">
      <c r="A2406" s="80"/>
      <c r="B2406" s="80"/>
      <c r="C2406" s="80"/>
      <c r="D2406" s="80"/>
      <c r="E2406" s="80"/>
      <c r="F2406" s="59"/>
      <c r="G2406" s="59"/>
      <c r="H2406" s="83"/>
      <c r="I2406" s="76"/>
      <c r="J2406" s="76"/>
      <c r="K2406" s="81"/>
      <c r="L2406" s="82"/>
      <c r="M2406" s="54"/>
      <c r="N2406" s="54"/>
      <c r="O2406" s="54"/>
      <c r="P2406" s="54"/>
      <c r="Q2406" s="54"/>
      <c r="R2406" s="54"/>
      <c r="S2406" s="54"/>
      <c r="T2406" s="54"/>
      <c r="U2406" s="54"/>
      <c r="V2406" s="54"/>
      <c r="W2406" s="54"/>
      <c r="X2406" s="54"/>
      <c r="Y2406" s="54"/>
      <c r="Z2406" s="54"/>
      <c r="AA2406" s="54"/>
      <c r="AB2406" s="54"/>
      <c r="AC2406" s="54"/>
      <c r="AD2406" s="54"/>
      <c r="AE2406" s="54"/>
      <c r="AF2406" s="54"/>
      <c r="AG2406" s="54"/>
      <c r="AH2406" s="54"/>
    </row>
    <row r="2407">
      <c r="A2407" s="80"/>
      <c r="B2407" s="80"/>
      <c r="C2407" s="80"/>
      <c r="D2407" s="80"/>
      <c r="E2407" s="80"/>
      <c r="F2407" s="59"/>
      <c r="G2407" s="59"/>
      <c r="H2407" s="83"/>
      <c r="I2407" s="76"/>
      <c r="J2407" s="76"/>
      <c r="K2407" s="81"/>
      <c r="L2407" s="82"/>
      <c r="M2407" s="54"/>
      <c r="N2407" s="54"/>
      <c r="O2407" s="54"/>
      <c r="P2407" s="54"/>
      <c r="Q2407" s="54"/>
      <c r="R2407" s="54"/>
      <c r="S2407" s="54"/>
      <c r="T2407" s="54"/>
      <c r="U2407" s="54"/>
      <c r="V2407" s="54"/>
      <c r="W2407" s="54"/>
      <c r="X2407" s="54"/>
      <c r="Y2407" s="54"/>
      <c r="Z2407" s="54"/>
      <c r="AA2407" s="54"/>
      <c r="AB2407" s="54"/>
      <c r="AC2407" s="54"/>
      <c r="AD2407" s="54"/>
      <c r="AE2407" s="54"/>
      <c r="AF2407" s="54"/>
      <c r="AG2407" s="54"/>
      <c r="AH2407" s="54"/>
    </row>
    <row r="2408">
      <c r="A2408" s="80"/>
      <c r="B2408" s="80"/>
      <c r="C2408" s="80"/>
      <c r="D2408" s="80"/>
      <c r="E2408" s="80"/>
      <c r="F2408" s="59"/>
      <c r="G2408" s="59"/>
      <c r="H2408" s="83"/>
      <c r="I2408" s="76"/>
      <c r="J2408" s="76"/>
      <c r="K2408" s="81"/>
      <c r="L2408" s="82"/>
      <c r="M2408" s="54"/>
      <c r="N2408" s="54"/>
      <c r="O2408" s="54"/>
      <c r="P2408" s="54"/>
      <c r="Q2408" s="54"/>
      <c r="R2408" s="54"/>
      <c r="S2408" s="54"/>
      <c r="T2408" s="54"/>
      <c r="U2408" s="54"/>
      <c r="V2408" s="54"/>
      <c r="W2408" s="54"/>
      <c r="X2408" s="54"/>
      <c r="Y2408" s="54"/>
      <c r="Z2408" s="54"/>
      <c r="AA2408" s="54"/>
      <c r="AB2408" s="54"/>
      <c r="AC2408" s="54"/>
      <c r="AD2408" s="54"/>
      <c r="AE2408" s="54"/>
      <c r="AF2408" s="54"/>
      <c r="AG2408" s="54"/>
      <c r="AH2408" s="54"/>
    </row>
    <row r="2409">
      <c r="A2409" s="80"/>
      <c r="B2409" s="80"/>
      <c r="C2409" s="80"/>
      <c r="D2409" s="80"/>
      <c r="E2409" s="80"/>
      <c r="F2409" s="59"/>
      <c r="G2409" s="59"/>
      <c r="H2409" s="83"/>
      <c r="I2409" s="76"/>
      <c r="J2409" s="76"/>
      <c r="K2409" s="81"/>
      <c r="L2409" s="82"/>
      <c r="M2409" s="54"/>
      <c r="N2409" s="54"/>
      <c r="O2409" s="54"/>
      <c r="P2409" s="54"/>
      <c r="Q2409" s="54"/>
      <c r="R2409" s="54"/>
      <c r="S2409" s="54"/>
      <c r="T2409" s="54"/>
      <c r="U2409" s="54"/>
      <c r="V2409" s="54"/>
      <c r="W2409" s="54"/>
      <c r="X2409" s="54"/>
      <c r="Y2409" s="54"/>
      <c r="Z2409" s="54"/>
      <c r="AA2409" s="54"/>
      <c r="AB2409" s="54"/>
      <c r="AC2409" s="54"/>
      <c r="AD2409" s="54"/>
      <c r="AE2409" s="54"/>
      <c r="AF2409" s="54"/>
      <c r="AG2409" s="54"/>
      <c r="AH2409" s="54"/>
    </row>
    <row r="2410">
      <c r="A2410" s="80"/>
      <c r="B2410" s="80"/>
      <c r="C2410" s="80"/>
      <c r="D2410" s="80"/>
      <c r="E2410" s="80"/>
      <c r="F2410" s="59"/>
      <c r="G2410" s="59"/>
      <c r="H2410" s="83"/>
      <c r="I2410" s="76"/>
      <c r="J2410" s="76"/>
      <c r="K2410" s="81"/>
      <c r="L2410" s="82"/>
      <c r="M2410" s="54"/>
      <c r="N2410" s="54"/>
      <c r="O2410" s="54"/>
      <c r="P2410" s="54"/>
      <c r="Q2410" s="54"/>
      <c r="R2410" s="54"/>
      <c r="S2410" s="54"/>
      <c r="T2410" s="54"/>
      <c r="U2410" s="54"/>
      <c r="V2410" s="54"/>
      <c r="W2410" s="54"/>
      <c r="X2410" s="54"/>
      <c r="Y2410" s="54"/>
      <c r="Z2410" s="54"/>
      <c r="AA2410" s="54"/>
      <c r="AB2410" s="54"/>
      <c r="AC2410" s="54"/>
      <c r="AD2410" s="54"/>
      <c r="AE2410" s="54"/>
      <c r="AF2410" s="54"/>
      <c r="AG2410" s="54"/>
      <c r="AH2410" s="54"/>
    </row>
    <row r="2411">
      <c r="A2411" s="80"/>
      <c r="B2411" s="80"/>
      <c r="C2411" s="80"/>
      <c r="D2411" s="80"/>
      <c r="E2411" s="80"/>
      <c r="F2411" s="59"/>
      <c r="G2411" s="59"/>
      <c r="H2411" s="83"/>
      <c r="I2411" s="76"/>
      <c r="J2411" s="76"/>
      <c r="K2411" s="81"/>
      <c r="L2411" s="82"/>
      <c r="M2411" s="54"/>
      <c r="N2411" s="54"/>
      <c r="O2411" s="54"/>
      <c r="P2411" s="54"/>
      <c r="Q2411" s="54"/>
      <c r="R2411" s="54"/>
      <c r="S2411" s="54"/>
      <c r="T2411" s="54"/>
      <c r="U2411" s="54"/>
      <c r="V2411" s="54"/>
      <c r="W2411" s="54"/>
      <c r="X2411" s="54"/>
      <c r="Y2411" s="54"/>
      <c r="Z2411" s="54"/>
      <c r="AA2411" s="54"/>
      <c r="AB2411" s="54"/>
      <c r="AC2411" s="54"/>
      <c r="AD2411" s="54"/>
      <c r="AE2411" s="54"/>
      <c r="AF2411" s="54"/>
      <c r="AG2411" s="54"/>
      <c r="AH2411" s="54"/>
    </row>
    <row r="2412">
      <c r="A2412" s="80"/>
      <c r="B2412" s="80"/>
      <c r="C2412" s="80"/>
      <c r="D2412" s="80"/>
      <c r="E2412" s="80"/>
      <c r="F2412" s="59"/>
      <c r="G2412" s="59"/>
      <c r="H2412" s="83"/>
      <c r="I2412" s="76"/>
      <c r="J2412" s="76"/>
      <c r="K2412" s="81"/>
      <c r="L2412" s="82"/>
      <c r="M2412" s="54"/>
      <c r="N2412" s="54"/>
      <c r="O2412" s="54"/>
      <c r="P2412" s="54"/>
      <c r="Q2412" s="54"/>
      <c r="R2412" s="54"/>
      <c r="S2412" s="54"/>
      <c r="T2412" s="54"/>
      <c r="U2412" s="54"/>
      <c r="V2412" s="54"/>
      <c r="W2412" s="54"/>
      <c r="X2412" s="54"/>
      <c r="Y2412" s="54"/>
      <c r="Z2412" s="54"/>
      <c r="AA2412" s="54"/>
      <c r="AB2412" s="54"/>
      <c r="AC2412" s="54"/>
      <c r="AD2412" s="54"/>
      <c r="AE2412" s="54"/>
      <c r="AF2412" s="54"/>
      <c r="AG2412" s="54"/>
      <c r="AH2412" s="54"/>
    </row>
    <row r="2413">
      <c r="A2413" s="80"/>
      <c r="B2413" s="80"/>
      <c r="C2413" s="80"/>
      <c r="D2413" s="80"/>
      <c r="E2413" s="80"/>
      <c r="F2413" s="59"/>
      <c r="G2413" s="59"/>
      <c r="H2413" s="83"/>
      <c r="I2413" s="76"/>
      <c r="J2413" s="76"/>
      <c r="K2413" s="81"/>
      <c r="L2413" s="82"/>
      <c r="M2413" s="54"/>
      <c r="N2413" s="54"/>
      <c r="O2413" s="54"/>
      <c r="P2413" s="54"/>
      <c r="Q2413" s="54"/>
      <c r="R2413" s="54"/>
      <c r="S2413" s="54"/>
      <c r="T2413" s="54"/>
      <c r="U2413" s="54"/>
      <c r="V2413" s="54"/>
      <c r="W2413" s="54"/>
      <c r="X2413" s="54"/>
      <c r="Y2413" s="54"/>
      <c r="Z2413" s="54"/>
      <c r="AA2413" s="54"/>
      <c r="AB2413" s="54"/>
      <c r="AC2413" s="54"/>
      <c r="AD2413" s="54"/>
      <c r="AE2413" s="54"/>
      <c r="AF2413" s="54"/>
      <c r="AG2413" s="54"/>
      <c r="AH2413" s="54"/>
    </row>
    <row r="2414">
      <c r="A2414" s="80"/>
      <c r="B2414" s="80"/>
      <c r="C2414" s="80"/>
      <c r="D2414" s="80"/>
      <c r="E2414" s="80"/>
      <c r="F2414" s="59"/>
      <c r="G2414" s="59"/>
      <c r="H2414" s="83"/>
      <c r="I2414" s="76"/>
      <c r="J2414" s="76"/>
      <c r="K2414" s="81"/>
      <c r="L2414" s="82"/>
      <c r="M2414" s="54"/>
      <c r="N2414" s="54"/>
      <c r="O2414" s="54"/>
      <c r="P2414" s="54"/>
      <c r="Q2414" s="54"/>
      <c r="R2414" s="54"/>
      <c r="S2414" s="54"/>
      <c r="T2414" s="54"/>
      <c r="U2414" s="54"/>
      <c r="V2414" s="54"/>
      <c r="W2414" s="54"/>
      <c r="X2414" s="54"/>
      <c r="Y2414" s="54"/>
      <c r="Z2414" s="54"/>
      <c r="AA2414" s="54"/>
      <c r="AB2414" s="54"/>
      <c r="AC2414" s="54"/>
      <c r="AD2414" s="54"/>
      <c r="AE2414" s="54"/>
      <c r="AF2414" s="54"/>
      <c r="AG2414" s="54"/>
      <c r="AH2414" s="54"/>
    </row>
    <row r="2415">
      <c r="A2415" s="80"/>
      <c r="B2415" s="80"/>
      <c r="C2415" s="80"/>
      <c r="D2415" s="80"/>
      <c r="E2415" s="80"/>
      <c r="F2415" s="59"/>
      <c r="G2415" s="59"/>
      <c r="H2415" s="83"/>
      <c r="I2415" s="76"/>
      <c r="J2415" s="76"/>
      <c r="K2415" s="81"/>
      <c r="L2415" s="82"/>
      <c r="M2415" s="54"/>
      <c r="N2415" s="54"/>
      <c r="O2415" s="54"/>
      <c r="P2415" s="54"/>
      <c r="Q2415" s="54"/>
      <c r="R2415" s="54"/>
      <c r="S2415" s="54"/>
      <c r="T2415" s="54"/>
      <c r="U2415" s="54"/>
      <c r="V2415" s="54"/>
      <c r="W2415" s="54"/>
      <c r="X2415" s="54"/>
      <c r="Y2415" s="54"/>
      <c r="Z2415" s="54"/>
      <c r="AA2415" s="54"/>
      <c r="AB2415" s="54"/>
      <c r="AC2415" s="54"/>
      <c r="AD2415" s="54"/>
      <c r="AE2415" s="54"/>
      <c r="AF2415" s="54"/>
      <c r="AG2415" s="54"/>
      <c r="AH2415" s="54"/>
    </row>
    <row r="2416">
      <c r="A2416" s="80"/>
      <c r="B2416" s="80"/>
      <c r="C2416" s="80"/>
      <c r="D2416" s="80"/>
      <c r="E2416" s="80"/>
      <c r="F2416" s="59"/>
      <c r="G2416" s="59"/>
      <c r="H2416" s="83"/>
      <c r="I2416" s="76"/>
      <c r="J2416" s="76"/>
      <c r="K2416" s="81"/>
      <c r="L2416" s="82"/>
      <c r="M2416" s="54"/>
      <c r="N2416" s="54"/>
      <c r="O2416" s="54"/>
      <c r="P2416" s="54"/>
      <c r="Q2416" s="54"/>
      <c r="R2416" s="54"/>
      <c r="S2416" s="54"/>
      <c r="T2416" s="54"/>
      <c r="U2416" s="54"/>
      <c r="V2416" s="54"/>
      <c r="W2416" s="54"/>
      <c r="X2416" s="54"/>
      <c r="Y2416" s="54"/>
      <c r="Z2416" s="54"/>
      <c r="AA2416" s="54"/>
      <c r="AB2416" s="54"/>
      <c r="AC2416" s="54"/>
      <c r="AD2416" s="54"/>
      <c r="AE2416" s="54"/>
      <c r="AF2416" s="54"/>
      <c r="AG2416" s="54"/>
      <c r="AH2416" s="54"/>
    </row>
    <row r="2417">
      <c r="A2417" s="80"/>
      <c r="B2417" s="80"/>
      <c r="C2417" s="80"/>
      <c r="D2417" s="80"/>
      <c r="E2417" s="80"/>
      <c r="F2417" s="59"/>
      <c r="G2417" s="59"/>
      <c r="H2417" s="83"/>
      <c r="I2417" s="76"/>
      <c r="J2417" s="76"/>
      <c r="K2417" s="81"/>
      <c r="L2417" s="82"/>
      <c r="M2417" s="54"/>
      <c r="N2417" s="54"/>
      <c r="O2417" s="54"/>
      <c r="P2417" s="54"/>
      <c r="Q2417" s="54"/>
      <c r="R2417" s="54"/>
      <c r="S2417" s="54"/>
      <c r="T2417" s="54"/>
      <c r="U2417" s="54"/>
      <c r="V2417" s="54"/>
      <c r="W2417" s="54"/>
      <c r="X2417" s="54"/>
      <c r="Y2417" s="54"/>
      <c r="Z2417" s="54"/>
      <c r="AA2417" s="54"/>
      <c r="AB2417" s="54"/>
      <c r="AC2417" s="54"/>
      <c r="AD2417" s="54"/>
      <c r="AE2417" s="54"/>
      <c r="AF2417" s="54"/>
      <c r="AG2417" s="54"/>
      <c r="AH2417" s="54"/>
    </row>
    <row r="2418">
      <c r="A2418" s="80"/>
      <c r="B2418" s="80"/>
      <c r="C2418" s="80"/>
      <c r="D2418" s="80"/>
      <c r="E2418" s="80"/>
      <c r="F2418" s="59"/>
      <c r="G2418" s="59"/>
      <c r="H2418" s="83"/>
      <c r="I2418" s="76"/>
      <c r="J2418" s="76"/>
      <c r="K2418" s="81"/>
      <c r="L2418" s="82"/>
      <c r="M2418" s="54"/>
      <c r="N2418" s="54"/>
      <c r="O2418" s="54"/>
      <c r="P2418" s="54"/>
      <c r="Q2418" s="54"/>
      <c r="R2418" s="54"/>
      <c r="S2418" s="54"/>
      <c r="T2418" s="54"/>
      <c r="U2418" s="54"/>
      <c r="V2418" s="54"/>
      <c r="W2418" s="54"/>
      <c r="X2418" s="54"/>
      <c r="Y2418" s="54"/>
      <c r="Z2418" s="54"/>
      <c r="AA2418" s="54"/>
      <c r="AB2418" s="54"/>
      <c r="AC2418" s="54"/>
      <c r="AD2418" s="54"/>
      <c r="AE2418" s="54"/>
      <c r="AF2418" s="54"/>
      <c r="AG2418" s="54"/>
      <c r="AH2418" s="54"/>
    </row>
    <row r="2419">
      <c r="A2419" s="80"/>
      <c r="B2419" s="80"/>
      <c r="C2419" s="80"/>
      <c r="D2419" s="80"/>
      <c r="E2419" s="80"/>
      <c r="F2419" s="59"/>
      <c r="G2419" s="59"/>
      <c r="H2419" s="83"/>
      <c r="I2419" s="76"/>
      <c r="J2419" s="76"/>
      <c r="K2419" s="81"/>
      <c r="L2419" s="82"/>
      <c r="M2419" s="54"/>
      <c r="N2419" s="54"/>
      <c r="O2419" s="54"/>
      <c r="P2419" s="54"/>
      <c r="Q2419" s="54"/>
      <c r="R2419" s="54"/>
      <c r="S2419" s="54"/>
      <c r="T2419" s="54"/>
      <c r="U2419" s="54"/>
      <c r="V2419" s="54"/>
      <c r="W2419" s="54"/>
      <c r="X2419" s="54"/>
      <c r="Y2419" s="54"/>
      <c r="Z2419" s="54"/>
      <c r="AA2419" s="54"/>
      <c r="AB2419" s="54"/>
      <c r="AC2419" s="54"/>
      <c r="AD2419" s="54"/>
      <c r="AE2419" s="54"/>
      <c r="AF2419" s="54"/>
      <c r="AG2419" s="54"/>
      <c r="AH2419" s="54"/>
    </row>
    <row r="2420">
      <c r="A2420" s="80"/>
      <c r="B2420" s="80"/>
      <c r="C2420" s="80"/>
      <c r="D2420" s="80"/>
      <c r="E2420" s="80"/>
      <c r="F2420" s="59"/>
      <c r="G2420" s="59"/>
      <c r="H2420" s="83"/>
      <c r="I2420" s="76"/>
      <c r="J2420" s="76"/>
      <c r="K2420" s="81"/>
      <c r="L2420" s="82"/>
      <c r="M2420" s="54"/>
      <c r="N2420" s="54"/>
      <c r="O2420" s="54"/>
      <c r="P2420" s="54"/>
      <c r="Q2420" s="54"/>
      <c r="R2420" s="54"/>
      <c r="S2420" s="54"/>
      <c r="T2420" s="54"/>
      <c r="U2420" s="54"/>
      <c r="V2420" s="54"/>
      <c r="W2420" s="54"/>
      <c r="X2420" s="54"/>
      <c r="Y2420" s="54"/>
      <c r="Z2420" s="54"/>
      <c r="AA2420" s="54"/>
      <c r="AB2420" s="54"/>
      <c r="AC2420" s="54"/>
      <c r="AD2420" s="54"/>
      <c r="AE2420" s="54"/>
      <c r="AF2420" s="54"/>
      <c r="AG2420" s="54"/>
      <c r="AH2420" s="54"/>
    </row>
    <row r="2421">
      <c r="A2421" s="80"/>
      <c r="B2421" s="80"/>
      <c r="C2421" s="80"/>
      <c r="D2421" s="80"/>
      <c r="E2421" s="80"/>
      <c r="F2421" s="59"/>
      <c r="G2421" s="59"/>
      <c r="H2421" s="83"/>
      <c r="I2421" s="76"/>
      <c r="J2421" s="76"/>
      <c r="K2421" s="81"/>
      <c r="L2421" s="82"/>
      <c r="M2421" s="54"/>
      <c r="N2421" s="54"/>
      <c r="O2421" s="54"/>
      <c r="P2421" s="54"/>
      <c r="Q2421" s="54"/>
      <c r="R2421" s="54"/>
      <c r="S2421" s="54"/>
      <c r="T2421" s="54"/>
      <c r="U2421" s="54"/>
      <c r="V2421" s="54"/>
      <c r="W2421" s="54"/>
      <c r="X2421" s="54"/>
      <c r="Y2421" s="54"/>
      <c r="Z2421" s="54"/>
      <c r="AA2421" s="54"/>
      <c r="AB2421" s="54"/>
      <c r="AC2421" s="54"/>
      <c r="AD2421" s="54"/>
      <c r="AE2421" s="54"/>
      <c r="AF2421" s="54"/>
      <c r="AG2421" s="54"/>
      <c r="AH2421" s="54"/>
    </row>
    <row r="2422">
      <c r="A2422" s="80"/>
      <c r="B2422" s="80"/>
      <c r="C2422" s="80"/>
      <c r="D2422" s="80"/>
      <c r="E2422" s="80"/>
      <c r="F2422" s="59"/>
      <c r="G2422" s="59"/>
      <c r="H2422" s="83"/>
      <c r="I2422" s="76"/>
      <c r="J2422" s="76"/>
      <c r="K2422" s="81"/>
      <c r="L2422" s="82"/>
      <c r="M2422" s="54"/>
      <c r="N2422" s="54"/>
      <c r="O2422" s="54"/>
      <c r="P2422" s="54"/>
      <c r="Q2422" s="54"/>
      <c r="R2422" s="54"/>
      <c r="S2422" s="54"/>
      <c r="T2422" s="54"/>
      <c r="U2422" s="54"/>
      <c r="V2422" s="54"/>
      <c r="W2422" s="54"/>
      <c r="X2422" s="54"/>
      <c r="Y2422" s="54"/>
      <c r="Z2422" s="54"/>
      <c r="AA2422" s="54"/>
      <c r="AB2422" s="54"/>
      <c r="AC2422" s="54"/>
      <c r="AD2422" s="54"/>
      <c r="AE2422" s="54"/>
      <c r="AF2422" s="54"/>
      <c r="AG2422" s="54"/>
      <c r="AH2422" s="54"/>
    </row>
    <row r="2423">
      <c r="A2423" s="80"/>
      <c r="B2423" s="80"/>
      <c r="C2423" s="80"/>
      <c r="D2423" s="80"/>
      <c r="E2423" s="80"/>
      <c r="F2423" s="59"/>
      <c r="G2423" s="59"/>
      <c r="H2423" s="83"/>
      <c r="I2423" s="76"/>
      <c r="J2423" s="76"/>
      <c r="K2423" s="81"/>
      <c r="L2423" s="82"/>
      <c r="M2423" s="54"/>
      <c r="N2423" s="54"/>
      <c r="O2423" s="54"/>
      <c r="P2423" s="54"/>
      <c r="Q2423" s="54"/>
      <c r="R2423" s="54"/>
      <c r="S2423" s="54"/>
      <c r="T2423" s="54"/>
      <c r="U2423" s="54"/>
      <c r="V2423" s="54"/>
      <c r="W2423" s="54"/>
      <c r="X2423" s="54"/>
      <c r="Y2423" s="54"/>
      <c r="Z2423" s="54"/>
      <c r="AA2423" s="54"/>
      <c r="AB2423" s="54"/>
      <c r="AC2423" s="54"/>
      <c r="AD2423" s="54"/>
      <c r="AE2423" s="54"/>
      <c r="AF2423" s="54"/>
      <c r="AG2423" s="54"/>
      <c r="AH2423" s="54"/>
    </row>
    <row r="2424">
      <c r="A2424" s="80"/>
      <c r="B2424" s="80"/>
      <c r="C2424" s="80"/>
      <c r="D2424" s="80"/>
      <c r="E2424" s="80"/>
      <c r="F2424" s="59"/>
      <c r="G2424" s="59"/>
      <c r="H2424" s="83"/>
      <c r="I2424" s="76"/>
      <c r="J2424" s="76"/>
      <c r="K2424" s="81"/>
      <c r="L2424" s="82"/>
      <c r="M2424" s="54"/>
      <c r="N2424" s="54"/>
      <c r="O2424" s="54"/>
      <c r="P2424" s="54"/>
      <c r="Q2424" s="54"/>
      <c r="R2424" s="54"/>
      <c r="S2424" s="54"/>
      <c r="T2424" s="54"/>
      <c r="U2424" s="54"/>
      <c r="V2424" s="54"/>
      <c r="W2424" s="54"/>
      <c r="X2424" s="54"/>
      <c r="Y2424" s="54"/>
      <c r="Z2424" s="54"/>
      <c r="AA2424" s="54"/>
      <c r="AB2424" s="54"/>
      <c r="AC2424" s="54"/>
      <c r="AD2424" s="54"/>
      <c r="AE2424" s="54"/>
      <c r="AF2424" s="54"/>
      <c r="AG2424" s="54"/>
      <c r="AH2424" s="54"/>
    </row>
    <row r="2425">
      <c r="A2425" s="80"/>
      <c r="B2425" s="80"/>
      <c r="C2425" s="80"/>
      <c r="D2425" s="80"/>
      <c r="E2425" s="80"/>
      <c r="F2425" s="59"/>
      <c r="G2425" s="59"/>
      <c r="H2425" s="83"/>
      <c r="I2425" s="76"/>
      <c r="J2425" s="76"/>
      <c r="K2425" s="81"/>
      <c r="L2425" s="82"/>
      <c r="M2425" s="54"/>
      <c r="N2425" s="54"/>
      <c r="O2425" s="54"/>
      <c r="P2425" s="54"/>
      <c r="Q2425" s="54"/>
      <c r="R2425" s="54"/>
      <c r="S2425" s="54"/>
      <c r="T2425" s="54"/>
      <c r="U2425" s="54"/>
      <c r="V2425" s="54"/>
      <c r="W2425" s="54"/>
      <c r="X2425" s="54"/>
      <c r="Y2425" s="54"/>
      <c r="Z2425" s="54"/>
      <c r="AA2425" s="54"/>
      <c r="AB2425" s="54"/>
      <c r="AC2425" s="54"/>
      <c r="AD2425" s="54"/>
      <c r="AE2425" s="54"/>
      <c r="AF2425" s="54"/>
      <c r="AG2425" s="54"/>
      <c r="AH2425" s="54"/>
    </row>
    <row r="2426">
      <c r="A2426" s="80"/>
      <c r="B2426" s="80"/>
      <c r="C2426" s="80"/>
      <c r="D2426" s="80"/>
      <c r="E2426" s="80"/>
      <c r="F2426" s="59"/>
      <c r="G2426" s="59"/>
      <c r="H2426" s="83"/>
      <c r="I2426" s="76"/>
      <c r="J2426" s="76"/>
      <c r="K2426" s="81"/>
      <c r="L2426" s="82"/>
      <c r="M2426" s="54"/>
      <c r="N2426" s="54"/>
      <c r="O2426" s="54"/>
      <c r="P2426" s="54"/>
      <c r="Q2426" s="54"/>
      <c r="R2426" s="54"/>
      <c r="S2426" s="54"/>
      <c r="T2426" s="54"/>
      <c r="U2426" s="54"/>
      <c r="V2426" s="54"/>
      <c r="W2426" s="54"/>
      <c r="X2426" s="54"/>
      <c r="Y2426" s="54"/>
      <c r="Z2426" s="54"/>
      <c r="AA2426" s="54"/>
      <c r="AB2426" s="54"/>
      <c r="AC2426" s="54"/>
      <c r="AD2426" s="54"/>
      <c r="AE2426" s="54"/>
      <c r="AF2426" s="54"/>
      <c r="AG2426" s="54"/>
      <c r="AH2426" s="54"/>
    </row>
    <row r="2427">
      <c r="A2427" s="80"/>
      <c r="B2427" s="80"/>
      <c r="C2427" s="80"/>
      <c r="D2427" s="80"/>
      <c r="E2427" s="80"/>
      <c r="F2427" s="59"/>
      <c r="G2427" s="59"/>
      <c r="H2427" s="83"/>
      <c r="I2427" s="76"/>
      <c r="J2427" s="76"/>
      <c r="K2427" s="81"/>
      <c r="L2427" s="82"/>
      <c r="M2427" s="54"/>
      <c r="N2427" s="54"/>
      <c r="O2427" s="54"/>
      <c r="P2427" s="54"/>
      <c r="Q2427" s="54"/>
      <c r="R2427" s="54"/>
      <c r="S2427" s="54"/>
      <c r="T2427" s="54"/>
      <c r="U2427" s="54"/>
      <c r="V2427" s="54"/>
      <c r="W2427" s="54"/>
      <c r="X2427" s="54"/>
      <c r="Y2427" s="54"/>
      <c r="Z2427" s="54"/>
      <c r="AA2427" s="54"/>
      <c r="AB2427" s="54"/>
      <c r="AC2427" s="54"/>
      <c r="AD2427" s="54"/>
      <c r="AE2427" s="54"/>
      <c r="AF2427" s="54"/>
      <c r="AG2427" s="54"/>
      <c r="AH2427" s="54"/>
    </row>
    <row r="2428">
      <c r="A2428" s="80"/>
      <c r="B2428" s="80"/>
      <c r="C2428" s="80"/>
      <c r="D2428" s="80"/>
      <c r="E2428" s="80"/>
      <c r="F2428" s="59"/>
      <c r="G2428" s="59"/>
      <c r="H2428" s="83"/>
      <c r="I2428" s="76"/>
      <c r="J2428" s="76"/>
      <c r="K2428" s="81"/>
      <c r="L2428" s="82"/>
      <c r="M2428" s="54"/>
      <c r="N2428" s="54"/>
      <c r="O2428" s="54"/>
      <c r="P2428" s="54"/>
      <c r="Q2428" s="54"/>
      <c r="R2428" s="54"/>
      <c r="S2428" s="54"/>
      <c r="T2428" s="54"/>
      <c r="U2428" s="54"/>
      <c r="V2428" s="54"/>
      <c r="W2428" s="54"/>
      <c r="X2428" s="54"/>
      <c r="Y2428" s="54"/>
      <c r="Z2428" s="54"/>
      <c r="AA2428" s="54"/>
      <c r="AB2428" s="54"/>
      <c r="AC2428" s="54"/>
      <c r="AD2428" s="54"/>
      <c r="AE2428" s="54"/>
      <c r="AF2428" s="54"/>
      <c r="AG2428" s="54"/>
      <c r="AH2428" s="54"/>
    </row>
    <row r="2429">
      <c r="A2429" s="80"/>
      <c r="B2429" s="80"/>
      <c r="C2429" s="80"/>
      <c r="D2429" s="80"/>
      <c r="E2429" s="80"/>
      <c r="F2429" s="59"/>
      <c r="G2429" s="59"/>
      <c r="H2429" s="83"/>
      <c r="I2429" s="76"/>
      <c r="J2429" s="76"/>
      <c r="K2429" s="81"/>
      <c r="L2429" s="82"/>
      <c r="M2429" s="54"/>
      <c r="N2429" s="54"/>
      <c r="O2429" s="54"/>
      <c r="P2429" s="54"/>
      <c r="Q2429" s="54"/>
      <c r="R2429" s="54"/>
      <c r="S2429" s="54"/>
      <c r="T2429" s="54"/>
      <c r="U2429" s="54"/>
      <c r="V2429" s="54"/>
      <c r="W2429" s="54"/>
      <c r="X2429" s="54"/>
      <c r="Y2429" s="54"/>
      <c r="Z2429" s="54"/>
      <c r="AA2429" s="54"/>
      <c r="AB2429" s="54"/>
      <c r="AC2429" s="54"/>
      <c r="AD2429" s="54"/>
      <c r="AE2429" s="54"/>
      <c r="AF2429" s="54"/>
      <c r="AG2429" s="54"/>
      <c r="AH2429" s="54"/>
    </row>
    <row r="2430">
      <c r="A2430" s="80"/>
      <c r="B2430" s="80"/>
      <c r="C2430" s="80"/>
      <c r="D2430" s="80"/>
      <c r="E2430" s="80"/>
      <c r="F2430" s="59"/>
      <c r="G2430" s="59"/>
      <c r="H2430" s="83"/>
      <c r="I2430" s="76"/>
      <c r="J2430" s="76"/>
      <c r="K2430" s="81"/>
      <c r="L2430" s="82"/>
      <c r="M2430" s="54"/>
      <c r="N2430" s="54"/>
      <c r="O2430" s="54"/>
      <c r="P2430" s="54"/>
      <c r="Q2430" s="54"/>
      <c r="R2430" s="54"/>
      <c r="S2430" s="54"/>
      <c r="T2430" s="54"/>
      <c r="U2430" s="54"/>
      <c r="V2430" s="54"/>
      <c r="W2430" s="54"/>
      <c r="X2430" s="54"/>
      <c r="Y2430" s="54"/>
      <c r="Z2430" s="54"/>
      <c r="AA2430" s="54"/>
      <c r="AB2430" s="54"/>
      <c r="AC2430" s="54"/>
      <c r="AD2430" s="54"/>
      <c r="AE2430" s="54"/>
      <c r="AF2430" s="54"/>
      <c r="AG2430" s="54"/>
      <c r="AH2430" s="54"/>
    </row>
    <row r="2431">
      <c r="A2431" s="80"/>
      <c r="B2431" s="80"/>
      <c r="C2431" s="80"/>
      <c r="D2431" s="80"/>
      <c r="E2431" s="80"/>
      <c r="F2431" s="59"/>
      <c r="G2431" s="59"/>
      <c r="H2431" s="83"/>
      <c r="I2431" s="76"/>
      <c r="J2431" s="76"/>
      <c r="K2431" s="81"/>
      <c r="L2431" s="82"/>
      <c r="M2431" s="54"/>
      <c r="N2431" s="54"/>
      <c r="O2431" s="54"/>
      <c r="P2431" s="54"/>
      <c r="Q2431" s="54"/>
      <c r="R2431" s="54"/>
      <c r="S2431" s="54"/>
      <c r="T2431" s="54"/>
      <c r="U2431" s="54"/>
      <c r="V2431" s="54"/>
      <c r="W2431" s="54"/>
      <c r="X2431" s="54"/>
      <c r="Y2431" s="54"/>
      <c r="Z2431" s="54"/>
      <c r="AA2431" s="54"/>
      <c r="AB2431" s="54"/>
      <c r="AC2431" s="54"/>
      <c r="AD2431" s="54"/>
      <c r="AE2431" s="54"/>
      <c r="AF2431" s="54"/>
      <c r="AG2431" s="54"/>
      <c r="AH2431" s="54"/>
    </row>
    <row r="2432">
      <c r="A2432" s="80"/>
      <c r="B2432" s="80"/>
      <c r="C2432" s="80"/>
      <c r="D2432" s="80"/>
      <c r="E2432" s="80"/>
      <c r="F2432" s="59"/>
      <c r="G2432" s="59"/>
      <c r="H2432" s="83"/>
      <c r="I2432" s="76"/>
      <c r="J2432" s="76"/>
      <c r="K2432" s="81"/>
      <c r="L2432" s="82"/>
      <c r="M2432" s="54"/>
      <c r="N2432" s="54"/>
      <c r="O2432" s="54"/>
      <c r="P2432" s="54"/>
      <c r="Q2432" s="54"/>
      <c r="R2432" s="54"/>
      <c r="S2432" s="54"/>
      <c r="T2432" s="54"/>
      <c r="U2432" s="54"/>
      <c r="V2432" s="54"/>
      <c r="W2432" s="54"/>
      <c r="X2432" s="54"/>
      <c r="Y2432" s="54"/>
      <c r="Z2432" s="54"/>
      <c r="AA2432" s="54"/>
      <c r="AB2432" s="54"/>
      <c r="AC2432" s="54"/>
      <c r="AD2432" s="54"/>
      <c r="AE2432" s="54"/>
      <c r="AF2432" s="54"/>
      <c r="AG2432" s="54"/>
      <c r="AH2432" s="54"/>
    </row>
    <row r="2433">
      <c r="A2433" s="80"/>
      <c r="B2433" s="80"/>
      <c r="C2433" s="80"/>
      <c r="D2433" s="80"/>
      <c r="E2433" s="80"/>
      <c r="F2433" s="59"/>
      <c r="G2433" s="59"/>
      <c r="H2433" s="83"/>
      <c r="I2433" s="76"/>
      <c r="J2433" s="76"/>
      <c r="K2433" s="81"/>
      <c r="L2433" s="82"/>
      <c r="M2433" s="54"/>
      <c r="N2433" s="54"/>
      <c r="O2433" s="54"/>
      <c r="P2433" s="54"/>
      <c r="Q2433" s="54"/>
      <c r="R2433" s="54"/>
      <c r="S2433" s="54"/>
      <c r="T2433" s="54"/>
      <c r="U2433" s="54"/>
      <c r="V2433" s="54"/>
      <c r="W2433" s="54"/>
      <c r="X2433" s="54"/>
      <c r="Y2433" s="54"/>
      <c r="Z2433" s="54"/>
      <c r="AA2433" s="54"/>
      <c r="AB2433" s="54"/>
      <c r="AC2433" s="54"/>
      <c r="AD2433" s="54"/>
      <c r="AE2433" s="54"/>
      <c r="AF2433" s="54"/>
      <c r="AG2433" s="54"/>
      <c r="AH2433" s="54"/>
    </row>
    <row r="2434">
      <c r="A2434" s="80"/>
      <c r="B2434" s="80"/>
      <c r="C2434" s="80"/>
      <c r="D2434" s="80"/>
      <c r="E2434" s="80"/>
      <c r="F2434" s="59"/>
      <c r="G2434" s="59"/>
      <c r="H2434" s="83"/>
      <c r="I2434" s="76"/>
      <c r="J2434" s="76"/>
      <c r="K2434" s="81"/>
      <c r="L2434" s="82"/>
      <c r="M2434" s="54"/>
      <c r="N2434" s="54"/>
      <c r="O2434" s="54"/>
      <c r="P2434" s="54"/>
      <c r="Q2434" s="54"/>
      <c r="R2434" s="54"/>
      <c r="S2434" s="54"/>
      <c r="T2434" s="54"/>
      <c r="U2434" s="54"/>
      <c r="V2434" s="54"/>
      <c r="W2434" s="54"/>
      <c r="X2434" s="54"/>
      <c r="Y2434" s="54"/>
      <c r="Z2434" s="54"/>
      <c r="AA2434" s="54"/>
      <c r="AB2434" s="54"/>
      <c r="AC2434" s="54"/>
      <c r="AD2434" s="54"/>
      <c r="AE2434" s="54"/>
      <c r="AF2434" s="54"/>
      <c r="AG2434" s="54"/>
      <c r="AH2434" s="54"/>
    </row>
    <row r="2435">
      <c r="A2435" s="80"/>
      <c r="B2435" s="80"/>
      <c r="C2435" s="80"/>
      <c r="D2435" s="80"/>
      <c r="E2435" s="80"/>
      <c r="F2435" s="59"/>
      <c r="G2435" s="59"/>
      <c r="H2435" s="83"/>
      <c r="I2435" s="76"/>
      <c r="J2435" s="76"/>
      <c r="K2435" s="81"/>
      <c r="L2435" s="82"/>
      <c r="M2435" s="54"/>
      <c r="N2435" s="54"/>
      <c r="O2435" s="54"/>
      <c r="P2435" s="54"/>
      <c r="Q2435" s="54"/>
      <c r="R2435" s="54"/>
      <c r="S2435" s="54"/>
      <c r="T2435" s="54"/>
      <c r="U2435" s="54"/>
      <c r="V2435" s="54"/>
      <c r="W2435" s="54"/>
      <c r="X2435" s="54"/>
      <c r="Y2435" s="54"/>
      <c r="Z2435" s="54"/>
      <c r="AA2435" s="54"/>
      <c r="AB2435" s="54"/>
      <c r="AC2435" s="54"/>
      <c r="AD2435" s="54"/>
      <c r="AE2435" s="54"/>
      <c r="AF2435" s="54"/>
      <c r="AG2435" s="54"/>
      <c r="AH2435" s="54"/>
    </row>
    <row r="2436">
      <c r="A2436" s="80"/>
      <c r="B2436" s="80"/>
      <c r="C2436" s="80"/>
      <c r="D2436" s="80"/>
      <c r="E2436" s="80"/>
      <c r="F2436" s="59"/>
      <c r="G2436" s="59"/>
      <c r="H2436" s="83"/>
      <c r="I2436" s="76"/>
      <c r="J2436" s="76"/>
      <c r="K2436" s="81"/>
      <c r="L2436" s="82"/>
      <c r="M2436" s="54"/>
      <c r="N2436" s="54"/>
      <c r="O2436" s="54"/>
      <c r="P2436" s="54"/>
      <c r="Q2436" s="54"/>
      <c r="R2436" s="54"/>
      <c r="S2436" s="54"/>
      <c r="T2436" s="54"/>
      <c r="U2436" s="54"/>
      <c r="V2436" s="54"/>
      <c r="W2436" s="54"/>
      <c r="X2436" s="54"/>
      <c r="Y2436" s="54"/>
      <c r="Z2436" s="54"/>
      <c r="AA2436" s="54"/>
      <c r="AB2436" s="54"/>
      <c r="AC2436" s="54"/>
      <c r="AD2436" s="54"/>
      <c r="AE2436" s="54"/>
      <c r="AF2436" s="54"/>
      <c r="AG2436" s="54"/>
      <c r="AH2436" s="54"/>
    </row>
    <row r="2437">
      <c r="A2437" s="80"/>
      <c r="B2437" s="80"/>
      <c r="C2437" s="80"/>
      <c r="D2437" s="80"/>
      <c r="E2437" s="80"/>
      <c r="F2437" s="59"/>
      <c r="G2437" s="59"/>
      <c r="H2437" s="83"/>
      <c r="I2437" s="76"/>
      <c r="J2437" s="76"/>
      <c r="K2437" s="81"/>
      <c r="L2437" s="82"/>
      <c r="M2437" s="54"/>
      <c r="N2437" s="54"/>
      <c r="O2437" s="54"/>
      <c r="P2437" s="54"/>
      <c r="Q2437" s="54"/>
      <c r="R2437" s="54"/>
      <c r="S2437" s="54"/>
      <c r="T2437" s="54"/>
      <c r="U2437" s="54"/>
      <c r="V2437" s="54"/>
      <c r="W2437" s="54"/>
      <c r="X2437" s="54"/>
      <c r="Y2437" s="54"/>
      <c r="Z2437" s="54"/>
      <c r="AA2437" s="54"/>
      <c r="AB2437" s="54"/>
      <c r="AC2437" s="54"/>
      <c r="AD2437" s="54"/>
      <c r="AE2437" s="54"/>
      <c r="AF2437" s="54"/>
      <c r="AG2437" s="54"/>
      <c r="AH2437" s="54"/>
    </row>
    <row r="2438">
      <c r="A2438" s="80"/>
      <c r="B2438" s="80"/>
      <c r="C2438" s="80"/>
      <c r="D2438" s="80"/>
      <c r="E2438" s="80"/>
      <c r="F2438" s="59"/>
      <c r="G2438" s="59"/>
      <c r="H2438" s="83"/>
      <c r="I2438" s="76"/>
      <c r="J2438" s="76"/>
      <c r="K2438" s="81"/>
      <c r="L2438" s="82"/>
      <c r="M2438" s="54"/>
      <c r="N2438" s="54"/>
      <c r="O2438" s="54"/>
      <c r="P2438" s="54"/>
      <c r="Q2438" s="54"/>
      <c r="R2438" s="54"/>
      <c r="S2438" s="54"/>
      <c r="T2438" s="54"/>
      <c r="U2438" s="54"/>
      <c r="V2438" s="54"/>
      <c r="W2438" s="54"/>
      <c r="X2438" s="54"/>
      <c r="Y2438" s="54"/>
      <c r="Z2438" s="54"/>
      <c r="AA2438" s="54"/>
      <c r="AB2438" s="54"/>
      <c r="AC2438" s="54"/>
      <c r="AD2438" s="54"/>
      <c r="AE2438" s="54"/>
      <c r="AF2438" s="54"/>
      <c r="AG2438" s="54"/>
      <c r="AH2438" s="54"/>
    </row>
    <row r="2439">
      <c r="A2439" s="80"/>
      <c r="B2439" s="80"/>
      <c r="C2439" s="80"/>
      <c r="D2439" s="80"/>
      <c r="E2439" s="80"/>
      <c r="F2439" s="59"/>
      <c r="G2439" s="59"/>
      <c r="H2439" s="83"/>
      <c r="I2439" s="76"/>
      <c r="J2439" s="76"/>
      <c r="K2439" s="81"/>
      <c r="L2439" s="82"/>
      <c r="M2439" s="54"/>
      <c r="N2439" s="54"/>
      <c r="O2439" s="54"/>
      <c r="P2439" s="54"/>
      <c r="Q2439" s="54"/>
      <c r="R2439" s="54"/>
      <c r="S2439" s="54"/>
      <c r="T2439" s="54"/>
      <c r="U2439" s="54"/>
      <c r="V2439" s="54"/>
      <c r="W2439" s="54"/>
      <c r="X2439" s="54"/>
      <c r="Y2439" s="54"/>
      <c r="Z2439" s="54"/>
      <c r="AA2439" s="54"/>
      <c r="AB2439" s="54"/>
      <c r="AC2439" s="54"/>
      <c r="AD2439" s="54"/>
      <c r="AE2439" s="54"/>
      <c r="AF2439" s="54"/>
      <c r="AG2439" s="54"/>
      <c r="AH2439" s="54"/>
    </row>
    <row r="2440">
      <c r="A2440" s="80"/>
      <c r="B2440" s="80"/>
      <c r="C2440" s="80"/>
      <c r="D2440" s="80"/>
      <c r="E2440" s="80"/>
      <c r="F2440" s="59"/>
      <c r="G2440" s="59"/>
      <c r="H2440" s="83"/>
      <c r="I2440" s="76"/>
      <c r="J2440" s="76"/>
      <c r="K2440" s="81"/>
      <c r="L2440" s="82"/>
      <c r="M2440" s="54"/>
      <c r="N2440" s="54"/>
      <c r="O2440" s="54"/>
      <c r="P2440" s="54"/>
      <c r="Q2440" s="54"/>
      <c r="R2440" s="54"/>
      <c r="S2440" s="54"/>
      <c r="T2440" s="54"/>
      <c r="U2440" s="54"/>
      <c r="V2440" s="54"/>
      <c r="W2440" s="54"/>
      <c r="X2440" s="54"/>
      <c r="Y2440" s="54"/>
      <c r="Z2440" s="54"/>
      <c r="AA2440" s="54"/>
      <c r="AB2440" s="54"/>
      <c r="AC2440" s="54"/>
      <c r="AD2440" s="54"/>
      <c r="AE2440" s="54"/>
      <c r="AF2440" s="54"/>
      <c r="AG2440" s="54"/>
      <c r="AH2440" s="54"/>
    </row>
    <row r="2441">
      <c r="A2441" s="80"/>
      <c r="B2441" s="80"/>
      <c r="C2441" s="80"/>
      <c r="D2441" s="80"/>
      <c r="E2441" s="80"/>
      <c r="F2441" s="59"/>
      <c r="G2441" s="59"/>
      <c r="H2441" s="83"/>
      <c r="I2441" s="76"/>
      <c r="J2441" s="76"/>
      <c r="K2441" s="81"/>
      <c r="L2441" s="82"/>
      <c r="M2441" s="54"/>
      <c r="N2441" s="54"/>
      <c r="O2441" s="54"/>
      <c r="P2441" s="54"/>
      <c r="Q2441" s="54"/>
      <c r="R2441" s="54"/>
      <c r="S2441" s="54"/>
      <c r="T2441" s="54"/>
      <c r="U2441" s="54"/>
      <c r="V2441" s="54"/>
      <c r="W2441" s="54"/>
      <c r="X2441" s="54"/>
      <c r="Y2441" s="54"/>
      <c r="Z2441" s="54"/>
      <c r="AA2441" s="54"/>
      <c r="AB2441" s="54"/>
      <c r="AC2441" s="54"/>
      <c r="AD2441" s="54"/>
      <c r="AE2441" s="54"/>
      <c r="AF2441" s="54"/>
      <c r="AG2441" s="54"/>
      <c r="AH2441" s="54"/>
    </row>
    <row r="2442">
      <c r="A2442" s="80"/>
      <c r="B2442" s="80"/>
      <c r="C2442" s="80"/>
      <c r="D2442" s="80"/>
      <c r="E2442" s="80"/>
      <c r="F2442" s="59"/>
      <c r="G2442" s="59"/>
      <c r="H2442" s="83"/>
      <c r="I2442" s="76"/>
      <c r="J2442" s="76"/>
      <c r="K2442" s="81"/>
      <c r="L2442" s="82"/>
      <c r="M2442" s="54"/>
      <c r="N2442" s="54"/>
      <c r="O2442" s="54"/>
      <c r="P2442" s="54"/>
      <c r="Q2442" s="54"/>
      <c r="R2442" s="54"/>
      <c r="S2442" s="54"/>
      <c r="T2442" s="54"/>
      <c r="U2442" s="54"/>
      <c r="V2442" s="54"/>
      <c r="W2442" s="54"/>
      <c r="X2442" s="54"/>
      <c r="Y2442" s="54"/>
      <c r="Z2442" s="54"/>
      <c r="AA2442" s="54"/>
      <c r="AB2442" s="54"/>
      <c r="AC2442" s="54"/>
      <c r="AD2442" s="54"/>
      <c r="AE2442" s="54"/>
      <c r="AF2442" s="54"/>
      <c r="AG2442" s="54"/>
      <c r="AH2442" s="54"/>
    </row>
    <row r="2443">
      <c r="A2443" s="80"/>
      <c r="B2443" s="80"/>
      <c r="C2443" s="80"/>
      <c r="D2443" s="80"/>
      <c r="E2443" s="80"/>
      <c r="F2443" s="59"/>
      <c r="G2443" s="59"/>
      <c r="H2443" s="83"/>
      <c r="I2443" s="76"/>
      <c r="J2443" s="76"/>
      <c r="K2443" s="81"/>
      <c r="L2443" s="82"/>
      <c r="M2443" s="54"/>
      <c r="N2443" s="54"/>
      <c r="O2443" s="54"/>
      <c r="P2443" s="54"/>
      <c r="Q2443" s="54"/>
      <c r="R2443" s="54"/>
      <c r="S2443" s="54"/>
      <c r="T2443" s="54"/>
      <c r="U2443" s="54"/>
      <c r="V2443" s="54"/>
      <c r="W2443" s="54"/>
      <c r="X2443" s="54"/>
      <c r="Y2443" s="54"/>
      <c r="Z2443" s="54"/>
      <c r="AA2443" s="54"/>
      <c r="AB2443" s="54"/>
      <c r="AC2443" s="54"/>
      <c r="AD2443" s="54"/>
      <c r="AE2443" s="54"/>
      <c r="AF2443" s="54"/>
      <c r="AG2443" s="54"/>
      <c r="AH2443" s="54"/>
    </row>
    <row r="2444">
      <c r="A2444" s="80"/>
      <c r="B2444" s="80"/>
      <c r="C2444" s="80"/>
      <c r="D2444" s="80"/>
      <c r="E2444" s="80"/>
      <c r="F2444" s="59"/>
      <c r="G2444" s="59"/>
      <c r="H2444" s="83"/>
      <c r="I2444" s="76"/>
      <c r="J2444" s="76"/>
      <c r="K2444" s="81"/>
      <c r="L2444" s="82"/>
      <c r="M2444" s="54"/>
      <c r="N2444" s="54"/>
      <c r="O2444" s="54"/>
      <c r="P2444" s="54"/>
      <c r="Q2444" s="54"/>
      <c r="R2444" s="54"/>
      <c r="S2444" s="54"/>
      <c r="T2444" s="54"/>
      <c r="U2444" s="54"/>
      <c r="V2444" s="54"/>
      <c r="W2444" s="54"/>
      <c r="X2444" s="54"/>
      <c r="Y2444" s="54"/>
      <c r="Z2444" s="54"/>
      <c r="AA2444" s="54"/>
      <c r="AB2444" s="54"/>
      <c r="AC2444" s="54"/>
      <c r="AD2444" s="54"/>
      <c r="AE2444" s="54"/>
      <c r="AF2444" s="54"/>
      <c r="AG2444" s="54"/>
      <c r="AH2444" s="54"/>
    </row>
    <row r="2445">
      <c r="A2445" s="80"/>
      <c r="B2445" s="80"/>
      <c r="C2445" s="80"/>
      <c r="D2445" s="80"/>
      <c r="E2445" s="80"/>
      <c r="F2445" s="59"/>
      <c r="G2445" s="59"/>
      <c r="H2445" s="83"/>
      <c r="I2445" s="76"/>
      <c r="J2445" s="76"/>
      <c r="K2445" s="81"/>
      <c r="L2445" s="82"/>
      <c r="M2445" s="54"/>
      <c r="N2445" s="54"/>
      <c r="O2445" s="54"/>
      <c r="P2445" s="54"/>
      <c r="Q2445" s="54"/>
      <c r="R2445" s="54"/>
      <c r="S2445" s="54"/>
      <c r="T2445" s="54"/>
      <c r="U2445" s="54"/>
      <c r="V2445" s="54"/>
      <c r="W2445" s="54"/>
      <c r="X2445" s="54"/>
      <c r="Y2445" s="54"/>
      <c r="Z2445" s="54"/>
      <c r="AA2445" s="54"/>
      <c r="AB2445" s="54"/>
      <c r="AC2445" s="54"/>
      <c r="AD2445" s="54"/>
      <c r="AE2445" s="54"/>
      <c r="AF2445" s="54"/>
      <c r="AG2445" s="54"/>
      <c r="AH2445" s="54"/>
    </row>
    <row r="2446">
      <c r="A2446" s="80"/>
      <c r="B2446" s="80"/>
      <c r="C2446" s="80"/>
      <c r="D2446" s="80"/>
      <c r="E2446" s="80"/>
      <c r="F2446" s="59"/>
      <c r="G2446" s="59"/>
      <c r="H2446" s="83"/>
      <c r="I2446" s="76"/>
      <c r="J2446" s="76"/>
      <c r="K2446" s="81"/>
      <c r="L2446" s="82"/>
      <c r="M2446" s="54"/>
      <c r="N2446" s="54"/>
      <c r="O2446" s="54"/>
      <c r="P2446" s="54"/>
      <c r="Q2446" s="54"/>
      <c r="R2446" s="54"/>
      <c r="S2446" s="54"/>
      <c r="T2446" s="54"/>
      <c r="U2446" s="54"/>
      <c r="V2446" s="54"/>
      <c r="W2446" s="54"/>
      <c r="X2446" s="54"/>
      <c r="Y2446" s="54"/>
      <c r="Z2446" s="54"/>
      <c r="AA2446" s="54"/>
      <c r="AB2446" s="54"/>
      <c r="AC2446" s="54"/>
      <c r="AD2446" s="54"/>
      <c r="AE2446" s="54"/>
      <c r="AF2446" s="54"/>
      <c r="AG2446" s="54"/>
      <c r="AH2446" s="54"/>
    </row>
    <row r="2447">
      <c r="A2447" s="80"/>
      <c r="B2447" s="80"/>
      <c r="C2447" s="80"/>
      <c r="D2447" s="80"/>
      <c r="E2447" s="80"/>
      <c r="F2447" s="59"/>
      <c r="G2447" s="59"/>
      <c r="H2447" s="83"/>
      <c r="I2447" s="76"/>
      <c r="J2447" s="76"/>
      <c r="K2447" s="81"/>
      <c r="L2447" s="82"/>
      <c r="M2447" s="54"/>
      <c r="N2447" s="54"/>
      <c r="O2447" s="54"/>
      <c r="P2447" s="54"/>
      <c r="Q2447" s="54"/>
      <c r="R2447" s="54"/>
      <c r="S2447" s="54"/>
      <c r="T2447" s="54"/>
      <c r="U2447" s="54"/>
      <c r="V2447" s="54"/>
      <c r="W2447" s="54"/>
      <c r="X2447" s="54"/>
      <c r="Y2447" s="54"/>
      <c r="Z2447" s="54"/>
      <c r="AA2447" s="54"/>
      <c r="AB2447" s="54"/>
      <c r="AC2447" s="54"/>
      <c r="AD2447" s="54"/>
      <c r="AE2447" s="54"/>
      <c r="AF2447" s="54"/>
      <c r="AG2447" s="54"/>
      <c r="AH2447" s="54"/>
    </row>
    <row r="2448">
      <c r="A2448" s="80"/>
      <c r="B2448" s="80"/>
      <c r="C2448" s="80"/>
      <c r="D2448" s="80"/>
      <c r="E2448" s="80"/>
      <c r="F2448" s="59"/>
      <c r="G2448" s="59"/>
      <c r="H2448" s="83"/>
      <c r="I2448" s="76"/>
      <c r="J2448" s="76"/>
      <c r="K2448" s="81"/>
      <c r="L2448" s="82"/>
      <c r="M2448" s="54"/>
      <c r="N2448" s="54"/>
      <c r="O2448" s="54"/>
      <c r="P2448" s="54"/>
      <c r="Q2448" s="54"/>
      <c r="R2448" s="54"/>
      <c r="S2448" s="54"/>
      <c r="T2448" s="54"/>
      <c r="U2448" s="54"/>
      <c r="V2448" s="54"/>
      <c r="W2448" s="54"/>
      <c r="X2448" s="54"/>
      <c r="Y2448" s="54"/>
      <c r="Z2448" s="54"/>
      <c r="AA2448" s="54"/>
      <c r="AB2448" s="54"/>
      <c r="AC2448" s="54"/>
      <c r="AD2448" s="54"/>
      <c r="AE2448" s="54"/>
      <c r="AF2448" s="54"/>
      <c r="AG2448" s="54"/>
      <c r="AH2448" s="54"/>
    </row>
    <row r="2449">
      <c r="A2449" s="80"/>
      <c r="B2449" s="80"/>
      <c r="C2449" s="80"/>
      <c r="D2449" s="80"/>
      <c r="E2449" s="80"/>
      <c r="F2449" s="59"/>
      <c r="G2449" s="59"/>
      <c r="H2449" s="83"/>
      <c r="I2449" s="76"/>
      <c r="J2449" s="76"/>
      <c r="K2449" s="81"/>
      <c r="L2449" s="82"/>
      <c r="M2449" s="54"/>
      <c r="N2449" s="54"/>
      <c r="O2449" s="54"/>
      <c r="P2449" s="54"/>
      <c r="Q2449" s="54"/>
      <c r="R2449" s="54"/>
      <c r="S2449" s="54"/>
      <c r="T2449" s="54"/>
      <c r="U2449" s="54"/>
      <c r="V2449" s="54"/>
      <c r="W2449" s="54"/>
      <c r="X2449" s="54"/>
      <c r="Y2449" s="54"/>
      <c r="Z2449" s="54"/>
      <c r="AA2449" s="54"/>
      <c r="AB2449" s="54"/>
      <c r="AC2449" s="54"/>
      <c r="AD2449" s="54"/>
      <c r="AE2449" s="54"/>
      <c r="AF2449" s="54"/>
      <c r="AG2449" s="54"/>
      <c r="AH2449" s="54"/>
    </row>
    <row r="2450">
      <c r="A2450" s="80"/>
      <c r="B2450" s="80"/>
      <c r="C2450" s="80"/>
      <c r="D2450" s="80"/>
      <c r="E2450" s="80"/>
      <c r="F2450" s="59"/>
      <c r="G2450" s="59"/>
      <c r="H2450" s="83"/>
      <c r="I2450" s="76"/>
      <c r="J2450" s="76"/>
      <c r="K2450" s="81"/>
      <c r="L2450" s="82"/>
      <c r="M2450" s="54"/>
      <c r="N2450" s="54"/>
      <c r="O2450" s="54"/>
      <c r="P2450" s="54"/>
      <c r="Q2450" s="54"/>
      <c r="R2450" s="54"/>
      <c r="S2450" s="54"/>
      <c r="T2450" s="54"/>
      <c r="U2450" s="54"/>
      <c r="V2450" s="54"/>
      <c r="W2450" s="54"/>
      <c r="X2450" s="54"/>
      <c r="Y2450" s="54"/>
      <c r="Z2450" s="54"/>
      <c r="AA2450" s="54"/>
      <c r="AB2450" s="54"/>
      <c r="AC2450" s="54"/>
      <c r="AD2450" s="54"/>
      <c r="AE2450" s="54"/>
      <c r="AF2450" s="54"/>
      <c r="AG2450" s="54"/>
      <c r="AH2450" s="54"/>
    </row>
    <row r="2451">
      <c r="A2451" s="80"/>
      <c r="B2451" s="80"/>
      <c r="C2451" s="80"/>
      <c r="D2451" s="80"/>
      <c r="E2451" s="80"/>
      <c r="F2451" s="59"/>
      <c r="G2451" s="59"/>
      <c r="H2451" s="83"/>
      <c r="I2451" s="76"/>
      <c r="J2451" s="76"/>
      <c r="K2451" s="81"/>
      <c r="L2451" s="82"/>
      <c r="M2451" s="54"/>
      <c r="N2451" s="54"/>
      <c r="O2451" s="54"/>
      <c r="P2451" s="54"/>
      <c r="Q2451" s="54"/>
      <c r="R2451" s="54"/>
      <c r="S2451" s="54"/>
      <c r="T2451" s="54"/>
      <c r="U2451" s="54"/>
      <c r="V2451" s="54"/>
      <c r="W2451" s="54"/>
      <c r="X2451" s="54"/>
      <c r="Y2451" s="54"/>
      <c r="Z2451" s="54"/>
      <c r="AA2451" s="54"/>
      <c r="AB2451" s="54"/>
      <c r="AC2451" s="54"/>
      <c r="AD2451" s="54"/>
      <c r="AE2451" s="54"/>
      <c r="AF2451" s="54"/>
      <c r="AG2451" s="54"/>
      <c r="AH2451" s="54"/>
    </row>
    <row r="2452">
      <c r="A2452" s="80"/>
      <c r="B2452" s="80"/>
      <c r="C2452" s="80"/>
      <c r="D2452" s="80"/>
      <c r="E2452" s="80"/>
      <c r="F2452" s="59"/>
      <c r="G2452" s="59"/>
      <c r="H2452" s="83"/>
      <c r="I2452" s="76"/>
      <c r="J2452" s="76"/>
      <c r="K2452" s="81"/>
      <c r="L2452" s="82"/>
      <c r="M2452" s="54"/>
      <c r="N2452" s="54"/>
      <c r="O2452" s="54"/>
      <c r="P2452" s="54"/>
      <c r="Q2452" s="54"/>
      <c r="R2452" s="54"/>
      <c r="S2452" s="54"/>
      <c r="T2452" s="54"/>
      <c r="U2452" s="54"/>
      <c r="V2452" s="54"/>
      <c r="W2452" s="54"/>
      <c r="X2452" s="54"/>
      <c r="Y2452" s="54"/>
      <c r="Z2452" s="54"/>
      <c r="AA2452" s="54"/>
      <c r="AB2452" s="54"/>
      <c r="AC2452" s="54"/>
      <c r="AD2452" s="54"/>
      <c r="AE2452" s="54"/>
      <c r="AF2452" s="54"/>
      <c r="AG2452" s="54"/>
      <c r="AH2452" s="54"/>
    </row>
    <row r="2453">
      <c r="A2453" s="80"/>
      <c r="B2453" s="80"/>
      <c r="C2453" s="80"/>
      <c r="D2453" s="80"/>
      <c r="E2453" s="80"/>
      <c r="F2453" s="59"/>
      <c r="G2453" s="59"/>
      <c r="H2453" s="83"/>
      <c r="I2453" s="76"/>
      <c r="J2453" s="76"/>
      <c r="K2453" s="81"/>
      <c r="L2453" s="82"/>
      <c r="M2453" s="54"/>
      <c r="N2453" s="54"/>
      <c r="O2453" s="54"/>
      <c r="P2453" s="54"/>
      <c r="Q2453" s="54"/>
      <c r="R2453" s="54"/>
      <c r="S2453" s="54"/>
      <c r="T2453" s="54"/>
      <c r="U2453" s="54"/>
      <c r="V2453" s="54"/>
      <c r="W2453" s="54"/>
      <c r="X2453" s="54"/>
      <c r="Y2453" s="54"/>
      <c r="Z2453" s="54"/>
      <c r="AA2453" s="54"/>
      <c r="AB2453" s="54"/>
      <c r="AC2453" s="54"/>
      <c r="AD2453" s="54"/>
      <c r="AE2453" s="54"/>
      <c r="AF2453" s="54"/>
      <c r="AG2453" s="54"/>
      <c r="AH2453" s="54"/>
    </row>
    <row r="2454">
      <c r="A2454" s="80"/>
      <c r="B2454" s="80"/>
      <c r="C2454" s="80"/>
      <c r="D2454" s="80"/>
      <c r="E2454" s="80"/>
      <c r="F2454" s="59"/>
      <c r="G2454" s="59"/>
      <c r="H2454" s="83"/>
      <c r="I2454" s="76"/>
      <c r="J2454" s="76"/>
      <c r="K2454" s="81"/>
      <c r="L2454" s="82"/>
      <c r="M2454" s="54"/>
      <c r="N2454" s="54"/>
      <c r="O2454" s="54"/>
      <c r="P2454" s="54"/>
      <c r="Q2454" s="54"/>
      <c r="R2454" s="54"/>
      <c r="S2454" s="54"/>
      <c r="T2454" s="54"/>
      <c r="U2454" s="54"/>
      <c r="V2454" s="54"/>
      <c r="W2454" s="54"/>
      <c r="X2454" s="54"/>
      <c r="Y2454" s="54"/>
      <c r="Z2454" s="54"/>
      <c r="AA2454" s="54"/>
      <c r="AB2454" s="54"/>
      <c r="AC2454" s="54"/>
      <c r="AD2454" s="54"/>
      <c r="AE2454" s="54"/>
      <c r="AF2454" s="54"/>
      <c r="AG2454" s="54"/>
      <c r="AH2454" s="54"/>
    </row>
    <row r="2455">
      <c r="A2455" s="80"/>
      <c r="B2455" s="80"/>
      <c r="C2455" s="80"/>
      <c r="D2455" s="80"/>
      <c r="E2455" s="80"/>
      <c r="F2455" s="59"/>
      <c r="G2455" s="59"/>
      <c r="H2455" s="83"/>
      <c r="I2455" s="76"/>
      <c r="J2455" s="76"/>
      <c r="K2455" s="81"/>
      <c r="L2455" s="82"/>
      <c r="M2455" s="54"/>
      <c r="N2455" s="54"/>
      <c r="O2455" s="54"/>
      <c r="P2455" s="54"/>
      <c r="Q2455" s="54"/>
      <c r="R2455" s="54"/>
      <c r="S2455" s="54"/>
      <c r="T2455" s="54"/>
      <c r="U2455" s="54"/>
      <c r="V2455" s="54"/>
      <c r="W2455" s="54"/>
      <c r="X2455" s="54"/>
      <c r="Y2455" s="54"/>
      <c r="Z2455" s="54"/>
      <c r="AA2455" s="54"/>
      <c r="AB2455" s="54"/>
      <c r="AC2455" s="54"/>
      <c r="AD2455" s="54"/>
      <c r="AE2455" s="54"/>
      <c r="AF2455" s="54"/>
      <c r="AG2455" s="54"/>
      <c r="AH2455" s="54"/>
    </row>
    <row r="2456">
      <c r="A2456" s="80"/>
      <c r="B2456" s="80"/>
      <c r="C2456" s="80"/>
      <c r="D2456" s="80"/>
      <c r="E2456" s="80"/>
      <c r="F2456" s="59"/>
      <c r="G2456" s="59"/>
      <c r="H2456" s="83"/>
      <c r="I2456" s="76"/>
      <c r="J2456" s="76"/>
      <c r="K2456" s="81"/>
      <c r="L2456" s="82"/>
      <c r="M2456" s="54"/>
      <c r="N2456" s="54"/>
      <c r="O2456" s="54"/>
      <c r="P2456" s="54"/>
      <c r="Q2456" s="54"/>
      <c r="R2456" s="54"/>
      <c r="S2456" s="54"/>
      <c r="T2456" s="54"/>
      <c r="U2456" s="54"/>
      <c r="V2456" s="54"/>
      <c r="W2456" s="54"/>
      <c r="X2456" s="54"/>
      <c r="Y2456" s="54"/>
      <c r="Z2456" s="54"/>
      <c r="AA2456" s="54"/>
      <c r="AB2456" s="54"/>
      <c r="AC2456" s="54"/>
      <c r="AD2456" s="54"/>
      <c r="AE2456" s="54"/>
      <c r="AF2456" s="54"/>
      <c r="AG2456" s="54"/>
      <c r="AH2456" s="54"/>
    </row>
    <row r="2457">
      <c r="A2457" s="80"/>
      <c r="B2457" s="80"/>
      <c r="C2457" s="80"/>
      <c r="D2457" s="80"/>
      <c r="E2457" s="80"/>
      <c r="F2457" s="59"/>
      <c r="G2457" s="59"/>
      <c r="H2457" s="83"/>
      <c r="I2457" s="76"/>
      <c r="J2457" s="76"/>
      <c r="K2457" s="81"/>
      <c r="L2457" s="82"/>
      <c r="M2457" s="54"/>
      <c r="N2457" s="54"/>
      <c r="O2457" s="54"/>
      <c r="P2457" s="54"/>
      <c r="Q2457" s="54"/>
      <c r="R2457" s="54"/>
      <c r="S2457" s="54"/>
      <c r="T2457" s="54"/>
      <c r="U2457" s="54"/>
      <c r="V2457" s="54"/>
      <c r="W2457" s="54"/>
      <c r="X2457" s="54"/>
      <c r="Y2457" s="54"/>
      <c r="Z2457" s="54"/>
      <c r="AA2457" s="54"/>
      <c r="AB2457" s="54"/>
      <c r="AC2457" s="54"/>
      <c r="AD2457" s="54"/>
      <c r="AE2457" s="54"/>
      <c r="AF2457" s="54"/>
      <c r="AG2457" s="54"/>
      <c r="AH2457" s="54"/>
    </row>
    <row r="2458">
      <c r="A2458" s="80"/>
      <c r="B2458" s="80"/>
      <c r="C2458" s="80"/>
      <c r="D2458" s="80"/>
      <c r="E2458" s="80"/>
      <c r="F2458" s="59"/>
      <c r="G2458" s="59"/>
      <c r="H2458" s="83"/>
      <c r="I2458" s="76"/>
      <c r="J2458" s="76"/>
      <c r="K2458" s="81"/>
      <c r="L2458" s="82"/>
      <c r="M2458" s="54"/>
      <c r="N2458" s="54"/>
      <c r="O2458" s="54"/>
      <c r="P2458" s="54"/>
      <c r="Q2458" s="54"/>
      <c r="R2458" s="54"/>
      <c r="S2458" s="54"/>
      <c r="T2458" s="54"/>
      <c r="U2458" s="54"/>
      <c r="V2458" s="54"/>
      <c r="W2458" s="54"/>
      <c r="X2458" s="54"/>
      <c r="Y2458" s="54"/>
      <c r="Z2458" s="54"/>
      <c r="AA2458" s="54"/>
      <c r="AB2458" s="54"/>
      <c r="AC2458" s="54"/>
      <c r="AD2458" s="54"/>
      <c r="AE2458" s="54"/>
      <c r="AF2458" s="54"/>
      <c r="AG2458" s="54"/>
      <c r="AH2458" s="54"/>
    </row>
    <row r="2459">
      <c r="A2459" s="80"/>
      <c r="B2459" s="80"/>
      <c r="C2459" s="80"/>
      <c r="D2459" s="80"/>
      <c r="E2459" s="80"/>
      <c r="F2459" s="59"/>
      <c r="G2459" s="59"/>
      <c r="H2459" s="83"/>
      <c r="I2459" s="76"/>
      <c r="J2459" s="76"/>
      <c r="K2459" s="81"/>
      <c r="L2459" s="82"/>
      <c r="M2459" s="54"/>
      <c r="N2459" s="54"/>
      <c r="O2459" s="54"/>
      <c r="P2459" s="54"/>
      <c r="Q2459" s="54"/>
      <c r="R2459" s="54"/>
      <c r="S2459" s="54"/>
      <c r="T2459" s="54"/>
      <c r="U2459" s="54"/>
      <c r="V2459" s="54"/>
      <c r="W2459" s="54"/>
      <c r="X2459" s="54"/>
      <c r="Y2459" s="54"/>
      <c r="Z2459" s="54"/>
      <c r="AA2459" s="54"/>
      <c r="AB2459" s="54"/>
      <c r="AC2459" s="54"/>
      <c r="AD2459" s="54"/>
      <c r="AE2459" s="54"/>
      <c r="AF2459" s="54"/>
      <c r="AG2459" s="54"/>
      <c r="AH2459" s="54"/>
    </row>
    <row r="2460">
      <c r="A2460" s="80"/>
      <c r="B2460" s="80"/>
      <c r="C2460" s="80"/>
      <c r="D2460" s="80"/>
      <c r="E2460" s="80"/>
      <c r="F2460" s="59"/>
      <c r="G2460" s="59"/>
      <c r="H2460" s="83"/>
      <c r="I2460" s="76"/>
      <c r="J2460" s="76"/>
      <c r="K2460" s="81"/>
      <c r="L2460" s="82"/>
      <c r="M2460" s="54"/>
      <c r="N2460" s="54"/>
      <c r="O2460" s="54"/>
      <c r="P2460" s="54"/>
      <c r="Q2460" s="54"/>
      <c r="R2460" s="54"/>
      <c r="S2460" s="54"/>
      <c r="T2460" s="54"/>
      <c r="U2460" s="54"/>
      <c r="V2460" s="54"/>
      <c r="W2460" s="54"/>
      <c r="X2460" s="54"/>
      <c r="Y2460" s="54"/>
      <c r="Z2460" s="54"/>
      <c r="AA2460" s="54"/>
      <c r="AB2460" s="54"/>
      <c r="AC2460" s="54"/>
      <c r="AD2460" s="54"/>
      <c r="AE2460" s="54"/>
      <c r="AF2460" s="54"/>
      <c r="AG2460" s="54"/>
      <c r="AH2460" s="54"/>
    </row>
    <row r="2461">
      <c r="A2461" s="80"/>
      <c r="B2461" s="80"/>
      <c r="C2461" s="80"/>
      <c r="D2461" s="80"/>
      <c r="E2461" s="80"/>
      <c r="F2461" s="59"/>
      <c r="G2461" s="59"/>
      <c r="H2461" s="83"/>
      <c r="I2461" s="76"/>
      <c r="J2461" s="76"/>
      <c r="K2461" s="81"/>
      <c r="L2461" s="82"/>
      <c r="M2461" s="54"/>
      <c r="N2461" s="54"/>
      <c r="O2461" s="54"/>
      <c r="P2461" s="54"/>
      <c r="Q2461" s="54"/>
      <c r="R2461" s="54"/>
      <c r="S2461" s="54"/>
      <c r="T2461" s="54"/>
      <c r="U2461" s="54"/>
      <c r="V2461" s="54"/>
      <c r="W2461" s="54"/>
      <c r="X2461" s="54"/>
      <c r="Y2461" s="54"/>
      <c r="Z2461" s="54"/>
      <c r="AA2461" s="54"/>
      <c r="AB2461" s="54"/>
      <c r="AC2461" s="54"/>
      <c r="AD2461" s="54"/>
      <c r="AE2461" s="54"/>
      <c r="AF2461" s="54"/>
      <c r="AG2461" s="54"/>
      <c r="AH2461" s="54"/>
    </row>
    <row r="2462">
      <c r="A2462" s="80"/>
      <c r="B2462" s="80"/>
      <c r="C2462" s="80"/>
      <c r="D2462" s="80"/>
      <c r="E2462" s="80"/>
      <c r="F2462" s="59"/>
      <c r="G2462" s="59"/>
      <c r="H2462" s="83"/>
      <c r="I2462" s="76"/>
      <c r="J2462" s="76"/>
      <c r="K2462" s="81"/>
      <c r="L2462" s="82"/>
      <c r="M2462" s="54"/>
      <c r="N2462" s="54"/>
      <c r="O2462" s="54"/>
      <c r="P2462" s="54"/>
      <c r="Q2462" s="54"/>
      <c r="R2462" s="54"/>
      <c r="S2462" s="54"/>
      <c r="T2462" s="54"/>
      <c r="U2462" s="54"/>
      <c r="V2462" s="54"/>
      <c r="W2462" s="54"/>
      <c r="X2462" s="54"/>
      <c r="Y2462" s="54"/>
      <c r="Z2462" s="54"/>
      <c r="AA2462" s="54"/>
      <c r="AB2462" s="54"/>
      <c r="AC2462" s="54"/>
      <c r="AD2462" s="54"/>
      <c r="AE2462" s="54"/>
      <c r="AF2462" s="54"/>
      <c r="AG2462" s="54"/>
      <c r="AH2462" s="54"/>
    </row>
    <row r="2463">
      <c r="A2463" s="80"/>
      <c r="B2463" s="80"/>
      <c r="C2463" s="80"/>
      <c r="D2463" s="80"/>
      <c r="E2463" s="80"/>
      <c r="F2463" s="59"/>
      <c r="G2463" s="59"/>
      <c r="H2463" s="83"/>
      <c r="I2463" s="76"/>
      <c r="J2463" s="76"/>
      <c r="K2463" s="81"/>
      <c r="L2463" s="82"/>
      <c r="M2463" s="54"/>
      <c r="N2463" s="54"/>
      <c r="O2463" s="54"/>
      <c r="P2463" s="54"/>
      <c r="Q2463" s="54"/>
      <c r="R2463" s="54"/>
      <c r="S2463" s="54"/>
      <c r="T2463" s="54"/>
      <c r="U2463" s="54"/>
      <c r="V2463" s="54"/>
      <c r="W2463" s="54"/>
      <c r="X2463" s="54"/>
      <c r="Y2463" s="54"/>
      <c r="Z2463" s="54"/>
      <c r="AA2463" s="54"/>
      <c r="AB2463" s="54"/>
      <c r="AC2463" s="54"/>
      <c r="AD2463" s="54"/>
      <c r="AE2463" s="54"/>
      <c r="AF2463" s="54"/>
      <c r="AG2463" s="54"/>
      <c r="AH2463" s="54"/>
    </row>
    <row r="2464">
      <c r="A2464" s="80"/>
      <c r="B2464" s="80"/>
      <c r="C2464" s="80"/>
      <c r="D2464" s="80"/>
      <c r="E2464" s="80"/>
      <c r="F2464" s="59"/>
      <c r="G2464" s="59"/>
      <c r="H2464" s="83"/>
      <c r="I2464" s="76"/>
      <c r="J2464" s="76"/>
      <c r="K2464" s="81"/>
      <c r="L2464" s="82"/>
      <c r="M2464" s="54"/>
      <c r="N2464" s="54"/>
      <c r="O2464" s="54"/>
      <c r="P2464" s="54"/>
      <c r="Q2464" s="54"/>
      <c r="R2464" s="54"/>
      <c r="S2464" s="54"/>
      <c r="T2464" s="54"/>
      <c r="U2464" s="54"/>
      <c r="V2464" s="54"/>
      <c r="W2464" s="54"/>
      <c r="X2464" s="54"/>
      <c r="Y2464" s="54"/>
      <c r="Z2464" s="54"/>
      <c r="AA2464" s="54"/>
      <c r="AB2464" s="54"/>
      <c r="AC2464" s="54"/>
      <c r="AD2464" s="54"/>
      <c r="AE2464" s="54"/>
      <c r="AF2464" s="54"/>
      <c r="AG2464" s="54"/>
      <c r="AH2464" s="54"/>
    </row>
    <row r="2465">
      <c r="A2465" s="80"/>
      <c r="B2465" s="80"/>
      <c r="C2465" s="80"/>
      <c r="D2465" s="80"/>
      <c r="E2465" s="80"/>
      <c r="F2465" s="59"/>
      <c r="G2465" s="59"/>
      <c r="H2465" s="83"/>
      <c r="I2465" s="76"/>
      <c r="J2465" s="76"/>
      <c r="K2465" s="81"/>
      <c r="L2465" s="82"/>
      <c r="M2465" s="54"/>
      <c r="N2465" s="54"/>
      <c r="O2465" s="54"/>
      <c r="P2465" s="54"/>
      <c r="Q2465" s="54"/>
      <c r="R2465" s="54"/>
      <c r="S2465" s="54"/>
      <c r="T2465" s="54"/>
      <c r="U2465" s="54"/>
      <c r="V2465" s="54"/>
      <c r="W2465" s="54"/>
      <c r="X2465" s="54"/>
      <c r="Y2465" s="54"/>
      <c r="Z2465" s="54"/>
      <c r="AA2465" s="54"/>
      <c r="AB2465" s="54"/>
      <c r="AC2465" s="54"/>
      <c r="AD2465" s="54"/>
      <c r="AE2465" s="54"/>
      <c r="AF2465" s="54"/>
      <c r="AG2465" s="54"/>
      <c r="AH2465" s="54"/>
    </row>
    <row r="2466">
      <c r="A2466" s="80"/>
      <c r="B2466" s="80"/>
      <c r="C2466" s="80"/>
      <c r="D2466" s="80"/>
      <c r="E2466" s="80"/>
      <c r="F2466" s="59"/>
      <c r="G2466" s="59"/>
      <c r="H2466" s="83"/>
      <c r="I2466" s="76"/>
      <c r="J2466" s="76"/>
      <c r="K2466" s="81"/>
      <c r="L2466" s="82"/>
      <c r="M2466" s="54"/>
      <c r="N2466" s="54"/>
      <c r="O2466" s="54"/>
      <c r="P2466" s="54"/>
      <c r="Q2466" s="54"/>
      <c r="R2466" s="54"/>
      <c r="S2466" s="54"/>
      <c r="T2466" s="54"/>
      <c r="U2466" s="54"/>
      <c r="V2466" s="54"/>
      <c r="W2466" s="54"/>
      <c r="X2466" s="54"/>
      <c r="Y2466" s="54"/>
      <c r="Z2466" s="54"/>
      <c r="AA2466" s="54"/>
      <c r="AB2466" s="54"/>
      <c r="AC2466" s="54"/>
      <c r="AD2466" s="54"/>
      <c r="AE2466" s="54"/>
      <c r="AF2466" s="54"/>
      <c r="AG2466" s="54"/>
      <c r="AH2466" s="54"/>
    </row>
    <row r="2467">
      <c r="A2467" s="80"/>
      <c r="B2467" s="80"/>
      <c r="C2467" s="80"/>
      <c r="D2467" s="80"/>
      <c r="E2467" s="80"/>
      <c r="F2467" s="59"/>
      <c r="G2467" s="59"/>
      <c r="H2467" s="83"/>
      <c r="I2467" s="76"/>
      <c r="J2467" s="76"/>
      <c r="K2467" s="81"/>
      <c r="L2467" s="82"/>
      <c r="M2467" s="54"/>
      <c r="N2467" s="54"/>
      <c r="O2467" s="54"/>
      <c r="P2467" s="54"/>
      <c r="Q2467" s="54"/>
      <c r="R2467" s="54"/>
      <c r="S2467" s="54"/>
      <c r="T2467" s="54"/>
      <c r="U2467" s="54"/>
      <c r="V2467" s="54"/>
      <c r="W2467" s="54"/>
      <c r="X2467" s="54"/>
      <c r="Y2467" s="54"/>
      <c r="Z2467" s="54"/>
      <c r="AA2467" s="54"/>
      <c r="AB2467" s="54"/>
      <c r="AC2467" s="54"/>
      <c r="AD2467" s="54"/>
      <c r="AE2467" s="54"/>
      <c r="AF2467" s="54"/>
      <c r="AG2467" s="54"/>
      <c r="AH2467" s="54"/>
    </row>
    <row r="2468">
      <c r="A2468" s="80"/>
      <c r="B2468" s="80"/>
      <c r="C2468" s="80"/>
      <c r="D2468" s="80"/>
      <c r="E2468" s="80"/>
      <c r="F2468" s="59"/>
      <c r="G2468" s="59"/>
      <c r="H2468" s="83"/>
      <c r="I2468" s="76"/>
      <c r="J2468" s="76"/>
      <c r="K2468" s="81"/>
      <c r="L2468" s="82"/>
      <c r="M2468" s="54"/>
      <c r="N2468" s="54"/>
      <c r="O2468" s="54"/>
      <c r="P2468" s="54"/>
      <c r="Q2468" s="54"/>
      <c r="R2468" s="54"/>
      <c r="S2468" s="54"/>
      <c r="T2468" s="54"/>
      <c r="U2468" s="54"/>
      <c r="V2468" s="54"/>
      <c r="W2468" s="54"/>
      <c r="X2468" s="54"/>
      <c r="Y2468" s="54"/>
      <c r="Z2468" s="54"/>
      <c r="AA2468" s="54"/>
      <c r="AB2468" s="54"/>
      <c r="AC2468" s="54"/>
      <c r="AD2468" s="54"/>
      <c r="AE2468" s="54"/>
      <c r="AF2468" s="54"/>
      <c r="AG2468" s="54"/>
      <c r="AH2468" s="54"/>
    </row>
    <row r="2469">
      <c r="A2469" s="80"/>
      <c r="B2469" s="80"/>
      <c r="C2469" s="80"/>
      <c r="D2469" s="80"/>
      <c r="E2469" s="80"/>
      <c r="F2469" s="59"/>
      <c r="G2469" s="59"/>
      <c r="H2469" s="83"/>
      <c r="I2469" s="76"/>
      <c r="J2469" s="76"/>
      <c r="K2469" s="81"/>
      <c r="L2469" s="82"/>
      <c r="M2469" s="54"/>
      <c r="N2469" s="54"/>
      <c r="O2469" s="54"/>
      <c r="P2469" s="54"/>
      <c r="Q2469" s="54"/>
      <c r="R2469" s="54"/>
      <c r="S2469" s="54"/>
      <c r="T2469" s="54"/>
      <c r="U2469" s="54"/>
      <c r="V2469" s="54"/>
      <c r="W2469" s="54"/>
      <c r="X2469" s="54"/>
      <c r="Y2469" s="54"/>
      <c r="Z2469" s="54"/>
      <c r="AA2469" s="54"/>
      <c r="AB2469" s="54"/>
      <c r="AC2469" s="54"/>
      <c r="AD2469" s="54"/>
      <c r="AE2469" s="54"/>
      <c r="AF2469" s="54"/>
      <c r="AG2469" s="54"/>
      <c r="AH2469" s="54"/>
    </row>
    <row r="2470">
      <c r="A2470" s="80"/>
      <c r="B2470" s="80"/>
      <c r="C2470" s="80"/>
      <c r="D2470" s="80"/>
      <c r="E2470" s="80"/>
      <c r="F2470" s="59"/>
      <c r="G2470" s="59"/>
      <c r="H2470" s="83"/>
      <c r="I2470" s="76"/>
      <c r="J2470" s="76"/>
      <c r="K2470" s="81"/>
      <c r="L2470" s="82"/>
      <c r="M2470" s="54"/>
      <c r="N2470" s="54"/>
      <c r="O2470" s="54"/>
      <c r="P2470" s="54"/>
      <c r="Q2470" s="54"/>
      <c r="R2470" s="54"/>
      <c r="S2470" s="54"/>
      <c r="T2470" s="54"/>
      <c r="U2470" s="54"/>
      <c r="V2470" s="54"/>
      <c r="W2470" s="54"/>
      <c r="X2470" s="54"/>
      <c r="Y2470" s="54"/>
      <c r="Z2470" s="54"/>
      <c r="AA2470" s="54"/>
      <c r="AB2470" s="54"/>
      <c r="AC2470" s="54"/>
      <c r="AD2470" s="54"/>
      <c r="AE2470" s="54"/>
      <c r="AF2470" s="54"/>
      <c r="AG2470" s="54"/>
      <c r="AH2470" s="54"/>
    </row>
    <row r="2471">
      <c r="A2471" s="80"/>
      <c r="B2471" s="80"/>
      <c r="C2471" s="80"/>
      <c r="D2471" s="80"/>
      <c r="E2471" s="80"/>
      <c r="F2471" s="59"/>
      <c r="G2471" s="59"/>
      <c r="H2471" s="83"/>
      <c r="I2471" s="76"/>
      <c r="J2471" s="76"/>
      <c r="K2471" s="81"/>
      <c r="L2471" s="82"/>
      <c r="M2471" s="54"/>
      <c r="N2471" s="54"/>
      <c r="O2471" s="54"/>
      <c r="P2471" s="54"/>
      <c r="Q2471" s="54"/>
      <c r="R2471" s="54"/>
      <c r="S2471" s="54"/>
      <c r="T2471" s="54"/>
      <c r="U2471" s="54"/>
      <c r="V2471" s="54"/>
      <c r="W2471" s="54"/>
      <c r="X2471" s="54"/>
      <c r="Y2471" s="54"/>
      <c r="Z2471" s="54"/>
      <c r="AA2471" s="54"/>
      <c r="AB2471" s="54"/>
      <c r="AC2471" s="54"/>
      <c r="AD2471" s="54"/>
      <c r="AE2471" s="54"/>
      <c r="AF2471" s="54"/>
      <c r="AG2471" s="54"/>
      <c r="AH2471" s="54"/>
    </row>
    <row r="2472">
      <c r="A2472" s="80"/>
      <c r="B2472" s="80"/>
      <c r="C2472" s="80"/>
      <c r="D2472" s="80"/>
      <c r="E2472" s="80"/>
      <c r="F2472" s="59"/>
      <c r="G2472" s="59"/>
      <c r="H2472" s="83"/>
      <c r="I2472" s="76"/>
      <c r="J2472" s="76"/>
      <c r="K2472" s="81"/>
      <c r="L2472" s="82"/>
      <c r="M2472" s="54"/>
      <c r="N2472" s="54"/>
      <c r="O2472" s="54"/>
      <c r="P2472" s="54"/>
      <c r="Q2472" s="54"/>
      <c r="R2472" s="54"/>
      <c r="S2472" s="54"/>
      <c r="T2472" s="54"/>
      <c r="U2472" s="54"/>
      <c r="V2472" s="54"/>
      <c r="W2472" s="54"/>
      <c r="X2472" s="54"/>
      <c r="Y2472" s="54"/>
      <c r="Z2472" s="54"/>
      <c r="AA2472" s="54"/>
      <c r="AB2472" s="54"/>
      <c r="AC2472" s="54"/>
      <c r="AD2472" s="54"/>
      <c r="AE2472" s="54"/>
      <c r="AF2472" s="54"/>
      <c r="AG2472" s="54"/>
      <c r="AH2472" s="54"/>
    </row>
    <row r="2473">
      <c r="A2473" s="80"/>
      <c r="B2473" s="80"/>
      <c r="C2473" s="80"/>
      <c r="D2473" s="80"/>
      <c r="E2473" s="80"/>
      <c r="F2473" s="59"/>
      <c r="G2473" s="59"/>
      <c r="H2473" s="83"/>
      <c r="I2473" s="76"/>
      <c r="J2473" s="76"/>
      <c r="K2473" s="81"/>
      <c r="L2473" s="82"/>
      <c r="M2473" s="54"/>
      <c r="N2473" s="54"/>
      <c r="O2473" s="54"/>
      <c r="P2473" s="54"/>
      <c r="Q2473" s="54"/>
      <c r="R2473" s="54"/>
      <c r="S2473" s="54"/>
      <c r="T2473" s="54"/>
      <c r="U2473" s="54"/>
      <c r="V2473" s="54"/>
      <c r="W2473" s="54"/>
      <c r="X2473" s="54"/>
      <c r="Y2473" s="54"/>
      <c r="Z2473" s="54"/>
      <c r="AA2473" s="54"/>
      <c r="AB2473" s="54"/>
      <c r="AC2473" s="54"/>
      <c r="AD2473" s="54"/>
      <c r="AE2473" s="54"/>
      <c r="AF2473" s="54"/>
      <c r="AG2473" s="54"/>
      <c r="AH2473" s="54"/>
    </row>
    <row r="2474">
      <c r="A2474" s="80"/>
      <c r="B2474" s="80"/>
      <c r="C2474" s="80"/>
      <c r="D2474" s="80"/>
      <c r="E2474" s="80"/>
      <c r="F2474" s="59"/>
      <c r="G2474" s="59"/>
      <c r="H2474" s="83"/>
      <c r="I2474" s="76"/>
      <c r="J2474" s="76"/>
      <c r="K2474" s="81"/>
      <c r="L2474" s="82"/>
      <c r="M2474" s="54"/>
      <c r="N2474" s="54"/>
      <c r="O2474" s="54"/>
      <c r="P2474" s="54"/>
      <c r="Q2474" s="54"/>
      <c r="R2474" s="54"/>
      <c r="S2474" s="54"/>
      <c r="T2474" s="54"/>
      <c r="U2474" s="54"/>
      <c r="V2474" s="54"/>
      <c r="W2474" s="54"/>
      <c r="X2474" s="54"/>
      <c r="Y2474" s="54"/>
      <c r="Z2474" s="54"/>
      <c r="AA2474" s="54"/>
      <c r="AB2474" s="54"/>
      <c r="AC2474" s="54"/>
      <c r="AD2474" s="54"/>
      <c r="AE2474" s="54"/>
      <c r="AF2474" s="54"/>
      <c r="AG2474" s="54"/>
      <c r="AH2474" s="54"/>
    </row>
    <row r="2475">
      <c r="A2475" s="80"/>
      <c r="B2475" s="80"/>
      <c r="C2475" s="80"/>
      <c r="D2475" s="80"/>
      <c r="E2475" s="80"/>
      <c r="F2475" s="59"/>
      <c r="G2475" s="59"/>
      <c r="H2475" s="83"/>
      <c r="I2475" s="76"/>
      <c r="J2475" s="76"/>
      <c r="K2475" s="81"/>
      <c r="L2475" s="82"/>
      <c r="M2475" s="54"/>
      <c r="N2475" s="54"/>
      <c r="O2475" s="54"/>
      <c r="P2475" s="54"/>
      <c r="Q2475" s="54"/>
      <c r="R2475" s="54"/>
      <c r="S2475" s="54"/>
      <c r="T2475" s="54"/>
      <c r="U2475" s="54"/>
      <c r="V2475" s="54"/>
      <c r="W2475" s="54"/>
      <c r="X2475" s="54"/>
      <c r="Y2475" s="54"/>
      <c r="Z2475" s="54"/>
      <c r="AA2475" s="54"/>
      <c r="AB2475" s="54"/>
      <c r="AC2475" s="54"/>
      <c r="AD2475" s="54"/>
      <c r="AE2475" s="54"/>
      <c r="AF2475" s="54"/>
      <c r="AG2475" s="54"/>
      <c r="AH2475" s="54"/>
    </row>
    <row r="2476">
      <c r="A2476" s="80"/>
      <c r="B2476" s="80"/>
      <c r="C2476" s="80"/>
      <c r="D2476" s="80"/>
      <c r="E2476" s="80"/>
      <c r="F2476" s="59"/>
      <c r="G2476" s="59"/>
      <c r="H2476" s="83"/>
      <c r="I2476" s="76"/>
      <c r="J2476" s="76"/>
      <c r="K2476" s="81"/>
      <c r="L2476" s="82"/>
      <c r="M2476" s="54"/>
      <c r="N2476" s="54"/>
      <c r="O2476" s="54"/>
      <c r="P2476" s="54"/>
      <c r="Q2476" s="54"/>
      <c r="R2476" s="54"/>
      <c r="S2476" s="54"/>
      <c r="T2476" s="54"/>
      <c r="U2476" s="54"/>
      <c r="V2476" s="54"/>
      <c r="W2476" s="54"/>
      <c r="X2476" s="54"/>
      <c r="Y2476" s="54"/>
      <c r="Z2476" s="54"/>
      <c r="AA2476" s="54"/>
      <c r="AB2476" s="54"/>
      <c r="AC2476" s="54"/>
      <c r="AD2476" s="54"/>
      <c r="AE2476" s="54"/>
      <c r="AF2476" s="54"/>
      <c r="AG2476" s="54"/>
      <c r="AH2476" s="54"/>
    </row>
    <row r="2477">
      <c r="A2477" s="80"/>
      <c r="B2477" s="80"/>
      <c r="C2477" s="80"/>
      <c r="D2477" s="80"/>
      <c r="E2477" s="80"/>
      <c r="F2477" s="59"/>
      <c r="G2477" s="59"/>
      <c r="H2477" s="83"/>
      <c r="I2477" s="76"/>
      <c r="J2477" s="76"/>
      <c r="K2477" s="81"/>
      <c r="L2477" s="82"/>
      <c r="M2477" s="54"/>
      <c r="N2477" s="54"/>
      <c r="O2477" s="54"/>
      <c r="P2477" s="54"/>
      <c r="Q2477" s="54"/>
      <c r="R2477" s="54"/>
      <c r="S2477" s="54"/>
      <c r="T2477" s="54"/>
      <c r="U2477" s="54"/>
      <c r="V2477" s="54"/>
      <c r="W2477" s="54"/>
      <c r="X2477" s="54"/>
      <c r="Y2477" s="54"/>
      <c r="Z2477" s="54"/>
      <c r="AA2477" s="54"/>
      <c r="AB2477" s="54"/>
      <c r="AC2477" s="54"/>
      <c r="AD2477" s="54"/>
      <c r="AE2477" s="54"/>
      <c r="AF2477" s="54"/>
      <c r="AG2477" s="54"/>
      <c r="AH2477" s="54"/>
    </row>
    <row r="2478">
      <c r="A2478" s="80"/>
      <c r="B2478" s="80"/>
      <c r="C2478" s="80"/>
      <c r="D2478" s="80"/>
      <c r="E2478" s="80"/>
      <c r="F2478" s="59"/>
      <c r="G2478" s="59"/>
      <c r="H2478" s="83"/>
      <c r="I2478" s="76"/>
      <c r="J2478" s="76"/>
      <c r="K2478" s="81"/>
      <c r="L2478" s="82"/>
      <c r="M2478" s="54"/>
      <c r="N2478" s="54"/>
      <c r="O2478" s="54"/>
      <c r="P2478" s="54"/>
      <c r="Q2478" s="54"/>
      <c r="R2478" s="54"/>
      <c r="S2478" s="54"/>
      <c r="T2478" s="54"/>
      <c r="U2478" s="54"/>
      <c r="V2478" s="54"/>
      <c r="W2478" s="54"/>
      <c r="X2478" s="54"/>
      <c r="Y2478" s="54"/>
      <c r="Z2478" s="54"/>
      <c r="AA2478" s="54"/>
      <c r="AB2478" s="54"/>
      <c r="AC2478" s="54"/>
      <c r="AD2478" s="54"/>
      <c r="AE2478" s="54"/>
      <c r="AF2478" s="54"/>
      <c r="AG2478" s="54"/>
      <c r="AH2478" s="54"/>
    </row>
    <row r="2479">
      <c r="A2479" s="80"/>
      <c r="B2479" s="80"/>
      <c r="C2479" s="80"/>
      <c r="D2479" s="80"/>
      <c r="E2479" s="80"/>
      <c r="F2479" s="59"/>
      <c r="G2479" s="59"/>
      <c r="H2479" s="83"/>
      <c r="I2479" s="76"/>
      <c r="J2479" s="76"/>
      <c r="K2479" s="81"/>
      <c r="L2479" s="82"/>
      <c r="M2479" s="54"/>
      <c r="N2479" s="54"/>
      <c r="O2479" s="54"/>
      <c r="P2479" s="54"/>
      <c r="Q2479" s="54"/>
      <c r="R2479" s="54"/>
      <c r="S2479" s="54"/>
      <c r="T2479" s="54"/>
      <c r="U2479" s="54"/>
      <c r="V2479" s="54"/>
      <c r="W2479" s="54"/>
      <c r="X2479" s="54"/>
      <c r="Y2479" s="54"/>
      <c r="Z2479" s="54"/>
      <c r="AA2479" s="54"/>
      <c r="AB2479" s="54"/>
      <c r="AC2479" s="54"/>
      <c r="AD2479" s="54"/>
      <c r="AE2479" s="54"/>
      <c r="AF2479" s="54"/>
      <c r="AG2479" s="54"/>
      <c r="AH2479" s="54"/>
    </row>
    <row r="2480">
      <c r="A2480" s="80"/>
      <c r="B2480" s="80"/>
      <c r="C2480" s="80"/>
      <c r="D2480" s="80"/>
      <c r="E2480" s="80"/>
      <c r="F2480" s="59"/>
      <c r="G2480" s="59"/>
      <c r="H2480" s="83"/>
      <c r="I2480" s="76"/>
      <c r="J2480" s="76"/>
      <c r="K2480" s="81"/>
      <c r="L2480" s="82"/>
      <c r="M2480" s="54"/>
      <c r="N2480" s="54"/>
      <c r="O2480" s="54"/>
      <c r="P2480" s="54"/>
      <c r="Q2480" s="54"/>
      <c r="R2480" s="54"/>
      <c r="S2480" s="54"/>
      <c r="T2480" s="54"/>
      <c r="U2480" s="54"/>
      <c r="V2480" s="54"/>
      <c r="W2480" s="54"/>
      <c r="X2480" s="54"/>
      <c r="Y2480" s="54"/>
      <c r="Z2480" s="54"/>
      <c r="AA2480" s="54"/>
      <c r="AB2480" s="54"/>
      <c r="AC2480" s="54"/>
      <c r="AD2480" s="54"/>
      <c r="AE2480" s="54"/>
      <c r="AF2480" s="54"/>
      <c r="AG2480" s="54"/>
      <c r="AH2480" s="54"/>
    </row>
    <row r="2481">
      <c r="A2481" s="80"/>
      <c r="B2481" s="80"/>
      <c r="C2481" s="80"/>
      <c r="D2481" s="80"/>
      <c r="E2481" s="80"/>
      <c r="F2481" s="59"/>
      <c r="G2481" s="59"/>
      <c r="H2481" s="83"/>
      <c r="I2481" s="76"/>
      <c r="J2481" s="76"/>
      <c r="K2481" s="81"/>
      <c r="L2481" s="82"/>
      <c r="M2481" s="54"/>
      <c r="N2481" s="54"/>
      <c r="O2481" s="54"/>
      <c r="P2481" s="54"/>
      <c r="Q2481" s="54"/>
      <c r="R2481" s="54"/>
      <c r="S2481" s="54"/>
      <c r="T2481" s="54"/>
      <c r="U2481" s="54"/>
      <c r="V2481" s="54"/>
      <c r="W2481" s="54"/>
      <c r="X2481" s="54"/>
      <c r="Y2481" s="54"/>
      <c r="Z2481" s="54"/>
      <c r="AA2481" s="54"/>
      <c r="AB2481" s="54"/>
      <c r="AC2481" s="54"/>
      <c r="AD2481" s="54"/>
      <c r="AE2481" s="54"/>
      <c r="AF2481" s="54"/>
      <c r="AG2481" s="54"/>
      <c r="AH2481" s="54"/>
    </row>
    <row r="2482">
      <c r="A2482" s="80"/>
      <c r="B2482" s="80"/>
      <c r="C2482" s="80"/>
      <c r="D2482" s="80"/>
      <c r="E2482" s="80"/>
      <c r="F2482" s="59"/>
      <c r="G2482" s="59"/>
      <c r="H2482" s="83"/>
      <c r="I2482" s="76"/>
      <c r="J2482" s="76"/>
      <c r="K2482" s="81"/>
      <c r="L2482" s="82"/>
      <c r="M2482" s="54"/>
      <c r="N2482" s="54"/>
      <c r="O2482" s="54"/>
      <c r="P2482" s="54"/>
      <c r="Q2482" s="54"/>
      <c r="R2482" s="54"/>
      <c r="S2482" s="54"/>
      <c r="T2482" s="54"/>
      <c r="U2482" s="54"/>
      <c r="V2482" s="54"/>
      <c r="W2482" s="54"/>
      <c r="X2482" s="54"/>
      <c r="Y2482" s="54"/>
      <c r="Z2482" s="54"/>
      <c r="AA2482" s="54"/>
      <c r="AB2482" s="54"/>
      <c r="AC2482" s="54"/>
      <c r="AD2482" s="54"/>
      <c r="AE2482" s="54"/>
      <c r="AF2482" s="54"/>
      <c r="AG2482" s="54"/>
      <c r="AH2482" s="54"/>
    </row>
    <row r="2483">
      <c r="A2483" s="80"/>
      <c r="B2483" s="80"/>
      <c r="C2483" s="80"/>
      <c r="D2483" s="80"/>
      <c r="E2483" s="80"/>
      <c r="F2483" s="59"/>
      <c r="G2483" s="59"/>
      <c r="H2483" s="83"/>
      <c r="I2483" s="76"/>
      <c r="J2483" s="76"/>
      <c r="K2483" s="81"/>
      <c r="L2483" s="82"/>
      <c r="M2483" s="54"/>
      <c r="N2483" s="54"/>
      <c r="O2483" s="54"/>
      <c r="P2483" s="54"/>
      <c r="Q2483" s="54"/>
      <c r="R2483" s="54"/>
      <c r="S2483" s="54"/>
      <c r="T2483" s="54"/>
      <c r="U2483" s="54"/>
      <c r="V2483" s="54"/>
      <c r="W2483" s="54"/>
      <c r="X2483" s="54"/>
      <c r="Y2483" s="54"/>
      <c r="Z2483" s="54"/>
      <c r="AA2483" s="54"/>
      <c r="AB2483" s="54"/>
      <c r="AC2483" s="54"/>
      <c r="AD2483" s="54"/>
      <c r="AE2483" s="54"/>
      <c r="AF2483" s="54"/>
      <c r="AG2483" s="54"/>
      <c r="AH2483" s="54"/>
    </row>
    <row r="2484">
      <c r="A2484" s="80"/>
      <c r="B2484" s="80"/>
      <c r="C2484" s="80"/>
      <c r="D2484" s="80"/>
      <c r="E2484" s="80"/>
      <c r="F2484" s="59"/>
      <c r="G2484" s="59"/>
      <c r="H2484" s="83"/>
      <c r="I2484" s="76"/>
      <c r="J2484" s="76"/>
      <c r="K2484" s="81"/>
      <c r="L2484" s="82"/>
      <c r="M2484" s="54"/>
      <c r="N2484" s="54"/>
      <c r="O2484" s="54"/>
      <c r="P2484" s="54"/>
      <c r="Q2484" s="54"/>
      <c r="R2484" s="54"/>
      <c r="S2484" s="54"/>
      <c r="T2484" s="54"/>
      <c r="U2484" s="54"/>
      <c r="V2484" s="54"/>
      <c r="W2484" s="54"/>
      <c r="X2484" s="54"/>
      <c r="Y2484" s="54"/>
      <c r="Z2484" s="54"/>
      <c r="AA2484" s="54"/>
      <c r="AB2484" s="54"/>
      <c r="AC2484" s="54"/>
      <c r="AD2484" s="54"/>
      <c r="AE2484" s="54"/>
      <c r="AF2484" s="54"/>
      <c r="AG2484" s="54"/>
      <c r="AH2484" s="54"/>
    </row>
    <row r="2485">
      <c r="A2485" s="80"/>
      <c r="B2485" s="80"/>
      <c r="C2485" s="80"/>
      <c r="D2485" s="80"/>
      <c r="E2485" s="80"/>
      <c r="F2485" s="59"/>
      <c r="G2485" s="59"/>
      <c r="H2485" s="83"/>
      <c r="I2485" s="76"/>
      <c r="J2485" s="76"/>
      <c r="K2485" s="81"/>
      <c r="L2485" s="82"/>
      <c r="M2485" s="54"/>
      <c r="N2485" s="54"/>
      <c r="O2485" s="54"/>
      <c r="P2485" s="54"/>
      <c r="Q2485" s="54"/>
      <c r="R2485" s="54"/>
      <c r="S2485" s="54"/>
      <c r="T2485" s="54"/>
      <c r="U2485" s="54"/>
      <c r="V2485" s="54"/>
      <c r="W2485" s="54"/>
      <c r="X2485" s="54"/>
      <c r="Y2485" s="54"/>
      <c r="Z2485" s="54"/>
      <c r="AA2485" s="54"/>
      <c r="AB2485" s="54"/>
      <c r="AC2485" s="54"/>
      <c r="AD2485" s="54"/>
      <c r="AE2485" s="54"/>
      <c r="AF2485" s="54"/>
      <c r="AG2485" s="54"/>
      <c r="AH2485" s="54"/>
    </row>
    <row r="2486">
      <c r="A2486" s="80"/>
      <c r="B2486" s="80"/>
      <c r="C2486" s="80"/>
      <c r="D2486" s="80"/>
      <c r="E2486" s="80"/>
      <c r="F2486" s="59"/>
      <c r="G2486" s="59"/>
      <c r="H2486" s="83"/>
      <c r="I2486" s="76"/>
      <c r="J2486" s="76"/>
      <c r="K2486" s="81"/>
      <c r="L2486" s="82"/>
      <c r="M2486" s="54"/>
      <c r="N2486" s="54"/>
      <c r="O2486" s="54"/>
      <c r="P2486" s="54"/>
      <c r="Q2486" s="54"/>
      <c r="R2486" s="54"/>
      <c r="S2486" s="54"/>
      <c r="T2486" s="54"/>
      <c r="U2486" s="54"/>
      <c r="V2486" s="54"/>
      <c r="W2486" s="54"/>
      <c r="X2486" s="54"/>
      <c r="Y2486" s="54"/>
      <c r="Z2486" s="54"/>
      <c r="AA2486" s="54"/>
      <c r="AB2486" s="54"/>
      <c r="AC2486" s="54"/>
      <c r="AD2486" s="54"/>
      <c r="AE2486" s="54"/>
      <c r="AF2486" s="54"/>
      <c r="AG2486" s="54"/>
      <c r="AH2486" s="54"/>
    </row>
    <row r="2487">
      <c r="A2487" s="80"/>
      <c r="B2487" s="80"/>
      <c r="C2487" s="80"/>
      <c r="D2487" s="80"/>
      <c r="E2487" s="80"/>
      <c r="F2487" s="59"/>
      <c r="G2487" s="59"/>
      <c r="H2487" s="83"/>
      <c r="I2487" s="76"/>
      <c r="J2487" s="76"/>
      <c r="K2487" s="81"/>
      <c r="L2487" s="82"/>
      <c r="M2487" s="54"/>
      <c r="N2487" s="54"/>
      <c r="O2487" s="54"/>
      <c r="P2487" s="54"/>
      <c r="Q2487" s="54"/>
      <c r="R2487" s="54"/>
      <c r="S2487" s="54"/>
      <c r="T2487" s="54"/>
      <c r="U2487" s="54"/>
      <c r="V2487" s="54"/>
      <c r="W2487" s="54"/>
      <c r="X2487" s="54"/>
      <c r="Y2487" s="54"/>
      <c r="Z2487" s="54"/>
      <c r="AA2487" s="54"/>
      <c r="AB2487" s="54"/>
      <c r="AC2487" s="54"/>
      <c r="AD2487" s="54"/>
      <c r="AE2487" s="54"/>
      <c r="AF2487" s="54"/>
      <c r="AG2487" s="54"/>
      <c r="AH2487" s="54"/>
    </row>
    <row r="2488">
      <c r="A2488" s="80"/>
      <c r="B2488" s="80"/>
      <c r="C2488" s="80"/>
      <c r="D2488" s="80"/>
      <c r="E2488" s="80"/>
      <c r="F2488" s="59"/>
      <c r="G2488" s="59"/>
      <c r="H2488" s="83"/>
      <c r="I2488" s="76"/>
      <c r="J2488" s="76"/>
      <c r="K2488" s="81"/>
      <c r="L2488" s="82"/>
      <c r="M2488" s="54"/>
      <c r="N2488" s="54"/>
      <c r="O2488" s="54"/>
      <c r="P2488" s="54"/>
      <c r="Q2488" s="54"/>
      <c r="R2488" s="54"/>
      <c r="S2488" s="54"/>
      <c r="T2488" s="54"/>
      <c r="U2488" s="54"/>
      <c r="V2488" s="54"/>
      <c r="W2488" s="54"/>
      <c r="X2488" s="54"/>
      <c r="Y2488" s="54"/>
      <c r="Z2488" s="54"/>
      <c r="AA2488" s="54"/>
      <c r="AB2488" s="54"/>
      <c r="AC2488" s="54"/>
      <c r="AD2488" s="54"/>
      <c r="AE2488" s="54"/>
      <c r="AF2488" s="54"/>
      <c r="AG2488" s="54"/>
      <c r="AH2488" s="54"/>
    </row>
    <row r="2489">
      <c r="A2489" s="80"/>
      <c r="B2489" s="80"/>
      <c r="C2489" s="80"/>
      <c r="D2489" s="80"/>
      <c r="E2489" s="80"/>
      <c r="F2489" s="59"/>
      <c r="G2489" s="59"/>
      <c r="H2489" s="83"/>
      <c r="I2489" s="76"/>
      <c r="J2489" s="76"/>
      <c r="K2489" s="81"/>
      <c r="L2489" s="82"/>
      <c r="M2489" s="54"/>
      <c r="N2489" s="54"/>
      <c r="O2489" s="54"/>
      <c r="P2489" s="54"/>
      <c r="Q2489" s="54"/>
      <c r="R2489" s="54"/>
      <c r="S2489" s="54"/>
      <c r="T2489" s="54"/>
      <c r="U2489" s="54"/>
      <c r="V2489" s="54"/>
      <c r="W2489" s="54"/>
      <c r="X2489" s="54"/>
      <c r="Y2489" s="54"/>
      <c r="Z2489" s="54"/>
      <c r="AA2489" s="54"/>
      <c r="AB2489" s="54"/>
      <c r="AC2489" s="54"/>
      <c r="AD2489" s="54"/>
      <c r="AE2489" s="54"/>
      <c r="AF2489" s="54"/>
      <c r="AG2489" s="54"/>
      <c r="AH2489" s="54"/>
    </row>
    <row r="2490">
      <c r="A2490" s="80"/>
      <c r="B2490" s="80"/>
      <c r="C2490" s="80"/>
      <c r="D2490" s="80"/>
      <c r="E2490" s="80"/>
      <c r="F2490" s="59"/>
      <c r="G2490" s="59"/>
      <c r="H2490" s="83"/>
      <c r="I2490" s="76"/>
      <c r="J2490" s="76"/>
      <c r="K2490" s="81"/>
      <c r="L2490" s="82"/>
      <c r="M2490" s="54"/>
      <c r="N2490" s="54"/>
      <c r="O2490" s="54"/>
      <c r="P2490" s="54"/>
      <c r="Q2490" s="54"/>
      <c r="R2490" s="54"/>
      <c r="S2490" s="54"/>
      <c r="T2490" s="54"/>
      <c r="U2490" s="54"/>
      <c r="V2490" s="54"/>
      <c r="W2490" s="54"/>
      <c r="X2490" s="54"/>
      <c r="Y2490" s="54"/>
      <c r="Z2490" s="54"/>
      <c r="AA2490" s="54"/>
      <c r="AB2490" s="54"/>
      <c r="AC2490" s="54"/>
      <c r="AD2490" s="54"/>
      <c r="AE2490" s="54"/>
      <c r="AF2490" s="54"/>
      <c r="AG2490" s="54"/>
      <c r="AH2490" s="54"/>
    </row>
    <row r="2491">
      <c r="A2491" s="80"/>
      <c r="B2491" s="80"/>
      <c r="C2491" s="80"/>
      <c r="D2491" s="80"/>
      <c r="E2491" s="80"/>
      <c r="F2491" s="59"/>
      <c r="G2491" s="59"/>
      <c r="H2491" s="83"/>
      <c r="I2491" s="76"/>
      <c r="J2491" s="76"/>
      <c r="K2491" s="81"/>
      <c r="L2491" s="82"/>
      <c r="M2491" s="54"/>
      <c r="N2491" s="54"/>
      <c r="O2491" s="54"/>
      <c r="P2491" s="54"/>
      <c r="Q2491" s="54"/>
      <c r="R2491" s="54"/>
      <c r="S2491" s="54"/>
      <c r="T2491" s="54"/>
      <c r="U2491" s="54"/>
      <c r="V2491" s="54"/>
      <c r="W2491" s="54"/>
      <c r="X2491" s="54"/>
      <c r="Y2491" s="54"/>
      <c r="Z2491" s="54"/>
      <c r="AA2491" s="54"/>
      <c r="AB2491" s="54"/>
      <c r="AC2491" s="54"/>
      <c r="AD2491" s="54"/>
      <c r="AE2491" s="54"/>
      <c r="AF2491" s="54"/>
      <c r="AG2491" s="54"/>
      <c r="AH2491" s="54"/>
    </row>
    <row r="2492">
      <c r="A2492" s="80"/>
      <c r="B2492" s="80"/>
      <c r="C2492" s="80"/>
      <c r="D2492" s="80"/>
      <c r="E2492" s="80"/>
      <c r="F2492" s="59"/>
      <c r="G2492" s="59"/>
      <c r="H2492" s="83"/>
      <c r="I2492" s="76"/>
      <c r="J2492" s="76"/>
      <c r="K2492" s="81"/>
      <c r="L2492" s="82"/>
      <c r="M2492" s="54"/>
      <c r="N2492" s="54"/>
      <c r="O2492" s="54"/>
      <c r="P2492" s="54"/>
      <c r="Q2492" s="54"/>
      <c r="R2492" s="54"/>
      <c r="S2492" s="54"/>
      <c r="T2492" s="54"/>
      <c r="U2492" s="54"/>
      <c r="V2492" s="54"/>
      <c r="W2492" s="54"/>
      <c r="X2492" s="54"/>
      <c r="Y2492" s="54"/>
      <c r="Z2492" s="54"/>
      <c r="AA2492" s="54"/>
      <c r="AB2492" s="54"/>
      <c r="AC2492" s="54"/>
      <c r="AD2492" s="54"/>
      <c r="AE2492" s="54"/>
      <c r="AF2492" s="54"/>
      <c r="AG2492" s="54"/>
      <c r="AH2492" s="54"/>
    </row>
    <row r="2493">
      <c r="A2493" s="80"/>
      <c r="B2493" s="80"/>
      <c r="C2493" s="80"/>
      <c r="D2493" s="80"/>
      <c r="E2493" s="80"/>
      <c r="F2493" s="59"/>
      <c r="G2493" s="59"/>
      <c r="H2493" s="83"/>
      <c r="I2493" s="76"/>
      <c r="J2493" s="76"/>
      <c r="K2493" s="81"/>
      <c r="L2493" s="82"/>
      <c r="M2493" s="54"/>
      <c r="N2493" s="54"/>
      <c r="O2493" s="54"/>
      <c r="P2493" s="54"/>
      <c r="Q2493" s="54"/>
      <c r="R2493" s="54"/>
      <c r="S2493" s="54"/>
      <c r="T2493" s="54"/>
      <c r="U2493" s="54"/>
      <c r="V2493" s="54"/>
      <c r="W2493" s="54"/>
      <c r="X2493" s="54"/>
      <c r="Y2493" s="54"/>
      <c r="Z2493" s="54"/>
      <c r="AA2493" s="54"/>
      <c r="AB2493" s="54"/>
      <c r="AC2493" s="54"/>
      <c r="AD2493" s="54"/>
      <c r="AE2493" s="54"/>
      <c r="AF2493" s="54"/>
      <c r="AG2493" s="54"/>
      <c r="AH2493" s="54"/>
    </row>
    <row r="2494">
      <c r="A2494" s="80"/>
      <c r="B2494" s="80"/>
      <c r="C2494" s="80"/>
      <c r="D2494" s="80"/>
      <c r="E2494" s="80"/>
      <c r="F2494" s="59"/>
      <c r="G2494" s="59"/>
      <c r="H2494" s="83"/>
      <c r="I2494" s="76"/>
      <c r="J2494" s="76"/>
      <c r="K2494" s="81"/>
      <c r="L2494" s="82"/>
      <c r="M2494" s="54"/>
      <c r="N2494" s="54"/>
      <c r="O2494" s="54"/>
      <c r="P2494" s="54"/>
      <c r="Q2494" s="54"/>
      <c r="R2494" s="54"/>
      <c r="S2494" s="54"/>
      <c r="T2494" s="54"/>
      <c r="U2494" s="54"/>
      <c r="V2494" s="54"/>
      <c r="W2494" s="54"/>
      <c r="X2494" s="54"/>
      <c r="Y2494" s="54"/>
      <c r="Z2494" s="54"/>
      <c r="AA2494" s="54"/>
      <c r="AB2494" s="54"/>
      <c r="AC2494" s="54"/>
      <c r="AD2494" s="54"/>
      <c r="AE2494" s="54"/>
      <c r="AF2494" s="54"/>
      <c r="AG2494" s="54"/>
      <c r="AH2494" s="54"/>
    </row>
    <row r="2495">
      <c r="A2495" s="80"/>
      <c r="B2495" s="80"/>
      <c r="C2495" s="80"/>
      <c r="D2495" s="80"/>
      <c r="E2495" s="80"/>
      <c r="F2495" s="59"/>
      <c r="G2495" s="59"/>
      <c r="H2495" s="83"/>
      <c r="I2495" s="76"/>
      <c r="J2495" s="76"/>
      <c r="K2495" s="81"/>
      <c r="L2495" s="82"/>
      <c r="M2495" s="54"/>
      <c r="N2495" s="54"/>
      <c r="O2495" s="54"/>
      <c r="P2495" s="54"/>
      <c r="Q2495" s="54"/>
      <c r="R2495" s="54"/>
      <c r="S2495" s="54"/>
      <c r="T2495" s="54"/>
      <c r="U2495" s="54"/>
      <c r="V2495" s="54"/>
      <c r="W2495" s="54"/>
      <c r="X2495" s="54"/>
      <c r="Y2495" s="54"/>
      <c r="Z2495" s="54"/>
      <c r="AA2495" s="54"/>
      <c r="AB2495" s="54"/>
      <c r="AC2495" s="54"/>
      <c r="AD2495" s="54"/>
      <c r="AE2495" s="54"/>
      <c r="AF2495" s="54"/>
      <c r="AG2495" s="54"/>
      <c r="AH2495" s="54"/>
    </row>
    <row r="2496">
      <c r="A2496" s="80"/>
      <c r="B2496" s="80"/>
      <c r="C2496" s="80"/>
      <c r="D2496" s="80"/>
      <c r="E2496" s="80"/>
      <c r="F2496" s="59"/>
      <c r="G2496" s="59"/>
      <c r="H2496" s="83"/>
      <c r="I2496" s="76"/>
      <c r="J2496" s="76"/>
      <c r="K2496" s="81"/>
      <c r="L2496" s="82"/>
      <c r="M2496" s="54"/>
      <c r="N2496" s="54"/>
      <c r="O2496" s="54"/>
      <c r="P2496" s="54"/>
      <c r="Q2496" s="54"/>
      <c r="R2496" s="54"/>
      <c r="S2496" s="54"/>
      <c r="T2496" s="54"/>
      <c r="U2496" s="54"/>
      <c r="V2496" s="54"/>
      <c r="W2496" s="54"/>
      <c r="X2496" s="54"/>
      <c r="Y2496" s="54"/>
      <c r="Z2496" s="54"/>
      <c r="AA2496" s="54"/>
      <c r="AB2496" s="54"/>
      <c r="AC2496" s="54"/>
      <c r="AD2496" s="54"/>
      <c r="AE2496" s="54"/>
      <c r="AF2496" s="54"/>
      <c r="AG2496" s="54"/>
      <c r="AH2496" s="54"/>
    </row>
    <row r="2497">
      <c r="A2497" s="80"/>
      <c r="B2497" s="80"/>
      <c r="C2497" s="80"/>
      <c r="D2497" s="80"/>
      <c r="E2497" s="80"/>
      <c r="F2497" s="59"/>
      <c r="G2497" s="59"/>
      <c r="H2497" s="83"/>
      <c r="I2497" s="76"/>
      <c r="J2497" s="76"/>
      <c r="K2497" s="81"/>
      <c r="L2497" s="82"/>
      <c r="M2497" s="54"/>
      <c r="N2497" s="54"/>
      <c r="O2497" s="54"/>
      <c r="P2497" s="54"/>
      <c r="Q2497" s="54"/>
      <c r="R2497" s="54"/>
      <c r="S2497" s="54"/>
      <c r="T2497" s="54"/>
      <c r="U2497" s="54"/>
      <c r="V2497" s="54"/>
      <c r="W2497" s="54"/>
      <c r="X2497" s="54"/>
      <c r="Y2497" s="54"/>
      <c r="Z2497" s="54"/>
      <c r="AA2497" s="54"/>
      <c r="AB2497" s="54"/>
      <c r="AC2497" s="54"/>
      <c r="AD2497" s="54"/>
      <c r="AE2497" s="54"/>
      <c r="AF2497" s="54"/>
      <c r="AG2497" s="54"/>
      <c r="AH2497" s="54"/>
    </row>
    <row r="2498">
      <c r="A2498" s="80"/>
      <c r="B2498" s="80"/>
      <c r="C2498" s="80"/>
      <c r="D2498" s="80"/>
      <c r="E2498" s="80"/>
      <c r="F2498" s="59"/>
      <c r="G2498" s="59"/>
      <c r="H2498" s="83"/>
      <c r="I2498" s="76"/>
      <c r="J2498" s="76"/>
      <c r="K2498" s="81"/>
      <c r="L2498" s="82"/>
      <c r="M2498" s="54"/>
      <c r="N2498" s="54"/>
      <c r="O2498" s="54"/>
      <c r="P2498" s="54"/>
      <c r="Q2498" s="54"/>
      <c r="R2498" s="54"/>
      <c r="S2498" s="54"/>
      <c r="T2498" s="54"/>
      <c r="U2498" s="54"/>
      <c r="V2498" s="54"/>
      <c r="W2498" s="54"/>
      <c r="X2498" s="54"/>
      <c r="Y2498" s="54"/>
      <c r="Z2498" s="54"/>
      <c r="AA2498" s="54"/>
      <c r="AB2498" s="54"/>
      <c r="AC2498" s="54"/>
      <c r="AD2498" s="54"/>
      <c r="AE2498" s="54"/>
      <c r="AF2498" s="54"/>
      <c r="AG2498" s="54"/>
      <c r="AH2498" s="54"/>
    </row>
    <row r="2499">
      <c r="A2499" s="80"/>
      <c r="B2499" s="80"/>
      <c r="C2499" s="80"/>
      <c r="D2499" s="80"/>
      <c r="E2499" s="80"/>
      <c r="F2499" s="59"/>
      <c r="G2499" s="59"/>
      <c r="H2499" s="83"/>
      <c r="I2499" s="76"/>
      <c r="J2499" s="76"/>
      <c r="K2499" s="81"/>
      <c r="L2499" s="82"/>
      <c r="M2499" s="54"/>
      <c r="N2499" s="54"/>
      <c r="O2499" s="54"/>
      <c r="P2499" s="54"/>
      <c r="Q2499" s="54"/>
      <c r="R2499" s="54"/>
      <c r="S2499" s="54"/>
      <c r="T2499" s="54"/>
      <c r="U2499" s="54"/>
      <c r="V2499" s="54"/>
      <c r="W2499" s="54"/>
      <c r="X2499" s="54"/>
      <c r="Y2499" s="54"/>
      <c r="Z2499" s="54"/>
      <c r="AA2499" s="54"/>
      <c r="AB2499" s="54"/>
      <c r="AC2499" s="54"/>
      <c r="AD2499" s="54"/>
      <c r="AE2499" s="54"/>
      <c r="AF2499" s="54"/>
      <c r="AG2499" s="54"/>
      <c r="AH2499" s="54"/>
    </row>
    <row r="2500">
      <c r="A2500" s="80"/>
      <c r="B2500" s="80"/>
      <c r="C2500" s="80"/>
      <c r="D2500" s="80"/>
      <c r="E2500" s="80"/>
      <c r="F2500" s="59"/>
      <c r="G2500" s="59"/>
      <c r="H2500" s="83"/>
      <c r="I2500" s="76"/>
      <c r="J2500" s="76"/>
      <c r="K2500" s="81"/>
      <c r="L2500" s="82"/>
      <c r="M2500" s="54"/>
      <c r="N2500" s="54"/>
      <c r="O2500" s="54"/>
      <c r="P2500" s="54"/>
      <c r="Q2500" s="54"/>
      <c r="R2500" s="54"/>
      <c r="S2500" s="54"/>
      <c r="T2500" s="54"/>
      <c r="U2500" s="54"/>
      <c r="V2500" s="54"/>
      <c r="W2500" s="54"/>
      <c r="X2500" s="54"/>
      <c r="Y2500" s="54"/>
      <c r="Z2500" s="54"/>
      <c r="AA2500" s="54"/>
      <c r="AB2500" s="54"/>
      <c r="AC2500" s="54"/>
      <c r="AD2500" s="54"/>
      <c r="AE2500" s="54"/>
      <c r="AF2500" s="54"/>
      <c r="AG2500" s="54"/>
      <c r="AH2500" s="54"/>
    </row>
    <row r="2501">
      <c r="A2501" s="80"/>
      <c r="B2501" s="80"/>
      <c r="C2501" s="80"/>
      <c r="D2501" s="80"/>
      <c r="E2501" s="80"/>
      <c r="F2501" s="59"/>
      <c r="G2501" s="59"/>
      <c r="H2501" s="83"/>
      <c r="I2501" s="76"/>
      <c r="J2501" s="76"/>
      <c r="K2501" s="81"/>
      <c r="L2501" s="82"/>
      <c r="M2501" s="54"/>
      <c r="N2501" s="54"/>
      <c r="O2501" s="54"/>
      <c r="P2501" s="54"/>
      <c r="Q2501" s="54"/>
      <c r="R2501" s="54"/>
      <c r="S2501" s="54"/>
      <c r="T2501" s="54"/>
      <c r="U2501" s="54"/>
      <c r="V2501" s="54"/>
      <c r="W2501" s="54"/>
      <c r="X2501" s="54"/>
      <c r="Y2501" s="54"/>
      <c r="Z2501" s="54"/>
      <c r="AA2501" s="54"/>
      <c r="AB2501" s="54"/>
      <c r="AC2501" s="54"/>
      <c r="AD2501" s="54"/>
      <c r="AE2501" s="54"/>
      <c r="AF2501" s="54"/>
      <c r="AG2501" s="54"/>
      <c r="AH2501" s="54"/>
    </row>
    <row r="2502">
      <c r="A2502" s="80"/>
      <c r="B2502" s="80"/>
      <c r="C2502" s="80"/>
      <c r="D2502" s="80"/>
      <c r="E2502" s="80"/>
      <c r="F2502" s="59"/>
      <c r="G2502" s="59"/>
      <c r="H2502" s="83"/>
      <c r="I2502" s="76"/>
      <c r="J2502" s="76"/>
      <c r="K2502" s="81"/>
      <c r="L2502" s="82"/>
      <c r="M2502" s="54"/>
      <c r="N2502" s="54"/>
      <c r="O2502" s="54"/>
      <c r="P2502" s="54"/>
      <c r="Q2502" s="54"/>
      <c r="R2502" s="54"/>
      <c r="S2502" s="54"/>
      <c r="T2502" s="54"/>
      <c r="U2502" s="54"/>
      <c r="V2502" s="54"/>
      <c r="W2502" s="54"/>
      <c r="X2502" s="54"/>
      <c r="Y2502" s="54"/>
      <c r="Z2502" s="54"/>
      <c r="AA2502" s="54"/>
      <c r="AB2502" s="54"/>
      <c r="AC2502" s="54"/>
      <c r="AD2502" s="54"/>
      <c r="AE2502" s="54"/>
      <c r="AF2502" s="54"/>
      <c r="AG2502" s="54"/>
      <c r="AH2502" s="54"/>
    </row>
    <row r="2503">
      <c r="A2503" s="80"/>
      <c r="B2503" s="80"/>
      <c r="C2503" s="80"/>
      <c r="D2503" s="80"/>
      <c r="E2503" s="80"/>
      <c r="F2503" s="59"/>
      <c r="G2503" s="59"/>
      <c r="H2503" s="83"/>
      <c r="I2503" s="76"/>
      <c r="J2503" s="76"/>
      <c r="K2503" s="81"/>
      <c r="L2503" s="82"/>
      <c r="M2503" s="54"/>
      <c r="N2503" s="54"/>
      <c r="O2503" s="54"/>
      <c r="P2503" s="54"/>
      <c r="Q2503" s="54"/>
      <c r="R2503" s="54"/>
      <c r="S2503" s="54"/>
      <c r="T2503" s="54"/>
      <c r="U2503" s="54"/>
      <c r="V2503" s="54"/>
      <c r="W2503" s="54"/>
      <c r="X2503" s="54"/>
      <c r="Y2503" s="54"/>
      <c r="Z2503" s="54"/>
      <c r="AA2503" s="54"/>
      <c r="AB2503" s="54"/>
      <c r="AC2503" s="54"/>
      <c r="AD2503" s="54"/>
      <c r="AE2503" s="54"/>
      <c r="AF2503" s="54"/>
      <c r="AG2503" s="54"/>
      <c r="AH2503" s="54"/>
    </row>
    <row r="2504">
      <c r="A2504" s="80"/>
      <c r="B2504" s="80"/>
      <c r="C2504" s="80"/>
      <c r="D2504" s="80"/>
      <c r="E2504" s="80"/>
      <c r="F2504" s="59"/>
      <c r="G2504" s="59"/>
      <c r="H2504" s="83"/>
      <c r="I2504" s="76"/>
      <c r="J2504" s="76"/>
      <c r="K2504" s="81"/>
      <c r="L2504" s="82"/>
      <c r="M2504" s="54"/>
      <c r="N2504" s="54"/>
      <c r="O2504" s="54"/>
      <c r="P2504" s="54"/>
      <c r="Q2504" s="54"/>
      <c r="R2504" s="54"/>
      <c r="S2504" s="54"/>
      <c r="T2504" s="54"/>
      <c r="U2504" s="54"/>
      <c r="V2504" s="54"/>
      <c r="W2504" s="54"/>
      <c r="X2504" s="54"/>
      <c r="Y2504" s="54"/>
      <c r="Z2504" s="54"/>
      <c r="AA2504" s="54"/>
      <c r="AB2504" s="54"/>
      <c r="AC2504" s="54"/>
      <c r="AD2504" s="54"/>
      <c r="AE2504" s="54"/>
      <c r="AF2504" s="54"/>
      <c r="AG2504" s="54"/>
      <c r="AH2504" s="54"/>
    </row>
    <row r="2505">
      <c r="A2505" s="80"/>
      <c r="B2505" s="80"/>
      <c r="C2505" s="80"/>
      <c r="D2505" s="80"/>
      <c r="E2505" s="80"/>
      <c r="F2505" s="59"/>
      <c r="G2505" s="59"/>
      <c r="H2505" s="83"/>
      <c r="I2505" s="76"/>
      <c r="J2505" s="76"/>
      <c r="K2505" s="81"/>
      <c r="L2505" s="82"/>
      <c r="M2505" s="54"/>
      <c r="N2505" s="54"/>
      <c r="O2505" s="54"/>
      <c r="P2505" s="54"/>
      <c r="Q2505" s="54"/>
      <c r="R2505" s="54"/>
      <c r="S2505" s="54"/>
      <c r="T2505" s="54"/>
      <c r="U2505" s="54"/>
      <c r="V2505" s="54"/>
      <c r="W2505" s="54"/>
      <c r="X2505" s="54"/>
      <c r="Y2505" s="54"/>
      <c r="Z2505" s="54"/>
      <c r="AA2505" s="54"/>
      <c r="AB2505" s="54"/>
      <c r="AC2505" s="54"/>
      <c r="AD2505" s="54"/>
      <c r="AE2505" s="54"/>
      <c r="AF2505" s="54"/>
      <c r="AG2505" s="54"/>
      <c r="AH2505" s="54"/>
    </row>
    <row r="2506">
      <c r="A2506" s="80"/>
      <c r="B2506" s="80"/>
      <c r="C2506" s="80"/>
      <c r="D2506" s="80"/>
      <c r="E2506" s="80"/>
      <c r="F2506" s="59"/>
      <c r="G2506" s="59"/>
      <c r="H2506" s="83"/>
      <c r="I2506" s="76"/>
      <c r="J2506" s="76"/>
      <c r="K2506" s="81"/>
      <c r="L2506" s="82"/>
      <c r="M2506" s="54"/>
      <c r="N2506" s="54"/>
      <c r="O2506" s="54"/>
      <c r="P2506" s="54"/>
      <c r="Q2506" s="54"/>
      <c r="R2506" s="54"/>
      <c r="S2506" s="54"/>
      <c r="T2506" s="54"/>
      <c r="U2506" s="54"/>
      <c r="V2506" s="54"/>
      <c r="W2506" s="54"/>
      <c r="X2506" s="54"/>
      <c r="Y2506" s="54"/>
      <c r="Z2506" s="54"/>
      <c r="AA2506" s="54"/>
      <c r="AB2506" s="54"/>
      <c r="AC2506" s="54"/>
      <c r="AD2506" s="54"/>
      <c r="AE2506" s="54"/>
      <c r="AF2506" s="54"/>
      <c r="AG2506" s="54"/>
      <c r="AH2506" s="54"/>
    </row>
    <row r="2507">
      <c r="A2507" s="80"/>
      <c r="B2507" s="80"/>
      <c r="C2507" s="80"/>
      <c r="D2507" s="80"/>
      <c r="E2507" s="80"/>
      <c r="F2507" s="59"/>
      <c r="G2507" s="59"/>
      <c r="H2507" s="83"/>
      <c r="I2507" s="76"/>
      <c r="J2507" s="76"/>
      <c r="K2507" s="81"/>
      <c r="L2507" s="82"/>
      <c r="M2507" s="54"/>
      <c r="N2507" s="54"/>
      <c r="O2507" s="54"/>
      <c r="P2507" s="54"/>
      <c r="Q2507" s="54"/>
      <c r="R2507" s="54"/>
      <c r="S2507" s="54"/>
      <c r="T2507" s="54"/>
      <c r="U2507" s="54"/>
      <c r="V2507" s="54"/>
      <c r="W2507" s="54"/>
      <c r="X2507" s="54"/>
      <c r="Y2507" s="54"/>
      <c r="Z2507" s="54"/>
      <c r="AA2507" s="54"/>
      <c r="AB2507" s="54"/>
      <c r="AC2507" s="54"/>
      <c r="AD2507" s="54"/>
      <c r="AE2507" s="54"/>
      <c r="AF2507" s="54"/>
      <c r="AG2507" s="54"/>
      <c r="AH2507" s="54"/>
    </row>
    <row r="2508">
      <c r="A2508" s="80"/>
      <c r="B2508" s="80"/>
      <c r="C2508" s="80"/>
      <c r="D2508" s="80"/>
      <c r="E2508" s="80"/>
      <c r="F2508" s="59"/>
      <c r="G2508" s="59"/>
      <c r="H2508" s="83"/>
      <c r="I2508" s="76"/>
      <c r="J2508" s="76"/>
      <c r="K2508" s="81"/>
      <c r="L2508" s="82"/>
      <c r="M2508" s="54"/>
      <c r="N2508" s="54"/>
      <c r="O2508" s="54"/>
      <c r="P2508" s="54"/>
      <c r="Q2508" s="54"/>
      <c r="R2508" s="54"/>
      <c r="S2508" s="54"/>
      <c r="T2508" s="54"/>
      <c r="U2508" s="54"/>
      <c r="V2508" s="54"/>
      <c r="W2508" s="54"/>
      <c r="X2508" s="54"/>
      <c r="Y2508" s="54"/>
      <c r="Z2508" s="54"/>
      <c r="AA2508" s="54"/>
      <c r="AB2508" s="54"/>
      <c r="AC2508" s="54"/>
      <c r="AD2508" s="54"/>
      <c r="AE2508" s="54"/>
      <c r="AF2508" s="54"/>
      <c r="AG2508" s="54"/>
      <c r="AH2508" s="54"/>
    </row>
    <row r="2509">
      <c r="A2509" s="80"/>
      <c r="B2509" s="80"/>
      <c r="C2509" s="80"/>
      <c r="D2509" s="80"/>
      <c r="E2509" s="80"/>
      <c r="F2509" s="59"/>
      <c r="G2509" s="59"/>
      <c r="H2509" s="83"/>
      <c r="I2509" s="76"/>
      <c r="J2509" s="76"/>
      <c r="K2509" s="81"/>
      <c r="L2509" s="82"/>
      <c r="M2509" s="54"/>
      <c r="N2509" s="54"/>
      <c r="O2509" s="54"/>
      <c r="P2509" s="54"/>
      <c r="Q2509" s="54"/>
      <c r="R2509" s="54"/>
      <c r="S2509" s="54"/>
      <c r="T2509" s="54"/>
      <c r="U2509" s="54"/>
      <c r="V2509" s="54"/>
      <c r="W2509" s="54"/>
      <c r="X2509" s="54"/>
      <c r="Y2509" s="54"/>
      <c r="Z2509" s="54"/>
      <c r="AA2509" s="54"/>
      <c r="AB2509" s="54"/>
      <c r="AC2509" s="54"/>
      <c r="AD2509" s="54"/>
      <c r="AE2509" s="54"/>
      <c r="AF2509" s="54"/>
      <c r="AG2509" s="54"/>
      <c r="AH2509" s="54"/>
    </row>
    <row r="2510">
      <c r="A2510" s="80"/>
      <c r="B2510" s="80"/>
      <c r="C2510" s="80"/>
      <c r="D2510" s="80"/>
      <c r="E2510" s="80"/>
      <c r="F2510" s="59"/>
      <c r="G2510" s="59"/>
      <c r="H2510" s="83"/>
      <c r="I2510" s="76"/>
      <c r="J2510" s="76"/>
      <c r="K2510" s="81"/>
      <c r="L2510" s="82"/>
      <c r="M2510" s="54"/>
      <c r="N2510" s="54"/>
      <c r="O2510" s="54"/>
      <c r="P2510" s="54"/>
      <c r="Q2510" s="54"/>
      <c r="R2510" s="54"/>
      <c r="S2510" s="54"/>
      <c r="T2510" s="54"/>
      <c r="U2510" s="54"/>
      <c r="V2510" s="54"/>
      <c r="W2510" s="54"/>
      <c r="X2510" s="54"/>
      <c r="Y2510" s="54"/>
      <c r="Z2510" s="54"/>
      <c r="AA2510" s="54"/>
      <c r="AB2510" s="54"/>
      <c r="AC2510" s="54"/>
      <c r="AD2510" s="54"/>
      <c r="AE2510" s="54"/>
      <c r="AF2510" s="54"/>
      <c r="AG2510" s="54"/>
      <c r="AH2510" s="54"/>
    </row>
    <row r="2511">
      <c r="A2511" s="80"/>
      <c r="B2511" s="80"/>
      <c r="C2511" s="80"/>
      <c r="D2511" s="80"/>
      <c r="E2511" s="80"/>
      <c r="F2511" s="59"/>
      <c r="G2511" s="59"/>
      <c r="H2511" s="83"/>
      <c r="I2511" s="76"/>
      <c r="J2511" s="76"/>
      <c r="K2511" s="81"/>
      <c r="L2511" s="82"/>
      <c r="M2511" s="54"/>
      <c r="N2511" s="54"/>
      <c r="O2511" s="54"/>
      <c r="P2511" s="54"/>
      <c r="Q2511" s="54"/>
      <c r="R2511" s="54"/>
      <c r="S2511" s="54"/>
      <c r="T2511" s="54"/>
      <c r="U2511" s="54"/>
      <c r="V2511" s="54"/>
      <c r="W2511" s="54"/>
      <c r="X2511" s="54"/>
      <c r="Y2511" s="54"/>
      <c r="Z2511" s="54"/>
      <c r="AA2511" s="54"/>
      <c r="AB2511" s="54"/>
      <c r="AC2511" s="54"/>
      <c r="AD2511" s="54"/>
      <c r="AE2511" s="54"/>
      <c r="AF2511" s="54"/>
      <c r="AG2511" s="54"/>
      <c r="AH2511" s="54"/>
    </row>
    <row r="2512">
      <c r="A2512" s="80"/>
      <c r="B2512" s="80"/>
      <c r="C2512" s="80"/>
      <c r="D2512" s="80"/>
      <c r="E2512" s="80"/>
      <c r="F2512" s="59"/>
      <c r="G2512" s="59"/>
      <c r="H2512" s="83"/>
      <c r="I2512" s="76"/>
      <c r="J2512" s="76"/>
      <c r="K2512" s="81"/>
      <c r="L2512" s="82"/>
      <c r="M2512" s="54"/>
      <c r="N2512" s="54"/>
      <c r="O2512" s="54"/>
      <c r="P2512" s="54"/>
      <c r="Q2512" s="54"/>
      <c r="R2512" s="54"/>
      <c r="S2512" s="54"/>
      <c r="T2512" s="54"/>
      <c r="U2512" s="54"/>
      <c r="V2512" s="54"/>
      <c r="W2512" s="54"/>
      <c r="X2512" s="54"/>
      <c r="Y2512" s="54"/>
      <c r="Z2512" s="54"/>
      <c r="AA2512" s="54"/>
      <c r="AB2512" s="54"/>
      <c r="AC2512" s="54"/>
      <c r="AD2512" s="54"/>
      <c r="AE2512" s="54"/>
      <c r="AF2512" s="54"/>
      <c r="AG2512" s="54"/>
      <c r="AH2512" s="54"/>
    </row>
    <row r="2513">
      <c r="A2513" s="80"/>
      <c r="B2513" s="80"/>
      <c r="C2513" s="80"/>
      <c r="D2513" s="80"/>
      <c r="E2513" s="80"/>
      <c r="F2513" s="59"/>
      <c r="G2513" s="59"/>
      <c r="H2513" s="83"/>
      <c r="I2513" s="76"/>
      <c r="J2513" s="76"/>
      <c r="K2513" s="81"/>
      <c r="L2513" s="82"/>
      <c r="M2513" s="54"/>
      <c r="N2513" s="54"/>
      <c r="O2513" s="54"/>
      <c r="P2513" s="54"/>
      <c r="Q2513" s="54"/>
      <c r="R2513" s="54"/>
      <c r="S2513" s="54"/>
      <c r="T2513" s="54"/>
      <c r="U2513" s="54"/>
      <c r="V2513" s="54"/>
      <c r="W2513" s="54"/>
      <c r="X2513" s="54"/>
      <c r="Y2513" s="54"/>
      <c r="Z2513" s="54"/>
      <c r="AA2513" s="54"/>
      <c r="AB2513" s="54"/>
      <c r="AC2513" s="54"/>
      <c r="AD2513" s="54"/>
      <c r="AE2513" s="54"/>
      <c r="AF2513" s="54"/>
      <c r="AG2513" s="54"/>
      <c r="AH2513" s="54"/>
    </row>
    <row r="2514">
      <c r="A2514" s="80"/>
      <c r="B2514" s="80"/>
      <c r="C2514" s="80"/>
      <c r="D2514" s="80"/>
      <c r="E2514" s="80"/>
      <c r="F2514" s="59"/>
      <c r="G2514" s="59"/>
      <c r="H2514" s="83"/>
      <c r="I2514" s="76"/>
      <c r="J2514" s="76"/>
      <c r="K2514" s="81"/>
      <c r="L2514" s="82"/>
      <c r="M2514" s="54"/>
      <c r="N2514" s="54"/>
      <c r="O2514" s="54"/>
      <c r="P2514" s="54"/>
      <c r="Q2514" s="54"/>
      <c r="R2514" s="54"/>
      <c r="S2514" s="54"/>
      <c r="T2514" s="54"/>
      <c r="U2514" s="54"/>
      <c r="V2514" s="54"/>
      <c r="W2514" s="54"/>
      <c r="X2514" s="54"/>
      <c r="Y2514" s="54"/>
      <c r="Z2514" s="54"/>
      <c r="AA2514" s="54"/>
      <c r="AB2514" s="54"/>
      <c r="AC2514" s="54"/>
      <c r="AD2514" s="54"/>
      <c r="AE2514" s="54"/>
      <c r="AF2514" s="54"/>
      <c r="AG2514" s="54"/>
      <c r="AH2514" s="54"/>
    </row>
    <row r="2515">
      <c r="A2515" s="80"/>
      <c r="B2515" s="80"/>
      <c r="C2515" s="80"/>
      <c r="D2515" s="80"/>
      <c r="E2515" s="80"/>
      <c r="F2515" s="59"/>
      <c r="G2515" s="59"/>
      <c r="H2515" s="83"/>
      <c r="I2515" s="76"/>
      <c r="J2515" s="76"/>
      <c r="K2515" s="81"/>
      <c r="L2515" s="82"/>
      <c r="M2515" s="54"/>
      <c r="N2515" s="54"/>
      <c r="O2515" s="54"/>
      <c r="P2515" s="54"/>
      <c r="Q2515" s="54"/>
      <c r="R2515" s="54"/>
      <c r="S2515" s="54"/>
      <c r="T2515" s="54"/>
      <c r="U2515" s="54"/>
      <c r="V2515" s="54"/>
      <c r="W2515" s="54"/>
      <c r="X2515" s="54"/>
      <c r="Y2515" s="54"/>
      <c r="Z2515" s="54"/>
      <c r="AA2515" s="54"/>
      <c r="AB2515" s="54"/>
      <c r="AC2515" s="54"/>
      <c r="AD2515" s="54"/>
      <c r="AE2515" s="54"/>
      <c r="AF2515" s="54"/>
      <c r="AG2515" s="54"/>
      <c r="AH2515" s="54"/>
    </row>
    <row r="2516">
      <c r="A2516" s="80"/>
      <c r="B2516" s="80"/>
      <c r="C2516" s="80"/>
      <c r="D2516" s="80"/>
      <c r="E2516" s="80"/>
      <c r="F2516" s="59"/>
      <c r="G2516" s="59"/>
      <c r="H2516" s="83"/>
      <c r="I2516" s="76"/>
      <c r="J2516" s="76"/>
      <c r="K2516" s="81"/>
      <c r="L2516" s="82"/>
      <c r="M2516" s="54"/>
      <c r="N2516" s="54"/>
      <c r="O2516" s="54"/>
      <c r="P2516" s="54"/>
      <c r="Q2516" s="54"/>
      <c r="R2516" s="54"/>
      <c r="S2516" s="54"/>
      <c r="T2516" s="54"/>
      <c r="U2516" s="54"/>
      <c r="V2516" s="54"/>
      <c r="W2516" s="54"/>
      <c r="X2516" s="54"/>
      <c r="Y2516" s="54"/>
      <c r="Z2516" s="54"/>
      <c r="AA2516" s="54"/>
      <c r="AB2516" s="54"/>
      <c r="AC2516" s="54"/>
      <c r="AD2516" s="54"/>
      <c r="AE2516" s="54"/>
      <c r="AF2516" s="54"/>
      <c r="AG2516" s="54"/>
      <c r="AH2516" s="54"/>
    </row>
    <row r="2517">
      <c r="A2517" s="80"/>
      <c r="B2517" s="80"/>
      <c r="C2517" s="80"/>
      <c r="D2517" s="80"/>
      <c r="E2517" s="80"/>
      <c r="F2517" s="59"/>
      <c r="G2517" s="59"/>
      <c r="H2517" s="83"/>
      <c r="I2517" s="76"/>
      <c r="J2517" s="76"/>
      <c r="K2517" s="81"/>
      <c r="L2517" s="82"/>
      <c r="M2517" s="54"/>
      <c r="N2517" s="54"/>
      <c r="O2517" s="54"/>
      <c r="P2517" s="54"/>
      <c r="Q2517" s="54"/>
      <c r="R2517" s="54"/>
      <c r="S2517" s="54"/>
      <c r="T2517" s="54"/>
      <c r="U2517" s="54"/>
      <c r="V2517" s="54"/>
      <c r="W2517" s="54"/>
      <c r="X2517" s="54"/>
      <c r="Y2517" s="54"/>
      <c r="Z2517" s="54"/>
      <c r="AA2517" s="54"/>
      <c r="AB2517" s="54"/>
      <c r="AC2517" s="54"/>
      <c r="AD2517" s="54"/>
      <c r="AE2517" s="54"/>
      <c r="AF2517" s="54"/>
      <c r="AG2517" s="54"/>
      <c r="AH2517" s="54"/>
    </row>
    <row r="2518">
      <c r="A2518" s="80"/>
      <c r="B2518" s="80"/>
      <c r="C2518" s="80"/>
      <c r="D2518" s="80"/>
      <c r="E2518" s="80"/>
      <c r="F2518" s="59"/>
      <c r="G2518" s="59"/>
      <c r="H2518" s="83"/>
      <c r="I2518" s="76"/>
      <c r="J2518" s="76"/>
      <c r="K2518" s="81"/>
      <c r="L2518" s="82"/>
      <c r="M2518" s="54"/>
      <c r="N2518" s="54"/>
      <c r="O2518" s="54"/>
      <c r="P2518" s="54"/>
      <c r="Q2518" s="54"/>
      <c r="R2518" s="54"/>
      <c r="S2518" s="54"/>
      <c r="T2518" s="54"/>
      <c r="U2518" s="54"/>
      <c r="V2518" s="54"/>
      <c r="W2518" s="54"/>
      <c r="X2518" s="54"/>
      <c r="Y2518" s="54"/>
      <c r="Z2518" s="54"/>
      <c r="AA2518" s="54"/>
      <c r="AB2518" s="54"/>
      <c r="AC2518" s="54"/>
      <c r="AD2518" s="54"/>
      <c r="AE2518" s="54"/>
      <c r="AF2518" s="54"/>
      <c r="AG2518" s="54"/>
      <c r="AH2518" s="54"/>
    </row>
    <row r="2519">
      <c r="A2519" s="80"/>
      <c r="B2519" s="80"/>
      <c r="C2519" s="80"/>
      <c r="D2519" s="80"/>
      <c r="E2519" s="80"/>
      <c r="F2519" s="59"/>
      <c r="G2519" s="59"/>
      <c r="H2519" s="83"/>
      <c r="I2519" s="76"/>
      <c r="J2519" s="76"/>
      <c r="K2519" s="81"/>
      <c r="L2519" s="82"/>
      <c r="M2519" s="54"/>
      <c r="N2519" s="54"/>
      <c r="O2519" s="54"/>
      <c r="P2519" s="54"/>
      <c r="Q2519" s="54"/>
      <c r="R2519" s="54"/>
      <c r="S2519" s="54"/>
      <c r="T2519" s="54"/>
      <c r="U2519" s="54"/>
      <c r="V2519" s="54"/>
      <c r="W2519" s="54"/>
      <c r="X2519" s="54"/>
      <c r="Y2519" s="54"/>
      <c r="Z2519" s="54"/>
      <c r="AA2519" s="54"/>
      <c r="AB2519" s="54"/>
      <c r="AC2519" s="54"/>
      <c r="AD2519" s="54"/>
      <c r="AE2519" s="54"/>
      <c r="AF2519" s="54"/>
      <c r="AG2519" s="54"/>
      <c r="AH2519" s="54"/>
    </row>
    <row r="2520">
      <c r="A2520" s="80"/>
      <c r="B2520" s="80"/>
      <c r="C2520" s="80"/>
      <c r="D2520" s="80"/>
      <c r="E2520" s="80"/>
      <c r="F2520" s="59"/>
      <c r="G2520" s="59"/>
      <c r="H2520" s="83"/>
      <c r="I2520" s="76"/>
      <c r="J2520" s="76"/>
      <c r="K2520" s="81"/>
      <c r="L2520" s="82"/>
      <c r="M2520" s="54"/>
      <c r="N2520" s="54"/>
      <c r="O2520" s="54"/>
      <c r="P2520" s="54"/>
      <c r="Q2520" s="54"/>
      <c r="R2520" s="54"/>
      <c r="S2520" s="54"/>
      <c r="T2520" s="54"/>
      <c r="U2520" s="54"/>
      <c r="V2520" s="54"/>
      <c r="W2520" s="54"/>
      <c r="X2520" s="54"/>
      <c r="Y2520" s="54"/>
      <c r="Z2520" s="54"/>
      <c r="AA2520" s="54"/>
      <c r="AB2520" s="54"/>
      <c r="AC2520" s="54"/>
      <c r="AD2520" s="54"/>
      <c r="AE2520" s="54"/>
      <c r="AF2520" s="54"/>
      <c r="AG2520" s="54"/>
      <c r="AH2520" s="54"/>
    </row>
    <row r="2521">
      <c r="A2521" s="80"/>
      <c r="B2521" s="80"/>
      <c r="C2521" s="80"/>
      <c r="D2521" s="80"/>
      <c r="E2521" s="80"/>
      <c r="F2521" s="59"/>
      <c r="G2521" s="59"/>
      <c r="H2521" s="83"/>
      <c r="I2521" s="76"/>
      <c r="J2521" s="76"/>
      <c r="K2521" s="81"/>
      <c r="L2521" s="82"/>
      <c r="M2521" s="54"/>
      <c r="N2521" s="54"/>
      <c r="O2521" s="54"/>
      <c r="P2521" s="54"/>
      <c r="Q2521" s="54"/>
      <c r="R2521" s="54"/>
      <c r="S2521" s="54"/>
      <c r="T2521" s="54"/>
      <c r="U2521" s="54"/>
      <c r="V2521" s="54"/>
      <c r="W2521" s="54"/>
      <c r="X2521" s="54"/>
      <c r="Y2521" s="54"/>
      <c r="Z2521" s="54"/>
      <c r="AA2521" s="54"/>
      <c r="AB2521" s="54"/>
      <c r="AC2521" s="54"/>
      <c r="AD2521" s="54"/>
      <c r="AE2521" s="54"/>
      <c r="AF2521" s="54"/>
      <c r="AG2521" s="54"/>
      <c r="AH2521" s="54"/>
    </row>
    <row r="2522">
      <c r="A2522" s="80"/>
      <c r="B2522" s="80"/>
      <c r="C2522" s="80"/>
      <c r="D2522" s="80"/>
      <c r="E2522" s="80"/>
      <c r="F2522" s="59"/>
      <c r="G2522" s="59"/>
      <c r="H2522" s="83"/>
      <c r="I2522" s="76"/>
      <c r="J2522" s="76"/>
      <c r="K2522" s="81"/>
      <c r="L2522" s="82"/>
      <c r="M2522" s="54"/>
      <c r="N2522" s="54"/>
      <c r="O2522" s="54"/>
      <c r="P2522" s="54"/>
      <c r="Q2522" s="54"/>
      <c r="R2522" s="54"/>
      <c r="S2522" s="54"/>
      <c r="T2522" s="54"/>
      <c r="U2522" s="54"/>
      <c r="V2522" s="54"/>
      <c r="W2522" s="54"/>
      <c r="X2522" s="54"/>
      <c r="Y2522" s="54"/>
      <c r="Z2522" s="54"/>
      <c r="AA2522" s="54"/>
      <c r="AB2522" s="54"/>
      <c r="AC2522" s="54"/>
      <c r="AD2522" s="54"/>
      <c r="AE2522" s="54"/>
      <c r="AF2522" s="54"/>
      <c r="AG2522" s="54"/>
      <c r="AH2522" s="54"/>
    </row>
    <row r="2523">
      <c r="A2523" s="80"/>
      <c r="B2523" s="80"/>
      <c r="C2523" s="80"/>
      <c r="D2523" s="80"/>
      <c r="E2523" s="80"/>
      <c r="F2523" s="59"/>
      <c r="G2523" s="59"/>
      <c r="H2523" s="83"/>
      <c r="I2523" s="76"/>
      <c r="J2523" s="76"/>
      <c r="K2523" s="81"/>
      <c r="L2523" s="82"/>
      <c r="M2523" s="54"/>
      <c r="N2523" s="54"/>
      <c r="O2523" s="54"/>
      <c r="P2523" s="54"/>
      <c r="Q2523" s="54"/>
      <c r="R2523" s="54"/>
      <c r="S2523" s="54"/>
      <c r="T2523" s="54"/>
      <c r="U2523" s="54"/>
      <c r="V2523" s="54"/>
      <c r="W2523" s="54"/>
      <c r="X2523" s="54"/>
      <c r="Y2523" s="54"/>
      <c r="Z2523" s="54"/>
      <c r="AA2523" s="54"/>
      <c r="AB2523" s="54"/>
      <c r="AC2523" s="54"/>
      <c r="AD2523" s="54"/>
      <c r="AE2523" s="54"/>
      <c r="AF2523" s="54"/>
      <c r="AG2523" s="54"/>
      <c r="AH2523" s="54"/>
    </row>
    <row r="2524">
      <c r="A2524" s="80"/>
      <c r="B2524" s="80"/>
      <c r="C2524" s="80"/>
      <c r="D2524" s="80"/>
      <c r="E2524" s="80"/>
      <c r="F2524" s="59"/>
      <c r="G2524" s="59"/>
      <c r="H2524" s="83"/>
      <c r="I2524" s="76"/>
      <c r="J2524" s="76"/>
      <c r="K2524" s="81"/>
      <c r="L2524" s="82"/>
      <c r="M2524" s="54"/>
      <c r="N2524" s="54"/>
      <c r="O2524" s="54"/>
      <c r="P2524" s="54"/>
      <c r="Q2524" s="54"/>
      <c r="R2524" s="54"/>
      <c r="S2524" s="54"/>
      <c r="T2524" s="54"/>
      <c r="U2524" s="54"/>
      <c r="V2524" s="54"/>
      <c r="W2524" s="54"/>
      <c r="X2524" s="54"/>
      <c r="Y2524" s="54"/>
      <c r="Z2524" s="54"/>
      <c r="AA2524" s="54"/>
      <c r="AB2524" s="54"/>
      <c r="AC2524" s="54"/>
      <c r="AD2524" s="54"/>
      <c r="AE2524" s="54"/>
      <c r="AF2524" s="54"/>
      <c r="AG2524" s="54"/>
      <c r="AH2524" s="54"/>
    </row>
    <row r="2525">
      <c r="A2525" s="80"/>
      <c r="B2525" s="80"/>
      <c r="C2525" s="80"/>
      <c r="D2525" s="80"/>
      <c r="E2525" s="80"/>
      <c r="F2525" s="59"/>
      <c r="G2525" s="59"/>
      <c r="H2525" s="83"/>
      <c r="I2525" s="76"/>
      <c r="J2525" s="76"/>
      <c r="K2525" s="81"/>
      <c r="L2525" s="82"/>
      <c r="M2525" s="54"/>
      <c r="N2525" s="54"/>
      <c r="O2525" s="54"/>
      <c r="P2525" s="54"/>
      <c r="Q2525" s="54"/>
      <c r="R2525" s="54"/>
      <c r="S2525" s="54"/>
      <c r="T2525" s="54"/>
      <c r="U2525" s="54"/>
      <c r="V2525" s="54"/>
      <c r="W2525" s="54"/>
      <c r="X2525" s="54"/>
      <c r="Y2525" s="54"/>
      <c r="Z2525" s="54"/>
      <c r="AA2525" s="54"/>
      <c r="AB2525" s="54"/>
      <c r="AC2525" s="54"/>
      <c r="AD2525" s="54"/>
      <c r="AE2525" s="54"/>
      <c r="AF2525" s="54"/>
      <c r="AG2525" s="54"/>
      <c r="AH2525" s="54"/>
    </row>
    <row r="2526">
      <c r="A2526" s="80"/>
      <c r="B2526" s="80"/>
      <c r="C2526" s="80"/>
      <c r="D2526" s="80"/>
      <c r="E2526" s="80"/>
      <c r="F2526" s="59"/>
      <c r="G2526" s="59"/>
      <c r="H2526" s="83"/>
      <c r="I2526" s="76"/>
      <c r="J2526" s="76"/>
      <c r="K2526" s="81"/>
      <c r="L2526" s="82"/>
      <c r="M2526" s="54"/>
      <c r="N2526" s="54"/>
      <c r="O2526" s="54"/>
      <c r="P2526" s="54"/>
      <c r="Q2526" s="54"/>
      <c r="R2526" s="54"/>
      <c r="S2526" s="54"/>
      <c r="T2526" s="54"/>
      <c r="U2526" s="54"/>
      <c r="V2526" s="54"/>
      <c r="W2526" s="54"/>
      <c r="X2526" s="54"/>
      <c r="Y2526" s="54"/>
      <c r="Z2526" s="54"/>
      <c r="AA2526" s="54"/>
      <c r="AB2526" s="54"/>
      <c r="AC2526" s="54"/>
      <c r="AD2526" s="54"/>
      <c r="AE2526" s="54"/>
      <c r="AF2526" s="54"/>
      <c r="AG2526" s="54"/>
      <c r="AH2526" s="54"/>
    </row>
    <row r="2527">
      <c r="A2527" s="80"/>
      <c r="B2527" s="80"/>
      <c r="C2527" s="80"/>
      <c r="D2527" s="80"/>
      <c r="E2527" s="80"/>
      <c r="F2527" s="59"/>
      <c r="G2527" s="59"/>
      <c r="H2527" s="83"/>
      <c r="I2527" s="76"/>
      <c r="J2527" s="76"/>
      <c r="K2527" s="81"/>
      <c r="L2527" s="82"/>
      <c r="M2527" s="54"/>
      <c r="N2527" s="54"/>
      <c r="O2527" s="54"/>
      <c r="P2527" s="54"/>
      <c r="Q2527" s="54"/>
      <c r="R2527" s="54"/>
      <c r="S2527" s="54"/>
      <c r="T2527" s="54"/>
      <c r="U2527" s="54"/>
      <c r="V2527" s="54"/>
      <c r="W2527" s="54"/>
      <c r="X2527" s="54"/>
      <c r="Y2527" s="54"/>
      <c r="Z2527" s="54"/>
      <c r="AA2527" s="54"/>
      <c r="AB2527" s="54"/>
      <c r="AC2527" s="54"/>
      <c r="AD2527" s="54"/>
      <c r="AE2527" s="54"/>
      <c r="AF2527" s="54"/>
      <c r="AG2527" s="54"/>
      <c r="AH2527" s="54"/>
    </row>
    <row r="2528">
      <c r="A2528" s="80"/>
      <c r="B2528" s="80"/>
      <c r="C2528" s="80"/>
      <c r="D2528" s="80"/>
      <c r="E2528" s="80"/>
      <c r="F2528" s="59"/>
      <c r="G2528" s="59"/>
      <c r="H2528" s="83"/>
      <c r="I2528" s="76"/>
      <c r="J2528" s="76"/>
      <c r="K2528" s="81"/>
      <c r="L2528" s="82"/>
      <c r="M2528" s="54"/>
      <c r="N2528" s="54"/>
      <c r="O2528" s="54"/>
      <c r="P2528" s="54"/>
      <c r="Q2528" s="54"/>
      <c r="R2528" s="54"/>
      <c r="S2528" s="54"/>
      <c r="T2528" s="54"/>
      <c r="U2528" s="54"/>
      <c r="V2528" s="54"/>
      <c r="W2528" s="54"/>
      <c r="X2528" s="54"/>
      <c r="Y2528" s="54"/>
      <c r="Z2528" s="54"/>
      <c r="AA2528" s="54"/>
      <c r="AB2528" s="54"/>
      <c r="AC2528" s="54"/>
      <c r="AD2528" s="54"/>
      <c r="AE2528" s="54"/>
      <c r="AF2528" s="54"/>
      <c r="AG2528" s="54"/>
      <c r="AH2528" s="54"/>
    </row>
    <row r="2529">
      <c r="A2529" s="80"/>
      <c r="B2529" s="80"/>
      <c r="C2529" s="80"/>
      <c r="D2529" s="80"/>
      <c r="E2529" s="80"/>
      <c r="F2529" s="59"/>
      <c r="G2529" s="59"/>
      <c r="H2529" s="83"/>
      <c r="I2529" s="76"/>
      <c r="J2529" s="76"/>
      <c r="K2529" s="81"/>
      <c r="L2529" s="82"/>
      <c r="M2529" s="54"/>
      <c r="N2529" s="54"/>
      <c r="O2529" s="54"/>
      <c r="P2529" s="54"/>
      <c r="Q2529" s="54"/>
      <c r="R2529" s="54"/>
      <c r="S2529" s="54"/>
      <c r="T2529" s="54"/>
      <c r="U2529" s="54"/>
      <c r="V2529" s="54"/>
      <c r="W2529" s="54"/>
      <c r="X2529" s="54"/>
      <c r="Y2529" s="54"/>
      <c r="Z2529" s="54"/>
      <c r="AA2529" s="54"/>
      <c r="AB2529" s="54"/>
      <c r="AC2529" s="54"/>
      <c r="AD2529" s="54"/>
      <c r="AE2529" s="54"/>
      <c r="AF2529" s="54"/>
      <c r="AG2529" s="54"/>
      <c r="AH2529" s="54"/>
    </row>
    <row r="2530">
      <c r="A2530" s="80"/>
      <c r="B2530" s="80"/>
      <c r="C2530" s="80"/>
      <c r="D2530" s="80"/>
      <c r="E2530" s="80"/>
      <c r="F2530" s="59"/>
      <c r="G2530" s="59"/>
      <c r="H2530" s="83"/>
      <c r="I2530" s="76"/>
      <c r="J2530" s="76"/>
      <c r="K2530" s="81"/>
      <c r="L2530" s="82"/>
      <c r="M2530" s="54"/>
      <c r="N2530" s="54"/>
      <c r="O2530" s="54"/>
      <c r="P2530" s="54"/>
      <c r="Q2530" s="54"/>
      <c r="R2530" s="54"/>
      <c r="S2530" s="54"/>
      <c r="T2530" s="54"/>
      <c r="U2530" s="54"/>
      <c r="V2530" s="54"/>
      <c r="W2530" s="54"/>
      <c r="X2530" s="54"/>
      <c r="Y2530" s="54"/>
      <c r="Z2530" s="54"/>
      <c r="AA2530" s="54"/>
      <c r="AB2530" s="54"/>
      <c r="AC2530" s="54"/>
      <c r="AD2530" s="54"/>
      <c r="AE2530" s="54"/>
      <c r="AF2530" s="54"/>
      <c r="AG2530" s="54"/>
      <c r="AH2530" s="54"/>
    </row>
    <row r="2531">
      <c r="A2531" s="80"/>
      <c r="B2531" s="80"/>
      <c r="C2531" s="80"/>
      <c r="D2531" s="80"/>
      <c r="E2531" s="80"/>
      <c r="F2531" s="59"/>
      <c r="G2531" s="59"/>
      <c r="H2531" s="83"/>
      <c r="I2531" s="76"/>
      <c r="J2531" s="76"/>
      <c r="K2531" s="81"/>
      <c r="L2531" s="82"/>
      <c r="M2531" s="54"/>
      <c r="N2531" s="54"/>
      <c r="O2531" s="54"/>
      <c r="P2531" s="54"/>
      <c r="Q2531" s="54"/>
      <c r="R2531" s="54"/>
      <c r="S2531" s="54"/>
      <c r="T2531" s="54"/>
      <c r="U2531" s="54"/>
      <c r="V2531" s="54"/>
      <c r="W2531" s="54"/>
      <c r="X2531" s="54"/>
      <c r="Y2531" s="54"/>
      <c r="Z2531" s="54"/>
      <c r="AA2531" s="54"/>
      <c r="AB2531" s="54"/>
      <c r="AC2531" s="54"/>
      <c r="AD2531" s="54"/>
      <c r="AE2531" s="54"/>
      <c r="AF2531" s="54"/>
      <c r="AG2531" s="54"/>
      <c r="AH2531" s="54"/>
    </row>
    <row r="2532">
      <c r="A2532" s="80"/>
      <c r="B2532" s="80"/>
      <c r="C2532" s="80"/>
      <c r="D2532" s="80"/>
      <c r="E2532" s="80"/>
      <c r="F2532" s="59"/>
      <c r="G2532" s="59"/>
      <c r="H2532" s="83"/>
      <c r="I2532" s="76"/>
      <c r="J2532" s="76"/>
      <c r="K2532" s="81"/>
      <c r="L2532" s="82"/>
      <c r="M2532" s="54"/>
      <c r="N2532" s="54"/>
      <c r="O2532" s="54"/>
      <c r="P2532" s="54"/>
      <c r="Q2532" s="54"/>
      <c r="R2532" s="54"/>
      <c r="S2532" s="54"/>
      <c r="T2532" s="54"/>
      <c r="U2532" s="54"/>
      <c r="V2532" s="54"/>
      <c r="W2532" s="54"/>
      <c r="X2532" s="54"/>
      <c r="Y2532" s="54"/>
      <c r="Z2532" s="54"/>
      <c r="AA2532" s="54"/>
      <c r="AB2532" s="54"/>
      <c r="AC2532" s="54"/>
      <c r="AD2532" s="54"/>
      <c r="AE2532" s="54"/>
      <c r="AF2532" s="54"/>
      <c r="AG2532" s="54"/>
      <c r="AH2532" s="54"/>
    </row>
    <row r="2533">
      <c r="A2533" s="80"/>
      <c r="B2533" s="80"/>
      <c r="C2533" s="80"/>
      <c r="D2533" s="80"/>
      <c r="E2533" s="80"/>
      <c r="F2533" s="59"/>
      <c r="G2533" s="59"/>
      <c r="H2533" s="83"/>
      <c r="I2533" s="76"/>
      <c r="J2533" s="76"/>
      <c r="K2533" s="81"/>
      <c r="L2533" s="82"/>
      <c r="M2533" s="54"/>
      <c r="N2533" s="54"/>
      <c r="O2533" s="54"/>
      <c r="P2533" s="54"/>
      <c r="Q2533" s="54"/>
      <c r="R2533" s="54"/>
      <c r="S2533" s="54"/>
      <c r="T2533" s="54"/>
      <c r="U2533" s="54"/>
      <c r="V2533" s="54"/>
      <c r="W2533" s="54"/>
      <c r="X2533" s="54"/>
      <c r="Y2533" s="54"/>
      <c r="Z2533" s="54"/>
      <c r="AA2533" s="54"/>
      <c r="AB2533" s="54"/>
      <c r="AC2533" s="54"/>
      <c r="AD2533" s="54"/>
      <c r="AE2533" s="54"/>
      <c r="AF2533" s="54"/>
      <c r="AG2533" s="54"/>
      <c r="AH2533" s="54"/>
    </row>
    <row r="2534">
      <c r="A2534" s="80"/>
      <c r="B2534" s="80"/>
      <c r="C2534" s="80"/>
      <c r="D2534" s="80"/>
      <c r="E2534" s="80"/>
      <c r="F2534" s="59"/>
      <c r="G2534" s="59"/>
      <c r="H2534" s="83"/>
      <c r="I2534" s="76"/>
      <c r="J2534" s="76"/>
      <c r="K2534" s="81"/>
      <c r="L2534" s="82"/>
      <c r="M2534" s="54"/>
      <c r="N2534" s="54"/>
      <c r="O2534" s="54"/>
      <c r="P2534" s="54"/>
      <c r="Q2534" s="54"/>
      <c r="R2534" s="54"/>
      <c r="S2534" s="54"/>
      <c r="T2534" s="54"/>
      <c r="U2534" s="54"/>
      <c r="V2534" s="54"/>
      <c r="W2534" s="54"/>
      <c r="X2534" s="54"/>
      <c r="Y2534" s="54"/>
      <c r="Z2534" s="54"/>
      <c r="AA2534" s="54"/>
      <c r="AB2534" s="54"/>
      <c r="AC2534" s="54"/>
      <c r="AD2534" s="54"/>
      <c r="AE2534" s="54"/>
      <c r="AF2534" s="54"/>
      <c r="AG2534" s="54"/>
      <c r="AH2534" s="54"/>
    </row>
    <row r="2535">
      <c r="A2535" s="80"/>
      <c r="B2535" s="80"/>
      <c r="C2535" s="80"/>
      <c r="D2535" s="80"/>
      <c r="E2535" s="80"/>
      <c r="F2535" s="59"/>
      <c r="G2535" s="59"/>
      <c r="H2535" s="83"/>
      <c r="I2535" s="76"/>
      <c r="J2535" s="76"/>
      <c r="K2535" s="81"/>
      <c r="L2535" s="82"/>
      <c r="M2535" s="54"/>
      <c r="N2535" s="54"/>
      <c r="O2535" s="54"/>
      <c r="P2535" s="54"/>
      <c r="Q2535" s="54"/>
      <c r="R2535" s="54"/>
      <c r="S2535" s="54"/>
      <c r="T2535" s="54"/>
      <c r="U2535" s="54"/>
      <c r="V2535" s="54"/>
      <c r="W2535" s="54"/>
      <c r="X2535" s="54"/>
      <c r="Y2535" s="54"/>
      <c r="Z2535" s="54"/>
      <c r="AA2535" s="54"/>
      <c r="AB2535" s="54"/>
      <c r="AC2535" s="54"/>
      <c r="AD2535" s="54"/>
      <c r="AE2535" s="54"/>
      <c r="AF2535" s="54"/>
      <c r="AG2535" s="54"/>
      <c r="AH2535" s="54"/>
    </row>
    <row r="2536">
      <c r="A2536" s="80"/>
      <c r="B2536" s="80"/>
      <c r="C2536" s="80"/>
      <c r="D2536" s="80"/>
      <c r="E2536" s="80"/>
      <c r="F2536" s="59"/>
      <c r="G2536" s="59"/>
      <c r="H2536" s="83"/>
      <c r="I2536" s="76"/>
      <c r="J2536" s="76"/>
      <c r="K2536" s="81"/>
      <c r="L2536" s="82"/>
      <c r="M2536" s="54"/>
      <c r="N2536" s="54"/>
      <c r="O2536" s="54"/>
      <c r="P2536" s="54"/>
      <c r="Q2536" s="54"/>
      <c r="R2536" s="54"/>
      <c r="S2536" s="54"/>
      <c r="T2536" s="54"/>
      <c r="U2536" s="54"/>
      <c r="V2536" s="54"/>
      <c r="W2536" s="54"/>
      <c r="X2536" s="54"/>
      <c r="Y2536" s="54"/>
      <c r="Z2536" s="54"/>
      <c r="AA2536" s="54"/>
      <c r="AB2536" s="54"/>
      <c r="AC2536" s="54"/>
      <c r="AD2536" s="54"/>
      <c r="AE2536" s="54"/>
      <c r="AF2536" s="54"/>
      <c r="AG2536" s="54"/>
      <c r="AH2536" s="54"/>
    </row>
    <row r="2537">
      <c r="A2537" s="80"/>
      <c r="B2537" s="80"/>
      <c r="C2537" s="80"/>
      <c r="D2537" s="80"/>
      <c r="E2537" s="80"/>
      <c r="F2537" s="59"/>
      <c r="G2537" s="59"/>
      <c r="H2537" s="83"/>
      <c r="I2537" s="76"/>
      <c r="J2537" s="76"/>
      <c r="K2537" s="81"/>
      <c r="L2537" s="82"/>
      <c r="M2537" s="54"/>
      <c r="N2537" s="54"/>
      <c r="O2537" s="54"/>
      <c r="P2537" s="54"/>
      <c r="Q2537" s="54"/>
      <c r="R2537" s="54"/>
      <c r="S2537" s="54"/>
      <c r="T2537" s="54"/>
      <c r="U2537" s="54"/>
      <c r="V2537" s="54"/>
      <c r="W2537" s="54"/>
      <c r="X2537" s="54"/>
      <c r="Y2537" s="54"/>
      <c r="Z2537" s="54"/>
      <c r="AA2537" s="54"/>
      <c r="AB2537" s="54"/>
      <c r="AC2537" s="54"/>
      <c r="AD2537" s="54"/>
      <c r="AE2537" s="54"/>
      <c r="AF2537" s="54"/>
      <c r="AG2537" s="54"/>
      <c r="AH2537" s="54"/>
    </row>
    <row r="2538">
      <c r="A2538" s="80"/>
      <c r="B2538" s="80"/>
      <c r="C2538" s="80"/>
      <c r="D2538" s="80"/>
      <c r="E2538" s="80"/>
      <c r="F2538" s="59"/>
      <c r="G2538" s="59"/>
      <c r="H2538" s="83"/>
      <c r="I2538" s="76"/>
      <c r="J2538" s="76"/>
      <c r="K2538" s="81"/>
      <c r="L2538" s="82"/>
      <c r="M2538" s="54"/>
      <c r="N2538" s="54"/>
      <c r="O2538" s="54"/>
      <c r="P2538" s="54"/>
      <c r="Q2538" s="54"/>
      <c r="R2538" s="54"/>
      <c r="S2538" s="54"/>
      <c r="T2538" s="54"/>
      <c r="U2538" s="54"/>
      <c r="V2538" s="54"/>
      <c r="W2538" s="54"/>
      <c r="X2538" s="54"/>
      <c r="Y2538" s="54"/>
      <c r="Z2538" s="54"/>
      <c r="AA2538" s="54"/>
      <c r="AB2538" s="54"/>
      <c r="AC2538" s="54"/>
      <c r="AD2538" s="54"/>
      <c r="AE2538" s="54"/>
      <c r="AF2538" s="54"/>
      <c r="AG2538" s="54"/>
      <c r="AH2538" s="54"/>
    </row>
    <row r="2539">
      <c r="A2539" s="80"/>
      <c r="B2539" s="80"/>
      <c r="C2539" s="80"/>
      <c r="D2539" s="80"/>
      <c r="E2539" s="80"/>
      <c r="F2539" s="59"/>
      <c r="G2539" s="59"/>
      <c r="H2539" s="83"/>
      <c r="I2539" s="76"/>
      <c r="J2539" s="76"/>
      <c r="K2539" s="81"/>
      <c r="L2539" s="82"/>
      <c r="M2539" s="54"/>
      <c r="N2539" s="54"/>
      <c r="O2539" s="54"/>
      <c r="P2539" s="54"/>
      <c r="Q2539" s="54"/>
      <c r="R2539" s="54"/>
      <c r="S2539" s="54"/>
      <c r="T2539" s="54"/>
      <c r="U2539" s="54"/>
      <c r="V2539" s="54"/>
      <c r="W2539" s="54"/>
      <c r="X2539" s="54"/>
      <c r="Y2539" s="54"/>
      <c r="Z2539" s="54"/>
      <c r="AA2539" s="54"/>
      <c r="AB2539" s="54"/>
      <c r="AC2539" s="54"/>
      <c r="AD2539" s="54"/>
      <c r="AE2539" s="54"/>
      <c r="AF2539" s="54"/>
      <c r="AG2539" s="54"/>
      <c r="AH2539" s="54"/>
    </row>
    <row r="2540">
      <c r="A2540" s="80"/>
      <c r="B2540" s="80"/>
      <c r="C2540" s="80"/>
      <c r="D2540" s="80"/>
      <c r="E2540" s="80"/>
      <c r="F2540" s="59"/>
      <c r="G2540" s="59"/>
      <c r="H2540" s="83"/>
      <c r="I2540" s="76"/>
      <c r="J2540" s="76"/>
      <c r="K2540" s="81"/>
      <c r="L2540" s="82"/>
      <c r="M2540" s="54"/>
      <c r="N2540" s="54"/>
      <c r="O2540" s="54"/>
      <c r="P2540" s="54"/>
      <c r="Q2540" s="54"/>
      <c r="R2540" s="54"/>
      <c r="S2540" s="54"/>
      <c r="T2540" s="54"/>
      <c r="U2540" s="54"/>
      <c r="V2540" s="54"/>
      <c r="W2540" s="54"/>
      <c r="X2540" s="54"/>
      <c r="Y2540" s="54"/>
      <c r="Z2540" s="54"/>
      <c r="AA2540" s="54"/>
      <c r="AB2540" s="54"/>
      <c r="AC2540" s="54"/>
      <c r="AD2540" s="54"/>
      <c r="AE2540" s="54"/>
      <c r="AF2540" s="54"/>
      <c r="AG2540" s="54"/>
      <c r="AH2540" s="54"/>
    </row>
    <row r="2541">
      <c r="A2541" s="80"/>
      <c r="B2541" s="80"/>
      <c r="C2541" s="80"/>
      <c r="D2541" s="80"/>
      <c r="E2541" s="80"/>
      <c r="F2541" s="59"/>
      <c r="G2541" s="59"/>
      <c r="H2541" s="83"/>
      <c r="I2541" s="76"/>
      <c r="J2541" s="76"/>
      <c r="K2541" s="81"/>
      <c r="L2541" s="82"/>
      <c r="M2541" s="54"/>
      <c r="N2541" s="54"/>
      <c r="O2541" s="54"/>
      <c r="P2541" s="54"/>
      <c r="Q2541" s="54"/>
      <c r="R2541" s="54"/>
      <c r="S2541" s="54"/>
      <c r="T2541" s="54"/>
      <c r="U2541" s="54"/>
      <c r="V2541" s="54"/>
      <c r="W2541" s="54"/>
      <c r="X2541" s="54"/>
      <c r="Y2541" s="54"/>
      <c r="Z2541" s="54"/>
      <c r="AA2541" s="54"/>
      <c r="AB2541" s="54"/>
      <c r="AC2541" s="54"/>
      <c r="AD2541" s="54"/>
      <c r="AE2541" s="54"/>
      <c r="AF2541" s="54"/>
      <c r="AG2541" s="54"/>
      <c r="AH2541" s="54"/>
    </row>
    <row r="2542">
      <c r="A2542" s="80"/>
      <c r="B2542" s="80"/>
      <c r="C2542" s="80"/>
      <c r="D2542" s="80"/>
      <c r="E2542" s="80"/>
      <c r="F2542" s="59"/>
      <c r="G2542" s="59"/>
      <c r="H2542" s="83"/>
      <c r="I2542" s="76"/>
      <c r="J2542" s="76"/>
      <c r="K2542" s="81"/>
      <c r="L2542" s="82"/>
      <c r="M2542" s="54"/>
      <c r="N2542" s="54"/>
      <c r="O2542" s="54"/>
      <c r="P2542" s="54"/>
      <c r="Q2542" s="54"/>
      <c r="R2542" s="54"/>
      <c r="S2542" s="54"/>
      <c r="T2542" s="54"/>
      <c r="U2542" s="54"/>
      <c r="V2542" s="54"/>
      <c r="W2542" s="54"/>
      <c r="X2542" s="54"/>
      <c r="Y2542" s="54"/>
      <c r="Z2542" s="54"/>
      <c r="AA2542" s="54"/>
      <c r="AB2542" s="54"/>
      <c r="AC2542" s="54"/>
      <c r="AD2542" s="54"/>
      <c r="AE2542" s="54"/>
      <c r="AF2542" s="54"/>
      <c r="AG2542" s="54"/>
      <c r="AH2542" s="54"/>
    </row>
    <row r="2543">
      <c r="A2543" s="80"/>
      <c r="B2543" s="80"/>
      <c r="C2543" s="80"/>
      <c r="D2543" s="80"/>
      <c r="E2543" s="80"/>
      <c r="F2543" s="59"/>
      <c r="G2543" s="59"/>
      <c r="H2543" s="83"/>
      <c r="I2543" s="76"/>
      <c r="J2543" s="76"/>
      <c r="K2543" s="81"/>
      <c r="L2543" s="82"/>
      <c r="M2543" s="54"/>
      <c r="N2543" s="54"/>
      <c r="O2543" s="54"/>
      <c r="P2543" s="54"/>
      <c r="Q2543" s="54"/>
      <c r="R2543" s="54"/>
      <c r="S2543" s="54"/>
      <c r="T2543" s="54"/>
      <c r="U2543" s="54"/>
      <c r="V2543" s="54"/>
      <c r="W2543" s="54"/>
      <c r="X2543" s="54"/>
      <c r="Y2543" s="54"/>
      <c r="Z2543" s="54"/>
      <c r="AA2543" s="54"/>
      <c r="AB2543" s="54"/>
      <c r="AC2543" s="54"/>
      <c r="AD2543" s="54"/>
      <c r="AE2543" s="54"/>
      <c r="AF2543" s="54"/>
      <c r="AG2543" s="54"/>
      <c r="AH2543" s="54"/>
    </row>
    <row r="2544">
      <c r="A2544" s="80"/>
      <c r="B2544" s="80"/>
      <c r="C2544" s="80"/>
      <c r="D2544" s="80"/>
      <c r="E2544" s="80"/>
      <c r="F2544" s="59"/>
      <c r="G2544" s="59"/>
      <c r="H2544" s="83"/>
      <c r="I2544" s="76"/>
      <c r="J2544" s="76"/>
      <c r="K2544" s="81"/>
      <c r="L2544" s="82"/>
      <c r="M2544" s="54"/>
      <c r="N2544" s="54"/>
      <c r="O2544" s="54"/>
      <c r="P2544" s="54"/>
      <c r="Q2544" s="54"/>
      <c r="R2544" s="54"/>
      <c r="S2544" s="54"/>
      <c r="T2544" s="54"/>
      <c r="U2544" s="54"/>
      <c r="V2544" s="54"/>
      <c r="W2544" s="54"/>
      <c r="X2544" s="54"/>
      <c r="Y2544" s="54"/>
      <c r="Z2544" s="54"/>
      <c r="AA2544" s="54"/>
      <c r="AB2544" s="54"/>
      <c r="AC2544" s="54"/>
      <c r="AD2544" s="54"/>
      <c r="AE2544" s="54"/>
      <c r="AF2544" s="54"/>
      <c r="AG2544" s="54"/>
      <c r="AH2544" s="54"/>
    </row>
    <row r="2545">
      <c r="A2545" s="80"/>
      <c r="B2545" s="80"/>
      <c r="C2545" s="80"/>
      <c r="D2545" s="80"/>
      <c r="E2545" s="80"/>
      <c r="F2545" s="59"/>
      <c r="G2545" s="59"/>
      <c r="H2545" s="83"/>
      <c r="I2545" s="76"/>
      <c r="J2545" s="76"/>
      <c r="K2545" s="81"/>
      <c r="L2545" s="82"/>
      <c r="M2545" s="54"/>
      <c r="N2545" s="54"/>
      <c r="O2545" s="54"/>
      <c r="P2545" s="54"/>
      <c r="Q2545" s="54"/>
      <c r="R2545" s="54"/>
      <c r="S2545" s="54"/>
      <c r="T2545" s="54"/>
      <c r="U2545" s="54"/>
      <c r="V2545" s="54"/>
      <c r="W2545" s="54"/>
      <c r="X2545" s="54"/>
      <c r="Y2545" s="54"/>
      <c r="Z2545" s="54"/>
      <c r="AA2545" s="54"/>
      <c r="AB2545" s="54"/>
      <c r="AC2545" s="54"/>
      <c r="AD2545" s="54"/>
      <c r="AE2545" s="54"/>
      <c r="AF2545" s="54"/>
      <c r="AG2545" s="54"/>
      <c r="AH2545" s="54"/>
    </row>
    <row r="2546">
      <c r="A2546" s="80"/>
      <c r="B2546" s="80"/>
      <c r="C2546" s="80"/>
      <c r="D2546" s="80"/>
      <c r="E2546" s="80"/>
      <c r="F2546" s="59"/>
      <c r="G2546" s="59"/>
      <c r="H2546" s="83"/>
      <c r="I2546" s="76"/>
      <c r="J2546" s="76"/>
      <c r="K2546" s="81"/>
      <c r="L2546" s="82"/>
      <c r="M2546" s="54"/>
      <c r="N2546" s="54"/>
      <c r="O2546" s="54"/>
      <c r="P2546" s="54"/>
      <c r="Q2546" s="54"/>
      <c r="R2546" s="54"/>
      <c r="S2546" s="54"/>
      <c r="T2546" s="54"/>
      <c r="U2546" s="54"/>
      <c r="V2546" s="54"/>
      <c r="W2546" s="54"/>
      <c r="X2546" s="54"/>
      <c r="Y2546" s="54"/>
      <c r="Z2546" s="54"/>
      <c r="AA2546" s="54"/>
      <c r="AB2546" s="54"/>
      <c r="AC2546" s="54"/>
      <c r="AD2546" s="54"/>
      <c r="AE2546" s="54"/>
      <c r="AF2546" s="54"/>
      <c r="AG2546" s="54"/>
      <c r="AH2546" s="54"/>
    </row>
    <row r="2547">
      <c r="A2547" s="80"/>
      <c r="B2547" s="80"/>
      <c r="C2547" s="80"/>
      <c r="D2547" s="80"/>
      <c r="E2547" s="80"/>
      <c r="F2547" s="59"/>
      <c r="G2547" s="59"/>
      <c r="H2547" s="83"/>
      <c r="I2547" s="76"/>
      <c r="J2547" s="76"/>
      <c r="K2547" s="81"/>
      <c r="L2547" s="82"/>
      <c r="M2547" s="54"/>
      <c r="N2547" s="54"/>
      <c r="O2547" s="54"/>
      <c r="P2547" s="54"/>
      <c r="Q2547" s="54"/>
      <c r="R2547" s="54"/>
      <c r="S2547" s="54"/>
      <c r="T2547" s="54"/>
      <c r="U2547" s="54"/>
      <c r="V2547" s="54"/>
      <c r="W2547" s="54"/>
      <c r="X2547" s="54"/>
      <c r="Y2547" s="54"/>
      <c r="Z2547" s="54"/>
      <c r="AA2547" s="54"/>
      <c r="AB2547" s="54"/>
      <c r="AC2547" s="54"/>
      <c r="AD2547" s="54"/>
      <c r="AE2547" s="54"/>
      <c r="AF2547" s="54"/>
      <c r="AG2547" s="54"/>
      <c r="AH2547" s="54"/>
    </row>
    <row r="2548">
      <c r="A2548" s="80"/>
      <c r="B2548" s="80"/>
      <c r="C2548" s="80"/>
      <c r="D2548" s="80"/>
      <c r="E2548" s="80"/>
      <c r="F2548" s="59"/>
      <c r="G2548" s="59"/>
      <c r="H2548" s="83"/>
      <c r="I2548" s="76"/>
      <c r="J2548" s="76"/>
      <c r="K2548" s="81"/>
      <c r="L2548" s="82"/>
      <c r="M2548" s="54"/>
      <c r="N2548" s="54"/>
      <c r="O2548" s="54"/>
      <c r="P2548" s="54"/>
      <c r="Q2548" s="54"/>
      <c r="R2548" s="54"/>
      <c r="S2548" s="54"/>
      <c r="T2548" s="54"/>
      <c r="U2548" s="54"/>
      <c r="V2548" s="54"/>
      <c r="W2548" s="54"/>
      <c r="X2548" s="54"/>
      <c r="Y2548" s="54"/>
      <c r="Z2548" s="54"/>
      <c r="AA2548" s="54"/>
      <c r="AB2548" s="54"/>
      <c r="AC2548" s="54"/>
      <c r="AD2548" s="54"/>
      <c r="AE2548" s="54"/>
      <c r="AF2548" s="54"/>
      <c r="AG2548" s="54"/>
      <c r="AH2548" s="54"/>
    </row>
    <row r="2549">
      <c r="A2549" s="80"/>
      <c r="B2549" s="80"/>
      <c r="C2549" s="80"/>
      <c r="D2549" s="80"/>
      <c r="E2549" s="80"/>
      <c r="F2549" s="59"/>
      <c r="G2549" s="59"/>
      <c r="H2549" s="83"/>
      <c r="I2549" s="76"/>
      <c r="J2549" s="76"/>
      <c r="K2549" s="81"/>
      <c r="L2549" s="82"/>
      <c r="M2549" s="54"/>
      <c r="N2549" s="54"/>
      <c r="O2549" s="54"/>
      <c r="P2549" s="54"/>
      <c r="Q2549" s="54"/>
      <c r="R2549" s="54"/>
      <c r="S2549" s="54"/>
      <c r="T2549" s="54"/>
      <c r="U2549" s="54"/>
      <c r="V2549" s="54"/>
      <c r="W2549" s="54"/>
      <c r="X2549" s="54"/>
      <c r="Y2549" s="54"/>
      <c r="Z2549" s="54"/>
      <c r="AA2549" s="54"/>
      <c r="AB2549" s="54"/>
      <c r="AC2549" s="54"/>
      <c r="AD2549" s="54"/>
      <c r="AE2549" s="54"/>
      <c r="AF2549" s="54"/>
      <c r="AG2549" s="54"/>
      <c r="AH2549" s="54"/>
    </row>
    <row r="2550">
      <c r="A2550" s="80"/>
      <c r="B2550" s="80"/>
      <c r="C2550" s="80"/>
      <c r="D2550" s="80"/>
      <c r="E2550" s="80"/>
      <c r="F2550" s="59"/>
      <c r="G2550" s="59"/>
      <c r="H2550" s="83"/>
      <c r="I2550" s="76"/>
      <c r="J2550" s="76"/>
      <c r="K2550" s="81"/>
      <c r="L2550" s="82"/>
      <c r="M2550" s="54"/>
      <c r="N2550" s="54"/>
      <c r="O2550" s="54"/>
      <c r="P2550" s="54"/>
      <c r="Q2550" s="54"/>
      <c r="R2550" s="54"/>
      <c r="S2550" s="54"/>
      <c r="T2550" s="54"/>
      <c r="U2550" s="54"/>
      <c r="V2550" s="54"/>
      <c r="W2550" s="54"/>
      <c r="X2550" s="54"/>
      <c r="Y2550" s="54"/>
      <c r="Z2550" s="54"/>
      <c r="AA2550" s="54"/>
      <c r="AB2550" s="54"/>
      <c r="AC2550" s="54"/>
      <c r="AD2550" s="54"/>
      <c r="AE2550" s="54"/>
      <c r="AF2550" s="54"/>
      <c r="AG2550" s="54"/>
      <c r="AH2550" s="54"/>
    </row>
    <row r="2551">
      <c r="A2551" s="80"/>
      <c r="B2551" s="80"/>
      <c r="C2551" s="80"/>
      <c r="D2551" s="80"/>
      <c r="E2551" s="80"/>
      <c r="F2551" s="59"/>
      <c r="G2551" s="59"/>
      <c r="H2551" s="83"/>
      <c r="I2551" s="76"/>
      <c r="J2551" s="76"/>
      <c r="K2551" s="81"/>
      <c r="L2551" s="82"/>
      <c r="M2551" s="54"/>
      <c r="N2551" s="54"/>
      <c r="O2551" s="54"/>
      <c r="P2551" s="54"/>
      <c r="Q2551" s="54"/>
      <c r="R2551" s="54"/>
      <c r="S2551" s="54"/>
      <c r="T2551" s="54"/>
      <c r="U2551" s="54"/>
      <c r="V2551" s="54"/>
      <c r="W2551" s="54"/>
      <c r="X2551" s="54"/>
      <c r="Y2551" s="54"/>
      <c r="Z2551" s="54"/>
      <c r="AA2551" s="54"/>
      <c r="AB2551" s="54"/>
      <c r="AC2551" s="54"/>
      <c r="AD2551" s="54"/>
      <c r="AE2551" s="54"/>
      <c r="AF2551" s="54"/>
      <c r="AG2551" s="54"/>
      <c r="AH2551" s="54"/>
    </row>
    <row r="2552">
      <c r="A2552" s="80"/>
      <c r="B2552" s="80"/>
      <c r="C2552" s="80"/>
      <c r="D2552" s="80"/>
      <c r="E2552" s="80"/>
      <c r="F2552" s="59"/>
      <c r="G2552" s="59"/>
      <c r="H2552" s="83"/>
      <c r="I2552" s="76"/>
      <c r="J2552" s="76"/>
      <c r="K2552" s="81"/>
      <c r="L2552" s="82"/>
      <c r="M2552" s="54"/>
      <c r="N2552" s="54"/>
      <c r="O2552" s="54"/>
      <c r="P2552" s="54"/>
      <c r="Q2552" s="54"/>
      <c r="R2552" s="54"/>
      <c r="S2552" s="54"/>
      <c r="T2552" s="54"/>
      <c r="U2552" s="54"/>
      <c r="V2552" s="54"/>
      <c r="W2552" s="54"/>
      <c r="X2552" s="54"/>
      <c r="Y2552" s="54"/>
      <c r="Z2552" s="54"/>
      <c r="AA2552" s="54"/>
      <c r="AB2552" s="54"/>
      <c r="AC2552" s="54"/>
      <c r="AD2552" s="54"/>
      <c r="AE2552" s="54"/>
      <c r="AF2552" s="54"/>
      <c r="AG2552" s="54"/>
      <c r="AH2552" s="54"/>
    </row>
    <row r="2553">
      <c r="A2553" s="80"/>
      <c r="B2553" s="80"/>
      <c r="C2553" s="80"/>
      <c r="D2553" s="80"/>
      <c r="E2553" s="80"/>
      <c r="F2553" s="59"/>
      <c r="G2553" s="59"/>
      <c r="H2553" s="83"/>
      <c r="I2553" s="76"/>
      <c r="J2553" s="76"/>
      <c r="K2553" s="81"/>
      <c r="L2553" s="82"/>
      <c r="M2553" s="54"/>
      <c r="N2553" s="54"/>
      <c r="O2553" s="54"/>
      <c r="P2553" s="54"/>
      <c r="Q2553" s="54"/>
      <c r="R2553" s="54"/>
      <c r="S2553" s="54"/>
      <c r="T2553" s="54"/>
      <c r="U2553" s="54"/>
      <c r="V2553" s="54"/>
      <c r="W2553" s="54"/>
      <c r="X2553" s="54"/>
      <c r="Y2553" s="54"/>
      <c r="Z2553" s="54"/>
      <c r="AA2553" s="54"/>
      <c r="AB2553" s="54"/>
      <c r="AC2553" s="54"/>
      <c r="AD2553" s="54"/>
      <c r="AE2553" s="54"/>
      <c r="AF2553" s="54"/>
      <c r="AG2553" s="54"/>
      <c r="AH2553" s="54"/>
    </row>
    <row r="2554">
      <c r="A2554" s="80"/>
      <c r="B2554" s="80"/>
      <c r="C2554" s="80"/>
      <c r="D2554" s="80"/>
      <c r="E2554" s="80"/>
      <c r="F2554" s="59"/>
      <c r="G2554" s="59"/>
      <c r="H2554" s="83"/>
      <c r="I2554" s="76"/>
      <c r="J2554" s="76"/>
      <c r="K2554" s="81"/>
      <c r="L2554" s="82"/>
      <c r="M2554" s="54"/>
      <c r="N2554" s="54"/>
      <c r="O2554" s="54"/>
      <c r="P2554" s="54"/>
      <c r="Q2554" s="54"/>
      <c r="R2554" s="54"/>
      <c r="S2554" s="54"/>
      <c r="T2554" s="54"/>
      <c r="U2554" s="54"/>
      <c r="V2554" s="54"/>
      <c r="W2554" s="54"/>
      <c r="X2554" s="54"/>
      <c r="Y2554" s="54"/>
      <c r="Z2554" s="54"/>
      <c r="AA2554" s="54"/>
      <c r="AB2554" s="54"/>
      <c r="AC2554" s="54"/>
      <c r="AD2554" s="54"/>
      <c r="AE2554" s="54"/>
      <c r="AF2554" s="54"/>
      <c r="AG2554" s="54"/>
      <c r="AH2554" s="54"/>
    </row>
    <row r="2555">
      <c r="A2555" s="80"/>
      <c r="B2555" s="80"/>
      <c r="C2555" s="80"/>
      <c r="D2555" s="80"/>
      <c r="E2555" s="80"/>
      <c r="F2555" s="59"/>
      <c r="G2555" s="59"/>
      <c r="H2555" s="83"/>
      <c r="I2555" s="76"/>
      <c r="J2555" s="76"/>
      <c r="K2555" s="81"/>
      <c r="L2555" s="82"/>
      <c r="M2555" s="54"/>
      <c r="N2555" s="54"/>
      <c r="O2555" s="54"/>
      <c r="P2555" s="54"/>
      <c r="Q2555" s="54"/>
      <c r="R2555" s="54"/>
      <c r="S2555" s="54"/>
      <c r="T2555" s="54"/>
      <c r="U2555" s="54"/>
      <c r="V2555" s="54"/>
      <c r="W2555" s="54"/>
      <c r="X2555" s="54"/>
      <c r="Y2555" s="54"/>
      <c r="Z2555" s="54"/>
      <c r="AA2555" s="54"/>
      <c r="AB2555" s="54"/>
      <c r="AC2555" s="54"/>
      <c r="AD2555" s="54"/>
      <c r="AE2555" s="54"/>
      <c r="AF2555" s="54"/>
      <c r="AG2555" s="54"/>
      <c r="AH2555" s="54"/>
    </row>
    <row r="2556">
      <c r="A2556" s="80"/>
      <c r="B2556" s="80"/>
      <c r="C2556" s="80"/>
      <c r="D2556" s="80"/>
      <c r="E2556" s="80"/>
      <c r="F2556" s="59"/>
      <c r="G2556" s="59"/>
      <c r="H2556" s="83"/>
      <c r="I2556" s="76"/>
      <c r="J2556" s="76"/>
      <c r="K2556" s="81"/>
      <c r="L2556" s="82"/>
      <c r="M2556" s="54"/>
      <c r="N2556" s="54"/>
      <c r="O2556" s="54"/>
      <c r="P2556" s="54"/>
      <c r="Q2556" s="54"/>
      <c r="R2556" s="54"/>
      <c r="S2556" s="54"/>
      <c r="T2556" s="54"/>
      <c r="U2556" s="54"/>
      <c r="V2556" s="54"/>
      <c r="W2556" s="54"/>
      <c r="X2556" s="54"/>
      <c r="Y2556" s="54"/>
      <c r="Z2556" s="54"/>
      <c r="AA2556" s="54"/>
      <c r="AB2556" s="54"/>
      <c r="AC2556" s="54"/>
      <c r="AD2556" s="54"/>
      <c r="AE2556" s="54"/>
      <c r="AF2556" s="54"/>
      <c r="AG2556" s="54"/>
      <c r="AH2556" s="54"/>
    </row>
    <row r="2557">
      <c r="A2557" s="80"/>
      <c r="B2557" s="80"/>
      <c r="C2557" s="80"/>
      <c r="D2557" s="80"/>
      <c r="E2557" s="80"/>
      <c r="F2557" s="59"/>
      <c r="G2557" s="59"/>
      <c r="H2557" s="83"/>
      <c r="I2557" s="76"/>
      <c r="J2557" s="76"/>
      <c r="K2557" s="81"/>
      <c r="L2557" s="82"/>
      <c r="M2557" s="54"/>
      <c r="N2557" s="54"/>
      <c r="O2557" s="54"/>
      <c r="P2557" s="54"/>
      <c r="Q2557" s="54"/>
      <c r="R2557" s="54"/>
      <c r="S2557" s="54"/>
      <c r="T2557" s="54"/>
      <c r="U2557" s="54"/>
      <c r="V2557" s="54"/>
      <c r="W2557" s="54"/>
      <c r="X2557" s="54"/>
      <c r="Y2557" s="54"/>
      <c r="Z2557" s="54"/>
      <c r="AA2557" s="54"/>
      <c r="AB2557" s="54"/>
      <c r="AC2557" s="54"/>
      <c r="AD2557" s="54"/>
      <c r="AE2557" s="54"/>
      <c r="AF2557" s="54"/>
      <c r="AG2557" s="54"/>
      <c r="AH2557" s="54"/>
    </row>
    <row r="2558">
      <c r="A2558" s="80"/>
      <c r="B2558" s="80"/>
      <c r="C2558" s="80"/>
      <c r="D2558" s="80"/>
      <c r="E2558" s="80"/>
      <c r="F2558" s="59"/>
      <c r="G2558" s="59"/>
      <c r="H2558" s="83"/>
      <c r="I2558" s="76"/>
      <c r="J2558" s="76"/>
      <c r="K2558" s="81"/>
      <c r="L2558" s="82"/>
      <c r="M2558" s="54"/>
      <c r="N2558" s="54"/>
      <c r="O2558" s="54"/>
      <c r="P2558" s="54"/>
      <c r="Q2558" s="54"/>
      <c r="R2558" s="54"/>
      <c r="S2558" s="54"/>
      <c r="T2558" s="54"/>
      <c r="U2558" s="54"/>
      <c r="V2558" s="54"/>
      <c r="W2558" s="54"/>
      <c r="X2558" s="54"/>
      <c r="Y2558" s="54"/>
      <c r="Z2558" s="54"/>
      <c r="AA2558" s="54"/>
      <c r="AB2558" s="54"/>
      <c r="AC2558" s="54"/>
      <c r="AD2558" s="54"/>
      <c r="AE2558" s="54"/>
      <c r="AF2558" s="54"/>
      <c r="AG2558" s="54"/>
      <c r="AH2558" s="54"/>
    </row>
    <row r="2559">
      <c r="A2559" s="80"/>
      <c r="B2559" s="80"/>
      <c r="C2559" s="80"/>
      <c r="D2559" s="80"/>
      <c r="E2559" s="80"/>
      <c r="F2559" s="59"/>
      <c r="G2559" s="59"/>
      <c r="H2559" s="83"/>
      <c r="I2559" s="76"/>
      <c r="J2559" s="76"/>
      <c r="K2559" s="81"/>
      <c r="L2559" s="82"/>
      <c r="M2559" s="54"/>
      <c r="N2559" s="54"/>
      <c r="O2559" s="54"/>
      <c r="P2559" s="54"/>
      <c r="Q2559" s="54"/>
      <c r="R2559" s="54"/>
      <c r="S2559" s="54"/>
      <c r="T2559" s="54"/>
      <c r="U2559" s="54"/>
      <c r="V2559" s="54"/>
      <c r="W2559" s="54"/>
      <c r="X2559" s="54"/>
      <c r="Y2559" s="54"/>
      <c r="Z2559" s="54"/>
      <c r="AA2559" s="54"/>
      <c r="AB2559" s="54"/>
      <c r="AC2559" s="54"/>
      <c r="AD2559" s="54"/>
      <c r="AE2559" s="54"/>
      <c r="AF2559" s="54"/>
      <c r="AG2559" s="54"/>
      <c r="AH2559" s="54"/>
    </row>
    <row r="2560">
      <c r="A2560" s="80"/>
      <c r="B2560" s="80"/>
      <c r="C2560" s="80"/>
      <c r="D2560" s="80"/>
      <c r="E2560" s="80"/>
      <c r="F2560" s="59"/>
      <c r="G2560" s="59"/>
      <c r="H2560" s="83"/>
      <c r="I2560" s="76"/>
      <c r="J2560" s="76"/>
      <c r="K2560" s="81"/>
      <c r="L2560" s="82"/>
      <c r="M2560" s="54"/>
      <c r="N2560" s="54"/>
      <c r="O2560" s="54"/>
      <c r="P2560" s="54"/>
      <c r="Q2560" s="54"/>
      <c r="R2560" s="54"/>
      <c r="S2560" s="54"/>
      <c r="T2560" s="54"/>
      <c r="U2560" s="54"/>
      <c r="V2560" s="54"/>
      <c r="W2560" s="54"/>
      <c r="X2560" s="54"/>
      <c r="Y2560" s="54"/>
      <c r="Z2560" s="54"/>
      <c r="AA2560" s="54"/>
      <c r="AB2560" s="54"/>
      <c r="AC2560" s="54"/>
      <c r="AD2560" s="54"/>
      <c r="AE2560" s="54"/>
      <c r="AF2560" s="54"/>
      <c r="AG2560" s="54"/>
      <c r="AH2560" s="54"/>
    </row>
    <row r="2561">
      <c r="A2561" s="80"/>
      <c r="B2561" s="80"/>
      <c r="C2561" s="80"/>
      <c r="D2561" s="80"/>
      <c r="E2561" s="80"/>
      <c r="F2561" s="59"/>
      <c r="G2561" s="59"/>
      <c r="H2561" s="83"/>
      <c r="I2561" s="76"/>
      <c r="J2561" s="76"/>
      <c r="K2561" s="81"/>
      <c r="L2561" s="82"/>
      <c r="M2561" s="54"/>
      <c r="N2561" s="54"/>
      <c r="O2561" s="54"/>
      <c r="P2561" s="54"/>
      <c r="Q2561" s="54"/>
      <c r="R2561" s="54"/>
      <c r="S2561" s="54"/>
      <c r="T2561" s="54"/>
      <c r="U2561" s="54"/>
      <c r="V2561" s="54"/>
      <c r="W2561" s="54"/>
      <c r="X2561" s="54"/>
      <c r="Y2561" s="54"/>
      <c r="Z2561" s="54"/>
      <c r="AA2561" s="54"/>
      <c r="AB2561" s="54"/>
      <c r="AC2561" s="54"/>
      <c r="AD2561" s="54"/>
      <c r="AE2561" s="54"/>
      <c r="AF2561" s="54"/>
      <c r="AG2561" s="54"/>
      <c r="AH2561" s="54"/>
    </row>
    <row r="2562">
      <c r="A2562" s="80"/>
      <c r="B2562" s="80"/>
      <c r="C2562" s="80"/>
      <c r="D2562" s="80"/>
      <c r="E2562" s="80"/>
      <c r="F2562" s="59"/>
      <c r="G2562" s="59"/>
      <c r="H2562" s="83"/>
      <c r="I2562" s="76"/>
      <c r="J2562" s="76"/>
      <c r="K2562" s="81"/>
      <c r="L2562" s="82"/>
      <c r="M2562" s="54"/>
      <c r="N2562" s="54"/>
      <c r="O2562" s="54"/>
      <c r="P2562" s="54"/>
      <c r="Q2562" s="54"/>
      <c r="R2562" s="54"/>
      <c r="S2562" s="54"/>
      <c r="T2562" s="54"/>
      <c r="U2562" s="54"/>
      <c r="V2562" s="54"/>
      <c r="W2562" s="54"/>
      <c r="X2562" s="54"/>
      <c r="Y2562" s="54"/>
      <c r="Z2562" s="54"/>
      <c r="AA2562" s="54"/>
      <c r="AB2562" s="54"/>
      <c r="AC2562" s="54"/>
      <c r="AD2562" s="54"/>
      <c r="AE2562" s="54"/>
      <c r="AF2562" s="54"/>
      <c r="AG2562" s="54"/>
      <c r="AH2562" s="54"/>
    </row>
    <row r="2563">
      <c r="A2563" s="80"/>
      <c r="B2563" s="80"/>
      <c r="C2563" s="80"/>
      <c r="D2563" s="80"/>
      <c r="E2563" s="80"/>
      <c r="F2563" s="59"/>
      <c r="G2563" s="59"/>
      <c r="H2563" s="83"/>
      <c r="I2563" s="76"/>
      <c r="J2563" s="76"/>
      <c r="K2563" s="81"/>
      <c r="L2563" s="82"/>
      <c r="M2563" s="54"/>
      <c r="N2563" s="54"/>
      <c r="O2563" s="54"/>
      <c r="P2563" s="54"/>
      <c r="Q2563" s="54"/>
      <c r="R2563" s="54"/>
      <c r="S2563" s="54"/>
      <c r="T2563" s="54"/>
      <c r="U2563" s="54"/>
      <c r="V2563" s="54"/>
      <c r="W2563" s="54"/>
      <c r="X2563" s="54"/>
      <c r="Y2563" s="54"/>
      <c r="Z2563" s="54"/>
      <c r="AA2563" s="54"/>
      <c r="AB2563" s="54"/>
      <c r="AC2563" s="54"/>
      <c r="AD2563" s="54"/>
      <c r="AE2563" s="54"/>
      <c r="AF2563" s="54"/>
      <c r="AG2563" s="54"/>
      <c r="AH2563" s="54"/>
    </row>
    <row r="2564">
      <c r="A2564" s="80"/>
      <c r="B2564" s="80"/>
      <c r="C2564" s="80"/>
      <c r="D2564" s="80"/>
      <c r="E2564" s="80"/>
      <c r="F2564" s="59"/>
      <c r="G2564" s="59"/>
      <c r="H2564" s="83"/>
      <c r="I2564" s="76"/>
      <c r="J2564" s="76"/>
      <c r="K2564" s="81"/>
      <c r="L2564" s="82"/>
      <c r="M2564" s="54"/>
      <c r="N2564" s="54"/>
      <c r="O2564" s="54"/>
      <c r="P2564" s="54"/>
      <c r="Q2564" s="54"/>
      <c r="R2564" s="54"/>
      <c r="S2564" s="54"/>
      <c r="T2564" s="54"/>
      <c r="U2564" s="54"/>
      <c r="V2564" s="54"/>
      <c r="W2564" s="54"/>
      <c r="X2564" s="54"/>
      <c r="Y2564" s="54"/>
      <c r="Z2564" s="54"/>
      <c r="AA2564" s="54"/>
      <c r="AB2564" s="54"/>
      <c r="AC2564" s="54"/>
      <c r="AD2564" s="54"/>
      <c r="AE2564" s="54"/>
      <c r="AF2564" s="54"/>
      <c r="AG2564" s="54"/>
      <c r="AH2564" s="54"/>
    </row>
    <row r="2565">
      <c r="A2565" s="80"/>
      <c r="B2565" s="80"/>
      <c r="C2565" s="80"/>
      <c r="D2565" s="80"/>
      <c r="E2565" s="80"/>
      <c r="F2565" s="59"/>
      <c r="G2565" s="59"/>
      <c r="H2565" s="83"/>
      <c r="I2565" s="76"/>
      <c r="J2565" s="76"/>
      <c r="K2565" s="81"/>
      <c r="L2565" s="82"/>
      <c r="M2565" s="54"/>
      <c r="N2565" s="54"/>
      <c r="O2565" s="54"/>
      <c r="P2565" s="54"/>
      <c r="Q2565" s="54"/>
      <c r="R2565" s="54"/>
      <c r="S2565" s="54"/>
      <c r="T2565" s="54"/>
      <c r="U2565" s="54"/>
      <c r="V2565" s="54"/>
      <c r="W2565" s="54"/>
      <c r="X2565" s="54"/>
      <c r="Y2565" s="54"/>
      <c r="Z2565" s="54"/>
      <c r="AA2565" s="54"/>
      <c r="AB2565" s="54"/>
      <c r="AC2565" s="54"/>
      <c r="AD2565" s="54"/>
      <c r="AE2565" s="54"/>
      <c r="AF2565" s="54"/>
      <c r="AG2565" s="54"/>
      <c r="AH2565" s="54"/>
    </row>
    <row r="2566">
      <c r="A2566" s="80"/>
      <c r="B2566" s="80"/>
      <c r="C2566" s="80"/>
      <c r="D2566" s="80"/>
      <c r="E2566" s="80"/>
      <c r="F2566" s="59"/>
      <c r="G2566" s="59"/>
      <c r="H2566" s="83"/>
      <c r="I2566" s="76"/>
      <c r="J2566" s="76"/>
      <c r="K2566" s="81"/>
      <c r="L2566" s="82"/>
      <c r="M2566" s="54"/>
      <c r="N2566" s="54"/>
      <c r="O2566" s="54"/>
      <c r="P2566" s="54"/>
      <c r="Q2566" s="54"/>
      <c r="R2566" s="54"/>
      <c r="S2566" s="54"/>
      <c r="T2566" s="54"/>
      <c r="U2566" s="54"/>
      <c r="V2566" s="54"/>
      <c r="W2566" s="54"/>
      <c r="X2566" s="54"/>
      <c r="Y2566" s="54"/>
      <c r="Z2566" s="54"/>
      <c r="AA2566" s="54"/>
      <c r="AB2566" s="54"/>
      <c r="AC2566" s="54"/>
      <c r="AD2566" s="54"/>
      <c r="AE2566" s="54"/>
      <c r="AF2566" s="54"/>
      <c r="AG2566" s="54"/>
      <c r="AH2566" s="54"/>
    </row>
    <row r="2567">
      <c r="A2567" s="80"/>
      <c r="B2567" s="80"/>
      <c r="C2567" s="80"/>
      <c r="D2567" s="80"/>
      <c r="E2567" s="80"/>
      <c r="F2567" s="59"/>
      <c r="G2567" s="59"/>
      <c r="H2567" s="83"/>
      <c r="I2567" s="76"/>
      <c r="J2567" s="76"/>
      <c r="K2567" s="81"/>
      <c r="L2567" s="82"/>
      <c r="M2567" s="54"/>
      <c r="N2567" s="54"/>
      <c r="O2567" s="54"/>
      <c r="P2567" s="54"/>
      <c r="Q2567" s="54"/>
      <c r="R2567" s="54"/>
      <c r="S2567" s="54"/>
      <c r="T2567" s="54"/>
      <c r="U2567" s="54"/>
      <c r="V2567" s="54"/>
      <c r="W2567" s="54"/>
      <c r="X2567" s="54"/>
      <c r="Y2567" s="54"/>
      <c r="Z2567" s="54"/>
      <c r="AA2567" s="54"/>
      <c r="AB2567" s="54"/>
      <c r="AC2567" s="54"/>
      <c r="AD2567" s="54"/>
      <c r="AE2567" s="54"/>
      <c r="AF2567" s="54"/>
      <c r="AG2567" s="54"/>
      <c r="AH2567" s="54"/>
    </row>
    <row r="2568">
      <c r="A2568" s="80"/>
      <c r="B2568" s="80"/>
      <c r="C2568" s="80"/>
      <c r="D2568" s="80"/>
      <c r="E2568" s="80"/>
      <c r="F2568" s="59"/>
      <c r="G2568" s="59"/>
      <c r="H2568" s="83"/>
      <c r="I2568" s="76"/>
      <c r="J2568" s="76"/>
      <c r="K2568" s="81"/>
      <c r="L2568" s="82"/>
      <c r="M2568" s="54"/>
      <c r="N2568" s="54"/>
      <c r="O2568" s="54"/>
      <c r="P2568" s="54"/>
      <c r="Q2568" s="54"/>
      <c r="R2568" s="54"/>
      <c r="S2568" s="54"/>
      <c r="T2568" s="54"/>
      <c r="U2568" s="54"/>
      <c r="V2568" s="54"/>
      <c r="W2568" s="54"/>
      <c r="X2568" s="54"/>
      <c r="Y2568" s="54"/>
      <c r="Z2568" s="54"/>
      <c r="AA2568" s="54"/>
      <c r="AB2568" s="54"/>
      <c r="AC2568" s="54"/>
      <c r="AD2568" s="54"/>
      <c r="AE2568" s="54"/>
      <c r="AF2568" s="54"/>
      <c r="AG2568" s="54"/>
      <c r="AH2568" s="54"/>
    </row>
    <row r="2569">
      <c r="A2569" s="80"/>
      <c r="B2569" s="80"/>
      <c r="C2569" s="80"/>
      <c r="D2569" s="80"/>
      <c r="E2569" s="80"/>
      <c r="F2569" s="59"/>
      <c r="G2569" s="59"/>
      <c r="H2569" s="83"/>
      <c r="I2569" s="76"/>
      <c r="J2569" s="76"/>
      <c r="K2569" s="81"/>
      <c r="L2569" s="82"/>
      <c r="M2569" s="54"/>
      <c r="N2569" s="54"/>
      <c r="O2569" s="54"/>
      <c r="P2569" s="54"/>
      <c r="Q2569" s="54"/>
      <c r="R2569" s="54"/>
      <c r="S2569" s="54"/>
      <c r="T2569" s="54"/>
      <c r="U2569" s="54"/>
      <c r="V2569" s="54"/>
      <c r="W2569" s="54"/>
      <c r="X2569" s="54"/>
      <c r="Y2569" s="54"/>
      <c r="Z2569" s="54"/>
      <c r="AA2569" s="54"/>
      <c r="AB2569" s="54"/>
      <c r="AC2569" s="54"/>
      <c r="AD2569" s="54"/>
      <c r="AE2569" s="54"/>
      <c r="AF2569" s="54"/>
      <c r="AG2569" s="54"/>
      <c r="AH2569" s="54"/>
    </row>
    <row r="2570">
      <c r="A2570" s="80"/>
      <c r="B2570" s="80"/>
      <c r="C2570" s="80"/>
      <c r="D2570" s="80"/>
      <c r="E2570" s="80"/>
      <c r="F2570" s="59"/>
      <c r="G2570" s="59"/>
      <c r="H2570" s="83"/>
      <c r="I2570" s="76"/>
      <c r="J2570" s="76"/>
      <c r="K2570" s="81"/>
      <c r="L2570" s="82"/>
      <c r="M2570" s="54"/>
      <c r="N2570" s="54"/>
      <c r="O2570" s="54"/>
      <c r="P2570" s="54"/>
      <c r="Q2570" s="54"/>
      <c r="R2570" s="54"/>
      <c r="S2570" s="54"/>
      <c r="T2570" s="54"/>
      <c r="U2570" s="54"/>
      <c r="V2570" s="54"/>
      <c r="W2570" s="54"/>
      <c r="X2570" s="54"/>
      <c r="Y2570" s="54"/>
      <c r="Z2570" s="54"/>
      <c r="AA2570" s="54"/>
      <c r="AB2570" s="54"/>
      <c r="AC2570" s="54"/>
      <c r="AD2570" s="54"/>
      <c r="AE2570" s="54"/>
      <c r="AF2570" s="54"/>
      <c r="AG2570" s="54"/>
      <c r="AH2570" s="54"/>
    </row>
    <row r="2571">
      <c r="A2571" s="80"/>
      <c r="B2571" s="80"/>
      <c r="C2571" s="80"/>
      <c r="D2571" s="80"/>
      <c r="E2571" s="80"/>
      <c r="F2571" s="59"/>
      <c r="G2571" s="59"/>
      <c r="H2571" s="83"/>
      <c r="I2571" s="76"/>
      <c r="J2571" s="76"/>
      <c r="K2571" s="81"/>
      <c r="L2571" s="82"/>
      <c r="M2571" s="54"/>
      <c r="N2571" s="54"/>
      <c r="O2571" s="54"/>
      <c r="P2571" s="54"/>
      <c r="Q2571" s="54"/>
      <c r="R2571" s="54"/>
      <c r="S2571" s="54"/>
      <c r="T2571" s="54"/>
      <c r="U2571" s="54"/>
      <c r="V2571" s="54"/>
      <c r="W2571" s="54"/>
      <c r="X2571" s="54"/>
      <c r="Y2571" s="54"/>
      <c r="Z2571" s="54"/>
      <c r="AA2571" s="54"/>
      <c r="AB2571" s="54"/>
      <c r="AC2571" s="54"/>
      <c r="AD2571" s="54"/>
      <c r="AE2571" s="54"/>
      <c r="AF2571" s="54"/>
      <c r="AG2571" s="54"/>
      <c r="AH2571" s="54"/>
    </row>
    <row r="2572">
      <c r="A2572" s="80"/>
      <c r="B2572" s="80"/>
      <c r="C2572" s="80"/>
      <c r="D2572" s="80"/>
      <c r="E2572" s="80"/>
      <c r="F2572" s="59"/>
      <c r="G2572" s="59"/>
      <c r="H2572" s="83"/>
      <c r="I2572" s="76"/>
      <c r="J2572" s="76"/>
      <c r="K2572" s="81"/>
      <c r="L2572" s="82"/>
      <c r="M2572" s="54"/>
      <c r="N2572" s="54"/>
      <c r="O2572" s="54"/>
      <c r="P2572" s="54"/>
      <c r="Q2572" s="54"/>
      <c r="R2572" s="54"/>
      <c r="S2572" s="54"/>
      <c r="T2572" s="54"/>
      <c r="U2572" s="54"/>
      <c r="V2572" s="54"/>
      <c r="W2572" s="54"/>
      <c r="X2572" s="54"/>
      <c r="Y2572" s="54"/>
      <c r="Z2572" s="54"/>
      <c r="AA2572" s="54"/>
      <c r="AB2572" s="54"/>
      <c r="AC2572" s="54"/>
      <c r="AD2572" s="54"/>
      <c r="AE2572" s="54"/>
      <c r="AF2572" s="54"/>
      <c r="AG2572" s="54"/>
      <c r="AH2572" s="54"/>
    </row>
    <row r="2573">
      <c r="A2573" s="80"/>
      <c r="B2573" s="80"/>
      <c r="C2573" s="80"/>
      <c r="D2573" s="80"/>
      <c r="E2573" s="80"/>
      <c r="F2573" s="59"/>
      <c r="G2573" s="59"/>
      <c r="H2573" s="83"/>
      <c r="I2573" s="76"/>
      <c r="J2573" s="76"/>
      <c r="K2573" s="81"/>
      <c r="L2573" s="82"/>
      <c r="M2573" s="54"/>
      <c r="N2573" s="54"/>
      <c r="O2573" s="54"/>
      <c r="P2573" s="54"/>
      <c r="Q2573" s="54"/>
      <c r="R2573" s="54"/>
      <c r="S2573" s="54"/>
      <c r="T2573" s="54"/>
      <c r="U2573" s="54"/>
      <c r="V2573" s="54"/>
      <c r="W2573" s="54"/>
      <c r="X2573" s="54"/>
      <c r="Y2573" s="54"/>
      <c r="Z2573" s="54"/>
      <c r="AA2573" s="54"/>
      <c r="AB2573" s="54"/>
      <c r="AC2573" s="54"/>
      <c r="AD2573" s="54"/>
      <c r="AE2573" s="54"/>
      <c r="AF2573" s="54"/>
      <c r="AG2573" s="54"/>
      <c r="AH2573" s="54"/>
    </row>
    <row r="2574">
      <c r="A2574" s="80"/>
      <c r="B2574" s="80"/>
      <c r="C2574" s="80"/>
      <c r="D2574" s="80"/>
      <c r="E2574" s="80"/>
      <c r="F2574" s="59"/>
      <c r="G2574" s="59"/>
      <c r="H2574" s="83"/>
      <c r="I2574" s="76"/>
      <c r="J2574" s="76"/>
      <c r="K2574" s="81"/>
      <c r="L2574" s="82"/>
      <c r="M2574" s="54"/>
      <c r="N2574" s="54"/>
      <c r="O2574" s="54"/>
      <c r="P2574" s="54"/>
      <c r="Q2574" s="54"/>
      <c r="R2574" s="54"/>
      <c r="S2574" s="54"/>
      <c r="T2574" s="54"/>
      <c r="U2574" s="54"/>
      <c r="V2574" s="54"/>
      <c r="W2574" s="54"/>
      <c r="X2574" s="54"/>
      <c r="Y2574" s="54"/>
      <c r="Z2574" s="54"/>
      <c r="AA2574" s="54"/>
      <c r="AB2574" s="54"/>
      <c r="AC2574" s="54"/>
      <c r="AD2574" s="54"/>
      <c r="AE2574" s="54"/>
      <c r="AF2574" s="54"/>
      <c r="AG2574" s="54"/>
      <c r="AH2574" s="54"/>
    </row>
    <row r="2575">
      <c r="A2575" s="80"/>
      <c r="B2575" s="80"/>
      <c r="C2575" s="80"/>
      <c r="D2575" s="80"/>
      <c r="E2575" s="80"/>
      <c r="F2575" s="59"/>
      <c r="G2575" s="59"/>
      <c r="H2575" s="83"/>
      <c r="I2575" s="76"/>
      <c r="J2575" s="76"/>
      <c r="K2575" s="81"/>
      <c r="L2575" s="82"/>
      <c r="M2575" s="54"/>
      <c r="N2575" s="54"/>
      <c r="O2575" s="54"/>
      <c r="P2575" s="54"/>
      <c r="Q2575" s="54"/>
      <c r="R2575" s="54"/>
      <c r="S2575" s="54"/>
      <c r="T2575" s="54"/>
      <c r="U2575" s="54"/>
      <c r="V2575" s="54"/>
      <c r="W2575" s="54"/>
      <c r="X2575" s="54"/>
      <c r="Y2575" s="54"/>
      <c r="Z2575" s="54"/>
      <c r="AA2575" s="54"/>
      <c r="AB2575" s="54"/>
      <c r="AC2575" s="54"/>
      <c r="AD2575" s="54"/>
      <c r="AE2575" s="54"/>
      <c r="AF2575" s="54"/>
      <c r="AG2575" s="54"/>
      <c r="AH2575" s="54"/>
    </row>
    <row r="2576">
      <c r="A2576" s="80"/>
      <c r="B2576" s="80"/>
      <c r="C2576" s="80"/>
      <c r="D2576" s="80"/>
      <c r="E2576" s="80"/>
      <c r="F2576" s="59"/>
      <c r="G2576" s="59"/>
      <c r="H2576" s="83"/>
      <c r="I2576" s="76"/>
      <c r="J2576" s="76"/>
      <c r="K2576" s="81"/>
      <c r="L2576" s="82"/>
      <c r="M2576" s="54"/>
      <c r="N2576" s="54"/>
      <c r="O2576" s="54"/>
      <c r="P2576" s="54"/>
      <c r="Q2576" s="54"/>
      <c r="R2576" s="54"/>
      <c r="S2576" s="54"/>
      <c r="T2576" s="54"/>
      <c r="U2576" s="54"/>
      <c r="V2576" s="54"/>
      <c r="W2576" s="54"/>
      <c r="X2576" s="54"/>
      <c r="Y2576" s="54"/>
      <c r="Z2576" s="54"/>
      <c r="AA2576" s="54"/>
      <c r="AB2576" s="54"/>
      <c r="AC2576" s="54"/>
      <c r="AD2576" s="54"/>
      <c r="AE2576" s="54"/>
      <c r="AF2576" s="54"/>
      <c r="AG2576" s="54"/>
      <c r="AH2576" s="54"/>
    </row>
    <row r="2577">
      <c r="A2577" s="80"/>
      <c r="B2577" s="80"/>
      <c r="C2577" s="80"/>
      <c r="D2577" s="80"/>
      <c r="E2577" s="80"/>
      <c r="F2577" s="59"/>
      <c r="G2577" s="59"/>
      <c r="H2577" s="83"/>
      <c r="I2577" s="76"/>
      <c r="J2577" s="76"/>
      <c r="K2577" s="81"/>
      <c r="L2577" s="82"/>
      <c r="M2577" s="54"/>
      <c r="N2577" s="54"/>
      <c r="O2577" s="54"/>
      <c r="P2577" s="54"/>
      <c r="Q2577" s="54"/>
      <c r="R2577" s="54"/>
      <c r="S2577" s="54"/>
      <c r="T2577" s="54"/>
      <c r="U2577" s="54"/>
      <c r="V2577" s="54"/>
      <c r="W2577" s="54"/>
      <c r="X2577" s="54"/>
      <c r="Y2577" s="54"/>
      <c r="Z2577" s="54"/>
      <c r="AA2577" s="54"/>
      <c r="AB2577" s="54"/>
      <c r="AC2577" s="54"/>
      <c r="AD2577" s="54"/>
      <c r="AE2577" s="54"/>
      <c r="AF2577" s="54"/>
      <c r="AG2577" s="54"/>
      <c r="AH2577" s="54"/>
    </row>
    <row r="2578">
      <c r="A2578" s="80"/>
      <c r="B2578" s="80"/>
      <c r="C2578" s="80"/>
      <c r="D2578" s="80"/>
      <c r="E2578" s="80"/>
      <c r="F2578" s="59"/>
      <c r="G2578" s="59"/>
      <c r="H2578" s="83"/>
      <c r="I2578" s="76"/>
      <c r="J2578" s="76"/>
      <c r="K2578" s="81"/>
      <c r="L2578" s="82"/>
      <c r="M2578" s="54"/>
      <c r="N2578" s="54"/>
      <c r="O2578" s="54"/>
      <c r="P2578" s="54"/>
      <c r="Q2578" s="54"/>
      <c r="R2578" s="54"/>
      <c r="S2578" s="54"/>
      <c r="T2578" s="54"/>
      <c r="U2578" s="54"/>
      <c r="V2578" s="54"/>
      <c r="W2578" s="54"/>
      <c r="X2578" s="54"/>
      <c r="Y2578" s="54"/>
      <c r="Z2578" s="54"/>
      <c r="AA2578" s="54"/>
      <c r="AB2578" s="54"/>
      <c r="AC2578" s="54"/>
      <c r="AD2578" s="54"/>
      <c r="AE2578" s="54"/>
      <c r="AF2578" s="54"/>
      <c r="AG2578" s="54"/>
      <c r="AH2578" s="54"/>
    </row>
    <row r="2579">
      <c r="A2579" s="80"/>
      <c r="B2579" s="80"/>
      <c r="C2579" s="80"/>
      <c r="D2579" s="80"/>
      <c r="E2579" s="80"/>
      <c r="F2579" s="59"/>
      <c r="G2579" s="59"/>
      <c r="H2579" s="83"/>
      <c r="I2579" s="76"/>
      <c r="J2579" s="76"/>
      <c r="K2579" s="81"/>
      <c r="L2579" s="82"/>
      <c r="M2579" s="54"/>
      <c r="N2579" s="54"/>
      <c r="O2579" s="54"/>
      <c r="P2579" s="54"/>
      <c r="Q2579" s="54"/>
      <c r="R2579" s="54"/>
      <c r="S2579" s="54"/>
      <c r="T2579" s="54"/>
      <c r="U2579" s="54"/>
      <c r="V2579" s="54"/>
      <c r="W2579" s="54"/>
      <c r="X2579" s="54"/>
      <c r="Y2579" s="54"/>
      <c r="Z2579" s="54"/>
      <c r="AA2579" s="54"/>
      <c r="AB2579" s="54"/>
      <c r="AC2579" s="54"/>
      <c r="AD2579" s="54"/>
      <c r="AE2579" s="54"/>
      <c r="AF2579" s="54"/>
      <c r="AG2579" s="54"/>
      <c r="AH2579" s="54"/>
    </row>
    <row r="2580">
      <c r="A2580" s="80"/>
      <c r="B2580" s="80"/>
      <c r="C2580" s="80"/>
      <c r="D2580" s="80"/>
      <c r="E2580" s="80"/>
      <c r="F2580" s="59"/>
      <c r="G2580" s="59"/>
      <c r="H2580" s="83"/>
      <c r="I2580" s="76"/>
      <c r="J2580" s="76"/>
      <c r="K2580" s="81"/>
      <c r="L2580" s="82"/>
      <c r="M2580" s="54"/>
      <c r="N2580" s="54"/>
      <c r="O2580" s="54"/>
      <c r="P2580" s="54"/>
      <c r="Q2580" s="54"/>
      <c r="R2580" s="54"/>
      <c r="S2580" s="54"/>
      <c r="T2580" s="54"/>
      <c r="U2580" s="54"/>
      <c r="V2580" s="54"/>
      <c r="W2580" s="54"/>
      <c r="X2580" s="54"/>
      <c r="Y2580" s="54"/>
      <c r="Z2580" s="54"/>
      <c r="AA2580" s="54"/>
      <c r="AB2580" s="54"/>
      <c r="AC2580" s="54"/>
      <c r="AD2580" s="54"/>
      <c r="AE2580" s="54"/>
      <c r="AF2580" s="54"/>
      <c r="AG2580" s="54"/>
      <c r="AH2580" s="54"/>
    </row>
    <row r="2581">
      <c r="A2581" s="80"/>
      <c r="B2581" s="80"/>
      <c r="C2581" s="80"/>
      <c r="D2581" s="80"/>
      <c r="E2581" s="80"/>
      <c r="F2581" s="59"/>
      <c r="G2581" s="59"/>
      <c r="H2581" s="83"/>
      <c r="I2581" s="76"/>
      <c r="J2581" s="76"/>
      <c r="K2581" s="81"/>
      <c r="L2581" s="82"/>
      <c r="M2581" s="54"/>
      <c r="N2581" s="54"/>
      <c r="O2581" s="54"/>
      <c r="P2581" s="54"/>
      <c r="Q2581" s="54"/>
      <c r="R2581" s="54"/>
      <c r="S2581" s="54"/>
      <c r="T2581" s="54"/>
      <c r="U2581" s="54"/>
      <c r="V2581" s="54"/>
      <c r="W2581" s="54"/>
      <c r="X2581" s="54"/>
      <c r="Y2581" s="54"/>
      <c r="Z2581" s="54"/>
      <c r="AA2581" s="54"/>
      <c r="AB2581" s="54"/>
      <c r="AC2581" s="54"/>
      <c r="AD2581" s="54"/>
      <c r="AE2581" s="54"/>
      <c r="AF2581" s="54"/>
      <c r="AG2581" s="54"/>
      <c r="AH2581" s="54"/>
    </row>
    <row r="2582">
      <c r="A2582" s="80"/>
      <c r="B2582" s="80"/>
      <c r="C2582" s="80"/>
      <c r="D2582" s="80"/>
      <c r="E2582" s="80"/>
      <c r="F2582" s="59"/>
      <c r="G2582" s="59"/>
      <c r="H2582" s="83"/>
      <c r="I2582" s="76"/>
      <c r="J2582" s="76"/>
      <c r="K2582" s="81"/>
      <c r="L2582" s="82"/>
      <c r="M2582" s="54"/>
      <c r="N2582" s="54"/>
      <c r="O2582" s="54"/>
      <c r="P2582" s="54"/>
      <c r="Q2582" s="54"/>
      <c r="R2582" s="54"/>
      <c r="S2582" s="54"/>
      <c r="T2582" s="54"/>
      <c r="U2582" s="54"/>
      <c r="V2582" s="54"/>
      <c r="W2582" s="54"/>
      <c r="X2582" s="54"/>
      <c r="Y2582" s="54"/>
      <c r="Z2582" s="54"/>
      <c r="AA2582" s="54"/>
      <c r="AB2582" s="54"/>
      <c r="AC2582" s="54"/>
      <c r="AD2582" s="54"/>
      <c r="AE2582" s="54"/>
      <c r="AF2582" s="54"/>
      <c r="AG2582" s="54"/>
      <c r="AH2582" s="54"/>
    </row>
    <row r="2583">
      <c r="A2583" s="80"/>
      <c r="B2583" s="80"/>
      <c r="C2583" s="80"/>
      <c r="D2583" s="80"/>
      <c r="E2583" s="80"/>
      <c r="F2583" s="59"/>
      <c r="G2583" s="59"/>
      <c r="H2583" s="83"/>
      <c r="I2583" s="76"/>
      <c r="J2583" s="76"/>
      <c r="K2583" s="81"/>
      <c r="L2583" s="82"/>
      <c r="M2583" s="54"/>
      <c r="N2583" s="54"/>
      <c r="O2583" s="54"/>
      <c r="P2583" s="54"/>
      <c r="Q2583" s="54"/>
      <c r="R2583" s="54"/>
      <c r="S2583" s="54"/>
      <c r="T2583" s="54"/>
      <c r="U2583" s="54"/>
      <c r="V2583" s="54"/>
      <c r="W2583" s="54"/>
      <c r="X2583" s="54"/>
      <c r="Y2583" s="54"/>
      <c r="Z2583" s="54"/>
      <c r="AA2583" s="54"/>
      <c r="AB2583" s="54"/>
      <c r="AC2583" s="54"/>
      <c r="AD2583" s="54"/>
      <c r="AE2583" s="54"/>
      <c r="AF2583" s="54"/>
      <c r="AG2583" s="54"/>
      <c r="AH2583" s="54"/>
    </row>
    <row r="2584">
      <c r="A2584" s="80"/>
      <c r="B2584" s="80"/>
      <c r="C2584" s="80"/>
      <c r="D2584" s="80"/>
      <c r="E2584" s="80"/>
      <c r="F2584" s="59"/>
      <c r="G2584" s="59"/>
      <c r="H2584" s="83"/>
      <c r="I2584" s="76"/>
      <c r="J2584" s="76"/>
      <c r="K2584" s="81"/>
      <c r="L2584" s="82"/>
      <c r="M2584" s="54"/>
      <c r="N2584" s="54"/>
      <c r="O2584" s="54"/>
      <c r="P2584" s="54"/>
      <c r="Q2584" s="54"/>
      <c r="R2584" s="54"/>
      <c r="S2584" s="54"/>
      <c r="T2584" s="54"/>
      <c r="U2584" s="54"/>
      <c r="V2584" s="54"/>
      <c r="W2584" s="54"/>
      <c r="X2584" s="54"/>
      <c r="Y2584" s="54"/>
      <c r="Z2584" s="54"/>
      <c r="AA2584" s="54"/>
      <c r="AB2584" s="54"/>
      <c r="AC2584" s="54"/>
      <c r="AD2584" s="54"/>
      <c r="AE2584" s="54"/>
      <c r="AF2584" s="54"/>
      <c r="AG2584" s="54"/>
      <c r="AH2584" s="54"/>
    </row>
    <row r="2585">
      <c r="A2585" s="80"/>
      <c r="B2585" s="80"/>
      <c r="C2585" s="80"/>
      <c r="D2585" s="80"/>
      <c r="E2585" s="80"/>
      <c r="F2585" s="59"/>
      <c r="G2585" s="59"/>
      <c r="H2585" s="83"/>
      <c r="I2585" s="76"/>
      <c r="J2585" s="76"/>
      <c r="K2585" s="81"/>
      <c r="L2585" s="82"/>
      <c r="M2585" s="54"/>
      <c r="N2585" s="54"/>
      <c r="O2585" s="54"/>
      <c r="P2585" s="54"/>
      <c r="Q2585" s="54"/>
      <c r="R2585" s="54"/>
      <c r="S2585" s="54"/>
      <c r="T2585" s="54"/>
      <c r="U2585" s="54"/>
      <c r="V2585" s="54"/>
      <c r="W2585" s="54"/>
      <c r="X2585" s="54"/>
      <c r="Y2585" s="54"/>
      <c r="Z2585" s="54"/>
      <c r="AA2585" s="54"/>
      <c r="AB2585" s="54"/>
      <c r="AC2585" s="54"/>
      <c r="AD2585" s="54"/>
      <c r="AE2585" s="54"/>
      <c r="AF2585" s="54"/>
      <c r="AG2585" s="54"/>
      <c r="AH2585" s="54"/>
    </row>
    <row r="2586">
      <c r="A2586" s="80"/>
      <c r="B2586" s="80"/>
      <c r="C2586" s="80"/>
      <c r="D2586" s="80"/>
      <c r="E2586" s="80"/>
      <c r="F2586" s="59"/>
      <c r="G2586" s="59"/>
      <c r="H2586" s="83"/>
      <c r="I2586" s="76"/>
      <c r="J2586" s="76"/>
      <c r="K2586" s="81"/>
      <c r="L2586" s="82"/>
      <c r="M2586" s="54"/>
      <c r="N2586" s="54"/>
      <c r="O2586" s="54"/>
      <c r="P2586" s="54"/>
      <c r="Q2586" s="54"/>
      <c r="R2586" s="54"/>
      <c r="S2586" s="54"/>
      <c r="T2586" s="54"/>
      <c r="U2586" s="54"/>
      <c r="V2586" s="54"/>
      <c r="W2586" s="54"/>
      <c r="X2586" s="54"/>
      <c r="Y2586" s="54"/>
      <c r="Z2586" s="54"/>
      <c r="AA2586" s="54"/>
      <c r="AB2586" s="54"/>
      <c r="AC2586" s="54"/>
      <c r="AD2586" s="54"/>
      <c r="AE2586" s="54"/>
      <c r="AF2586" s="54"/>
      <c r="AG2586" s="54"/>
      <c r="AH2586" s="54"/>
    </row>
    <row r="2587">
      <c r="A2587" s="80"/>
      <c r="B2587" s="80"/>
      <c r="C2587" s="80"/>
      <c r="D2587" s="80"/>
      <c r="E2587" s="80"/>
      <c r="F2587" s="59"/>
      <c r="G2587" s="59"/>
      <c r="H2587" s="83"/>
      <c r="I2587" s="76"/>
      <c r="J2587" s="76"/>
      <c r="K2587" s="81"/>
      <c r="L2587" s="82"/>
      <c r="M2587" s="54"/>
      <c r="N2587" s="54"/>
      <c r="O2587" s="54"/>
      <c r="P2587" s="54"/>
      <c r="Q2587" s="54"/>
      <c r="R2587" s="54"/>
      <c r="S2587" s="54"/>
      <c r="T2587" s="54"/>
      <c r="U2587" s="54"/>
      <c r="V2587" s="54"/>
      <c r="W2587" s="54"/>
      <c r="X2587" s="54"/>
      <c r="Y2587" s="54"/>
      <c r="Z2587" s="54"/>
      <c r="AA2587" s="54"/>
      <c r="AB2587" s="54"/>
      <c r="AC2587" s="54"/>
      <c r="AD2587" s="54"/>
      <c r="AE2587" s="54"/>
      <c r="AF2587" s="54"/>
      <c r="AG2587" s="54"/>
      <c r="AH2587" s="54"/>
    </row>
    <row r="2588">
      <c r="A2588" s="80"/>
      <c r="B2588" s="80"/>
      <c r="C2588" s="80"/>
      <c r="D2588" s="80"/>
      <c r="E2588" s="80"/>
      <c r="F2588" s="59"/>
      <c r="G2588" s="59"/>
      <c r="H2588" s="83"/>
      <c r="I2588" s="76"/>
      <c r="J2588" s="76"/>
      <c r="K2588" s="81"/>
      <c r="L2588" s="82"/>
      <c r="M2588" s="54"/>
      <c r="N2588" s="54"/>
      <c r="O2588" s="54"/>
      <c r="P2588" s="54"/>
      <c r="Q2588" s="54"/>
      <c r="R2588" s="54"/>
      <c r="S2588" s="54"/>
      <c r="T2588" s="54"/>
      <c r="U2588" s="54"/>
      <c r="V2588" s="54"/>
      <c r="W2588" s="54"/>
      <c r="X2588" s="54"/>
      <c r="Y2588" s="54"/>
      <c r="Z2588" s="54"/>
      <c r="AA2588" s="54"/>
      <c r="AB2588" s="54"/>
      <c r="AC2588" s="54"/>
      <c r="AD2588" s="54"/>
      <c r="AE2588" s="54"/>
      <c r="AF2588" s="54"/>
      <c r="AG2588" s="54"/>
      <c r="AH2588" s="54"/>
    </row>
    <row r="2589">
      <c r="A2589" s="80"/>
      <c r="B2589" s="80"/>
      <c r="C2589" s="80"/>
      <c r="D2589" s="80"/>
      <c r="E2589" s="80"/>
      <c r="F2589" s="59"/>
      <c r="G2589" s="59"/>
      <c r="H2589" s="83"/>
      <c r="I2589" s="76"/>
      <c r="J2589" s="76"/>
      <c r="K2589" s="81"/>
      <c r="L2589" s="82"/>
      <c r="M2589" s="54"/>
      <c r="N2589" s="54"/>
      <c r="O2589" s="54"/>
      <c r="P2589" s="54"/>
      <c r="Q2589" s="54"/>
      <c r="R2589" s="54"/>
      <c r="S2589" s="54"/>
      <c r="T2589" s="54"/>
      <c r="U2589" s="54"/>
      <c r="V2589" s="54"/>
      <c r="W2589" s="54"/>
      <c r="X2589" s="54"/>
      <c r="Y2589" s="54"/>
      <c r="Z2589" s="54"/>
      <c r="AA2589" s="54"/>
      <c r="AB2589" s="54"/>
      <c r="AC2589" s="54"/>
      <c r="AD2589" s="54"/>
      <c r="AE2589" s="54"/>
      <c r="AF2589" s="54"/>
      <c r="AG2589" s="54"/>
      <c r="AH2589" s="54"/>
    </row>
    <row r="2590">
      <c r="A2590" s="80"/>
      <c r="B2590" s="80"/>
      <c r="C2590" s="80"/>
      <c r="D2590" s="80"/>
      <c r="E2590" s="80"/>
      <c r="F2590" s="59"/>
      <c r="G2590" s="59"/>
      <c r="H2590" s="83"/>
      <c r="I2590" s="76"/>
      <c r="J2590" s="76"/>
      <c r="K2590" s="81"/>
      <c r="L2590" s="82"/>
      <c r="M2590" s="54"/>
      <c r="N2590" s="54"/>
      <c r="O2590" s="54"/>
      <c r="P2590" s="54"/>
      <c r="Q2590" s="54"/>
      <c r="R2590" s="54"/>
      <c r="S2590" s="54"/>
      <c r="T2590" s="54"/>
      <c r="U2590" s="54"/>
      <c r="V2590" s="54"/>
      <c r="W2590" s="54"/>
      <c r="X2590" s="54"/>
      <c r="Y2590" s="54"/>
      <c r="Z2590" s="54"/>
      <c r="AA2590" s="54"/>
      <c r="AB2590" s="54"/>
      <c r="AC2590" s="54"/>
      <c r="AD2590" s="54"/>
      <c r="AE2590" s="54"/>
      <c r="AF2590" s="54"/>
      <c r="AG2590" s="54"/>
      <c r="AH2590" s="54"/>
    </row>
    <row r="2591">
      <c r="A2591" s="80"/>
      <c r="B2591" s="80"/>
      <c r="C2591" s="80"/>
      <c r="D2591" s="80"/>
      <c r="E2591" s="80"/>
      <c r="F2591" s="59"/>
      <c r="G2591" s="59"/>
      <c r="H2591" s="83"/>
      <c r="I2591" s="76"/>
      <c r="J2591" s="76"/>
      <c r="K2591" s="81"/>
      <c r="L2591" s="82"/>
      <c r="M2591" s="54"/>
      <c r="N2591" s="54"/>
      <c r="O2591" s="54"/>
      <c r="P2591" s="54"/>
      <c r="Q2591" s="54"/>
      <c r="R2591" s="54"/>
      <c r="S2591" s="54"/>
      <c r="T2591" s="54"/>
      <c r="U2591" s="54"/>
      <c r="V2591" s="54"/>
      <c r="W2591" s="54"/>
      <c r="X2591" s="54"/>
      <c r="Y2591" s="54"/>
      <c r="Z2591" s="54"/>
      <c r="AA2591" s="54"/>
      <c r="AB2591" s="54"/>
      <c r="AC2591" s="54"/>
      <c r="AD2591" s="54"/>
      <c r="AE2591" s="54"/>
      <c r="AF2591" s="54"/>
      <c r="AG2591" s="54"/>
      <c r="AH2591" s="54"/>
    </row>
    <row r="2592">
      <c r="A2592" s="80"/>
      <c r="B2592" s="80"/>
      <c r="C2592" s="80"/>
      <c r="D2592" s="80"/>
      <c r="E2592" s="80"/>
      <c r="F2592" s="59"/>
      <c r="G2592" s="59"/>
      <c r="H2592" s="83"/>
      <c r="I2592" s="76"/>
      <c r="J2592" s="76"/>
      <c r="K2592" s="81"/>
      <c r="L2592" s="82"/>
      <c r="M2592" s="54"/>
      <c r="N2592" s="54"/>
      <c r="O2592" s="54"/>
      <c r="P2592" s="54"/>
      <c r="Q2592" s="54"/>
      <c r="R2592" s="54"/>
      <c r="S2592" s="54"/>
      <c r="T2592" s="54"/>
      <c r="U2592" s="54"/>
      <c r="V2592" s="54"/>
      <c r="W2592" s="54"/>
      <c r="X2592" s="54"/>
      <c r="Y2592" s="54"/>
      <c r="Z2592" s="54"/>
      <c r="AA2592" s="54"/>
      <c r="AB2592" s="54"/>
      <c r="AC2592" s="54"/>
      <c r="AD2592" s="54"/>
      <c r="AE2592" s="54"/>
      <c r="AF2592" s="54"/>
      <c r="AG2592" s="54"/>
      <c r="AH2592" s="54"/>
    </row>
    <row r="2593">
      <c r="A2593" s="80"/>
      <c r="B2593" s="80"/>
      <c r="C2593" s="80"/>
      <c r="D2593" s="80"/>
      <c r="E2593" s="80"/>
      <c r="F2593" s="59"/>
      <c r="G2593" s="59"/>
      <c r="H2593" s="83"/>
      <c r="I2593" s="76"/>
      <c r="J2593" s="76"/>
      <c r="K2593" s="81"/>
      <c r="L2593" s="82"/>
      <c r="M2593" s="54"/>
      <c r="N2593" s="54"/>
      <c r="O2593" s="54"/>
      <c r="P2593" s="54"/>
      <c r="Q2593" s="54"/>
      <c r="R2593" s="54"/>
      <c r="S2593" s="54"/>
      <c r="T2593" s="54"/>
      <c r="U2593" s="54"/>
      <c r="V2593" s="54"/>
      <c r="W2593" s="54"/>
      <c r="X2593" s="54"/>
      <c r="Y2593" s="54"/>
      <c r="Z2593" s="54"/>
      <c r="AA2593" s="54"/>
      <c r="AB2593" s="54"/>
      <c r="AC2593" s="54"/>
      <c r="AD2593" s="54"/>
      <c r="AE2593" s="54"/>
      <c r="AF2593" s="54"/>
      <c r="AG2593" s="54"/>
      <c r="AH2593" s="54"/>
    </row>
    <row r="2594">
      <c r="A2594" s="80"/>
      <c r="B2594" s="80"/>
      <c r="C2594" s="80"/>
      <c r="D2594" s="80"/>
      <c r="E2594" s="80"/>
      <c r="F2594" s="59"/>
      <c r="G2594" s="59"/>
      <c r="H2594" s="83"/>
      <c r="I2594" s="76"/>
      <c r="J2594" s="76"/>
      <c r="K2594" s="81"/>
      <c r="L2594" s="82"/>
      <c r="M2594" s="54"/>
      <c r="N2594" s="54"/>
      <c r="O2594" s="54"/>
      <c r="P2594" s="54"/>
      <c r="Q2594" s="54"/>
      <c r="R2594" s="54"/>
      <c r="S2594" s="54"/>
      <c r="T2594" s="54"/>
      <c r="U2594" s="54"/>
      <c r="V2594" s="54"/>
      <c r="W2594" s="54"/>
      <c r="X2594" s="54"/>
      <c r="Y2594" s="54"/>
      <c r="Z2594" s="54"/>
      <c r="AA2594" s="54"/>
      <c r="AB2594" s="54"/>
      <c r="AC2594" s="54"/>
      <c r="AD2594" s="54"/>
      <c r="AE2594" s="54"/>
      <c r="AF2594" s="54"/>
      <c r="AG2594" s="54"/>
      <c r="AH2594" s="54"/>
    </row>
    <row r="2595">
      <c r="A2595" s="80"/>
      <c r="B2595" s="80"/>
      <c r="C2595" s="80"/>
      <c r="D2595" s="80"/>
      <c r="E2595" s="80"/>
      <c r="F2595" s="59"/>
      <c r="G2595" s="59"/>
      <c r="H2595" s="83"/>
      <c r="I2595" s="76"/>
      <c r="J2595" s="76"/>
      <c r="K2595" s="81"/>
      <c r="L2595" s="82"/>
      <c r="M2595" s="54"/>
      <c r="N2595" s="54"/>
      <c r="O2595" s="54"/>
      <c r="P2595" s="54"/>
      <c r="Q2595" s="54"/>
      <c r="R2595" s="54"/>
      <c r="S2595" s="54"/>
      <c r="T2595" s="54"/>
      <c r="U2595" s="54"/>
      <c r="V2595" s="54"/>
      <c r="W2595" s="54"/>
      <c r="X2595" s="54"/>
      <c r="Y2595" s="54"/>
      <c r="Z2595" s="54"/>
      <c r="AA2595" s="54"/>
      <c r="AB2595" s="54"/>
      <c r="AC2595" s="54"/>
      <c r="AD2595" s="54"/>
      <c r="AE2595" s="54"/>
      <c r="AF2595" s="54"/>
      <c r="AG2595" s="54"/>
      <c r="AH2595" s="54"/>
    </row>
    <row r="2596">
      <c r="A2596" s="80"/>
      <c r="B2596" s="80"/>
      <c r="C2596" s="80"/>
      <c r="D2596" s="80"/>
      <c r="E2596" s="80"/>
      <c r="F2596" s="59"/>
      <c r="G2596" s="59"/>
      <c r="H2596" s="83"/>
      <c r="I2596" s="76"/>
      <c r="J2596" s="76"/>
      <c r="K2596" s="81"/>
      <c r="L2596" s="82"/>
      <c r="M2596" s="54"/>
      <c r="N2596" s="54"/>
      <c r="O2596" s="54"/>
      <c r="P2596" s="54"/>
      <c r="Q2596" s="54"/>
      <c r="R2596" s="54"/>
      <c r="S2596" s="54"/>
      <c r="T2596" s="54"/>
      <c r="U2596" s="54"/>
      <c r="V2596" s="54"/>
      <c r="W2596" s="54"/>
      <c r="X2596" s="54"/>
      <c r="Y2596" s="54"/>
      <c r="Z2596" s="54"/>
      <c r="AA2596" s="54"/>
      <c r="AB2596" s="54"/>
      <c r="AC2596" s="54"/>
      <c r="AD2596" s="54"/>
      <c r="AE2596" s="54"/>
      <c r="AF2596" s="54"/>
      <c r="AG2596" s="54"/>
      <c r="AH2596" s="54"/>
    </row>
    <row r="2597">
      <c r="A2597" s="80"/>
      <c r="B2597" s="80"/>
      <c r="C2597" s="80"/>
      <c r="D2597" s="80"/>
      <c r="E2597" s="80"/>
      <c r="F2597" s="59"/>
      <c r="G2597" s="59"/>
      <c r="H2597" s="83"/>
      <c r="I2597" s="76"/>
      <c r="J2597" s="76"/>
      <c r="K2597" s="81"/>
      <c r="L2597" s="82"/>
      <c r="M2597" s="54"/>
      <c r="N2597" s="54"/>
      <c r="O2597" s="54"/>
      <c r="P2597" s="54"/>
      <c r="Q2597" s="54"/>
      <c r="R2597" s="54"/>
      <c r="S2597" s="54"/>
      <c r="T2597" s="54"/>
      <c r="U2597" s="54"/>
      <c r="V2597" s="54"/>
      <c r="W2597" s="54"/>
      <c r="X2597" s="54"/>
      <c r="Y2597" s="54"/>
      <c r="Z2597" s="54"/>
      <c r="AA2597" s="54"/>
      <c r="AB2597" s="54"/>
      <c r="AC2597" s="54"/>
      <c r="AD2597" s="54"/>
      <c r="AE2597" s="54"/>
      <c r="AF2597" s="54"/>
      <c r="AG2597" s="54"/>
      <c r="AH2597" s="54"/>
    </row>
    <row r="2598">
      <c r="A2598" s="80"/>
      <c r="B2598" s="80"/>
      <c r="C2598" s="80"/>
      <c r="D2598" s="80"/>
      <c r="E2598" s="80"/>
      <c r="F2598" s="59"/>
      <c r="G2598" s="59"/>
      <c r="H2598" s="83"/>
      <c r="I2598" s="76"/>
      <c r="J2598" s="76"/>
      <c r="K2598" s="81"/>
      <c r="L2598" s="82"/>
      <c r="M2598" s="54"/>
      <c r="N2598" s="54"/>
      <c r="O2598" s="54"/>
      <c r="P2598" s="54"/>
      <c r="Q2598" s="54"/>
      <c r="R2598" s="54"/>
      <c r="S2598" s="54"/>
      <c r="T2598" s="54"/>
      <c r="U2598" s="54"/>
      <c r="V2598" s="54"/>
      <c r="W2598" s="54"/>
      <c r="X2598" s="54"/>
      <c r="Y2598" s="54"/>
      <c r="Z2598" s="54"/>
      <c r="AA2598" s="54"/>
      <c r="AB2598" s="54"/>
      <c r="AC2598" s="54"/>
      <c r="AD2598" s="54"/>
      <c r="AE2598" s="54"/>
      <c r="AF2598" s="54"/>
      <c r="AG2598" s="54"/>
      <c r="AH2598" s="54"/>
    </row>
    <row r="2599">
      <c r="A2599" s="80"/>
      <c r="B2599" s="80"/>
      <c r="C2599" s="80"/>
      <c r="D2599" s="80"/>
      <c r="E2599" s="80"/>
      <c r="F2599" s="59"/>
      <c r="G2599" s="59"/>
      <c r="H2599" s="83"/>
      <c r="I2599" s="76"/>
      <c r="J2599" s="76"/>
      <c r="K2599" s="81"/>
      <c r="L2599" s="82"/>
      <c r="M2599" s="54"/>
      <c r="N2599" s="54"/>
      <c r="O2599" s="54"/>
      <c r="P2599" s="54"/>
      <c r="Q2599" s="54"/>
      <c r="R2599" s="54"/>
      <c r="S2599" s="54"/>
      <c r="T2599" s="54"/>
      <c r="U2599" s="54"/>
      <c r="V2599" s="54"/>
      <c r="W2599" s="54"/>
      <c r="X2599" s="54"/>
      <c r="Y2599" s="54"/>
      <c r="Z2599" s="54"/>
      <c r="AA2599" s="54"/>
      <c r="AB2599" s="54"/>
      <c r="AC2599" s="54"/>
      <c r="AD2599" s="54"/>
      <c r="AE2599" s="54"/>
      <c r="AF2599" s="54"/>
      <c r="AG2599" s="54"/>
      <c r="AH2599" s="54"/>
    </row>
    <row r="2600">
      <c r="A2600" s="80"/>
      <c r="B2600" s="80"/>
      <c r="C2600" s="80"/>
      <c r="D2600" s="80"/>
      <c r="E2600" s="80"/>
      <c r="F2600" s="59"/>
      <c r="G2600" s="59"/>
      <c r="H2600" s="83"/>
      <c r="I2600" s="76"/>
      <c r="J2600" s="76"/>
      <c r="K2600" s="81"/>
      <c r="L2600" s="82"/>
      <c r="M2600" s="54"/>
      <c r="N2600" s="54"/>
      <c r="O2600" s="54"/>
      <c r="P2600" s="54"/>
      <c r="Q2600" s="54"/>
      <c r="R2600" s="54"/>
      <c r="S2600" s="54"/>
      <c r="T2600" s="54"/>
      <c r="U2600" s="54"/>
      <c r="V2600" s="54"/>
      <c r="W2600" s="54"/>
      <c r="X2600" s="54"/>
      <c r="Y2600" s="54"/>
      <c r="Z2600" s="54"/>
      <c r="AA2600" s="54"/>
      <c r="AB2600" s="54"/>
      <c r="AC2600" s="54"/>
      <c r="AD2600" s="54"/>
      <c r="AE2600" s="54"/>
      <c r="AF2600" s="54"/>
      <c r="AG2600" s="54"/>
      <c r="AH2600" s="54"/>
    </row>
    <row r="2601">
      <c r="A2601" s="80"/>
      <c r="B2601" s="80"/>
      <c r="C2601" s="80"/>
      <c r="D2601" s="80"/>
      <c r="E2601" s="80"/>
      <c r="F2601" s="59"/>
      <c r="G2601" s="59"/>
      <c r="H2601" s="83"/>
      <c r="I2601" s="76"/>
      <c r="J2601" s="76"/>
      <c r="K2601" s="81"/>
      <c r="L2601" s="82"/>
      <c r="M2601" s="54"/>
      <c r="N2601" s="54"/>
      <c r="O2601" s="54"/>
      <c r="P2601" s="54"/>
      <c r="Q2601" s="54"/>
      <c r="R2601" s="54"/>
      <c r="S2601" s="54"/>
      <c r="T2601" s="54"/>
      <c r="U2601" s="54"/>
      <c r="V2601" s="54"/>
      <c r="W2601" s="54"/>
      <c r="X2601" s="54"/>
      <c r="Y2601" s="54"/>
      <c r="Z2601" s="54"/>
      <c r="AA2601" s="54"/>
      <c r="AB2601" s="54"/>
      <c r="AC2601" s="54"/>
      <c r="AD2601" s="54"/>
      <c r="AE2601" s="54"/>
      <c r="AF2601" s="54"/>
      <c r="AG2601" s="54"/>
      <c r="AH2601" s="54"/>
    </row>
    <row r="2602">
      <c r="A2602" s="80"/>
      <c r="B2602" s="80"/>
      <c r="C2602" s="80"/>
      <c r="D2602" s="80"/>
      <c r="E2602" s="80"/>
      <c r="F2602" s="59"/>
      <c r="G2602" s="59"/>
      <c r="H2602" s="83"/>
      <c r="I2602" s="76"/>
      <c r="J2602" s="76"/>
      <c r="K2602" s="81"/>
      <c r="L2602" s="82"/>
      <c r="M2602" s="54"/>
      <c r="N2602" s="54"/>
      <c r="O2602" s="54"/>
      <c r="P2602" s="54"/>
      <c r="Q2602" s="54"/>
      <c r="R2602" s="54"/>
      <c r="S2602" s="54"/>
      <c r="T2602" s="54"/>
      <c r="U2602" s="54"/>
      <c r="V2602" s="54"/>
      <c r="W2602" s="54"/>
      <c r="X2602" s="54"/>
      <c r="Y2602" s="54"/>
      <c r="Z2602" s="54"/>
      <c r="AA2602" s="54"/>
      <c r="AB2602" s="54"/>
      <c r="AC2602" s="54"/>
      <c r="AD2602" s="54"/>
      <c r="AE2602" s="54"/>
      <c r="AF2602" s="54"/>
      <c r="AG2602" s="54"/>
      <c r="AH2602" s="54"/>
    </row>
    <row r="2603">
      <c r="A2603" s="80"/>
      <c r="B2603" s="80"/>
      <c r="C2603" s="80"/>
      <c r="D2603" s="80"/>
      <c r="E2603" s="80"/>
      <c r="F2603" s="59"/>
      <c r="G2603" s="59"/>
      <c r="H2603" s="83"/>
      <c r="I2603" s="76"/>
      <c r="J2603" s="76"/>
      <c r="K2603" s="81"/>
      <c r="L2603" s="82"/>
      <c r="M2603" s="54"/>
      <c r="N2603" s="54"/>
      <c r="O2603" s="54"/>
      <c r="P2603" s="54"/>
      <c r="Q2603" s="54"/>
      <c r="R2603" s="54"/>
      <c r="S2603" s="54"/>
      <c r="T2603" s="54"/>
      <c r="U2603" s="54"/>
      <c r="V2603" s="54"/>
      <c r="W2603" s="54"/>
      <c r="X2603" s="54"/>
      <c r="Y2603" s="54"/>
      <c r="Z2603" s="54"/>
      <c r="AA2603" s="54"/>
      <c r="AB2603" s="54"/>
      <c r="AC2603" s="54"/>
      <c r="AD2603" s="54"/>
      <c r="AE2603" s="54"/>
      <c r="AF2603" s="54"/>
      <c r="AG2603" s="54"/>
      <c r="AH2603" s="54"/>
    </row>
    <row r="2604">
      <c r="A2604" s="80"/>
      <c r="B2604" s="80"/>
      <c r="C2604" s="80"/>
      <c r="D2604" s="80"/>
      <c r="E2604" s="80"/>
      <c r="F2604" s="59"/>
      <c r="G2604" s="59"/>
      <c r="H2604" s="83"/>
      <c r="I2604" s="76"/>
      <c r="J2604" s="76"/>
      <c r="K2604" s="81"/>
      <c r="L2604" s="82"/>
      <c r="M2604" s="54"/>
      <c r="N2604" s="54"/>
      <c r="O2604" s="54"/>
      <c r="P2604" s="54"/>
      <c r="Q2604" s="54"/>
      <c r="R2604" s="54"/>
      <c r="S2604" s="54"/>
      <c r="T2604" s="54"/>
      <c r="U2604" s="54"/>
      <c r="V2604" s="54"/>
      <c r="W2604" s="54"/>
      <c r="X2604" s="54"/>
      <c r="Y2604" s="54"/>
      <c r="Z2604" s="54"/>
      <c r="AA2604" s="54"/>
      <c r="AB2604" s="54"/>
      <c r="AC2604" s="54"/>
      <c r="AD2604" s="54"/>
      <c r="AE2604" s="54"/>
      <c r="AF2604" s="54"/>
      <c r="AG2604" s="54"/>
      <c r="AH2604" s="54"/>
    </row>
    <row r="2605">
      <c r="A2605" s="80"/>
      <c r="B2605" s="80"/>
      <c r="C2605" s="80"/>
      <c r="D2605" s="80"/>
      <c r="E2605" s="80"/>
      <c r="F2605" s="59"/>
      <c r="G2605" s="59"/>
      <c r="H2605" s="83"/>
      <c r="I2605" s="76"/>
      <c r="J2605" s="76"/>
      <c r="K2605" s="81"/>
      <c r="L2605" s="82"/>
      <c r="M2605" s="54"/>
      <c r="N2605" s="54"/>
      <c r="O2605" s="54"/>
      <c r="P2605" s="54"/>
      <c r="Q2605" s="54"/>
      <c r="R2605" s="54"/>
      <c r="S2605" s="54"/>
      <c r="T2605" s="54"/>
      <c r="U2605" s="54"/>
      <c r="V2605" s="54"/>
      <c r="W2605" s="54"/>
      <c r="X2605" s="54"/>
      <c r="Y2605" s="54"/>
      <c r="Z2605" s="54"/>
      <c r="AA2605" s="54"/>
      <c r="AB2605" s="54"/>
      <c r="AC2605" s="54"/>
      <c r="AD2605" s="54"/>
      <c r="AE2605" s="54"/>
      <c r="AF2605" s="54"/>
      <c r="AG2605" s="54"/>
      <c r="AH2605" s="54"/>
    </row>
    <row r="2606">
      <c r="A2606" s="80"/>
      <c r="B2606" s="80"/>
      <c r="C2606" s="80"/>
      <c r="D2606" s="80"/>
      <c r="E2606" s="80"/>
      <c r="F2606" s="59"/>
      <c r="G2606" s="59"/>
      <c r="H2606" s="83"/>
      <c r="I2606" s="76"/>
      <c r="J2606" s="76"/>
      <c r="K2606" s="81"/>
      <c r="L2606" s="82"/>
      <c r="M2606" s="54"/>
      <c r="N2606" s="54"/>
      <c r="O2606" s="54"/>
      <c r="P2606" s="54"/>
      <c r="Q2606" s="54"/>
      <c r="R2606" s="54"/>
      <c r="S2606" s="54"/>
      <c r="T2606" s="54"/>
      <c r="U2606" s="54"/>
      <c r="V2606" s="54"/>
      <c r="W2606" s="54"/>
      <c r="X2606" s="54"/>
      <c r="Y2606" s="54"/>
      <c r="Z2606" s="54"/>
      <c r="AA2606" s="54"/>
      <c r="AB2606" s="54"/>
      <c r="AC2606" s="54"/>
      <c r="AD2606" s="54"/>
      <c r="AE2606" s="54"/>
      <c r="AF2606" s="54"/>
      <c r="AG2606" s="54"/>
      <c r="AH2606" s="54"/>
    </row>
    <row r="2607">
      <c r="A2607" s="80"/>
      <c r="B2607" s="80"/>
      <c r="C2607" s="80"/>
      <c r="D2607" s="80"/>
      <c r="E2607" s="80"/>
      <c r="F2607" s="59"/>
      <c r="G2607" s="59"/>
      <c r="H2607" s="83"/>
      <c r="I2607" s="76"/>
      <c r="J2607" s="76"/>
      <c r="K2607" s="81"/>
      <c r="L2607" s="82"/>
      <c r="M2607" s="54"/>
      <c r="N2607" s="54"/>
      <c r="O2607" s="54"/>
      <c r="P2607" s="54"/>
      <c r="Q2607" s="54"/>
      <c r="R2607" s="54"/>
      <c r="S2607" s="54"/>
      <c r="T2607" s="54"/>
      <c r="U2607" s="54"/>
      <c r="V2607" s="54"/>
      <c r="W2607" s="54"/>
      <c r="X2607" s="54"/>
      <c r="Y2607" s="54"/>
      <c r="Z2607" s="54"/>
      <c r="AA2607" s="54"/>
      <c r="AB2607" s="54"/>
      <c r="AC2607" s="54"/>
      <c r="AD2607" s="54"/>
      <c r="AE2607" s="54"/>
      <c r="AF2607" s="54"/>
      <c r="AG2607" s="54"/>
      <c r="AH2607" s="54"/>
    </row>
    <row r="2608">
      <c r="A2608" s="80"/>
      <c r="B2608" s="80"/>
      <c r="C2608" s="80"/>
      <c r="D2608" s="80"/>
      <c r="E2608" s="80"/>
      <c r="F2608" s="59"/>
      <c r="G2608" s="59"/>
      <c r="H2608" s="83"/>
      <c r="I2608" s="76"/>
      <c r="J2608" s="76"/>
      <c r="K2608" s="81"/>
      <c r="L2608" s="82"/>
      <c r="M2608" s="54"/>
      <c r="N2608" s="54"/>
      <c r="O2608" s="54"/>
      <c r="P2608" s="54"/>
      <c r="Q2608" s="54"/>
      <c r="R2608" s="54"/>
      <c r="S2608" s="54"/>
      <c r="T2608" s="54"/>
      <c r="U2608" s="54"/>
      <c r="V2608" s="54"/>
      <c r="W2608" s="54"/>
      <c r="X2608" s="54"/>
      <c r="Y2608" s="54"/>
      <c r="Z2608" s="54"/>
      <c r="AA2608" s="54"/>
      <c r="AB2608" s="54"/>
      <c r="AC2608" s="54"/>
      <c r="AD2608" s="54"/>
      <c r="AE2608" s="54"/>
      <c r="AF2608" s="54"/>
      <c r="AG2608" s="54"/>
      <c r="AH2608" s="54"/>
    </row>
    <row r="2609">
      <c r="A2609" s="80"/>
      <c r="B2609" s="80"/>
      <c r="C2609" s="80"/>
      <c r="D2609" s="80"/>
      <c r="E2609" s="80"/>
      <c r="F2609" s="59"/>
      <c r="G2609" s="59"/>
      <c r="H2609" s="83"/>
      <c r="I2609" s="76"/>
      <c r="J2609" s="76"/>
      <c r="K2609" s="81"/>
      <c r="L2609" s="82"/>
      <c r="M2609" s="54"/>
      <c r="N2609" s="54"/>
      <c r="O2609" s="54"/>
      <c r="P2609" s="54"/>
      <c r="Q2609" s="54"/>
      <c r="R2609" s="54"/>
      <c r="S2609" s="54"/>
      <c r="T2609" s="54"/>
      <c r="U2609" s="54"/>
      <c r="V2609" s="54"/>
      <c r="W2609" s="54"/>
      <c r="X2609" s="54"/>
      <c r="Y2609" s="54"/>
      <c r="Z2609" s="54"/>
      <c r="AA2609" s="54"/>
      <c r="AB2609" s="54"/>
      <c r="AC2609" s="54"/>
      <c r="AD2609" s="54"/>
      <c r="AE2609" s="54"/>
      <c r="AF2609" s="54"/>
      <c r="AG2609" s="54"/>
      <c r="AH2609" s="54"/>
    </row>
    <row r="2610">
      <c r="A2610" s="80"/>
      <c r="B2610" s="80"/>
      <c r="C2610" s="80"/>
      <c r="D2610" s="80"/>
      <c r="E2610" s="80"/>
      <c r="F2610" s="59"/>
      <c r="G2610" s="59"/>
      <c r="H2610" s="83"/>
      <c r="I2610" s="76"/>
      <c r="J2610" s="76"/>
      <c r="K2610" s="81"/>
      <c r="L2610" s="82"/>
      <c r="M2610" s="54"/>
      <c r="N2610" s="54"/>
      <c r="O2610" s="54"/>
      <c r="P2610" s="54"/>
      <c r="Q2610" s="54"/>
      <c r="R2610" s="54"/>
      <c r="S2610" s="54"/>
      <c r="T2610" s="54"/>
      <c r="U2610" s="54"/>
      <c r="V2610" s="54"/>
      <c r="W2610" s="54"/>
      <c r="X2610" s="54"/>
      <c r="Y2610" s="54"/>
      <c r="Z2610" s="54"/>
      <c r="AA2610" s="54"/>
      <c r="AB2610" s="54"/>
      <c r="AC2610" s="54"/>
      <c r="AD2610" s="54"/>
      <c r="AE2610" s="54"/>
      <c r="AF2610" s="54"/>
      <c r="AG2610" s="54"/>
      <c r="AH2610" s="54"/>
    </row>
    <row r="2611">
      <c r="A2611" s="80"/>
      <c r="B2611" s="80"/>
      <c r="C2611" s="80"/>
      <c r="D2611" s="80"/>
      <c r="E2611" s="80"/>
      <c r="F2611" s="59"/>
      <c r="G2611" s="59"/>
      <c r="H2611" s="83"/>
      <c r="I2611" s="76"/>
      <c r="J2611" s="76"/>
      <c r="K2611" s="81"/>
      <c r="L2611" s="82"/>
      <c r="M2611" s="54"/>
      <c r="N2611" s="54"/>
      <c r="O2611" s="54"/>
      <c r="P2611" s="54"/>
      <c r="Q2611" s="54"/>
      <c r="R2611" s="54"/>
      <c r="S2611" s="54"/>
      <c r="T2611" s="54"/>
      <c r="U2611" s="54"/>
      <c r="V2611" s="54"/>
      <c r="W2611" s="54"/>
      <c r="X2611" s="54"/>
      <c r="Y2611" s="54"/>
      <c r="Z2611" s="54"/>
      <c r="AA2611" s="54"/>
      <c r="AB2611" s="54"/>
      <c r="AC2611" s="54"/>
      <c r="AD2611" s="54"/>
      <c r="AE2611" s="54"/>
      <c r="AF2611" s="54"/>
      <c r="AG2611" s="54"/>
      <c r="AH2611" s="54"/>
    </row>
    <row r="2612">
      <c r="A2612" s="80"/>
      <c r="B2612" s="80"/>
      <c r="C2612" s="80"/>
      <c r="D2612" s="80"/>
      <c r="E2612" s="80"/>
      <c r="F2612" s="59"/>
      <c r="G2612" s="59"/>
      <c r="H2612" s="83"/>
      <c r="I2612" s="76"/>
      <c r="J2612" s="76"/>
      <c r="K2612" s="81"/>
      <c r="L2612" s="82"/>
      <c r="M2612" s="54"/>
      <c r="N2612" s="54"/>
      <c r="O2612" s="54"/>
      <c r="P2612" s="54"/>
      <c r="Q2612" s="54"/>
      <c r="R2612" s="54"/>
      <c r="S2612" s="54"/>
      <c r="T2612" s="54"/>
      <c r="U2612" s="54"/>
      <c r="V2612" s="54"/>
      <c r="W2612" s="54"/>
      <c r="X2612" s="54"/>
      <c r="Y2612" s="54"/>
      <c r="Z2612" s="54"/>
      <c r="AA2612" s="54"/>
      <c r="AB2612" s="54"/>
      <c r="AC2612" s="54"/>
      <c r="AD2612" s="54"/>
      <c r="AE2612" s="54"/>
      <c r="AF2612" s="54"/>
      <c r="AG2612" s="54"/>
      <c r="AH2612" s="54"/>
    </row>
    <row r="2613">
      <c r="A2613" s="80"/>
      <c r="B2613" s="80"/>
      <c r="C2613" s="80"/>
      <c r="D2613" s="80"/>
      <c r="E2613" s="80"/>
      <c r="F2613" s="59"/>
      <c r="G2613" s="59"/>
      <c r="H2613" s="83"/>
      <c r="I2613" s="76"/>
      <c r="J2613" s="76"/>
      <c r="K2613" s="81"/>
      <c r="L2613" s="82"/>
      <c r="M2613" s="54"/>
      <c r="N2613" s="54"/>
      <c r="O2613" s="54"/>
      <c r="P2613" s="54"/>
      <c r="Q2613" s="54"/>
      <c r="R2613" s="54"/>
      <c r="S2613" s="54"/>
      <c r="T2613" s="54"/>
      <c r="U2613" s="54"/>
      <c r="V2613" s="54"/>
      <c r="W2613" s="54"/>
      <c r="X2613" s="54"/>
      <c r="Y2613" s="54"/>
      <c r="Z2613" s="54"/>
      <c r="AA2613" s="54"/>
      <c r="AB2613" s="54"/>
      <c r="AC2613" s="54"/>
      <c r="AD2613" s="54"/>
      <c r="AE2613" s="54"/>
      <c r="AF2613" s="54"/>
      <c r="AG2613" s="54"/>
      <c r="AH2613" s="54"/>
    </row>
    <row r="2614">
      <c r="A2614" s="80"/>
      <c r="B2614" s="80"/>
      <c r="C2614" s="80"/>
      <c r="D2614" s="80"/>
      <c r="E2614" s="80"/>
      <c r="F2614" s="59"/>
      <c r="G2614" s="59"/>
      <c r="H2614" s="83"/>
      <c r="I2614" s="76"/>
      <c r="J2614" s="76"/>
      <c r="K2614" s="81"/>
      <c r="L2614" s="82"/>
      <c r="M2614" s="54"/>
      <c r="N2614" s="54"/>
      <c r="O2614" s="54"/>
      <c r="P2614" s="54"/>
      <c r="Q2614" s="54"/>
      <c r="R2614" s="54"/>
      <c r="S2614" s="54"/>
      <c r="T2614" s="54"/>
      <c r="U2614" s="54"/>
      <c r="V2614" s="54"/>
      <c r="W2614" s="54"/>
      <c r="X2614" s="54"/>
      <c r="Y2614" s="54"/>
      <c r="Z2614" s="54"/>
      <c r="AA2614" s="54"/>
      <c r="AB2614" s="54"/>
      <c r="AC2614" s="54"/>
      <c r="AD2614" s="54"/>
      <c r="AE2614" s="54"/>
      <c r="AF2614" s="54"/>
      <c r="AG2614" s="54"/>
      <c r="AH2614" s="54"/>
    </row>
    <row r="2615">
      <c r="A2615" s="80"/>
      <c r="B2615" s="80"/>
      <c r="C2615" s="80"/>
      <c r="D2615" s="80"/>
      <c r="E2615" s="80"/>
      <c r="F2615" s="59"/>
      <c r="G2615" s="59"/>
      <c r="H2615" s="83"/>
      <c r="I2615" s="76"/>
      <c r="J2615" s="76"/>
      <c r="K2615" s="81"/>
      <c r="L2615" s="82"/>
      <c r="M2615" s="54"/>
      <c r="N2615" s="54"/>
      <c r="O2615" s="54"/>
      <c r="P2615" s="54"/>
      <c r="Q2615" s="54"/>
      <c r="R2615" s="54"/>
      <c r="S2615" s="54"/>
      <c r="T2615" s="54"/>
      <c r="U2615" s="54"/>
      <c r="V2615" s="54"/>
      <c r="W2615" s="54"/>
      <c r="X2615" s="54"/>
      <c r="Y2615" s="54"/>
      <c r="Z2615" s="54"/>
      <c r="AA2615" s="54"/>
      <c r="AB2615" s="54"/>
      <c r="AC2615" s="54"/>
      <c r="AD2615" s="54"/>
      <c r="AE2615" s="54"/>
      <c r="AF2615" s="54"/>
      <c r="AG2615" s="54"/>
      <c r="AH2615" s="54"/>
    </row>
    <row r="2616">
      <c r="A2616" s="80"/>
      <c r="B2616" s="80"/>
      <c r="C2616" s="80"/>
      <c r="D2616" s="80"/>
      <c r="E2616" s="80"/>
      <c r="F2616" s="59"/>
      <c r="G2616" s="59"/>
      <c r="H2616" s="83"/>
      <c r="I2616" s="76"/>
      <c r="J2616" s="76"/>
      <c r="K2616" s="81"/>
      <c r="L2616" s="82"/>
      <c r="M2616" s="54"/>
      <c r="N2616" s="54"/>
      <c r="O2616" s="54"/>
      <c r="P2616" s="54"/>
      <c r="Q2616" s="54"/>
      <c r="R2616" s="54"/>
      <c r="S2616" s="54"/>
      <c r="T2616" s="54"/>
      <c r="U2616" s="54"/>
      <c r="V2616" s="54"/>
      <c r="W2616" s="54"/>
      <c r="X2616" s="54"/>
      <c r="Y2616" s="54"/>
      <c r="Z2616" s="54"/>
      <c r="AA2616" s="54"/>
      <c r="AB2616" s="54"/>
      <c r="AC2616" s="54"/>
      <c r="AD2616" s="54"/>
      <c r="AE2616" s="54"/>
      <c r="AF2616" s="54"/>
      <c r="AG2616" s="54"/>
      <c r="AH2616" s="54"/>
    </row>
    <row r="2617">
      <c r="A2617" s="80"/>
      <c r="B2617" s="80"/>
      <c r="C2617" s="80"/>
      <c r="D2617" s="80"/>
      <c r="E2617" s="80"/>
      <c r="F2617" s="59"/>
      <c r="G2617" s="59"/>
      <c r="H2617" s="83"/>
      <c r="I2617" s="76"/>
      <c r="J2617" s="76"/>
      <c r="K2617" s="81"/>
      <c r="L2617" s="82"/>
      <c r="M2617" s="54"/>
      <c r="N2617" s="54"/>
      <c r="O2617" s="54"/>
      <c r="P2617" s="54"/>
      <c r="Q2617" s="54"/>
      <c r="R2617" s="54"/>
      <c r="S2617" s="54"/>
      <c r="T2617" s="54"/>
      <c r="U2617" s="54"/>
      <c r="V2617" s="54"/>
      <c r="W2617" s="54"/>
      <c r="X2617" s="54"/>
      <c r="Y2617" s="54"/>
      <c r="Z2617" s="54"/>
      <c r="AA2617" s="54"/>
      <c r="AB2617" s="54"/>
      <c r="AC2617" s="54"/>
      <c r="AD2617" s="54"/>
      <c r="AE2617" s="54"/>
      <c r="AF2617" s="54"/>
      <c r="AG2617" s="54"/>
      <c r="AH2617" s="54"/>
    </row>
    <row r="2618">
      <c r="A2618" s="80"/>
      <c r="B2618" s="80"/>
      <c r="C2618" s="80"/>
      <c r="D2618" s="80"/>
      <c r="E2618" s="80"/>
      <c r="F2618" s="59"/>
      <c r="G2618" s="59"/>
      <c r="H2618" s="83"/>
      <c r="I2618" s="76"/>
      <c r="J2618" s="76"/>
      <c r="K2618" s="81"/>
      <c r="L2618" s="82"/>
      <c r="M2618" s="54"/>
      <c r="N2618" s="54"/>
      <c r="O2618" s="54"/>
      <c r="P2618" s="54"/>
      <c r="Q2618" s="54"/>
      <c r="R2618" s="54"/>
      <c r="S2618" s="54"/>
      <c r="T2618" s="54"/>
      <c r="U2618" s="54"/>
      <c r="V2618" s="54"/>
      <c r="W2618" s="54"/>
      <c r="X2618" s="54"/>
      <c r="Y2618" s="54"/>
      <c r="Z2618" s="54"/>
      <c r="AA2618" s="54"/>
      <c r="AB2618" s="54"/>
      <c r="AC2618" s="54"/>
      <c r="AD2618" s="54"/>
      <c r="AE2618" s="54"/>
      <c r="AF2618" s="54"/>
      <c r="AG2618" s="54"/>
      <c r="AH2618" s="54"/>
    </row>
    <row r="2619">
      <c r="A2619" s="80"/>
      <c r="B2619" s="80"/>
      <c r="C2619" s="80"/>
      <c r="D2619" s="80"/>
      <c r="E2619" s="80"/>
      <c r="F2619" s="59"/>
      <c r="G2619" s="59"/>
      <c r="H2619" s="83"/>
      <c r="I2619" s="76"/>
      <c r="J2619" s="76"/>
      <c r="K2619" s="81"/>
      <c r="L2619" s="82"/>
      <c r="M2619" s="54"/>
      <c r="N2619" s="54"/>
      <c r="O2619" s="54"/>
      <c r="P2619" s="54"/>
      <c r="Q2619" s="54"/>
      <c r="R2619" s="54"/>
      <c r="S2619" s="54"/>
      <c r="T2619" s="54"/>
      <c r="U2619" s="54"/>
      <c r="V2619" s="54"/>
      <c r="W2619" s="54"/>
      <c r="X2619" s="54"/>
      <c r="Y2619" s="54"/>
      <c r="Z2619" s="54"/>
      <c r="AA2619" s="54"/>
      <c r="AB2619" s="54"/>
      <c r="AC2619" s="54"/>
      <c r="AD2619" s="54"/>
      <c r="AE2619" s="54"/>
      <c r="AF2619" s="54"/>
      <c r="AG2619" s="54"/>
      <c r="AH2619" s="54"/>
    </row>
    <row r="2620">
      <c r="A2620" s="80"/>
      <c r="B2620" s="80"/>
      <c r="C2620" s="80"/>
      <c r="D2620" s="80"/>
      <c r="E2620" s="80"/>
      <c r="F2620" s="59"/>
      <c r="G2620" s="59"/>
      <c r="H2620" s="83"/>
      <c r="I2620" s="76"/>
      <c r="J2620" s="76"/>
      <c r="K2620" s="81"/>
      <c r="L2620" s="82"/>
      <c r="M2620" s="54"/>
      <c r="N2620" s="54"/>
      <c r="O2620" s="54"/>
      <c r="P2620" s="54"/>
      <c r="Q2620" s="54"/>
      <c r="R2620" s="54"/>
      <c r="S2620" s="54"/>
      <c r="T2620" s="54"/>
      <c r="U2620" s="54"/>
      <c r="V2620" s="54"/>
      <c r="W2620" s="54"/>
      <c r="X2620" s="54"/>
      <c r="Y2620" s="54"/>
      <c r="Z2620" s="54"/>
      <c r="AA2620" s="54"/>
      <c r="AB2620" s="54"/>
      <c r="AC2620" s="54"/>
      <c r="AD2620" s="54"/>
      <c r="AE2620" s="54"/>
      <c r="AF2620" s="54"/>
      <c r="AG2620" s="54"/>
      <c r="AH2620" s="54"/>
    </row>
    <row r="2621">
      <c r="A2621" s="80"/>
      <c r="B2621" s="80"/>
      <c r="C2621" s="80"/>
      <c r="D2621" s="80"/>
      <c r="E2621" s="80"/>
      <c r="F2621" s="59"/>
      <c r="G2621" s="59"/>
      <c r="H2621" s="83"/>
      <c r="I2621" s="76"/>
      <c r="J2621" s="76"/>
      <c r="K2621" s="81"/>
      <c r="L2621" s="82"/>
      <c r="M2621" s="54"/>
      <c r="N2621" s="54"/>
      <c r="O2621" s="54"/>
      <c r="P2621" s="54"/>
      <c r="Q2621" s="54"/>
      <c r="R2621" s="54"/>
      <c r="S2621" s="54"/>
      <c r="T2621" s="54"/>
      <c r="U2621" s="54"/>
      <c r="V2621" s="54"/>
      <c r="W2621" s="54"/>
      <c r="X2621" s="54"/>
      <c r="Y2621" s="54"/>
      <c r="Z2621" s="54"/>
      <c r="AA2621" s="54"/>
      <c r="AB2621" s="54"/>
      <c r="AC2621" s="54"/>
      <c r="AD2621" s="54"/>
      <c r="AE2621" s="54"/>
      <c r="AF2621" s="54"/>
      <c r="AG2621" s="54"/>
      <c r="AH2621" s="54"/>
    </row>
    <row r="2622">
      <c r="A2622" s="80"/>
      <c r="B2622" s="80"/>
      <c r="C2622" s="80"/>
      <c r="D2622" s="80"/>
      <c r="E2622" s="80"/>
      <c r="F2622" s="59"/>
      <c r="G2622" s="59"/>
      <c r="H2622" s="83"/>
      <c r="I2622" s="76"/>
      <c r="J2622" s="76"/>
      <c r="K2622" s="81"/>
      <c r="L2622" s="82"/>
      <c r="M2622" s="54"/>
      <c r="N2622" s="54"/>
      <c r="O2622" s="54"/>
      <c r="P2622" s="54"/>
      <c r="Q2622" s="54"/>
      <c r="R2622" s="54"/>
      <c r="S2622" s="54"/>
      <c r="T2622" s="54"/>
      <c r="U2622" s="54"/>
      <c r="V2622" s="54"/>
      <c r="W2622" s="54"/>
      <c r="X2622" s="54"/>
      <c r="Y2622" s="54"/>
      <c r="Z2622" s="54"/>
      <c r="AA2622" s="54"/>
      <c r="AB2622" s="54"/>
      <c r="AC2622" s="54"/>
      <c r="AD2622" s="54"/>
      <c r="AE2622" s="54"/>
      <c r="AF2622" s="54"/>
      <c r="AG2622" s="54"/>
      <c r="AH2622" s="54"/>
    </row>
    <row r="2623">
      <c r="A2623" s="80"/>
      <c r="B2623" s="80"/>
      <c r="C2623" s="80"/>
      <c r="D2623" s="80"/>
      <c r="E2623" s="80"/>
      <c r="F2623" s="59"/>
      <c r="G2623" s="59"/>
      <c r="H2623" s="83"/>
      <c r="I2623" s="76"/>
      <c r="J2623" s="76"/>
      <c r="K2623" s="81"/>
      <c r="L2623" s="82"/>
      <c r="M2623" s="54"/>
      <c r="N2623" s="54"/>
      <c r="O2623" s="54"/>
      <c r="P2623" s="54"/>
      <c r="Q2623" s="54"/>
      <c r="R2623" s="54"/>
      <c r="S2623" s="54"/>
      <c r="T2623" s="54"/>
      <c r="U2623" s="54"/>
      <c r="V2623" s="54"/>
      <c r="W2623" s="54"/>
      <c r="X2623" s="54"/>
      <c r="Y2623" s="54"/>
      <c r="Z2623" s="54"/>
      <c r="AA2623" s="54"/>
      <c r="AB2623" s="54"/>
      <c r="AC2623" s="54"/>
      <c r="AD2623" s="54"/>
      <c r="AE2623" s="54"/>
      <c r="AF2623" s="54"/>
      <c r="AG2623" s="54"/>
      <c r="AH2623" s="54"/>
    </row>
    <row r="2624">
      <c r="A2624" s="80"/>
      <c r="B2624" s="80"/>
      <c r="C2624" s="80"/>
      <c r="D2624" s="80"/>
      <c r="E2624" s="80"/>
      <c r="F2624" s="59"/>
      <c r="G2624" s="59"/>
      <c r="H2624" s="83"/>
      <c r="I2624" s="76"/>
      <c r="J2624" s="76"/>
      <c r="K2624" s="81"/>
      <c r="L2624" s="82"/>
      <c r="M2624" s="54"/>
      <c r="N2624" s="54"/>
      <c r="O2624" s="54"/>
      <c r="P2624" s="54"/>
      <c r="Q2624" s="54"/>
      <c r="R2624" s="54"/>
      <c r="S2624" s="54"/>
      <c r="T2624" s="54"/>
      <c r="U2624" s="54"/>
      <c r="V2624" s="54"/>
      <c r="W2624" s="54"/>
      <c r="X2624" s="54"/>
      <c r="Y2624" s="54"/>
      <c r="Z2624" s="54"/>
      <c r="AA2624" s="54"/>
      <c r="AB2624" s="54"/>
      <c r="AC2624" s="54"/>
      <c r="AD2624" s="54"/>
      <c r="AE2624" s="54"/>
      <c r="AF2624" s="54"/>
      <c r="AG2624" s="54"/>
      <c r="AH2624" s="54"/>
    </row>
    <row r="2625">
      <c r="A2625" s="80"/>
      <c r="B2625" s="80"/>
      <c r="C2625" s="80"/>
      <c r="D2625" s="80"/>
      <c r="E2625" s="80"/>
      <c r="F2625" s="59"/>
      <c r="G2625" s="59"/>
      <c r="H2625" s="83"/>
      <c r="I2625" s="76"/>
      <c r="J2625" s="76"/>
      <c r="K2625" s="81"/>
      <c r="L2625" s="82"/>
      <c r="M2625" s="54"/>
      <c r="N2625" s="54"/>
      <c r="O2625" s="54"/>
      <c r="P2625" s="54"/>
      <c r="Q2625" s="54"/>
      <c r="R2625" s="54"/>
      <c r="S2625" s="54"/>
      <c r="T2625" s="54"/>
      <c r="U2625" s="54"/>
      <c r="V2625" s="54"/>
      <c r="W2625" s="54"/>
      <c r="X2625" s="54"/>
      <c r="Y2625" s="54"/>
      <c r="Z2625" s="54"/>
      <c r="AA2625" s="54"/>
      <c r="AB2625" s="54"/>
      <c r="AC2625" s="54"/>
      <c r="AD2625" s="54"/>
      <c r="AE2625" s="54"/>
      <c r="AF2625" s="54"/>
      <c r="AG2625" s="54"/>
      <c r="AH2625" s="54"/>
    </row>
    <row r="2626">
      <c r="A2626" s="80"/>
      <c r="B2626" s="80"/>
      <c r="C2626" s="80"/>
      <c r="D2626" s="80"/>
      <c r="E2626" s="80"/>
      <c r="F2626" s="59"/>
      <c r="G2626" s="59"/>
      <c r="H2626" s="83"/>
      <c r="I2626" s="76"/>
      <c r="J2626" s="76"/>
      <c r="K2626" s="81"/>
      <c r="L2626" s="82"/>
      <c r="M2626" s="54"/>
      <c r="N2626" s="54"/>
      <c r="O2626" s="54"/>
      <c r="P2626" s="54"/>
      <c r="Q2626" s="54"/>
      <c r="R2626" s="54"/>
      <c r="S2626" s="54"/>
      <c r="T2626" s="54"/>
      <c r="U2626" s="54"/>
      <c r="V2626" s="54"/>
      <c r="W2626" s="54"/>
      <c r="X2626" s="54"/>
      <c r="Y2626" s="54"/>
      <c r="Z2626" s="54"/>
      <c r="AA2626" s="54"/>
      <c r="AB2626" s="54"/>
      <c r="AC2626" s="54"/>
      <c r="AD2626" s="54"/>
      <c r="AE2626" s="54"/>
      <c r="AF2626" s="54"/>
      <c r="AG2626" s="54"/>
      <c r="AH2626" s="54"/>
    </row>
    <row r="2627">
      <c r="A2627" s="80"/>
      <c r="B2627" s="80"/>
      <c r="C2627" s="80"/>
      <c r="D2627" s="80"/>
      <c r="E2627" s="80"/>
      <c r="F2627" s="59"/>
      <c r="G2627" s="59"/>
      <c r="H2627" s="83"/>
      <c r="I2627" s="76"/>
      <c r="J2627" s="76"/>
      <c r="K2627" s="81"/>
      <c r="L2627" s="82"/>
      <c r="M2627" s="54"/>
      <c r="N2627" s="54"/>
      <c r="O2627" s="54"/>
      <c r="P2627" s="54"/>
      <c r="Q2627" s="54"/>
      <c r="R2627" s="54"/>
      <c r="S2627" s="54"/>
      <c r="T2627" s="54"/>
      <c r="U2627" s="54"/>
      <c r="V2627" s="54"/>
      <c r="W2627" s="54"/>
      <c r="X2627" s="54"/>
      <c r="Y2627" s="54"/>
      <c r="Z2627" s="54"/>
      <c r="AA2627" s="54"/>
      <c r="AB2627" s="54"/>
      <c r="AC2627" s="54"/>
      <c r="AD2627" s="54"/>
      <c r="AE2627" s="54"/>
      <c r="AF2627" s="54"/>
      <c r="AG2627" s="54"/>
      <c r="AH2627" s="54"/>
    </row>
    <row r="2628">
      <c r="A2628" s="80"/>
      <c r="B2628" s="80"/>
      <c r="C2628" s="80"/>
      <c r="D2628" s="80"/>
      <c r="E2628" s="80"/>
      <c r="F2628" s="59"/>
      <c r="G2628" s="59"/>
      <c r="H2628" s="83"/>
      <c r="I2628" s="76"/>
      <c r="J2628" s="76"/>
      <c r="K2628" s="81"/>
      <c r="L2628" s="82"/>
      <c r="M2628" s="54"/>
      <c r="N2628" s="54"/>
      <c r="O2628" s="54"/>
      <c r="P2628" s="54"/>
      <c r="Q2628" s="54"/>
      <c r="R2628" s="54"/>
      <c r="S2628" s="54"/>
      <c r="T2628" s="54"/>
      <c r="U2628" s="54"/>
      <c r="V2628" s="54"/>
      <c r="W2628" s="54"/>
      <c r="X2628" s="54"/>
      <c r="Y2628" s="54"/>
      <c r="Z2628" s="54"/>
      <c r="AA2628" s="54"/>
      <c r="AB2628" s="54"/>
      <c r="AC2628" s="54"/>
      <c r="AD2628" s="54"/>
      <c r="AE2628" s="54"/>
      <c r="AF2628" s="54"/>
      <c r="AG2628" s="54"/>
      <c r="AH2628" s="54"/>
    </row>
    <row r="2629">
      <c r="A2629" s="80"/>
      <c r="B2629" s="80"/>
      <c r="C2629" s="80"/>
      <c r="D2629" s="80"/>
      <c r="E2629" s="80"/>
      <c r="F2629" s="59"/>
      <c r="G2629" s="59"/>
      <c r="H2629" s="83"/>
      <c r="I2629" s="76"/>
      <c r="J2629" s="76"/>
      <c r="K2629" s="81"/>
      <c r="L2629" s="82"/>
      <c r="M2629" s="54"/>
      <c r="N2629" s="54"/>
      <c r="O2629" s="54"/>
      <c r="P2629" s="54"/>
      <c r="Q2629" s="54"/>
      <c r="R2629" s="54"/>
      <c r="S2629" s="54"/>
      <c r="T2629" s="54"/>
      <c r="U2629" s="54"/>
      <c r="V2629" s="54"/>
      <c r="W2629" s="54"/>
      <c r="X2629" s="54"/>
      <c r="Y2629" s="54"/>
      <c r="Z2629" s="54"/>
      <c r="AA2629" s="54"/>
      <c r="AB2629" s="54"/>
      <c r="AC2629" s="54"/>
      <c r="AD2629" s="54"/>
      <c r="AE2629" s="54"/>
      <c r="AF2629" s="54"/>
      <c r="AG2629" s="54"/>
      <c r="AH2629" s="54"/>
    </row>
    <row r="2630">
      <c r="A2630" s="80"/>
      <c r="B2630" s="80"/>
      <c r="C2630" s="80"/>
      <c r="D2630" s="80"/>
      <c r="E2630" s="80"/>
      <c r="F2630" s="59"/>
      <c r="G2630" s="59"/>
      <c r="H2630" s="83"/>
      <c r="I2630" s="76"/>
      <c r="J2630" s="76"/>
      <c r="K2630" s="81"/>
      <c r="L2630" s="82"/>
      <c r="M2630" s="54"/>
      <c r="N2630" s="54"/>
      <c r="O2630" s="54"/>
      <c r="P2630" s="54"/>
      <c r="Q2630" s="54"/>
      <c r="R2630" s="54"/>
      <c r="S2630" s="54"/>
      <c r="T2630" s="54"/>
      <c r="U2630" s="54"/>
      <c r="V2630" s="54"/>
      <c r="W2630" s="54"/>
      <c r="X2630" s="54"/>
      <c r="Y2630" s="54"/>
      <c r="Z2630" s="54"/>
      <c r="AA2630" s="54"/>
      <c r="AB2630" s="54"/>
      <c r="AC2630" s="54"/>
      <c r="AD2630" s="54"/>
      <c r="AE2630" s="54"/>
      <c r="AF2630" s="54"/>
      <c r="AG2630" s="54"/>
      <c r="AH2630" s="54"/>
    </row>
    <row r="2631">
      <c r="A2631" s="80"/>
      <c r="B2631" s="80"/>
      <c r="C2631" s="80"/>
      <c r="D2631" s="80"/>
      <c r="E2631" s="80"/>
      <c r="F2631" s="59"/>
      <c r="G2631" s="59"/>
      <c r="H2631" s="83"/>
      <c r="I2631" s="76"/>
      <c r="J2631" s="76"/>
      <c r="K2631" s="81"/>
      <c r="L2631" s="82"/>
      <c r="M2631" s="54"/>
      <c r="N2631" s="54"/>
      <c r="O2631" s="54"/>
      <c r="P2631" s="54"/>
      <c r="Q2631" s="54"/>
      <c r="R2631" s="54"/>
      <c r="S2631" s="54"/>
      <c r="T2631" s="54"/>
      <c r="U2631" s="54"/>
      <c r="V2631" s="54"/>
      <c r="W2631" s="54"/>
      <c r="X2631" s="54"/>
      <c r="Y2631" s="54"/>
      <c r="Z2631" s="54"/>
      <c r="AA2631" s="54"/>
      <c r="AB2631" s="54"/>
      <c r="AC2631" s="54"/>
      <c r="AD2631" s="54"/>
      <c r="AE2631" s="54"/>
      <c r="AF2631" s="54"/>
      <c r="AG2631" s="54"/>
      <c r="AH2631" s="54"/>
    </row>
    <row r="2632">
      <c r="A2632" s="80"/>
      <c r="B2632" s="80"/>
      <c r="C2632" s="80"/>
      <c r="D2632" s="80"/>
      <c r="E2632" s="80"/>
      <c r="F2632" s="59"/>
      <c r="G2632" s="59"/>
      <c r="H2632" s="83"/>
      <c r="I2632" s="76"/>
      <c r="J2632" s="76"/>
      <c r="K2632" s="81"/>
      <c r="L2632" s="82"/>
      <c r="M2632" s="54"/>
      <c r="N2632" s="54"/>
      <c r="O2632" s="54"/>
      <c r="P2632" s="54"/>
      <c r="Q2632" s="54"/>
      <c r="R2632" s="54"/>
      <c r="S2632" s="54"/>
      <c r="T2632" s="54"/>
      <c r="U2632" s="54"/>
      <c r="V2632" s="54"/>
      <c r="W2632" s="54"/>
      <c r="X2632" s="54"/>
      <c r="Y2632" s="54"/>
      <c r="Z2632" s="54"/>
      <c r="AA2632" s="54"/>
      <c r="AB2632" s="54"/>
      <c r="AC2632" s="54"/>
      <c r="AD2632" s="54"/>
      <c r="AE2632" s="54"/>
      <c r="AF2632" s="54"/>
      <c r="AG2632" s="54"/>
      <c r="AH2632" s="54"/>
    </row>
    <row r="2633">
      <c r="A2633" s="80"/>
      <c r="B2633" s="80"/>
      <c r="C2633" s="80"/>
      <c r="D2633" s="80"/>
      <c r="E2633" s="80"/>
      <c r="F2633" s="59"/>
      <c r="G2633" s="59"/>
      <c r="H2633" s="83"/>
      <c r="I2633" s="76"/>
      <c r="J2633" s="76"/>
      <c r="K2633" s="81"/>
      <c r="L2633" s="82"/>
      <c r="M2633" s="54"/>
      <c r="N2633" s="54"/>
      <c r="O2633" s="54"/>
      <c r="P2633" s="54"/>
      <c r="Q2633" s="54"/>
      <c r="R2633" s="54"/>
      <c r="S2633" s="54"/>
      <c r="T2633" s="54"/>
      <c r="U2633" s="54"/>
      <c r="V2633" s="54"/>
      <c r="W2633" s="54"/>
      <c r="X2633" s="54"/>
      <c r="Y2633" s="54"/>
      <c r="Z2633" s="54"/>
      <c r="AA2633" s="54"/>
      <c r="AB2633" s="54"/>
      <c r="AC2633" s="54"/>
      <c r="AD2633" s="54"/>
      <c r="AE2633" s="54"/>
      <c r="AF2633" s="54"/>
      <c r="AG2633" s="54"/>
      <c r="AH2633" s="54"/>
    </row>
    <row r="2634">
      <c r="A2634" s="80"/>
      <c r="B2634" s="80"/>
      <c r="C2634" s="80"/>
      <c r="D2634" s="80"/>
      <c r="E2634" s="80"/>
      <c r="F2634" s="59"/>
      <c r="G2634" s="59"/>
      <c r="H2634" s="83"/>
      <c r="I2634" s="76"/>
      <c r="J2634" s="76"/>
      <c r="K2634" s="81"/>
      <c r="L2634" s="82"/>
      <c r="M2634" s="54"/>
      <c r="N2634" s="54"/>
      <c r="O2634" s="54"/>
      <c r="P2634" s="54"/>
      <c r="Q2634" s="54"/>
      <c r="R2634" s="54"/>
      <c r="S2634" s="54"/>
      <c r="T2634" s="54"/>
      <c r="U2634" s="54"/>
      <c r="V2634" s="54"/>
      <c r="W2634" s="54"/>
      <c r="X2634" s="54"/>
      <c r="Y2634" s="54"/>
      <c r="Z2634" s="54"/>
      <c r="AA2634" s="54"/>
      <c r="AB2634" s="54"/>
      <c r="AC2634" s="54"/>
      <c r="AD2634" s="54"/>
      <c r="AE2634" s="54"/>
      <c r="AF2634" s="54"/>
      <c r="AG2634" s="54"/>
      <c r="AH2634" s="54"/>
    </row>
    <row r="2635">
      <c r="A2635" s="80"/>
      <c r="B2635" s="80"/>
      <c r="C2635" s="80"/>
      <c r="D2635" s="80"/>
      <c r="E2635" s="80"/>
      <c r="F2635" s="59"/>
      <c r="G2635" s="59"/>
      <c r="H2635" s="83"/>
      <c r="I2635" s="76"/>
      <c r="J2635" s="76"/>
      <c r="K2635" s="81"/>
      <c r="L2635" s="82"/>
      <c r="M2635" s="54"/>
      <c r="N2635" s="54"/>
      <c r="O2635" s="54"/>
      <c r="P2635" s="54"/>
      <c r="Q2635" s="54"/>
      <c r="R2635" s="54"/>
      <c r="S2635" s="54"/>
      <c r="T2635" s="54"/>
      <c r="U2635" s="54"/>
      <c r="V2635" s="54"/>
      <c r="W2635" s="54"/>
      <c r="X2635" s="54"/>
      <c r="Y2635" s="54"/>
      <c r="Z2635" s="54"/>
      <c r="AA2635" s="54"/>
      <c r="AB2635" s="54"/>
      <c r="AC2635" s="54"/>
      <c r="AD2635" s="54"/>
      <c r="AE2635" s="54"/>
      <c r="AF2635" s="54"/>
      <c r="AG2635" s="54"/>
      <c r="AH2635" s="54"/>
    </row>
    <row r="2636">
      <c r="A2636" s="80"/>
      <c r="B2636" s="80"/>
      <c r="C2636" s="80"/>
      <c r="D2636" s="80"/>
      <c r="E2636" s="80"/>
      <c r="F2636" s="59"/>
      <c r="G2636" s="59"/>
      <c r="H2636" s="83"/>
      <c r="I2636" s="76"/>
      <c r="J2636" s="76"/>
      <c r="K2636" s="81"/>
      <c r="L2636" s="82"/>
      <c r="M2636" s="54"/>
      <c r="N2636" s="54"/>
      <c r="O2636" s="54"/>
      <c r="P2636" s="54"/>
      <c r="Q2636" s="54"/>
      <c r="R2636" s="54"/>
      <c r="S2636" s="54"/>
      <c r="T2636" s="54"/>
      <c r="U2636" s="54"/>
      <c r="V2636" s="54"/>
      <c r="W2636" s="54"/>
      <c r="X2636" s="54"/>
      <c r="Y2636" s="54"/>
      <c r="Z2636" s="54"/>
      <c r="AA2636" s="54"/>
      <c r="AB2636" s="54"/>
      <c r="AC2636" s="54"/>
      <c r="AD2636" s="54"/>
      <c r="AE2636" s="54"/>
      <c r="AF2636" s="54"/>
      <c r="AG2636" s="54"/>
      <c r="AH2636" s="54"/>
    </row>
    <row r="2637">
      <c r="A2637" s="80"/>
      <c r="B2637" s="80"/>
      <c r="C2637" s="80"/>
      <c r="D2637" s="80"/>
      <c r="E2637" s="80"/>
      <c r="F2637" s="59"/>
      <c r="G2637" s="59"/>
      <c r="H2637" s="83"/>
      <c r="I2637" s="76"/>
      <c r="J2637" s="76"/>
      <c r="K2637" s="81"/>
      <c r="L2637" s="82"/>
      <c r="M2637" s="54"/>
      <c r="N2637" s="54"/>
      <c r="O2637" s="54"/>
      <c r="P2637" s="54"/>
      <c r="Q2637" s="54"/>
      <c r="R2637" s="54"/>
      <c r="S2637" s="54"/>
      <c r="T2637" s="54"/>
      <c r="U2637" s="54"/>
      <c r="V2637" s="54"/>
      <c r="W2637" s="54"/>
      <c r="X2637" s="54"/>
      <c r="Y2637" s="54"/>
      <c r="Z2637" s="54"/>
      <c r="AA2637" s="54"/>
      <c r="AB2637" s="54"/>
      <c r="AC2637" s="54"/>
      <c r="AD2637" s="54"/>
      <c r="AE2637" s="54"/>
      <c r="AF2637" s="54"/>
      <c r="AG2637" s="54"/>
      <c r="AH2637" s="54"/>
    </row>
    <row r="2638">
      <c r="A2638" s="80"/>
      <c r="B2638" s="80"/>
      <c r="C2638" s="80"/>
      <c r="D2638" s="80"/>
      <c r="E2638" s="80"/>
      <c r="F2638" s="59"/>
      <c r="G2638" s="59"/>
      <c r="H2638" s="83"/>
      <c r="I2638" s="76"/>
      <c r="J2638" s="76"/>
      <c r="K2638" s="81"/>
      <c r="L2638" s="82"/>
      <c r="M2638" s="54"/>
      <c r="N2638" s="54"/>
      <c r="O2638" s="54"/>
      <c r="P2638" s="54"/>
      <c r="Q2638" s="54"/>
      <c r="R2638" s="54"/>
      <c r="S2638" s="54"/>
      <c r="T2638" s="54"/>
      <c r="U2638" s="54"/>
      <c r="V2638" s="54"/>
      <c r="W2638" s="54"/>
      <c r="X2638" s="54"/>
      <c r="Y2638" s="54"/>
      <c r="Z2638" s="54"/>
      <c r="AA2638" s="54"/>
      <c r="AB2638" s="54"/>
      <c r="AC2638" s="54"/>
      <c r="AD2638" s="54"/>
      <c r="AE2638" s="54"/>
      <c r="AF2638" s="54"/>
      <c r="AG2638" s="54"/>
      <c r="AH2638" s="54"/>
    </row>
    <row r="2639">
      <c r="A2639" s="80"/>
      <c r="B2639" s="80"/>
      <c r="C2639" s="80"/>
      <c r="D2639" s="80"/>
      <c r="E2639" s="80"/>
      <c r="F2639" s="59"/>
      <c r="G2639" s="59"/>
      <c r="H2639" s="83"/>
      <c r="I2639" s="76"/>
      <c r="J2639" s="76"/>
      <c r="K2639" s="81"/>
      <c r="L2639" s="82"/>
      <c r="M2639" s="54"/>
      <c r="N2639" s="54"/>
      <c r="O2639" s="54"/>
      <c r="P2639" s="54"/>
      <c r="Q2639" s="54"/>
      <c r="R2639" s="54"/>
      <c r="S2639" s="54"/>
      <c r="T2639" s="54"/>
      <c r="U2639" s="54"/>
      <c r="V2639" s="54"/>
      <c r="W2639" s="54"/>
      <c r="X2639" s="54"/>
      <c r="Y2639" s="54"/>
      <c r="Z2639" s="54"/>
      <c r="AA2639" s="54"/>
      <c r="AB2639" s="54"/>
      <c r="AC2639" s="54"/>
      <c r="AD2639" s="54"/>
      <c r="AE2639" s="54"/>
      <c r="AF2639" s="54"/>
      <c r="AG2639" s="54"/>
      <c r="AH2639" s="54"/>
    </row>
    <row r="2640">
      <c r="A2640" s="80"/>
      <c r="B2640" s="80"/>
      <c r="C2640" s="80"/>
      <c r="D2640" s="80"/>
      <c r="E2640" s="80"/>
      <c r="F2640" s="59"/>
      <c r="G2640" s="59"/>
      <c r="H2640" s="83"/>
      <c r="I2640" s="76"/>
      <c r="J2640" s="76"/>
      <c r="K2640" s="81"/>
      <c r="L2640" s="82"/>
      <c r="M2640" s="54"/>
      <c r="N2640" s="54"/>
      <c r="O2640" s="54"/>
      <c r="P2640" s="54"/>
      <c r="Q2640" s="54"/>
      <c r="R2640" s="54"/>
      <c r="S2640" s="54"/>
      <c r="T2640" s="54"/>
      <c r="U2640" s="54"/>
      <c r="V2640" s="54"/>
      <c r="W2640" s="54"/>
      <c r="X2640" s="54"/>
      <c r="Y2640" s="54"/>
      <c r="Z2640" s="54"/>
      <c r="AA2640" s="54"/>
      <c r="AB2640" s="54"/>
      <c r="AC2640" s="54"/>
      <c r="AD2640" s="54"/>
      <c r="AE2640" s="54"/>
      <c r="AF2640" s="54"/>
      <c r="AG2640" s="54"/>
      <c r="AH2640" s="54"/>
    </row>
    <row r="2641">
      <c r="A2641" s="80"/>
      <c r="B2641" s="80"/>
      <c r="C2641" s="80"/>
      <c r="D2641" s="80"/>
      <c r="E2641" s="80"/>
      <c r="F2641" s="59"/>
      <c r="G2641" s="59"/>
      <c r="H2641" s="83"/>
      <c r="I2641" s="76"/>
      <c r="J2641" s="76"/>
      <c r="K2641" s="81"/>
      <c r="L2641" s="82"/>
      <c r="M2641" s="54"/>
      <c r="N2641" s="54"/>
      <c r="O2641" s="54"/>
      <c r="P2641" s="54"/>
      <c r="Q2641" s="54"/>
      <c r="R2641" s="54"/>
      <c r="S2641" s="54"/>
      <c r="T2641" s="54"/>
      <c r="U2641" s="54"/>
      <c r="V2641" s="54"/>
      <c r="W2641" s="54"/>
      <c r="X2641" s="54"/>
      <c r="Y2641" s="54"/>
      <c r="Z2641" s="54"/>
      <c r="AA2641" s="54"/>
      <c r="AB2641" s="54"/>
      <c r="AC2641" s="54"/>
      <c r="AD2641" s="54"/>
      <c r="AE2641" s="54"/>
      <c r="AF2641" s="54"/>
      <c r="AG2641" s="54"/>
      <c r="AH2641" s="54"/>
    </row>
    <row r="2642">
      <c r="A2642" s="80"/>
      <c r="B2642" s="80"/>
      <c r="C2642" s="80"/>
      <c r="D2642" s="80"/>
      <c r="E2642" s="80"/>
      <c r="F2642" s="59"/>
      <c r="G2642" s="59"/>
      <c r="H2642" s="83"/>
      <c r="I2642" s="76"/>
      <c r="J2642" s="76"/>
      <c r="K2642" s="81"/>
      <c r="L2642" s="82"/>
      <c r="M2642" s="54"/>
      <c r="N2642" s="54"/>
      <c r="O2642" s="54"/>
      <c r="P2642" s="54"/>
      <c r="Q2642" s="54"/>
      <c r="R2642" s="54"/>
      <c r="S2642" s="54"/>
      <c r="T2642" s="54"/>
      <c r="U2642" s="54"/>
      <c r="V2642" s="54"/>
      <c r="W2642" s="54"/>
      <c r="X2642" s="54"/>
      <c r="Y2642" s="54"/>
      <c r="Z2642" s="54"/>
      <c r="AA2642" s="54"/>
      <c r="AB2642" s="54"/>
      <c r="AC2642" s="54"/>
      <c r="AD2642" s="54"/>
      <c r="AE2642" s="54"/>
      <c r="AF2642" s="54"/>
      <c r="AG2642" s="54"/>
      <c r="AH2642" s="54"/>
    </row>
    <row r="2643">
      <c r="A2643" s="80"/>
      <c r="B2643" s="80"/>
      <c r="C2643" s="80"/>
      <c r="D2643" s="80"/>
      <c r="E2643" s="80"/>
      <c r="F2643" s="59"/>
      <c r="G2643" s="59"/>
      <c r="H2643" s="83"/>
      <c r="I2643" s="76"/>
      <c r="J2643" s="76"/>
      <c r="K2643" s="81"/>
      <c r="L2643" s="82"/>
      <c r="M2643" s="54"/>
      <c r="N2643" s="54"/>
      <c r="O2643" s="54"/>
      <c r="P2643" s="54"/>
      <c r="Q2643" s="54"/>
      <c r="R2643" s="54"/>
      <c r="S2643" s="54"/>
      <c r="T2643" s="54"/>
      <c r="U2643" s="54"/>
      <c r="V2643" s="54"/>
      <c r="W2643" s="54"/>
      <c r="X2643" s="54"/>
      <c r="Y2643" s="54"/>
      <c r="Z2643" s="54"/>
      <c r="AA2643" s="54"/>
      <c r="AB2643" s="54"/>
      <c r="AC2643" s="54"/>
      <c r="AD2643" s="54"/>
      <c r="AE2643" s="54"/>
      <c r="AF2643" s="54"/>
      <c r="AG2643" s="54"/>
      <c r="AH2643" s="54"/>
    </row>
    <row r="2644">
      <c r="A2644" s="80"/>
      <c r="B2644" s="80"/>
      <c r="C2644" s="80"/>
      <c r="D2644" s="80"/>
      <c r="E2644" s="80"/>
      <c r="F2644" s="59"/>
      <c r="G2644" s="59"/>
      <c r="H2644" s="83"/>
      <c r="I2644" s="76"/>
      <c r="J2644" s="76"/>
      <c r="K2644" s="81"/>
      <c r="L2644" s="82"/>
      <c r="M2644" s="54"/>
      <c r="N2644" s="54"/>
      <c r="O2644" s="54"/>
      <c r="P2644" s="54"/>
      <c r="Q2644" s="54"/>
      <c r="R2644" s="54"/>
      <c r="S2644" s="54"/>
      <c r="T2644" s="54"/>
      <c r="U2644" s="54"/>
      <c r="V2644" s="54"/>
      <c r="W2644" s="54"/>
      <c r="X2644" s="54"/>
      <c r="Y2644" s="54"/>
      <c r="Z2644" s="54"/>
      <c r="AA2644" s="54"/>
      <c r="AB2644" s="54"/>
      <c r="AC2644" s="54"/>
      <c r="AD2644" s="54"/>
      <c r="AE2644" s="54"/>
      <c r="AF2644" s="54"/>
      <c r="AG2644" s="54"/>
      <c r="AH2644" s="54"/>
    </row>
    <row r="2645">
      <c r="A2645" s="80"/>
      <c r="B2645" s="80"/>
      <c r="C2645" s="80"/>
      <c r="D2645" s="80"/>
      <c r="E2645" s="80"/>
      <c r="F2645" s="59"/>
      <c r="G2645" s="59"/>
      <c r="H2645" s="83"/>
      <c r="I2645" s="76"/>
      <c r="J2645" s="76"/>
      <c r="K2645" s="81"/>
      <c r="L2645" s="82"/>
      <c r="M2645" s="54"/>
      <c r="N2645" s="54"/>
      <c r="O2645" s="54"/>
      <c r="P2645" s="54"/>
      <c r="Q2645" s="54"/>
      <c r="R2645" s="54"/>
      <c r="S2645" s="54"/>
      <c r="T2645" s="54"/>
      <c r="U2645" s="54"/>
      <c r="V2645" s="54"/>
      <c r="W2645" s="54"/>
      <c r="X2645" s="54"/>
      <c r="Y2645" s="54"/>
      <c r="Z2645" s="54"/>
      <c r="AA2645" s="54"/>
      <c r="AB2645" s="54"/>
      <c r="AC2645" s="54"/>
      <c r="AD2645" s="54"/>
      <c r="AE2645" s="54"/>
      <c r="AF2645" s="54"/>
      <c r="AG2645" s="54"/>
      <c r="AH2645" s="54"/>
    </row>
    <row r="2646">
      <c r="A2646" s="80"/>
      <c r="B2646" s="80"/>
      <c r="C2646" s="80"/>
      <c r="D2646" s="80"/>
      <c r="E2646" s="80"/>
      <c r="F2646" s="59"/>
      <c r="G2646" s="59"/>
      <c r="H2646" s="83"/>
      <c r="I2646" s="76"/>
      <c r="J2646" s="76"/>
      <c r="K2646" s="81"/>
      <c r="L2646" s="82"/>
      <c r="M2646" s="54"/>
      <c r="N2646" s="54"/>
      <c r="O2646" s="54"/>
      <c r="P2646" s="54"/>
      <c r="Q2646" s="54"/>
      <c r="R2646" s="54"/>
      <c r="S2646" s="54"/>
      <c r="T2646" s="54"/>
      <c r="U2646" s="54"/>
      <c r="V2646" s="54"/>
      <c r="W2646" s="54"/>
      <c r="X2646" s="54"/>
      <c r="Y2646" s="54"/>
      <c r="Z2646" s="54"/>
      <c r="AA2646" s="54"/>
      <c r="AB2646" s="54"/>
      <c r="AC2646" s="54"/>
      <c r="AD2646" s="54"/>
      <c r="AE2646" s="54"/>
      <c r="AF2646" s="54"/>
      <c r="AG2646" s="54"/>
      <c r="AH2646" s="54"/>
    </row>
    <row r="2647">
      <c r="A2647" s="80"/>
      <c r="B2647" s="80"/>
      <c r="C2647" s="80"/>
      <c r="D2647" s="80"/>
      <c r="E2647" s="80"/>
      <c r="F2647" s="59"/>
      <c r="G2647" s="59"/>
      <c r="H2647" s="83"/>
      <c r="I2647" s="76"/>
      <c r="J2647" s="76"/>
      <c r="K2647" s="81"/>
      <c r="L2647" s="82"/>
      <c r="M2647" s="54"/>
      <c r="N2647" s="54"/>
      <c r="O2647" s="54"/>
      <c r="P2647" s="54"/>
      <c r="Q2647" s="54"/>
      <c r="R2647" s="54"/>
      <c r="S2647" s="54"/>
      <c r="T2647" s="54"/>
      <c r="U2647" s="54"/>
      <c r="V2647" s="54"/>
      <c r="W2647" s="54"/>
      <c r="X2647" s="54"/>
      <c r="Y2647" s="54"/>
      <c r="Z2647" s="54"/>
      <c r="AA2647" s="54"/>
      <c r="AB2647" s="54"/>
      <c r="AC2647" s="54"/>
      <c r="AD2647" s="54"/>
      <c r="AE2647" s="54"/>
      <c r="AF2647" s="54"/>
      <c r="AG2647" s="54"/>
      <c r="AH2647" s="54"/>
    </row>
    <row r="2648">
      <c r="A2648" s="80"/>
      <c r="B2648" s="80"/>
      <c r="C2648" s="80"/>
      <c r="D2648" s="80"/>
      <c r="E2648" s="80"/>
      <c r="F2648" s="59"/>
      <c r="G2648" s="59"/>
      <c r="H2648" s="83"/>
      <c r="I2648" s="76"/>
      <c r="J2648" s="76"/>
      <c r="K2648" s="81"/>
      <c r="L2648" s="82"/>
      <c r="M2648" s="54"/>
      <c r="N2648" s="54"/>
      <c r="O2648" s="54"/>
      <c r="P2648" s="54"/>
      <c r="Q2648" s="54"/>
      <c r="R2648" s="54"/>
      <c r="S2648" s="54"/>
      <c r="T2648" s="54"/>
      <c r="U2648" s="54"/>
      <c r="V2648" s="54"/>
      <c r="W2648" s="54"/>
      <c r="X2648" s="54"/>
      <c r="Y2648" s="54"/>
      <c r="Z2648" s="54"/>
      <c r="AA2648" s="54"/>
      <c r="AB2648" s="54"/>
      <c r="AC2648" s="54"/>
      <c r="AD2648" s="54"/>
      <c r="AE2648" s="54"/>
      <c r="AF2648" s="54"/>
      <c r="AG2648" s="54"/>
      <c r="AH2648" s="54"/>
    </row>
    <row r="2649">
      <c r="A2649" s="80"/>
      <c r="B2649" s="80"/>
      <c r="C2649" s="80"/>
      <c r="D2649" s="80"/>
      <c r="E2649" s="80"/>
      <c r="F2649" s="59"/>
      <c r="G2649" s="59"/>
      <c r="H2649" s="83"/>
      <c r="I2649" s="76"/>
      <c r="J2649" s="76"/>
      <c r="K2649" s="81"/>
      <c r="L2649" s="82"/>
      <c r="M2649" s="54"/>
      <c r="N2649" s="54"/>
      <c r="O2649" s="54"/>
      <c r="P2649" s="54"/>
      <c r="Q2649" s="54"/>
      <c r="R2649" s="54"/>
      <c r="S2649" s="54"/>
      <c r="T2649" s="54"/>
      <c r="U2649" s="54"/>
      <c r="V2649" s="54"/>
      <c r="W2649" s="54"/>
      <c r="X2649" s="54"/>
      <c r="Y2649" s="54"/>
      <c r="Z2649" s="54"/>
      <c r="AA2649" s="54"/>
      <c r="AB2649" s="54"/>
      <c r="AC2649" s="54"/>
      <c r="AD2649" s="54"/>
      <c r="AE2649" s="54"/>
      <c r="AF2649" s="54"/>
      <c r="AG2649" s="54"/>
      <c r="AH2649" s="54"/>
    </row>
    <row r="2650">
      <c r="A2650" s="80"/>
      <c r="B2650" s="80"/>
      <c r="C2650" s="80"/>
      <c r="D2650" s="80"/>
      <c r="E2650" s="80"/>
      <c r="F2650" s="59"/>
      <c r="G2650" s="59"/>
      <c r="H2650" s="83"/>
      <c r="I2650" s="76"/>
      <c r="J2650" s="76"/>
      <c r="K2650" s="81"/>
      <c r="L2650" s="82"/>
      <c r="M2650" s="54"/>
      <c r="N2650" s="54"/>
      <c r="O2650" s="54"/>
      <c r="P2650" s="54"/>
      <c r="Q2650" s="54"/>
      <c r="R2650" s="54"/>
      <c r="S2650" s="54"/>
      <c r="T2650" s="54"/>
      <c r="U2650" s="54"/>
      <c r="V2650" s="54"/>
      <c r="W2650" s="54"/>
      <c r="X2650" s="54"/>
      <c r="Y2650" s="54"/>
      <c r="Z2650" s="54"/>
      <c r="AA2650" s="54"/>
      <c r="AB2650" s="54"/>
      <c r="AC2650" s="54"/>
      <c r="AD2650" s="54"/>
      <c r="AE2650" s="54"/>
      <c r="AF2650" s="54"/>
      <c r="AG2650" s="54"/>
      <c r="AH2650" s="54"/>
    </row>
    <row r="2651">
      <c r="A2651" s="80"/>
      <c r="B2651" s="80"/>
      <c r="C2651" s="80"/>
      <c r="D2651" s="80"/>
      <c r="E2651" s="80"/>
      <c r="F2651" s="59"/>
      <c r="G2651" s="59"/>
      <c r="H2651" s="83"/>
      <c r="I2651" s="76"/>
      <c r="J2651" s="76"/>
      <c r="K2651" s="81"/>
      <c r="L2651" s="82"/>
      <c r="M2651" s="54"/>
      <c r="N2651" s="54"/>
      <c r="O2651" s="54"/>
      <c r="P2651" s="54"/>
      <c r="Q2651" s="54"/>
      <c r="R2651" s="54"/>
      <c r="S2651" s="54"/>
      <c r="T2651" s="54"/>
      <c r="U2651" s="54"/>
      <c r="V2651" s="54"/>
      <c r="W2651" s="54"/>
      <c r="X2651" s="54"/>
      <c r="Y2651" s="54"/>
      <c r="Z2651" s="54"/>
      <c r="AA2651" s="54"/>
      <c r="AB2651" s="54"/>
      <c r="AC2651" s="54"/>
      <c r="AD2651" s="54"/>
      <c r="AE2651" s="54"/>
      <c r="AF2651" s="54"/>
      <c r="AG2651" s="54"/>
      <c r="AH2651" s="54"/>
    </row>
    <row r="2652">
      <c r="A2652" s="80"/>
      <c r="B2652" s="80"/>
      <c r="C2652" s="80"/>
      <c r="D2652" s="80"/>
      <c r="E2652" s="80"/>
      <c r="F2652" s="59"/>
      <c r="G2652" s="59"/>
      <c r="H2652" s="83"/>
      <c r="I2652" s="76"/>
      <c r="J2652" s="76"/>
      <c r="K2652" s="81"/>
      <c r="L2652" s="82"/>
      <c r="M2652" s="54"/>
      <c r="N2652" s="54"/>
      <c r="O2652" s="54"/>
      <c r="P2652" s="54"/>
      <c r="Q2652" s="54"/>
      <c r="R2652" s="54"/>
      <c r="S2652" s="54"/>
      <c r="T2652" s="54"/>
      <c r="U2652" s="54"/>
      <c r="V2652" s="54"/>
      <c r="W2652" s="54"/>
      <c r="X2652" s="54"/>
      <c r="Y2652" s="54"/>
      <c r="Z2652" s="54"/>
      <c r="AA2652" s="54"/>
      <c r="AB2652" s="54"/>
      <c r="AC2652" s="54"/>
      <c r="AD2652" s="54"/>
      <c r="AE2652" s="54"/>
      <c r="AF2652" s="54"/>
      <c r="AG2652" s="54"/>
      <c r="AH2652" s="54"/>
    </row>
    <row r="2653">
      <c r="A2653" s="80"/>
      <c r="B2653" s="80"/>
      <c r="C2653" s="80"/>
      <c r="D2653" s="80"/>
      <c r="E2653" s="80"/>
      <c r="F2653" s="59"/>
      <c r="G2653" s="59"/>
      <c r="H2653" s="83"/>
      <c r="I2653" s="76"/>
      <c r="J2653" s="76"/>
      <c r="K2653" s="81"/>
      <c r="L2653" s="82"/>
      <c r="M2653" s="54"/>
      <c r="N2653" s="54"/>
      <c r="O2653" s="54"/>
      <c r="P2653" s="54"/>
      <c r="Q2653" s="54"/>
      <c r="R2653" s="54"/>
      <c r="S2653" s="54"/>
      <c r="T2653" s="54"/>
      <c r="U2653" s="54"/>
      <c r="V2653" s="54"/>
      <c r="W2653" s="54"/>
      <c r="X2653" s="54"/>
      <c r="Y2653" s="54"/>
      <c r="Z2653" s="54"/>
      <c r="AA2653" s="54"/>
      <c r="AB2653" s="54"/>
      <c r="AC2653" s="54"/>
      <c r="AD2653" s="54"/>
      <c r="AE2653" s="54"/>
      <c r="AF2653" s="54"/>
      <c r="AG2653" s="54"/>
      <c r="AH2653" s="54"/>
    </row>
    <row r="2654">
      <c r="A2654" s="80"/>
      <c r="B2654" s="80"/>
      <c r="C2654" s="80"/>
      <c r="D2654" s="80"/>
      <c r="E2654" s="80"/>
      <c r="F2654" s="59"/>
      <c r="G2654" s="59"/>
      <c r="H2654" s="83"/>
      <c r="I2654" s="76"/>
      <c r="J2654" s="76"/>
      <c r="K2654" s="81"/>
      <c r="L2654" s="82"/>
      <c r="M2654" s="54"/>
      <c r="N2654" s="54"/>
      <c r="O2654" s="54"/>
      <c r="P2654" s="54"/>
      <c r="Q2654" s="54"/>
      <c r="R2654" s="54"/>
      <c r="S2654" s="54"/>
      <c r="T2654" s="54"/>
      <c r="U2654" s="54"/>
      <c r="V2654" s="54"/>
      <c r="W2654" s="54"/>
      <c r="X2654" s="54"/>
      <c r="Y2654" s="54"/>
      <c r="Z2654" s="54"/>
      <c r="AA2654" s="54"/>
      <c r="AB2654" s="54"/>
      <c r="AC2654" s="54"/>
      <c r="AD2654" s="54"/>
      <c r="AE2654" s="54"/>
      <c r="AF2654" s="54"/>
      <c r="AG2654" s="54"/>
      <c r="AH2654" s="54"/>
    </row>
    <row r="2655">
      <c r="A2655" s="80"/>
      <c r="B2655" s="80"/>
      <c r="C2655" s="80"/>
      <c r="D2655" s="80"/>
      <c r="E2655" s="80"/>
      <c r="F2655" s="59"/>
      <c r="G2655" s="59"/>
      <c r="H2655" s="83"/>
      <c r="I2655" s="76"/>
      <c r="J2655" s="76"/>
      <c r="K2655" s="81"/>
      <c r="L2655" s="82"/>
      <c r="M2655" s="54"/>
      <c r="N2655" s="54"/>
      <c r="O2655" s="54"/>
      <c r="P2655" s="54"/>
      <c r="Q2655" s="54"/>
      <c r="R2655" s="54"/>
      <c r="S2655" s="54"/>
      <c r="T2655" s="54"/>
      <c r="U2655" s="54"/>
      <c r="V2655" s="54"/>
      <c r="W2655" s="54"/>
      <c r="X2655" s="54"/>
      <c r="Y2655" s="54"/>
      <c r="Z2655" s="54"/>
      <c r="AA2655" s="54"/>
      <c r="AB2655" s="54"/>
      <c r="AC2655" s="54"/>
      <c r="AD2655" s="54"/>
      <c r="AE2655" s="54"/>
      <c r="AF2655" s="54"/>
      <c r="AG2655" s="54"/>
      <c r="AH2655" s="54"/>
    </row>
    <row r="2656">
      <c r="A2656" s="80"/>
      <c r="B2656" s="80"/>
      <c r="C2656" s="80"/>
      <c r="D2656" s="80"/>
      <c r="E2656" s="80"/>
      <c r="F2656" s="59"/>
      <c r="G2656" s="59"/>
      <c r="H2656" s="83"/>
      <c r="I2656" s="76"/>
      <c r="J2656" s="76"/>
      <c r="K2656" s="81"/>
      <c r="L2656" s="82"/>
      <c r="M2656" s="54"/>
      <c r="N2656" s="54"/>
      <c r="O2656" s="54"/>
      <c r="P2656" s="54"/>
      <c r="Q2656" s="54"/>
      <c r="R2656" s="54"/>
      <c r="S2656" s="54"/>
      <c r="T2656" s="54"/>
      <c r="U2656" s="54"/>
      <c r="V2656" s="54"/>
      <c r="W2656" s="54"/>
      <c r="X2656" s="54"/>
      <c r="Y2656" s="54"/>
      <c r="Z2656" s="54"/>
      <c r="AA2656" s="54"/>
      <c r="AB2656" s="54"/>
      <c r="AC2656" s="54"/>
      <c r="AD2656" s="54"/>
      <c r="AE2656" s="54"/>
      <c r="AF2656" s="54"/>
      <c r="AG2656" s="54"/>
      <c r="AH2656" s="54"/>
    </row>
    <row r="2657">
      <c r="A2657" s="80"/>
      <c r="B2657" s="80"/>
      <c r="C2657" s="80"/>
      <c r="D2657" s="80"/>
      <c r="E2657" s="80"/>
      <c r="F2657" s="59"/>
      <c r="G2657" s="59"/>
      <c r="H2657" s="83"/>
      <c r="I2657" s="76"/>
      <c r="J2657" s="76"/>
      <c r="K2657" s="81"/>
      <c r="L2657" s="82"/>
      <c r="M2657" s="54"/>
      <c r="N2657" s="54"/>
      <c r="O2657" s="54"/>
      <c r="P2657" s="54"/>
      <c r="Q2657" s="54"/>
      <c r="R2657" s="54"/>
      <c r="S2657" s="54"/>
      <c r="T2657" s="54"/>
      <c r="U2657" s="54"/>
      <c r="V2657" s="54"/>
      <c r="W2657" s="54"/>
      <c r="X2657" s="54"/>
      <c r="Y2657" s="54"/>
      <c r="Z2657" s="54"/>
      <c r="AA2657" s="54"/>
      <c r="AB2657" s="54"/>
      <c r="AC2657" s="54"/>
      <c r="AD2657" s="54"/>
      <c r="AE2657" s="54"/>
      <c r="AF2657" s="54"/>
      <c r="AG2657" s="54"/>
      <c r="AH2657" s="54"/>
    </row>
    <row r="2658">
      <c r="A2658" s="80"/>
      <c r="B2658" s="80"/>
      <c r="C2658" s="80"/>
      <c r="D2658" s="80"/>
      <c r="E2658" s="80"/>
      <c r="F2658" s="59"/>
      <c r="G2658" s="59"/>
      <c r="H2658" s="83"/>
      <c r="I2658" s="76"/>
      <c r="J2658" s="76"/>
      <c r="K2658" s="81"/>
      <c r="L2658" s="82"/>
      <c r="M2658" s="54"/>
      <c r="N2658" s="54"/>
      <c r="O2658" s="54"/>
      <c r="P2658" s="54"/>
      <c r="Q2658" s="54"/>
      <c r="R2658" s="54"/>
      <c r="S2658" s="54"/>
      <c r="T2658" s="54"/>
      <c r="U2658" s="54"/>
      <c r="V2658" s="54"/>
      <c r="W2658" s="54"/>
      <c r="X2658" s="54"/>
      <c r="Y2658" s="54"/>
      <c r="Z2658" s="54"/>
      <c r="AA2658" s="54"/>
      <c r="AB2658" s="54"/>
      <c r="AC2658" s="54"/>
      <c r="AD2658" s="54"/>
      <c r="AE2658" s="54"/>
      <c r="AF2658" s="54"/>
      <c r="AG2658" s="54"/>
      <c r="AH2658" s="54"/>
    </row>
    <row r="2659">
      <c r="A2659" s="80"/>
      <c r="B2659" s="80"/>
      <c r="C2659" s="80"/>
      <c r="D2659" s="80"/>
      <c r="E2659" s="80"/>
      <c r="F2659" s="59"/>
      <c r="G2659" s="59"/>
      <c r="H2659" s="83"/>
      <c r="I2659" s="76"/>
      <c r="J2659" s="76"/>
      <c r="K2659" s="81"/>
      <c r="L2659" s="82"/>
      <c r="M2659" s="54"/>
      <c r="N2659" s="54"/>
      <c r="O2659" s="54"/>
      <c r="P2659" s="54"/>
      <c r="Q2659" s="54"/>
      <c r="R2659" s="54"/>
      <c r="S2659" s="54"/>
      <c r="T2659" s="54"/>
      <c r="U2659" s="54"/>
      <c r="V2659" s="54"/>
      <c r="W2659" s="54"/>
      <c r="X2659" s="54"/>
      <c r="Y2659" s="54"/>
      <c r="Z2659" s="54"/>
      <c r="AA2659" s="54"/>
      <c r="AB2659" s="54"/>
      <c r="AC2659" s="54"/>
      <c r="AD2659" s="54"/>
      <c r="AE2659" s="54"/>
      <c r="AF2659" s="54"/>
      <c r="AG2659" s="54"/>
      <c r="AH2659" s="54"/>
    </row>
    <row r="2660">
      <c r="A2660" s="80"/>
      <c r="B2660" s="80"/>
      <c r="C2660" s="80"/>
      <c r="D2660" s="80"/>
      <c r="E2660" s="80"/>
      <c r="F2660" s="59"/>
      <c r="G2660" s="59"/>
      <c r="H2660" s="83"/>
      <c r="I2660" s="76"/>
      <c r="J2660" s="76"/>
      <c r="K2660" s="81"/>
      <c r="L2660" s="82"/>
      <c r="M2660" s="54"/>
      <c r="N2660" s="54"/>
      <c r="O2660" s="54"/>
      <c r="P2660" s="54"/>
      <c r="Q2660" s="54"/>
      <c r="R2660" s="54"/>
      <c r="S2660" s="54"/>
      <c r="T2660" s="54"/>
      <c r="U2660" s="54"/>
      <c r="V2660" s="54"/>
      <c r="W2660" s="54"/>
      <c r="X2660" s="54"/>
      <c r="Y2660" s="54"/>
      <c r="Z2660" s="54"/>
      <c r="AA2660" s="54"/>
      <c r="AB2660" s="54"/>
      <c r="AC2660" s="54"/>
      <c r="AD2660" s="54"/>
      <c r="AE2660" s="54"/>
      <c r="AF2660" s="54"/>
      <c r="AG2660" s="54"/>
      <c r="AH2660" s="54"/>
    </row>
    <row r="2661">
      <c r="A2661" s="80"/>
      <c r="B2661" s="80"/>
      <c r="C2661" s="80"/>
      <c r="D2661" s="80"/>
      <c r="E2661" s="80"/>
      <c r="F2661" s="59"/>
      <c r="G2661" s="59"/>
      <c r="H2661" s="83"/>
      <c r="I2661" s="76"/>
      <c r="J2661" s="76"/>
      <c r="K2661" s="81"/>
      <c r="L2661" s="82"/>
      <c r="M2661" s="54"/>
      <c r="N2661" s="54"/>
      <c r="O2661" s="54"/>
      <c r="P2661" s="54"/>
      <c r="Q2661" s="54"/>
      <c r="R2661" s="54"/>
      <c r="S2661" s="54"/>
      <c r="T2661" s="54"/>
      <c r="U2661" s="54"/>
      <c r="V2661" s="54"/>
      <c r="W2661" s="54"/>
      <c r="X2661" s="54"/>
      <c r="Y2661" s="54"/>
      <c r="Z2661" s="54"/>
      <c r="AA2661" s="54"/>
      <c r="AB2661" s="54"/>
      <c r="AC2661" s="54"/>
      <c r="AD2661" s="54"/>
      <c r="AE2661" s="54"/>
      <c r="AF2661" s="54"/>
      <c r="AG2661" s="54"/>
      <c r="AH2661" s="54"/>
    </row>
    <row r="2662">
      <c r="A2662" s="80"/>
      <c r="B2662" s="80"/>
      <c r="C2662" s="80"/>
      <c r="D2662" s="80"/>
      <c r="E2662" s="80"/>
      <c r="F2662" s="59"/>
      <c r="G2662" s="59"/>
      <c r="H2662" s="83"/>
      <c r="I2662" s="76"/>
      <c r="J2662" s="76"/>
      <c r="K2662" s="81"/>
      <c r="L2662" s="82"/>
      <c r="M2662" s="54"/>
      <c r="N2662" s="54"/>
      <c r="O2662" s="54"/>
      <c r="P2662" s="54"/>
      <c r="Q2662" s="54"/>
      <c r="R2662" s="54"/>
      <c r="S2662" s="54"/>
      <c r="T2662" s="54"/>
      <c r="U2662" s="54"/>
      <c r="V2662" s="54"/>
      <c r="W2662" s="54"/>
      <c r="X2662" s="54"/>
      <c r="Y2662" s="54"/>
      <c r="Z2662" s="54"/>
      <c r="AA2662" s="54"/>
      <c r="AB2662" s="54"/>
      <c r="AC2662" s="54"/>
      <c r="AD2662" s="54"/>
      <c r="AE2662" s="54"/>
      <c r="AF2662" s="54"/>
      <c r="AG2662" s="54"/>
      <c r="AH2662" s="54"/>
    </row>
    <row r="2663">
      <c r="A2663" s="80"/>
      <c r="B2663" s="80"/>
      <c r="C2663" s="80"/>
      <c r="D2663" s="80"/>
      <c r="E2663" s="80"/>
      <c r="F2663" s="59"/>
      <c r="G2663" s="59"/>
      <c r="H2663" s="83"/>
      <c r="I2663" s="76"/>
      <c r="J2663" s="76"/>
      <c r="K2663" s="81"/>
      <c r="L2663" s="82"/>
      <c r="M2663" s="54"/>
      <c r="N2663" s="54"/>
      <c r="O2663" s="54"/>
      <c r="P2663" s="54"/>
      <c r="Q2663" s="54"/>
      <c r="R2663" s="54"/>
      <c r="S2663" s="54"/>
      <c r="T2663" s="54"/>
      <c r="U2663" s="54"/>
      <c r="V2663" s="54"/>
      <c r="W2663" s="54"/>
      <c r="X2663" s="54"/>
      <c r="Y2663" s="54"/>
      <c r="Z2663" s="54"/>
      <c r="AA2663" s="54"/>
      <c r="AB2663" s="54"/>
      <c r="AC2663" s="54"/>
      <c r="AD2663" s="54"/>
      <c r="AE2663" s="54"/>
      <c r="AF2663" s="54"/>
      <c r="AG2663" s="54"/>
      <c r="AH2663" s="54"/>
    </row>
    <row r="2664">
      <c r="A2664" s="80"/>
      <c r="B2664" s="80"/>
      <c r="C2664" s="80"/>
      <c r="D2664" s="80"/>
      <c r="E2664" s="80"/>
      <c r="F2664" s="59"/>
      <c r="G2664" s="59"/>
      <c r="H2664" s="83"/>
      <c r="I2664" s="76"/>
      <c r="J2664" s="76"/>
      <c r="K2664" s="81"/>
      <c r="L2664" s="82"/>
      <c r="M2664" s="54"/>
      <c r="N2664" s="54"/>
      <c r="O2664" s="54"/>
      <c r="P2664" s="54"/>
      <c r="Q2664" s="54"/>
      <c r="R2664" s="54"/>
      <c r="S2664" s="54"/>
      <c r="T2664" s="54"/>
      <c r="U2664" s="54"/>
      <c r="V2664" s="54"/>
      <c r="W2664" s="54"/>
      <c r="X2664" s="54"/>
      <c r="Y2664" s="54"/>
      <c r="Z2664" s="54"/>
      <c r="AA2664" s="54"/>
      <c r="AB2664" s="54"/>
      <c r="AC2664" s="54"/>
      <c r="AD2664" s="54"/>
      <c r="AE2664" s="54"/>
      <c r="AF2664" s="54"/>
      <c r="AG2664" s="54"/>
      <c r="AH2664" s="54"/>
    </row>
    <row r="2665">
      <c r="A2665" s="80"/>
      <c r="B2665" s="80"/>
      <c r="C2665" s="80"/>
      <c r="D2665" s="80"/>
      <c r="E2665" s="80"/>
      <c r="F2665" s="59"/>
      <c r="G2665" s="59"/>
      <c r="H2665" s="83"/>
      <c r="I2665" s="76"/>
      <c r="J2665" s="76"/>
      <c r="K2665" s="81"/>
      <c r="L2665" s="82"/>
      <c r="M2665" s="54"/>
      <c r="N2665" s="54"/>
      <c r="O2665" s="54"/>
      <c r="P2665" s="54"/>
      <c r="Q2665" s="54"/>
      <c r="R2665" s="54"/>
      <c r="S2665" s="54"/>
      <c r="T2665" s="54"/>
      <c r="U2665" s="54"/>
      <c r="V2665" s="54"/>
      <c r="W2665" s="54"/>
      <c r="X2665" s="54"/>
      <c r="Y2665" s="54"/>
      <c r="Z2665" s="54"/>
      <c r="AA2665" s="54"/>
      <c r="AB2665" s="54"/>
      <c r="AC2665" s="54"/>
      <c r="AD2665" s="54"/>
      <c r="AE2665" s="54"/>
      <c r="AF2665" s="54"/>
      <c r="AG2665" s="54"/>
      <c r="AH2665" s="54"/>
    </row>
    <row r="2666">
      <c r="A2666" s="80"/>
      <c r="B2666" s="80"/>
      <c r="C2666" s="80"/>
      <c r="D2666" s="80"/>
      <c r="E2666" s="80"/>
      <c r="F2666" s="59"/>
      <c r="G2666" s="59"/>
      <c r="H2666" s="83"/>
      <c r="I2666" s="76"/>
      <c r="J2666" s="76"/>
      <c r="K2666" s="81"/>
      <c r="L2666" s="82"/>
      <c r="M2666" s="54"/>
      <c r="N2666" s="54"/>
      <c r="O2666" s="54"/>
      <c r="P2666" s="54"/>
      <c r="Q2666" s="54"/>
      <c r="R2666" s="54"/>
      <c r="S2666" s="54"/>
      <c r="T2666" s="54"/>
      <c r="U2666" s="54"/>
      <c r="V2666" s="54"/>
      <c r="W2666" s="54"/>
      <c r="X2666" s="54"/>
      <c r="Y2666" s="54"/>
      <c r="Z2666" s="54"/>
      <c r="AA2666" s="54"/>
      <c r="AB2666" s="54"/>
      <c r="AC2666" s="54"/>
      <c r="AD2666" s="54"/>
      <c r="AE2666" s="54"/>
      <c r="AF2666" s="54"/>
      <c r="AG2666" s="54"/>
      <c r="AH2666" s="54"/>
    </row>
    <row r="2667">
      <c r="A2667" s="80"/>
      <c r="B2667" s="80"/>
      <c r="C2667" s="80"/>
      <c r="D2667" s="80"/>
      <c r="E2667" s="80"/>
      <c r="F2667" s="59"/>
      <c r="G2667" s="59"/>
      <c r="H2667" s="83"/>
      <c r="I2667" s="76"/>
      <c r="J2667" s="76"/>
      <c r="K2667" s="81"/>
      <c r="L2667" s="82"/>
      <c r="M2667" s="54"/>
      <c r="N2667" s="54"/>
      <c r="O2667" s="54"/>
      <c r="P2667" s="54"/>
      <c r="Q2667" s="54"/>
      <c r="R2667" s="54"/>
      <c r="S2667" s="54"/>
      <c r="T2667" s="54"/>
      <c r="U2667" s="54"/>
      <c r="V2667" s="54"/>
      <c r="W2667" s="54"/>
      <c r="X2667" s="54"/>
      <c r="Y2667" s="54"/>
      <c r="Z2667" s="54"/>
      <c r="AA2667" s="54"/>
      <c r="AB2667" s="54"/>
      <c r="AC2667" s="54"/>
      <c r="AD2667" s="54"/>
      <c r="AE2667" s="54"/>
      <c r="AF2667" s="54"/>
      <c r="AG2667" s="54"/>
      <c r="AH2667" s="54"/>
    </row>
    <row r="2668">
      <c r="A2668" s="80"/>
      <c r="B2668" s="80"/>
      <c r="C2668" s="80"/>
      <c r="D2668" s="80"/>
      <c r="E2668" s="80"/>
      <c r="F2668" s="59"/>
      <c r="G2668" s="59"/>
      <c r="H2668" s="83"/>
      <c r="I2668" s="76"/>
      <c r="J2668" s="76"/>
      <c r="K2668" s="81"/>
      <c r="L2668" s="82"/>
      <c r="M2668" s="54"/>
      <c r="N2668" s="54"/>
      <c r="O2668" s="54"/>
      <c r="P2668" s="54"/>
      <c r="Q2668" s="54"/>
      <c r="R2668" s="54"/>
      <c r="S2668" s="54"/>
      <c r="T2668" s="54"/>
      <c r="U2668" s="54"/>
      <c r="V2668" s="54"/>
      <c r="W2668" s="54"/>
      <c r="X2668" s="54"/>
      <c r="Y2668" s="54"/>
      <c r="Z2668" s="54"/>
      <c r="AA2668" s="54"/>
      <c r="AB2668" s="54"/>
      <c r="AC2668" s="54"/>
      <c r="AD2668" s="54"/>
      <c r="AE2668" s="54"/>
      <c r="AF2668" s="54"/>
      <c r="AG2668" s="54"/>
      <c r="AH2668" s="54"/>
    </row>
    <row r="2669">
      <c r="A2669" s="80"/>
      <c r="B2669" s="80"/>
      <c r="C2669" s="80"/>
      <c r="D2669" s="80"/>
      <c r="E2669" s="80"/>
      <c r="F2669" s="59"/>
      <c r="G2669" s="59"/>
      <c r="H2669" s="83"/>
      <c r="I2669" s="76"/>
      <c r="J2669" s="76"/>
      <c r="K2669" s="81"/>
      <c r="L2669" s="82"/>
      <c r="M2669" s="54"/>
      <c r="N2669" s="54"/>
      <c r="O2669" s="54"/>
      <c r="P2669" s="54"/>
      <c r="Q2669" s="54"/>
      <c r="R2669" s="54"/>
      <c r="S2669" s="54"/>
      <c r="T2669" s="54"/>
      <c r="U2669" s="54"/>
      <c r="V2669" s="54"/>
      <c r="W2669" s="54"/>
      <c r="X2669" s="54"/>
      <c r="Y2669" s="54"/>
      <c r="Z2669" s="54"/>
      <c r="AA2669" s="54"/>
      <c r="AB2669" s="54"/>
      <c r="AC2669" s="54"/>
      <c r="AD2669" s="54"/>
      <c r="AE2669" s="54"/>
      <c r="AF2669" s="54"/>
      <c r="AG2669" s="54"/>
      <c r="AH2669" s="54"/>
    </row>
    <row r="2670">
      <c r="A2670" s="80"/>
      <c r="B2670" s="80"/>
      <c r="C2670" s="80"/>
      <c r="D2670" s="80"/>
      <c r="E2670" s="80"/>
      <c r="F2670" s="59"/>
      <c r="G2670" s="59"/>
      <c r="H2670" s="83"/>
      <c r="I2670" s="76"/>
      <c r="J2670" s="76"/>
      <c r="K2670" s="81"/>
      <c r="L2670" s="82"/>
      <c r="M2670" s="54"/>
      <c r="N2670" s="54"/>
      <c r="O2670" s="54"/>
      <c r="P2670" s="54"/>
      <c r="Q2670" s="54"/>
      <c r="R2670" s="54"/>
      <c r="S2670" s="54"/>
      <c r="T2670" s="54"/>
      <c r="U2670" s="54"/>
      <c r="V2670" s="54"/>
      <c r="W2670" s="54"/>
      <c r="X2670" s="54"/>
      <c r="Y2670" s="54"/>
      <c r="Z2670" s="54"/>
      <c r="AA2670" s="54"/>
      <c r="AB2670" s="54"/>
      <c r="AC2670" s="54"/>
      <c r="AD2670" s="54"/>
      <c r="AE2670" s="54"/>
      <c r="AF2670" s="54"/>
      <c r="AG2670" s="54"/>
      <c r="AH2670" s="54"/>
    </row>
    <row r="2671">
      <c r="A2671" s="80"/>
      <c r="B2671" s="80"/>
      <c r="C2671" s="80"/>
      <c r="D2671" s="80"/>
      <c r="E2671" s="80"/>
      <c r="F2671" s="59"/>
      <c r="G2671" s="59"/>
      <c r="H2671" s="83"/>
      <c r="I2671" s="76"/>
      <c r="J2671" s="76"/>
      <c r="K2671" s="81"/>
      <c r="L2671" s="82"/>
      <c r="M2671" s="54"/>
      <c r="N2671" s="54"/>
      <c r="O2671" s="54"/>
      <c r="P2671" s="54"/>
      <c r="Q2671" s="54"/>
      <c r="R2671" s="54"/>
      <c r="S2671" s="54"/>
      <c r="T2671" s="54"/>
      <c r="U2671" s="54"/>
      <c r="V2671" s="54"/>
      <c r="W2671" s="54"/>
      <c r="X2671" s="54"/>
      <c r="Y2671" s="54"/>
      <c r="Z2671" s="54"/>
      <c r="AA2671" s="54"/>
      <c r="AB2671" s="54"/>
      <c r="AC2671" s="54"/>
      <c r="AD2671" s="54"/>
      <c r="AE2671" s="54"/>
      <c r="AF2671" s="54"/>
      <c r="AG2671" s="54"/>
      <c r="AH2671" s="54"/>
    </row>
    <row r="2672">
      <c r="A2672" s="80"/>
      <c r="B2672" s="80"/>
      <c r="C2672" s="80"/>
      <c r="D2672" s="80"/>
      <c r="E2672" s="80"/>
      <c r="F2672" s="59"/>
      <c r="G2672" s="59"/>
      <c r="H2672" s="83"/>
      <c r="I2672" s="76"/>
      <c r="J2672" s="76"/>
      <c r="K2672" s="81"/>
      <c r="L2672" s="82"/>
      <c r="M2672" s="54"/>
      <c r="N2672" s="54"/>
      <c r="O2672" s="54"/>
      <c r="P2672" s="54"/>
      <c r="Q2672" s="54"/>
      <c r="R2672" s="54"/>
      <c r="S2672" s="54"/>
      <c r="T2672" s="54"/>
      <c r="U2672" s="54"/>
      <c r="V2672" s="54"/>
      <c r="W2672" s="54"/>
      <c r="X2672" s="54"/>
      <c r="Y2672" s="54"/>
      <c r="Z2672" s="54"/>
      <c r="AA2672" s="54"/>
      <c r="AB2672" s="54"/>
      <c r="AC2672" s="54"/>
      <c r="AD2672" s="54"/>
      <c r="AE2672" s="54"/>
      <c r="AF2672" s="54"/>
      <c r="AG2672" s="54"/>
      <c r="AH2672" s="54"/>
    </row>
    <row r="2673">
      <c r="A2673" s="80"/>
      <c r="B2673" s="80"/>
      <c r="C2673" s="80"/>
      <c r="D2673" s="80"/>
      <c r="E2673" s="80"/>
      <c r="F2673" s="59"/>
      <c r="G2673" s="59"/>
      <c r="H2673" s="83"/>
      <c r="I2673" s="76"/>
      <c r="J2673" s="76"/>
      <c r="K2673" s="81"/>
      <c r="L2673" s="82"/>
      <c r="M2673" s="54"/>
      <c r="N2673" s="54"/>
      <c r="O2673" s="54"/>
      <c r="P2673" s="54"/>
      <c r="Q2673" s="54"/>
      <c r="R2673" s="54"/>
      <c r="S2673" s="54"/>
      <c r="T2673" s="54"/>
      <c r="U2673" s="54"/>
      <c r="V2673" s="54"/>
      <c r="W2673" s="54"/>
      <c r="X2673" s="54"/>
      <c r="Y2673" s="54"/>
      <c r="Z2673" s="54"/>
      <c r="AA2673" s="54"/>
      <c r="AB2673" s="54"/>
      <c r="AC2673" s="54"/>
      <c r="AD2673" s="54"/>
      <c r="AE2673" s="54"/>
      <c r="AF2673" s="54"/>
      <c r="AG2673" s="54"/>
      <c r="AH2673" s="54"/>
    </row>
    <row r="2674">
      <c r="A2674" s="80"/>
      <c r="B2674" s="80"/>
      <c r="C2674" s="80"/>
      <c r="D2674" s="80"/>
      <c r="E2674" s="80"/>
      <c r="F2674" s="59"/>
      <c r="G2674" s="59"/>
      <c r="H2674" s="83"/>
      <c r="I2674" s="76"/>
      <c r="J2674" s="76"/>
      <c r="K2674" s="81"/>
      <c r="L2674" s="82"/>
      <c r="M2674" s="54"/>
      <c r="N2674" s="54"/>
      <c r="O2674" s="54"/>
      <c r="P2674" s="54"/>
      <c r="Q2674" s="54"/>
      <c r="R2674" s="54"/>
      <c r="S2674" s="54"/>
      <c r="T2674" s="54"/>
      <c r="U2674" s="54"/>
      <c r="V2674" s="54"/>
      <c r="W2674" s="54"/>
      <c r="X2674" s="54"/>
      <c r="Y2674" s="54"/>
      <c r="Z2674" s="54"/>
      <c r="AA2674" s="54"/>
      <c r="AB2674" s="54"/>
      <c r="AC2674" s="54"/>
      <c r="AD2674" s="54"/>
      <c r="AE2674" s="54"/>
      <c r="AF2674" s="54"/>
      <c r="AG2674" s="54"/>
      <c r="AH2674" s="54"/>
    </row>
    <row r="2675">
      <c r="A2675" s="80"/>
      <c r="B2675" s="80"/>
      <c r="C2675" s="80"/>
      <c r="D2675" s="80"/>
      <c r="E2675" s="80"/>
      <c r="F2675" s="59"/>
      <c r="G2675" s="59"/>
      <c r="H2675" s="83"/>
      <c r="I2675" s="76"/>
      <c r="J2675" s="76"/>
      <c r="K2675" s="81"/>
      <c r="L2675" s="82"/>
      <c r="M2675" s="54"/>
      <c r="N2675" s="54"/>
      <c r="O2675" s="54"/>
      <c r="P2675" s="54"/>
      <c r="Q2675" s="54"/>
      <c r="R2675" s="54"/>
      <c r="S2675" s="54"/>
      <c r="T2675" s="54"/>
      <c r="U2675" s="54"/>
      <c r="V2675" s="54"/>
      <c r="W2675" s="54"/>
      <c r="X2675" s="54"/>
      <c r="Y2675" s="54"/>
      <c r="Z2675" s="54"/>
      <c r="AA2675" s="54"/>
      <c r="AB2675" s="54"/>
      <c r="AC2675" s="54"/>
      <c r="AD2675" s="54"/>
      <c r="AE2675" s="54"/>
      <c r="AF2675" s="54"/>
      <c r="AG2675" s="54"/>
      <c r="AH2675" s="54"/>
    </row>
    <row r="2676">
      <c r="A2676" s="80"/>
      <c r="B2676" s="80"/>
      <c r="C2676" s="80"/>
      <c r="D2676" s="80"/>
      <c r="E2676" s="80"/>
      <c r="F2676" s="59"/>
      <c r="G2676" s="59"/>
      <c r="H2676" s="83"/>
      <c r="I2676" s="76"/>
      <c r="J2676" s="76"/>
      <c r="K2676" s="81"/>
      <c r="L2676" s="82"/>
      <c r="M2676" s="54"/>
      <c r="N2676" s="54"/>
      <c r="O2676" s="54"/>
      <c r="P2676" s="54"/>
      <c r="Q2676" s="54"/>
      <c r="R2676" s="54"/>
      <c r="S2676" s="54"/>
      <c r="T2676" s="54"/>
      <c r="U2676" s="54"/>
      <c r="V2676" s="54"/>
      <c r="W2676" s="54"/>
      <c r="X2676" s="54"/>
      <c r="Y2676" s="54"/>
      <c r="Z2676" s="54"/>
      <c r="AA2676" s="54"/>
      <c r="AB2676" s="54"/>
      <c r="AC2676" s="54"/>
      <c r="AD2676" s="54"/>
      <c r="AE2676" s="54"/>
      <c r="AF2676" s="54"/>
      <c r="AG2676" s="54"/>
      <c r="AH2676" s="54"/>
    </row>
    <row r="2677">
      <c r="A2677" s="80"/>
      <c r="B2677" s="80"/>
      <c r="C2677" s="80"/>
      <c r="D2677" s="80"/>
      <c r="E2677" s="80"/>
      <c r="F2677" s="59"/>
      <c r="G2677" s="59"/>
      <c r="H2677" s="83"/>
      <c r="I2677" s="76"/>
      <c r="J2677" s="76"/>
      <c r="K2677" s="81"/>
      <c r="L2677" s="82"/>
      <c r="M2677" s="54"/>
      <c r="N2677" s="54"/>
      <c r="O2677" s="54"/>
      <c r="P2677" s="54"/>
      <c r="Q2677" s="54"/>
      <c r="R2677" s="54"/>
      <c r="S2677" s="54"/>
      <c r="T2677" s="54"/>
      <c r="U2677" s="54"/>
      <c r="V2677" s="54"/>
      <c r="W2677" s="54"/>
      <c r="X2677" s="54"/>
      <c r="Y2677" s="54"/>
      <c r="Z2677" s="54"/>
      <c r="AA2677" s="54"/>
      <c r="AB2677" s="54"/>
      <c r="AC2677" s="54"/>
      <c r="AD2677" s="54"/>
      <c r="AE2677" s="54"/>
      <c r="AF2677" s="54"/>
      <c r="AG2677" s="54"/>
      <c r="AH2677" s="54"/>
    </row>
    <row r="2678">
      <c r="A2678" s="80"/>
      <c r="B2678" s="80"/>
      <c r="C2678" s="80"/>
      <c r="D2678" s="80"/>
      <c r="E2678" s="80"/>
      <c r="F2678" s="59"/>
      <c r="G2678" s="59"/>
      <c r="H2678" s="83"/>
      <c r="I2678" s="76"/>
      <c r="J2678" s="76"/>
      <c r="K2678" s="81"/>
      <c r="L2678" s="82"/>
      <c r="M2678" s="54"/>
      <c r="N2678" s="54"/>
      <c r="O2678" s="54"/>
      <c r="P2678" s="54"/>
      <c r="Q2678" s="54"/>
      <c r="R2678" s="54"/>
      <c r="S2678" s="54"/>
      <c r="T2678" s="54"/>
      <c r="U2678" s="54"/>
      <c r="V2678" s="54"/>
      <c r="W2678" s="54"/>
      <c r="X2678" s="54"/>
      <c r="Y2678" s="54"/>
      <c r="Z2678" s="54"/>
      <c r="AA2678" s="54"/>
      <c r="AB2678" s="54"/>
      <c r="AC2678" s="54"/>
      <c r="AD2678" s="54"/>
      <c r="AE2678" s="54"/>
      <c r="AF2678" s="54"/>
      <c r="AG2678" s="54"/>
      <c r="AH2678" s="54"/>
    </row>
    <row r="2679">
      <c r="A2679" s="80"/>
      <c r="B2679" s="80"/>
      <c r="C2679" s="80"/>
      <c r="D2679" s="80"/>
      <c r="E2679" s="80"/>
      <c r="F2679" s="59"/>
      <c r="G2679" s="59"/>
      <c r="H2679" s="83"/>
      <c r="I2679" s="76"/>
      <c r="J2679" s="76"/>
      <c r="K2679" s="81"/>
      <c r="L2679" s="82"/>
      <c r="M2679" s="54"/>
      <c r="N2679" s="54"/>
      <c r="O2679" s="54"/>
      <c r="P2679" s="54"/>
      <c r="Q2679" s="54"/>
      <c r="R2679" s="54"/>
      <c r="S2679" s="54"/>
      <c r="T2679" s="54"/>
      <c r="U2679" s="54"/>
      <c r="V2679" s="54"/>
      <c r="W2679" s="54"/>
      <c r="X2679" s="54"/>
      <c r="Y2679" s="54"/>
      <c r="Z2679" s="54"/>
      <c r="AA2679" s="54"/>
      <c r="AB2679" s="54"/>
      <c r="AC2679" s="54"/>
      <c r="AD2679" s="54"/>
      <c r="AE2679" s="54"/>
      <c r="AF2679" s="54"/>
      <c r="AG2679" s="54"/>
      <c r="AH2679" s="54"/>
    </row>
    <row r="2680">
      <c r="A2680" s="80"/>
      <c r="B2680" s="80"/>
      <c r="C2680" s="80"/>
      <c r="D2680" s="80"/>
      <c r="E2680" s="80"/>
      <c r="F2680" s="59"/>
      <c r="G2680" s="59"/>
      <c r="H2680" s="83"/>
      <c r="I2680" s="76"/>
      <c r="J2680" s="76"/>
      <c r="K2680" s="81"/>
      <c r="L2680" s="82"/>
      <c r="M2680" s="54"/>
      <c r="N2680" s="54"/>
      <c r="O2680" s="54"/>
      <c r="P2680" s="54"/>
      <c r="Q2680" s="54"/>
      <c r="R2680" s="54"/>
      <c r="S2680" s="54"/>
      <c r="T2680" s="54"/>
      <c r="U2680" s="54"/>
      <c r="V2680" s="54"/>
      <c r="W2680" s="54"/>
      <c r="X2680" s="54"/>
      <c r="Y2680" s="54"/>
      <c r="Z2680" s="54"/>
      <c r="AA2680" s="54"/>
      <c r="AB2680" s="54"/>
      <c r="AC2680" s="54"/>
      <c r="AD2680" s="54"/>
      <c r="AE2680" s="54"/>
      <c r="AF2680" s="54"/>
      <c r="AG2680" s="54"/>
      <c r="AH2680" s="54"/>
    </row>
    <row r="2681">
      <c r="A2681" s="80"/>
      <c r="B2681" s="80"/>
      <c r="C2681" s="80"/>
      <c r="D2681" s="80"/>
      <c r="E2681" s="80"/>
      <c r="F2681" s="59"/>
      <c r="G2681" s="59"/>
      <c r="H2681" s="83"/>
      <c r="I2681" s="76"/>
      <c r="J2681" s="76"/>
      <c r="K2681" s="81"/>
      <c r="L2681" s="82"/>
      <c r="M2681" s="54"/>
      <c r="N2681" s="54"/>
      <c r="O2681" s="54"/>
      <c r="P2681" s="54"/>
      <c r="Q2681" s="54"/>
      <c r="R2681" s="54"/>
      <c r="S2681" s="54"/>
      <c r="T2681" s="54"/>
      <c r="U2681" s="54"/>
      <c r="V2681" s="54"/>
      <c r="W2681" s="54"/>
      <c r="X2681" s="54"/>
      <c r="Y2681" s="54"/>
      <c r="Z2681" s="54"/>
      <c r="AA2681" s="54"/>
      <c r="AB2681" s="54"/>
      <c r="AC2681" s="54"/>
      <c r="AD2681" s="54"/>
      <c r="AE2681" s="54"/>
      <c r="AF2681" s="54"/>
      <c r="AG2681" s="54"/>
      <c r="AH2681" s="54"/>
    </row>
    <row r="2682">
      <c r="A2682" s="80"/>
      <c r="B2682" s="80"/>
      <c r="C2682" s="80"/>
      <c r="D2682" s="80"/>
      <c r="E2682" s="80"/>
      <c r="F2682" s="59"/>
      <c r="G2682" s="59"/>
      <c r="H2682" s="83"/>
      <c r="I2682" s="76"/>
      <c r="J2682" s="76"/>
      <c r="K2682" s="81"/>
      <c r="L2682" s="82"/>
      <c r="M2682" s="54"/>
      <c r="N2682" s="54"/>
      <c r="O2682" s="54"/>
      <c r="P2682" s="54"/>
      <c r="Q2682" s="54"/>
      <c r="R2682" s="54"/>
      <c r="S2682" s="54"/>
      <c r="T2682" s="54"/>
      <c r="U2682" s="54"/>
      <c r="V2682" s="54"/>
      <c r="W2682" s="54"/>
      <c r="X2682" s="54"/>
      <c r="Y2682" s="54"/>
      <c r="Z2682" s="54"/>
      <c r="AA2682" s="54"/>
      <c r="AB2682" s="54"/>
      <c r="AC2682" s="54"/>
      <c r="AD2682" s="54"/>
      <c r="AE2682" s="54"/>
      <c r="AF2682" s="54"/>
      <c r="AG2682" s="54"/>
      <c r="AH2682" s="54"/>
    </row>
    <row r="2683">
      <c r="A2683" s="80"/>
      <c r="B2683" s="80"/>
      <c r="C2683" s="80"/>
      <c r="D2683" s="80"/>
      <c r="E2683" s="80"/>
      <c r="F2683" s="59"/>
      <c r="G2683" s="59"/>
      <c r="H2683" s="83"/>
      <c r="I2683" s="76"/>
      <c r="J2683" s="76"/>
      <c r="K2683" s="81"/>
      <c r="L2683" s="82"/>
      <c r="M2683" s="54"/>
      <c r="N2683" s="54"/>
      <c r="O2683" s="54"/>
      <c r="P2683" s="54"/>
      <c r="Q2683" s="54"/>
      <c r="R2683" s="54"/>
      <c r="S2683" s="54"/>
      <c r="T2683" s="54"/>
      <c r="U2683" s="54"/>
      <c r="V2683" s="54"/>
      <c r="W2683" s="54"/>
      <c r="X2683" s="54"/>
      <c r="Y2683" s="54"/>
      <c r="Z2683" s="54"/>
      <c r="AA2683" s="54"/>
      <c r="AB2683" s="54"/>
      <c r="AC2683" s="54"/>
      <c r="AD2683" s="54"/>
      <c r="AE2683" s="54"/>
      <c r="AF2683" s="54"/>
      <c r="AG2683" s="54"/>
      <c r="AH2683" s="54"/>
    </row>
    <row r="2684">
      <c r="A2684" s="80"/>
      <c r="B2684" s="80"/>
      <c r="C2684" s="80"/>
      <c r="D2684" s="80"/>
      <c r="E2684" s="80"/>
      <c r="F2684" s="59"/>
      <c r="G2684" s="59"/>
      <c r="H2684" s="83"/>
      <c r="I2684" s="76"/>
      <c r="J2684" s="76"/>
      <c r="K2684" s="81"/>
      <c r="L2684" s="82"/>
      <c r="M2684" s="54"/>
      <c r="N2684" s="54"/>
      <c r="O2684" s="54"/>
      <c r="P2684" s="54"/>
      <c r="Q2684" s="54"/>
      <c r="R2684" s="54"/>
      <c r="S2684" s="54"/>
      <c r="T2684" s="54"/>
      <c r="U2684" s="54"/>
      <c r="V2684" s="54"/>
      <c r="W2684" s="54"/>
      <c r="X2684" s="54"/>
      <c r="Y2684" s="54"/>
      <c r="Z2684" s="54"/>
      <c r="AA2684" s="54"/>
      <c r="AB2684" s="54"/>
      <c r="AC2684" s="54"/>
      <c r="AD2684" s="54"/>
      <c r="AE2684" s="54"/>
      <c r="AF2684" s="54"/>
      <c r="AG2684" s="54"/>
      <c r="AH2684" s="54"/>
    </row>
    <row r="2685">
      <c r="A2685" s="80"/>
      <c r="B2685" s="80"/>
      <c r="C2685" s="80"/>
      <c r="D2685" s="80"/>
      <c r="E2685" s="80"/>
      <c r="F2685" s="59"/>
      <c r="G2685" s="59"/>
      <c r="H2685" s="83"/>
      <c r="I2685" s="76"/>
      <c r="J2685" s="76"/>
      <c r="K2685" s="81"/>
      <c r="L2685" s="82"/>
      <c r="M2685" s="54"/>
      <c r="N2685" s="54"/>
      <c r="O2685" s="54"/>
      <c r="P2685" s="54"/>
      <c r="Q2685" s="54"/>
      <c r="R2685" s="54"/>
      <c r="S2685" s="54"/>
      <c r="T2685" s="54"/>
      <c r="U2685" s="54"/>
      <c r="V2685" s="54"/>
      <c r="W2685" s="54"/>
      <c r="X2685" s="54"/>
      <c r="Y2685" s="54"/>
      <c r="Z2685" s="54"/>
      <c r="AA2685" s="54"/>
      <c r="AB2685" s="54"/>
      <c r="AC2685" s="54"/>
      <c r="AD2685" s="54"/>
      <c r="AE2685" s="54"/>
      <c r="AF2685" s="54"/>
      <c r="AG2685" s="54"/>
      <c r="AH2685" s="54"/>
    </row>
    <row r="2686">
      <c r="A2686" s="80"/>
      <c r="B2686" s="80"/>
      <c r="C2686" s="80"/>
      <c r="D2686" s="80"/>
      <c r="E2686" s="80"/>
      <c r="F2686" s="59"/>
      <c r="G2686" s="59"/>
      <c r="H2686" s="83"/>
      <c r="I2686" s="76"/>
      <c r="J2686" s="76"/>
      <c r="K2686" s="81"/>
      <c r="L2686" s="82"/>
      <c r="M2686" s="54"/>
      <c r="N2686" s="54"/>
      <c r="O2686" s="54"/>
      <c r="P2686" s="54"/>
      <c r="Q2686" s="54"/>
      <c r="R2686" s="54"/>
      <c r="S2686" s="54"/>
      <c r="T2686" s="54"/>
      <c r="U2686" s="54"/>
      <c r="V2686" s="54"/>
      <c r="W2686" s="54"/>
      <c r="X2686" s="54"/>
      <c r="Y2686" s="54"/>
      <c r="Z2686" s="54"/>
      <c r="AA2686" s="54"/>
      <c r="AB2686" s="54"/>
      <c r="AC2686" s="54"/>
      <c r="AD2686" s="54"/>
      <c r="AE2686" s="54"/>
      <c r="AF2686" s="54"/>
      <c r="AG2686" s="54"/>
      <c r="AH2686" s="54"/>
    </row>
    <row r="2687">
      <c r="A2687" s="80"/>
      <c r="B2687" s="80"/>
      <c r="C2687" s="80"/>
      <c r="D2687" s="80"/>
      <c r="E2687" s="80"/>
      <c r="F2687" s="59"/>
      <c r="G2687" s="59"/>
      <c r="H2687" s="83"/>
      <c r="I2687" s="76"/>
      <c r="J2687" s="76"/>
      <c r="K2687" s="81"/>
      <c r="L2687" s="82"/>
      <c r="M2687" s="54"/>
      <c r="N2687" s="54"/>
      <c r="O2687" s="54"/>
      <c r="P2687" s="54"/>
      <c r="Q2687" s="54"/>
      <c r="R2687" s="54"/>
      <c r="S2687" s="54"/>
      <c r="T2687" s="54"/>
      <c r="U2687" s="54"/>
      <c r="V2687" s="54"/>
      <c r="W2687" s="54"/>
      <c r="X2687" s="54"/>
      <c r="Y2687" s="54"/>
      <c r="Z2687" s="54"/>
      <c r="AA2687" s="54"/>
      <c r="AB2687" s="54"/>
      <c r="AC2687" s="54"/>
      <c r="AD2687" s="54"/>
      <c r="AE2687" s="54"/>
      <c r="AF2687" s="54"/>
      <c r="AG2687" s="54"/>
      <c r="AH2687" s="54"/>
    </row>
    <row r="2688">
      <c r="A2688" s="80"/>
      <c r="B2688" s="80"/>
      <c r="C2688" s="80"/>
      <c r="D2688" s="80"/>
      <c r="E2688" s="80"/>
      <c r="F2688" s="59"/>
      <c r="G2688" s="59"/>
      <c r="H2688" s="83"/>
      <c r="I2688" s="76"/>
      <c r="J2688" s="76"/>
      <c r="K2688" s="81"/>
      <c r="L2688" s="82"/>
      <c r="M2688" s="54"/>
      <c r="N2688" s="54"/>
      <c r="O2688" s="54"/>
      <c r="P2688" s="54"/>
      <c r="Q2688" s="54"/>
      <c r="R2688" s="54"/>
      <c r="S2688" s="54"/>
      <c r="T2688" s="54"/>
      <c r="U2688" s="54"/>
      <c r="V2688" s="54"/>
      <c r="W2688" s="54"/>
      <c r="X2688" s="54"/>
      <c r="Y2688" s="54"/>
      <c r="Z2688" s="54"/>
      <c r="AA2688" s="54"/>
      <c r="AB2688" s="54"/>
      <c r="AC2688" s="54"/>
      <c r="AD2688" s="54"/>
      <c r="AE2688" s="54"/>
      <c r="AF2688" s="54"/>
      <c r="AG2688" s="54"/>
      <c r="AH2688" s="54"/>
    </row>
    <row r="2689">
      <c r="A2689" s="80"/>
      <c r="B2689" s="80"/>
      <c r="C2689" s="80"/>
      <c r="D2689" s="80"/>
      <c r="E2689" s="80"/>
      <c r="F2689" s="59"/>
      <c r="G2689" s="59"/>
      <c r="H2689" s="83"/>
      <c r="I2689" s="76"/>
      <c r="J2689" s="76"/>
      <c r="K2689" s="81"/>
      <c r="L2689" s="82"/>
      <c r="M2689" s="54"/>
      <c r="N2689" s="54"/>
      <c r="O2689" s="54"/>
      <c r="P2689" s="54"/>
      <c r="Q2689" s="54"/>
      <c r="R2689" s="54"/>
      <c r="S2689" s="54"/>
      <c r="T2689" s="54"/>
      <c r="U2689" s="54"/>
      <c r="V2689" s="54"/>
      <c r="W2689" s="54"/>
      <c r="X2689" s="54"/>
      <c r="Y2689" s="54"/>
      <c r="Z2689" s="54"/>
      <c r="AA2689" s="54"/>
      <c r="AB2689" s="54"/>
      <c r="AC2689" s="54"/>
      <c r="AD2689" s="54"/>
      <c r="AE2689" s="54"/>
      <c r="AF2689" s="54"/>
      <c r="AG2689" s="54"/>
      <c r="AH2689" s="54"/>
    </row>
    <row r="2690">
      <c r="A2690" s="80"/>
      <c r="B2690" s="80"/>
      <c r="C2690" s="80"/>
      <c r="D2690" s="80"/>
      <c r="E2690" s="80"/>
      <c r="F2690" s="59"/>
      <c r="G2690" s="59"/>
      <c r="H2690" s="83"/>
      <c r="I2690" s="76"/>
      <c r="J2690" s="76"/>
      <c r="K2690" s="81"/>
      <c r="L2690" s="82"/>
      <c r="M2690" s="54"/>
      <c r="N2690" s="54"/>
      <c r="O2690" s="54"/>
      <c r="P2690" s="54"/>
      <c r="Q2690" s="54"/>
      <c r="R2690" s="54"/>
      <c r="S2690" s="54"/>
      <c r="T2690" s="54"/>
      <c r="U2690" s="54"/>
      <c r="V2690" s="54"/>
      <c r="W2690" s="54"/>
      <c r="X2690" s="54"/>
      <c r="Y2690" s="54"/>
      <c r="Z2690" s="54"/>
      <c r="AA2690" s="54"/>
      <c r="AB2690" s="54"/>
      <c r="AC2690" s="54"/>
      <c r="AD2690" s="54"/>
      <c r="AE2690" s="54"/>
      <c r="AF2690" s="54"/>
      <c r="AG2690" s="54"/>
      <c r="AH2690" s="54"/>
    </row>
    <row r="2691">
      <c r="A2691" s="80"/>
      <c r="B2691" s="80"/>
      <c r="C2691" s="80"/>
      <c r="D2691" s="80"/>
      <c r="E2691" s="80"/>
      <c r="F2691" s="59"/>
      <c r="G2691" s="59"/>
      <c r="H2691" s="83"/>
      <c r="I2691" s="76"/>
      <c r="J2691" s="76"/>
      <c r="K2691" s="81"/>
      <c r="L2691" s="82"/>
      <c r="M2691" s="54"/>
      <c r="N2691" s="54"/>
      <c r="O2691" s="54"/>
      <c r="P2691" s="54"/>
      <c r="Q2691" s="54"/>
      <c r="R2691" s="54"/>
      <c r="S2691" s="54"/>
      <c r="T2691" s="54"/>
      <c r="U2691" s="54"/>
      <c r="V2691" s="54"/>
      <c r="W2691" s="54"/>
      <c r="X2691" s="54"/>
      <c r="Y2691" s="54"/>
      <c r="Z2691" s="54"/>
      <c r="AA2691" s="54"/>
      <c r="AB2691" s="54"/>
      <c r="AC2691" s="54"/>
      <c r="AD2691" s="54"/>
      <c r="AE2691" s="54"/>
      <c r="AF2691" s="54"/>
      <c r="AG2691" s="54"/>
      <c r="AH2691" s="54"/>
    </row>
    <row r="2692">
      <c r="A2692" s="80"/>
      <c r="B2692" s="80"/>
      <c r="C2692" s="80"/>
      <c r="D2692" s="80"/>
      <c r="E2692" s="80"/>
      <c r="F2692" s="59"/>
      <c r="G2692" s="59"/>
      <c r="H2692" s="83"/>
      <c r="I2692" s="76"/>
      <c r="J2692" s="76"/>
      <c r="K2692" s="81"/>
      <c r="L2692" s="82"/>
      <c r="M2692" s="54"/>
      <c r="N2692" s="54"/>
      <c r="O2692" s="54"/>
      <c r="P2692" s="54"/>
      <c r="Q2692" s="54"/>
      <c r="R2692" s="54"/>
      <c r="S2692" s="54"/>
      <c r="T2692" s="54"/>
      <c r="U2692" s="54"/>
      <c r="V2692" s="54"/>
      <c r="W2692" s="54"/>
      <c r="X2692" s="54"/>
      <c r="Y2692" s="54"/>
      <c r="Z2692" s="54"/>
      <c r="AA2692" s="54"/>
      <c r="AB2692" s="54"/>
      <c r="AC2692" s="54"/>
      <c r="AD2692" s="54"/>
      <c r="AE2692" s="54"/>
      <c r="AF2692" s="54"/>
      <c r="AG2692" s="54"/>
      <c r="AH2692" s="54"/>
    </row>
    <row r="2693">
      <c r="A2693" s="80"/>
      <c r="B2693" s="80"/>
      <c r="C2693" s="80"/>
      <c r="D2693" s="80"/>
      <c r="E2693" s="80"/>
      <c r="F2693" s="59"/>
      <c r="G2693" s="59"/>
      <c r="H2693" s="83"/>
      <c r="I2693" s="76"/>
      <c r="J2693" s="76"/>
      <c r="K2693" s="81"/>
      <c r="L2693" s="82"/>
      <c r="M2693" s="54"/>
      <c r="N2693" s="54"/>
      <c r="O2693" s="54"/>
      <c r="P2693" s="54"/>
      <c r="Q2693" s="54"/>
      <c r="R2693" s="54"/>
      <c r="S2693" s="54"/>
      <c r="T2693" s="54"/>
      <c r="U2693" s="54"/>
      <c r="V2693" s="54"/>
      <c r="W2693" s="54"/>
      <c r="X2693" s="54"/>
      <c r="Y2693" s="54"/>
      <c r="Z2693" s="54"/>
      <c r="AA2693" s="54"/>
      <c r="AB2693" s="54"/>
      <c r="AC2693" s="54"/>
      <c r="AD2693" s="54"/>
      <c r="AE2693" s="54"/>
      <c r="AF2693" s="54"/>
      <c r="AG2693" s="54"/>
      <c r="AH2693" s="54"/>
    </row>
    <row r="2694">
      <c r="A2694" s="80"/>
      <c r="B2694" s="80"/>
      <c r="C2694" s="80"/>
      <c r="D2694" s="80"/>
      <c r="E2694" s="80"/>
      <c r="F2694" s="59"/>
      <c r="G2694" s="59"/>
      <c r="H2694" s="83"/>
      <c r="I2694" s="76"/>
      <c r="J2694" s="76"/>
      <c r="K2694" s="81"/>
      <c r="L2694" s="82"/>
      <c r="M2694" s="54"/>
      <c r="N2694" s="54"/>
      <c r="O2694" s="54"/>
      <c r="P2694" s="54"/>
      <c r="Q2694" s="54"/>
      <c r="R2694" s="54"/>
      <c r="S2694" s="54"/>
      <c r="T2694" s="54"/>
      <c r="U2694" s="54"/>
      <c r="V2694" s="54"/>
      <c r="W2694" s="54"/>
      <c r="X2694" s="54"/>
      <c r="Y2694" s="54"/>
      <c r="Z2694" s="54"/>
      <c r="AA2694" s="54"/>
      <c r="AB2694" s="54"/>
      <c r="AC2694" s="54"/>
      <c r="AD2694" s="54"/>
      <c r="AE2694" s="54"/>
      <c r="AF2694" s="54"/>
      <c r="AG2694" s="54"/>
      <c r="AH2694" s="54"/>
    </row>
    <row r="2695">
      <c r="A2695" s="80"/>
      <c r="B2695" s="80"/>
      <c r="C2695" s="80"/>
      <c r="D2695" s="80"/>
      <c r="E2695" s="80"/>
      <c r="F2695" s="59"/>
      <c r="G2695" s="59"/>
      <c r="H2695" s="83"/>
      <c r="I2695" s="76"/>
      <c r="J2695" s="76"/>
      <c r="K2695" s="81"/>
      <c r="L2695" s="82"/>
      <c r="M2695" s="54"/>
      <c r="N2695" s="54"/>
      <c r="O2695" s="54"/>
      <c r="P2695" s="54"/>
      <c r="Q2695" s="54"/>
      <c r="R2695" s="54"/>
      <c r="S2695" s="54"/>
      <c r="T2695" s="54"/>
      <c r="U2695" s="54"/>
      <c r="V2695" s="54"/>
      <c r="W2695" s="54"/>
      <c r="X2695" s="54"/>
      <c r="Y2695" s="54"/>
      <c r="Z2695" s="54"/>
      <c r="AA2695" s="54"/>
      <c r="AB2695" s="54"/>
      <c r="AC2695" s="54"/>
      <c r="AD2695" s="54"/>
      <c r="AE2695" s="54"/>
      <c r="AF2695" s="54"/>
      <c r="AG2695" s="54"/>
      <c r="AH2695" s="54"/>
    </row>
    <row r="2696">
      <c r="A2696" s="80"/>
      <c r="B2696" s="80"/>
      <c r="C2696" s="80"/>
      <c r="D2696" s="80"/>
      <c r="E2696" s="80"/>
      <c r="F2696" s="59"/>
      <c r="G2696" s="59"/>
      <c r="H2696" s="83"/>
      <c r="I2696" s="76"/>
      <c r="J2696" s="76"/>
      <c r="K2696" s="81"/>
      <c r="L2696" s="82"/>
      <c r="M2696" s="54"/>
      <c r="N2696" s="54"/>
      <c r="O2696" s="54"/>
      <c r="P2696" s="54"/>
      <c r="Q2696" s="54"/>
      <c r="R2696" s="54"/>
      <c r="S2696" s="54"/>
      <c r="T2696" s="54"/>
      <c r="U2696" s="54"/>
      <c r="V2696" s="54"/>
      <c r="W2696" s="54"/>
      <c r="X2696" s="54"/>
      <c r="Y2696" s="54"/>
      <c r="Z2696" s="54"/>
      <c r="AA2696" s="54"/>
      <c r="AB2696" s="54"/>
      <c r="AC2696" s="54"/>
      <c r="AD2696" s="54"/>
      <c r="AE2696" s="54"/>
      <c r="AF2696" s="54"/>
      <c r="AG2696" s="54"/>
      <c r="AH2696" s="54"/>
    </row>
    <row r="2697">
      <c r="A2697" s="80"/>
      <c r="B2697" s="80"/>
      <c r="C2697" s="80"/>
      <c r="D2697" s="80"/>
      <c r="E2697" s="80"/>
      <c r="F2697" s="59"/>
      <c r="G2697" s="59"/>
      <c r="H2697" s="83"/>
      <c r="I2697" s="76"/>
      <c r="J2697" s="76"/>
      <c r="K2697" s="81"/>
      <c r="L2697" s="82"/>
      <c r="M2697" s="54"/>
      <c r="N2697" s="54"/>
      <c r="O2697" s="54"/>
      <c r="P2697" s="54"/>
      <c r="Q2697" s="54"/>
      <c r="R2697" s="54"/>
      <c r="S2697" s="54"/>
      <c r="T2697" s="54"/>
      <c r="U2697" s="54"/>
      <c r="V2697" s="54"/>
      <c r="W2697" s="54"/>
      <c r="X2697" s="54"/>
      <c r="Y2697" s="54"/>
      <c r="Z2697" s="54"/>
      <c r="AA2697" s="54"/>
      <c r="AB2697" s="54"/>
      <c r="AC2697" s="54"/>
      <c r="AD2697" s="54"/>
      <c r="AE2697" s="54"/>
      <c r="AF2697" s="54"/>
      <c r="AG2697" s="54"/>
      <c r="AH2697" s="54"/>
    </row>
    <row r="2698">
      <c r="A2698" s="80"/>
      <c r="B2698" s="80"/>
      <c r="C2698" s="80"/>
      <c r="D2698" s="80"/>
      <c r="E2698" s="80"/>
      <c r="F2698" s="59"/>
      <c r="G2698" s="59"/>
      <c r="H2698" s="83"/>
      <c r="I2698" s="76"/>
      <c r="J2698" s="76"/>
      <c r="K2698" s="81"/>
      <c r="L2698" s="82"/>
      <c r="M2698" s="54"/>
      <c r="N2698" s="54"/>
      <c r="O2698" s="54"/>
      <c r="P2698" s="54"/>
      <c r="Q2698" s="54"/>
      <c r="R2698" s="54"/>
      <c r="S2698" s="54"/>
      <c r="T2698" s="54"/>
      <c r="U2698" s="54"/>
      <c r="V2698" s="54"/>
      <c r="W2698" s="54"/>
      <c r="X2698" s="54"/>
      <c r="Y2698" s="54"/>
      <c r="Z2698" s="54"/>
      <c r="AA2698" s="54"/>
      <c r="AB2698" s="54"/>
      <c r="AC2698" s="54"/>
      <c r="AD2698" s="54"/>
      <c r="AE2698" s="54"/>
      <c r="AF2698" s="54"/>
      <c r="AG2698" s="54"/>
      <c r="AH2698" s="54"/>
    </row>
    <row r="2699">
      <c r="A2699" s="80"/>
      <c r="B2699" s="80"/>
      <c r="C2699" s="80"/>
      <c r="D2699" s="80"/>
      <c r="E2699" s="80"/>
      <c r="F2699" s="59"/>
      <c r="G2699" s="59"/>
      <c r="H2699" s="83"/>
      <c r="I2699" s="76"/>
      <c r="J2699" s="76"/>
      <c r="K2699" s="81"/>
      <c r="L2699" s="82"/>
      <c r="M2699" s="54"/>
      <c r="N2699" s="54"/>
      <c r="O2699" s="54"/>
      <c r="P2699" s="54"/>
      <c r="Q2699" s="54"/>
      <c r="R2699" s="54"/>
      <c r="S2699" s="54"/>
      <c r="T2699" s="54"/>
      <c r="U2699" s="54"/>
      <c r="V2699" s="54"/>
      <c r="W2699" s="54"/>
      <c r="X2699" s="54"/>
      <c r="Y2699" s="54"/>
      <c r="Z2699" s="54"/>
      <c r="AA2699" s="54"/>
      <c r="AB2699" s="54"/>
      <c r="AC2699" s="54"/>
      <c r="AD2699" s="54"/>
      <c r="AE2699" s="54"/>
      <c r="AF2699" s="54"/>
      <c r="AG2699" s="54"/>
      <c r="AH2699" s="54"/>
    </row>
    <row r="2700">
      <c r="A2700" s="80"/>
      <c r="B2700" s="80"/>
      <c r="C2700" s="80"/>
      <c r="D2700" s="80"/>
      <c r="E2700" s="80"/>
      <c r="F2700" s="59"/>
      <c r="G2700" s="59"/>
      <c r="H2700" s="83"/>
      <c r="I2700" s="76"/>
      <c r="J2700" s="76"/>
      <c r="K2700" s="81"/>
      <c r="L2700" s="82"/>
      <c r="M2700" s="54"/>
      <c r="N2700" s="54"/>
      <c r="O2700" s="54"/>
      <c r="P2700" s="54"/>
      <c r="Q2700" s="54"/>
      <c r="R2700" s="54"/>
      <c r="S2700" s="54"/>
      <c r="T2700" s="54"/>
      <c r="U2700" s="54"/>
      <c r="V2700" s="54"/>
      <c r="W2700" s="54"/>
      <c r="X2700" s="54"/>
      <c r="Y2700" s="54"/>
      <c r="Z2700" s="54"/>
      <c r="AA2700" s="54"/>
      <c r="AB2700" s="54"/>
      <c r="AC2700" s="54"/>
      <c r="AD2700" s="54"/>
      <c r="AE2700" s="54"/>
      <c r="AF2700" s="54"/>
      <c r="AG2700" s="54"/>
      <c r="AH2700" s="54"/>
    </row>
    <row r="2701">
      <c r="A2701" s="80"/>
      <c r="B2701" s="80"/>
      <c r="C2701" s="80"/>
      <c r="D2701" s="80"/>
      <c r="E2701" s="80"/>
      <c r="F2701" s="59"/>
      <c r="G2701" s="59"/>
      <c r="H2701" s="83"/>
      <c r="I2701" s="76"/>
      <c r="J2701" s="76"/>
      <c r="K2701" s="81"/>
      <c r="L2701" s="82"/>
      <c r="M2701" s="54"/>
      <c r="N2701" s="54"/>
      <c r="O2701" s="54"/>
      <c r="P2701" s="54"/>
      <c r="Q2701" s="54"/>
      <c r="R2701" s="54"/>
      <c r="S2701" s="54"/>
      <c r="T2701" s="54"/>
      <c r="U2701" s="54"/>
      <c r="V2701" s="54"/>
      <c r="W2701" s="54"/>
      <c r="X2701" s="54"/>
      <c r="Y2701" s="54"/>
      <c r="Z2701" s="54"/>
      <c r="AA2701" s="54"/>
      <c r="AB2701" s="54"/>
      <c r="AC2701" s="54"/>
      <c r="AD2701" s="54"/>
      <c r="AE2701" s="54"/>
      <c r="AF2701" s="54"/>
      <c r="AG2701" s="54"/>
      <c r="AH2701" s="54"/>
    </row>
    <row r="2702">
      <c r="A2702" s="80"/>
      <c r="B2702" s="80"/>
      <c r="C2702" s="80"/>
      <c r="D2702" s="80"/>
      <c r="E2702" s="80"/>
      <c r="F2702" s="59"/>
      <c r="G2702" s="59"/>
      <c r="H2702" s="83"/>
      <c r="I2702" s="76"/>
      <c r="J2702" s="76"/>
      <c r="K2702" s="81"/>
      <c r="L2702" s="82"/>
      <c r="M2702" s="54"/>
      <c r="N2702" s="54"/>
      <c r="O2702" s="54"/>
      <c r="P2702" s="54"/>
      <c r="Q2702" s="54"/>
      <c r="R2702" s="54"/>
      <c r="S2702" s="54"/>
      <c r="T2702" s="54"/>
      <c r="U2702" s="54"/>
      <c r="V2702" s="54"/>
      <c r="W2702" s="54"/>
      <c r="X2702" s="54"/>
      <c r="Y2702" s="54"/>
      <c r="Z2702" s="54"/>
      <c r="AA2702" s="54"/>
      <c r="AB2702" s="54"/>
      <c r="AC2702" s="54"/>
      <c r="AD2702" s="54"/>
      <c r="AE2702" s="54"/>
      <c r="AF2702" s="54"/>
      <c r="AG2702" s="54"/>
      <c r="AH2702" s="54"/>
    </row>
    <row r="2703">
      <c r="A2703" s="80"/>
      <c r="B2703" s="80"/>
      <c r="C2703" s="80"/>
      <c r="D2703" s="80"/>
      <c r="E2703" s="80"/>
      <c r="F2703" s="59"/>
      <c r="G2703" s="59"/>
      <c r="H2703" s="83"/>
      <c r="I2703" s="76"/>
      <c r="J2703" s="76"/>
      <c r="K2703" s="81"/>
      <c r="L2703" s="82"/>
      <c r="M2703" s="54"/>
      <c r="N2703" s="54"/>
      <c r="O2703" s="54"/>
      <c r="P2703" s="54"/>
      <c r="Q2703" s="54"/>
      <c r="R2703" s="54"/>
      <c r="S2703" s="54"/>
      <c r="T2703" s="54"/>
      <c r="U2703" s="54"/>
      <c r="V2703" s="54"/>
      <c r="W2703" s="54"/>
      <c r="X2703" s="54"/>
      <c r="Y2703" s="54"/>
      <c r="Z2703" s="54"/>
      <c r="AA2703" s="54"/>
      <c r="AB2703" s="54"/>
      <c r="AC2703" s="54"/>
      <c r="AD2703" s="54"/>
      <c r="AE2703" s="54"/>
      <c r="AF2703" s="54"/>
      <c r="AG2703" s="54"/>
      <c r="AH2703" s="54"/>
    </row>
    <row r="2704">
      <c r="A2704" s="80"/>
      <c r="B2704" s="80"/>
      <c r="C2704" s="80"/>
      <c r="D2704" s="80"/>
      <c r="E2704" s="80"/>
      <c r="F2704" s="59"/>
      <c r="G2704" s="59"/>
      <c r="H2704" s="83"/>
      <c r="I2704" s="76"/>
      <c r="J2704" s="76"/>
      <c r="K2704" s="81"/>
      <c r="L2704" s="82"/>
      <c r="M2704" s="54"/>
      <c r="N2704" s="54"/>
      <c r="O2704" s="54"/>
      <c r="P2704" s="54"/>
      <c r="Q2704" s="54"/>
      <c r="R2704" s="54"/>
      <c r="S2704" s="54"/>
      <c r="T2704" s="54"/>
      <c r="U2704" s="54"/>
      <c r="V2704" s="54"/>
      <c r="W2704" s="54"/>
      <c r="X2704" s="54"/>
      <c r="Y2704" s="54"/>
      <c r="Z2704" s="54"/>
      <c r="AA2704" s="54"/>
      <c r="AB2704" s="54"/>
      <c r="AC2704" s="54"/>
      <c r="AD2704" s="54"/>
      <c r="AE2704" s="54"/>
      <c r="AF2704" s="54"/>
      <c r="AG2704" s="54"/>
      <c r="AH2704" s="54"/>
    </row>
    <row r="2705">
      <c r="A2705" s="80"/>
      <c r="B2705" s="80"/>
      <c r="C2705" s="80"/>
      <c r="D2705" s="80"/>
      <c r="E2705" s="80"/>
      <c r="F2705" s="59"/>
      <c r="G2705" s="59"/>
      <c r="H2705" s="83"/>
      <c r="I2705" s="76"/>
      <c r="J2705" s="76"/>
      <c r="K2705" s="81"/>
      <c r="L2705" s="82"/>
      <c r="M2705" s="54"/>
      <c r="N2705" s="54"/>
      <c r="O2705" s="54"/>
      <c r="P2705" s="54"/>
      <c r="Q2705" s="54"/>
      <c r="R2705" s="54"/>
      <c r="S2705" s="54"/>
      <c r="T2705" s="54"/>
      <c r="U2705" s="54"/>
      <c r="V2705" s="54"/>
      <c r="W2705" s="54"/>
      <c r="X2705" s="54"/>
      <c r="Y2705" s="54"/>
      <c r="Z2705" s="54"/>
      <c r="AA2705" s="54"/>
      <c r="AB2705" s="54"/>
      <c r="AC2705" s="54"/>
      <c r="AD2705" s="54"/>
      <c r="AE2705" s="54"/>
      <c r="AF2705" s="54"/>
      <c r="AG2705" s="54"/>
      <c r="AH2705" s="54"/>
    </row>
    <row r="2706">
      <c r="A2706" s="80"/>
      <c r="B2706" s="80"/>
      <c r="C2706" s="80"/>
      <c r="D2706" s="80"/>
      <c r="E2706" s="80"/>
      <c r="F2706" s="59"/>
      <c r="G2706" s="59"/>
      <c r="H2706" s="83"/>
      <c r="I2706" s="76"/>
      <c r="J2706" s="76"/>
      <c r="K2706" s="81"/>
      <c r="L2706" s="82"/>
      <c r="M2706" s="54"/>
      <c r="N2706" s="54"/>
      <c r="O2706" s="54"/>
      <c r="P2706" s="54"/>
      <c r="Q2706" s="54"/>
      <c r="R2706" s="54"/>
      <c r="S2706" s="54"/>
      <c r="T2706" s="54"/>
      <c r="U2706" s="54"/>
      <c r="V2706" s="54"/>
      <c r="W2706" s="54"/>
      <c r="X2706" s="54"/>
      <c r="Y2706" s="54"/>
      <c r="Z2706" s="54"/>
      <c r="AA2706" s="54"/>
      <c r="AB2706" s="54"/>
      <c r="AC2706" s="54"/>
      <c r="AD2706" s="54"/>
      <c r="AE2706" s="54"/>
      <c r="AF2706" s="54"/>
      <c r="AG2706" s="54"/>
      <c r="AH2706" s="54"/>
    </row>
    <row r="2707">
      <c r="A2707" s="80"/>
      <c r="B2707" s="80"/>
      <c r="C2707" s="80"/>
      <c r="D2707" s="80"/>
      <c r="E2707" s="80"/>
      <c r="F2707" s="59"/>
      <c r="G2707" s="59"/>
      <c r="H2707" s="83"/>
      <c r="I2707" s="76"/>
      <c r="J2707" s="76"/>
      <c r="K2707" s="81"/>
      <c r="L2707" s="82"/>
      <c r="M2707" s="54"/>
      <c r="N2707" s="54"/>
      <c r="O2707" s="54"/>
      <c r="P2707" s="54"/>
      <c r="Q2707" s="54"/>
      <c r="R2707" s="54"/>
      <c r="S2707" s="54"/>
      <c r="T2707" s="54"/>
      <c r="U2707" s="54"/>
      <c r="V2707" s="54"/>
      <c r="W2707" s="54"/>
      <c r="X2707" s="54"/>
      <c r="Y2707" s="54"/>
      <c r="Z2707" s="54"/>
      <c r="AA2707" s="54"/>
      <c r="AB2707" s="54"/>
      <c r="AC2707" s="54"/>
      <c r="AD2707" s="54"/>
      <c r="AE2707" s="54"/>
      <c r="AF2707" s="54"/>
      <c r="AG2707" s="54"/>
      <c r="AH2707" s="54"/>
    </row>
    <row r="2708">
      <c r="A2708" s="80"/>
      <c r="B2708" s="80"/>
      <c r="C2708" s="80"/>
      <c r="D2708" s="80"/>
      <c r="E2708" s="80"/>
      <c r="F2708" s="59"/>
      <c r="G2708" s="59"/>
      <c r="H2708" s="83"/>
      <c r="I2708" s="76"/>
      <c r="J2708" s="76"/>
      <c r="K2708" s="81"/>
      <c r="L2708" s="82"/>
      <c r="M2708" s="54"/>
      <c r="N2708" s="54"/>
      <c r="O2708" s="54"/>
      <c r="P2708" s="54"/>
      <c r="Q2708" s="54"/>
      <c r="R2708" s="54"/>
      <c r="S2708" s="54"/>
      <c r="T2708" s="54"/>
      <c r="U2708" s="54"/>
      <c r="V2708" s="54"/>
      <c r="W2708" s="54"/>
      <c r="X2708" s="54"/>
      <c r="Y2708" s="54"/>
      <c r="Z2708" s="54"/>
      <c r="AA2708" s="54"/>
      <c r="AB2708" s="54"/>
      <c r="AC2708" s="54"/>
      <c r="AD2708" s="54"/>
      <c r="AE2708" s="54"/>
      <c r="AF2708" s="54"/>
      <c r="AG2708" s="54"/>
      <c r="AH2708" s="54"/>
    </row>
    <row r="2709">
      <c r="A2709" s="80"/>
      <c r="B2709" s="80"/>
      <c r="C2709" s="80"/>
      <c r="D2709" s="80"/>
      <c r="E2709" s="80"/>
      <c r="F2709" s="59"/>
      <c r="G2709" s="59"/>
      <c r="H2709" s="83"/>
      <c r="I2709" s="76"/>
      <c r="J2709" s="76"/>
      <c r="K2709" s="81"/>
      <c r="L2709" s="82"/>
      <c r="M2709" s="54"/>
      <c r="N2709" s="54"/>
      <c r="O2709" s="54"/>
      <c r="P2709" s="54"/>
      <c r="Q2709" s="54"/>
      <c r="R2709" s="54"/>
      <c r="S2709" s="54"/>
      <c r="T2709" s="54"/>
      <c r="U2709" s="54"/>
      <c r="V2709" s="54"/>
      <c r="W2709" s="54"/>
      <c r="X2709" s="54"/>
      <c r="Y2709" s="54"/>
      <c r="Z2709" s="54"/>
      <c r="AA2709" s="54"/>
      <c r="AB2709" s="54"/>
      <c r="AC2709" s="54"/>
      <c r="AD2709" s="54"/>
      <c r="AE2709" s="54"/>
      <c r="AF2709" s="54"/>
      <c r="AG2709" s="54"/>
      <c r="AH2709" s="54"/>
    </row>
    <row r="2710">
      <c r="A2710" s="80"/>
      <c r="B2710" s="80"/>
      <c r="C2710" s="80"/>
      <c r="D2710" s="80"/>
      <c r="E2710" s="80"/>
      <c r="F2710" s="59"/>
      <c r="G2710" s="59"/>
      <c r="H2710" s="83"/>
      <c r="I2710" s="76"/>
      <c r="J2710" s="76"/>
      <c r="K2710" s="81"/>
      <c r="L2710" s="82"/>
      <c r="M2710" s="54"/>
      <c r="N2710" s="54"/>
      <c r="O2710" s="54"/>
      <c r="P2710" s="54"/>
      <c r="Q2710" s="54"/>
      <c r="R2710" s="54"/>
      <c r="S2710" s="54"/>
      <c r="T2710" s="54"/>
      <c r="U2710" s="54"/>
      <c r="V2710" s="54"/>
      <c r="W2710" s="54"/>
      <c r="X2710" s="54"/>
      <c r="Y2710" s="54"/>
      <c r="Z2710" s="54"/>
      <c r="AA2710" s="54"/>
      <c r="AB2710" s="54"/>
      <c r="AC2710" s="54"/>
      <c r="AD2710" s="54"/>
      <c r="AE2710" s="54"/>
      <c r="AF2710" s="54"/>
      <c r="AG2710" s="54"/>
      <c r="AH2710" s="54"/>
    </row>
    <row r="2711">
      <c r="A2711" s="80"/>
      <c r="B2711" s="80"/>
      <c r="C2711" s="80"/>
      <c r="D2711" s="80"/>
      <c r="E2711" s="80"/>
      <c r="F2711" s="59"/>
      <c r="G2711" s="59"/>
      <c r="H2711" s="83"/>
      <c r="I2711" s="76"/>
      <c r="J2711" s="76"/>
      <c r="K2711" s="81"/>
      <c r="L2711" s="82"/>
      <c r="M2711" s="54"/>
      <c r="N2711" s="54"/>
      <c r="O2711" s="54"/>
      <c r="P2711" s="54"/>
      <c r="Q2711" s="54"/>
      <c r="R2711" s="54"/>
      <c r="S2711" s="54"/>
      <c r="T2711" s="54"/>
      <c r="U2711" s="54"/>
      <c r="V2711" s="54"/>
      <c r="W2711" s="54"/>
      <c r="X2711" s="54"/>
      <c r="Y2711" s="54"/>
      <c r="Z2711" s="54"/>
      <c r="AA2711" s="54"/>
      <c r="AB2711" s="54"/>
      <c r="AC2711" s="54"/>
      <c r="AD2711" s="54"/>
      <c r="AE2711" s="54"/>
      <c r="AF2711" s="54"/>
      <c r="AG2711" s="54"/>
      <c r="AH2711" s="54"/>
    </row>
    <row r="2712">
      <c r="A2712" s="80"/>
      <c r="B2712" s="80"/>
      <c r="C2712" s="80"/>
      <c r="D2712" s="80"/>
      <c r="E2712" s="80"/>
      <c r="F2712" s="59"/>
      <c r="G2712" s="59"/>
      <c r="H2712" s="83"/>
      <c r="I2712" s="76"/>
      <c r="J2712" s="76"/>
      <c r="K2712" s="81"/>
      <c r="L2712" s="82"/>
      <c r="M2712" s="54"/>
      <c r="N2712" s="54"/>
      <c r="O2712" s="54"/>
      <c r="P2712" s="54"/>
      <c r="Q2712" s="54"/>
      <c r="R2712" s="54"/>
      <c r="S2712" s="54"/>
      <c r="T2712" s="54"/>
      <c r="U2712" s="54"/>
      <c r="V2712" s="54"/>
      <c r="W2712" s="54"/>
      <c r="X2712" s="54"/>
      <c r="Y2712" s="54"/>
      <c r="Z2712" s="54"/>
      <c r="AA2712" s="54"/>
      <c r="AB2712" s="54"/>
      <c r="AC2712" s="54"/>
      <c r="AD2712" s="54"/>
      <c r="AE2712" s="54"/>
      <c r="AF2712" s="54"/>
      <c r="AG2712" s="54"/>
      <c r="AH2712" s="54"/>
    </row>
    <row r="2713">
      <c r="A2713" s="80"/>
      <c r="B2713" s="80"/>
      <c r="C2713" s="80"/>
      <c r="D2713" s="80"/>
      <c r="E2713" s="80"/>
      <c r="F2713" s="59"/>
      <c r="G2713" s="59"/>
      <c r="H2713" s="83"/>
      <c r="I2713" s="76"/>
      <c r="J2713" s="76"/>
      <c r="K2713" s="81"/>
      <c r="L2713" s="82"/>
      <c r="M2713" s="54"/>
      <c r="N2713" s="54"/>
      <c r="O2713" s="54"/>
      <c r="P2713" s="54"/>
      <c r="Q2713" s="54"/>
      <c r="R2713" s="54"/>
      <c r="S2713" s="54"/>
      <c r="T2713" s="54"/>
      <c r="U2713" s="54"/>
      <c r="V2713" s="54"/>
      <c r="W2713" s="54"/>
      <c r="X2713" s="54"/>
      <c r="Y2713" s="54"/>
      <c r="Z2713" s="54"/>
      <c r="AA2713" s="54"/>
      <c r="AB2713" s="54"/>
      <c r="AC2713" s="54"/>
      <c r="AD2713" s="54"/>
      <c r="AE2713" s="54"/>
      <c r="AF2713" s="54"/>
      <c r="AG2713" s="54"/>
      <c r="AH2713" s="54"/>
    </row>
    <row r="2714">
      <c r="A2714" s="80"/>
      <c r="B2714" s="80"/>
      <c r="C2714" s="80"/>
      <c r="D2714" s="80"/>
      <c r="E2714" s="80"/>
      <c r="F2714" s="59"/>
      <c r="G2714" s="59"/>
      <c r="H2714" s="83"/>
      <c r="I2714" s="76"/>
      <c r="J2714" s="76"/>
      <c r="K2714" s="81"/>
      <c r="L2714" s="82"/>
      <c r="M2714" s="54"/>
      <c r="N2714" s="54"/>
      <c r="O2714" s="54"/>
      <c r="P2714" s="54"/>
      <c r="Q2714" s="54"/>
      <c r="R2714" s="54"/>
      <c r="S2714" s="54"/>
      <c r="T2714" s="54"/>
      <c r="U2714" s="54"/>
      <c r="V2714" s="54"/>
      <c r="W2714" s="54"/>
      <c r="X2714" s="54"/>
      <c r="Y2714" s="54"/>
      <c r="Z2714" s="54"/>
      <c r="AA2714" s="54"/>
      <c r="AB2714" s="54"/>
      <c r="AC2714" s="54"/>
      <c r="AD2714" s="54"/>
      <c r="AE2714" s="54"/>
      <c r="AF2714" s="54"/>
      <c r="AG2714" s="54"/>
      <c r="AH2714" s="54"/>
    </row>
    <row r="2715">
      <c r="A2715" s="80"/>
      <c r="B2715" s="80"/>
      <c r="C2715" s="80"/>
      <c r="D2715" s="80"/>
      <c r="E2715" s="80"/>
      <c r="F2715" s="59"/>
      <c r="G2715" s="59"/>
      <c r="H2715" s="83"/>
      <c r="I2715" s="76"/>
      <c r="J2715" s="76"/>
      <c r="K2715" s="81"/>
      <c r="L2715" s="82"/>
      <c r="M2715" s="54"/>
      <c r="N2715" s="54"/>
      <c r="O2715" s="54"/>
      <c r="P2715" s="54"/>
      <c r="Q2715" s="54"/>
      <c r="R2715" s="54"/>
      <c r="S2715" s="54"/>
      <c r="T2715" s="54"/>
      <c r="U2715" s="54"/>
      <c r="V2715" s="54"/>
      <c r="W2715" s="54"/>
      <c r="X2715" s="54"/>
      <c r="Y2715" s="54"/>
      <c r="Z2715" s="54"/>
      <c r="AA2715" s="54"/>
      <c r="AB2715" s="54"/>
      <c r="AC2715" s="54"/>
      <c r="AD2715" s="54"/>
      <c r="AE2715" s="54"/>
      <c r="AF2715" s="54"/>
      <c r="AG2715" s="54"/>
      <c r="AH2715" s="54"/>
    </row>
    <row r="2716">
      <c r="A2716" s="80"/>
      <c r="B2716" s="80"/>
      <c r="C2716" s="80"/>
      <c r="D2716" s="80"/>
      <c r="E2716" s="80"/>
      <c r="F2716" s="59"/>
      <c r="G2716" s="59"/>
      <c r="H2716" s="83"/>
      <c r="I2716" s="76"/>
      <c r="J2716" s="76"/>
      <c r="K2716" s="81"/>
      <c r="L2716" s="82"/>
      <c r="M2716" s="54"/>
      <c r="N2716" s="54"/>
      <c r="O2716" s="54"/>
      <c r="P2716" s="54"/>
      <c r="Q2716" s="54"/>
      <c r="R2716" s="54"/>
      <c r="S2716" s="54"/>
      <c r="T2716" s="54"/>
      <c r="U2716" s="54"/>
      <c r="V2716" s="54"/>
      <c r="W2716" s="54"/>
      <c r="X2716" s="54"/>
      <c r="Y2716" s="54"/>
      <c r="Z2716" s="54"/>
      <c r="AA2716" s="54"/>
      <c r="AB2716" s="54"/>
      <c r="AC2716" s="54"/>
      <c r="AD2716" s="54"/>
      <c r="AE2716" s="54"/>
      <c r="AF2716" s="54"/>
      <c r="AG2716" s="54"/>
      <c r="AH2716" s="54"/>
    </row>
    <row r="2717">
      <c r="A2717" s="80"/>
      <c r="B2717" s="80"/>
      <c r="C2717" s="80"/>
      <c r="D2717" s="80"/>
      <c r="E2717" s="80"/>
      <c r="F2717" s="59"/>
      <c r="G2717" s="59"/>
      <c r="H2717" s="83"/>
      <c r="I2717" s="76"/>
      <c r="J2717" s="76"/>
      <c r="K2717" s="81"/>
      <c r="L2717" s="82"/>
      <c r="M2717" s="54"/>
      <c r="N2717" s="54"/>
      <c r="O2717" s="54"/>
      <c r="P2717" s="54"/>
      <c r="Q2717" s="54"/>
      <c r="R2717" s="54"/>
      <c r="S2717" s="54"/>
      <c r="T2717" s="54"/>
      <c r="U2717" s="54"/>
      <c r="V2717" s="54"/>
      <c r="W2717" s="54"/>
      <c r="X2717" s="54"/>
      <c r="Y2717" s="54"/>
      <c r="Z2717" s="54"/>
      <c r="AA2717" s="54"/>
      <c r="AB2717" s="54"/>
      <c r="AC2717" s="54"/>
      <c r="AD2717" s="54"/>
      <c r="AE2717" s="54"/>
      <c r="AF2717" s="54"/>
      <c r="AG2717" s="54"/>
      <c r="AH2717" s="54"/>
    </row>
    <row r="2718">
      <c r="A2718" s="80"/>
      <c r="B2718" s="80"/>
      <c r="C2718" s="80"/>
      <c r="D2718" s="80"/>
      <c r="E2718" s="80"/>
      <c r="F2718" s="59"/>
      <c r="G2718" s="59"/>
      <c r="H2718" s="83"/>
      <c r="I2718" s="76"/>
      <c r="J2718" s="76"/>
      <c r="K2718" s="81"/>
      <c r="L2718" s="82"/>
      <c r="M2718" s="54"/>
      <c r="N2718" s="54"/>
      <c r="O2718" s="54"/>
      <c r="P2718" s="54"/>
      <c r="Q2718" s="54"/>
      <c r="R2718" s="54"/>
      <c r="S2718" s="54"/>
      <c r="T2718" s="54"/>
      <c r="U2718" s="54"/>
      <c r="V2718" s="54"/>
      <c r="W2718" s="54"/>
      <c r="X2718" s="54"/>
      <c r="Y2718" s="54"/>
      <c r="Z2718" s="54"/>
      <c r="AA2718" s="54"/>
      <c r="AB2718" s="54"/>
      <c r="AC2718" s="54"/>
      <c r="AD2718" s="54"/>
      <c r="AE2718" s="54"/>
      <c r="AF2718" s="54"/>
      <c r="AG2718" s="54"/>
      <c r="AH2718" s="54"/>
    </row>
    <row r="2719">
      <c r="A2719" s="80"/>
      <c r="B2719" s="80"/>
      <c r="C2719" s="80"/>
      <c r="D2719" s="80"/>
      <c r="E2719" s="80"/>
      <c r="F2719" s="59"/>
      <c r="G2719" s="59"/>
      <c r="H2719" s="83"/>
      <c r="I2719" s="76"/>
      <c r="J2719" s="76"/>
      <c r="K2719" s="81"/>
      <c r="L2719" s="82"/>
      <c r="M2719" s="54"/>
      <c r="N2719" s="54"/>
      <c r="O2719" s="54"/>
      <c r="P2719" s="54"/>
      <c r="Q2719" s="54"/>
      <c r="R2719" s="54"/>
      <c r="S2719" s="54"/>
      <c r="T2719" s="54"/>
      <c r="U2719" s="54"/>
      <c r="V2719" s="54"/>
      <c r="W2719" s="54"/>
      <c r="X2719" s="54"/>
      <c r="Y2719" s="54"/>
      <c r="Z2719" s="54"/>
      <c r="AA2719" s="54"/>
      <c r="AB2719" s="54"/>
      <c r="AC2719" s="54"/>
      <c r="AD2719" s="54"/>
      <c r="AE2719" s="54"/>
      <c r="AF2719" s="54"/>
      <c r="AG2719" s="54"/>
      <c r="AH2719" s="54"/>
    </row>
    <row r="2720">
      <c r="A2720" s="80"/>
      <c r="B2720" s="80"/>
      <c r="C2720" s="80"/>
      <c r="D2720" s="80"/>
      <c r="E2720" s="80"/>
      <c r="F2720" s="59"/>
      <c r="G2720" s="59"/>
      <c r="H2720" s="83"/>
      <c r="I2720" s="76"/>
      <c r="J2720" s="76"/>
      <c r="K2720" s="81"/>
      <c r="L2720" s="82"/>
      <c r="M2720" s="54"/>
      <c r="N2720" s="54"/>
      <c r="O2720" s="54"/>
      <c r="P2720" s="54"/>
      <c r="Q2720" s="54"/>
      <c r="R2720" s="54"/>
      <c r="S2720" s="54"/>
      <c r="T2720" s="54"/>
      <c r="U2720" s="54"/>
      <c r="V2720" s="54"/>
      <c r="W2720" s="54"/>
      <c r="X2720" s="54"/>
      <c r="Y2720" s="54"/>
      <c r="Z2720" s="54"/>
      <c r="AA2720" s="54"/>
      <c r="AB2720" s="54"/>
      <c r="AC2720" s="54"/>
      <c r="AD2720" s="54"/>
      <c r="AE2720" s="54"/>
      <c r="AF2720" s="54"/>
      <c r="AG2720" s="54"/>
      <c r="AH2720" s="54"/>
    </row>
    <row r="2721">
      <c r="A2721" s="80"/>
      <c r="B2721" s="80"/>
      <c r="C2721" s="80"/>
      <c r="D2721" s="80"/>
      <c r="E2721" s="80"/>
      <c r="F2721" s="59"/>
      <c r="G2721" s="59"/>
      <c r="H2721" s="83"/>
      <c r="I2721" s="76"/>
      <c r="J2721" s="76"/>
      <c r="K2721" s="81"/>
      <c r="L2721" s="82"/>
      <c r="M2721" s="54"/>
      <c r="N2721" s="54"/>
      <c r="O2721" s="54"/>
      <c r="P2721" s="54"/>
      <c r="Q2721" s="54"/>
      <c r="R2721" s="54"/>
      <c r="S2721" s="54"/>
      <c r="T2721" s="54"/>
      <c r="U2721" s="54"/>
      <c r="V2721" s="54"/>
      <c r="W2721" s="54"/>
      <c r="X2721" s="54"/>
      <c r="Y2721" s="54"/>
      <c r="Z2721" s="54"/>
      <c r="AA2721" s="54"/>
      <c r="AB2721" s="54"/>
      <c r="AC2721" s="54"/>
      <c r="AD2721" s="54"/>
      <c r="AE2721" s="54"/>
      <c r="AF2721" s="54"/>
      <c r="AG2721" s="54"/>
      <c r="AH2721" s="54"/>
    </row>
    <row r="2722">
      <c r="A2722" s="80"/>
      <c r="B2722" s="80"/>
      <c r="C2722" s="80"/>
      <c r="D2722" s="80"/>
      <c r="E2722" s="80"/>
      <c r="F2722" s="59"/>
      <c r="G2722" s="59"/>
      <c r="H2722" s="83"/>
      <c r="I2722" s="76"/>
      <c r="J2722" s="76"/>
      <c r="K2722" s="81"/>
      <c r="L2722" s="82"/>
      <c r="M2722" s="54"/>
      <c r="N2722" s="54"/>
      <c r="O2722" s="54"/>
      <c r="P2722" s="54"/>
      <c r="Q2722" s="54"/>
      <c r="R2722" s="54"/>
      <c r="S2722" s="54"/>
      <c r="T2722" s="54"/>
      <c r="U2722" s="54"/>
      <c r="V2722" s="54"/>
      <c r="W2722" s="54"/>
      <c r="X2722" s="54"/>
      <c r="Y2722" s="54"/>
      <c r="Z2722" s="54"/>
      <c r="AA2722" s="54"/>
      <c r="AB2722" s="54"/>
      <c r="AC2722" s="54"/>
      <c r="AD2722" s="54"/>
      <c r="AE2722" s="54"/>
      <c r="AF2722" s="54"/>
      <c r="AG2722" s="54"/>
      <c r="AH2722" s="54"/>
    </row>
  </sheetData>
  <hyperlinks>
    <hyperlink r:id="rId4" ref="M2"/>
    <hyperlink r:id="rId5" ref="N2"/>
    <hyperlink r:id="rId6" ref="M3"/>
    <hyperlink r:id="rId7" ref="N3"/>
    <hyperlink r:id="rId8" ref="M4"/>
    <hyperlink r:id="rId9" ref="N4"/>
    <hyperlink r:id="rId10" ref="M5"/>
    <hyperlink r:id="rId11" ref="N5"/>
    <hyperlink r:id="rId12" ref="M6"/>
    <hyperlink r:id="rId13" ref="N6"/>
    <hyperlink r:id="rId14" ref="M7"/>
    <hyperlink r:id="rId15" ref="N7"/>
    <hyperlink r:id="rId16" ref="M8"/>
    <hyperlink r:id="rId17" ref="N8"/>
    <hyperlink r:id="rId18" ref="M9"/>
    <hyperlink r:id="rId19" ref="N9"/>
    <hyperlink r:id="rId20" ref="M10"/>
    <hyperlink r:id="rId21" ref="N10"/>
    <hyperlink r:id="rId22" ref="M11"/>
    <hyperlink r:id="rId23" ref="N11"/>
    <hyperlink r:id="rId24" ref="M12"/>
    <hyperlink r:id="rId25" ref="N12"/>
    <hyperlink r:id="rId26" ref="M13"/>
    <hyperlink r:id="rId27" ref="N13"/>
    <hyperlink r:id="rId28" ref="M14"/>
    <hyperlink r:id="rId29" ref="N14"/>
    <hyperlink r:id="rId30" ref="M15"/>
    <hyperlink r:id="rId31" ref="M16"/>
    <hyperlink r:id="rId32" ref="M17"/>
    <hyperlink r:id="rId33" ref="M18"/>
    <hyperlink r:id="rId34" ref="M19"/>
    <hyperlink r:id="rId35" ref="M20"/>
    <hyperlink r:id="rId36" ref="M21"/>
    <hyperlink r:id="rId37" ref="M22"/>
    <hyperlink r:id="rId38" ref="M23"/>
    <hyperlink r:id="rId39" ref="M24"/>
    <hyperlink r:id="rId40" ref="M25"/>
    <hyperlink r:id="rId41" ref="M26"/>
    <hyperlink r:id="rId42" ref="M27"/>
    <hyperlink r:id="rId43" ref="M28"/>
    <hyperlink r:id="rId44" ref="M29"/>
    <hyperlink r:id="rId45" ref="M30"/>
    <hyperlink r:id="rId46" ref="M31"/>
    <hyperlink r:id="rId47" ref="M32"/>
    <hyperlink r:id="rId48" ref="M33"/>
    <hyperlink r:id="rId49" ref="M34"/>
    <hyperlink r:id="rId50" ref="M35"/>
    <hyperlink r:id="rId51" ref="M36"/>
    <hyperlink r:id="rId52" ref="M37"/>
    <hyperlink r:id="rId53" ref="M38"/>
    <hyperlink r:id="rId54" ref="M39"/>
    <hyperlink r:id="rId55" ref="N39"/>
    <hyperlink r:id="rId56" ref="M40"/>
    <hyperlink r:id="rId57" ref="M41"/>
    <hyperlink r:id="rId58" ref="M42"/>
    <hyperlink r:id="rId59" ref="M43"/>
    <hyperlink r:id="rId60" ref="M44"/>
    <hyperlink r:id="rId61" ref="M45"/>
    <hyperlink r:id="rId62" ref="M46"/>
    <hyperlink r:id="rId63" ref="M47"/>
    <hyperlink r:id="rId64" ref="M48"/>
    <hyperlink r:id="rId65" ref="M49"/>
    <hyperlink r:id="rId66" ref="M50"/>
    <hyperlink r:id="rId67" ref="M51"/>
    <hyperlink r:id="rId68" ref="M52"/>
    <hyperlink r:id="rId69" ref="M53"/>
    <hyperlink r:id="rId70" ref="M54"/>
    <hyperlink r:id="rId71" ref="M55"/>
    <hyperlink r:id="rId72" ref="M56"/>
    <hyperlink r:id="rId73" ref="M57"/>
    <hyperlink r:id="rId74" ref="M58"/>
    <hyperlink r:id="rId75" ref="M59"/>
    <hyperlink r:id="rId76" ref="M60"/>
    <hyperlink r:id="rId77" ref="M61"/>
    <hyperlink r:id="rId78" ref="M62"/>
    <hyperlink r:id="rId79" ref="M63"/>
    <hyperlink r:id="rId80" ref="M64"/>
    <hyperlink r:id="rId81" ref="M65"/>
    <hyperlink r:id="rId82" ref="M66"/>
    <hyperlink r:id="rId83" ref="M67"/>
    <hyperlink r:id="rId84" ref="M68"/>
    <hyperlink r:id="rId85" ref="M69"/>
    <hyperlink r:id="rId86" ref="M70"/>
    <hyperlink r:id="rId87" ref="M71"/>
    <hyperlink r:id="rId88" ref="M72"/>
    <hyperlink r:id="rId89" ref="M73"/>
    <hyperlink r:id="rId90" ref="M74"/>
    <hyperlink r:id="rId91" ref="M75"/>
    <hyperlink r:id="rId92" ref="M76"/>
    <hyperlink r:id="rId93" ref="M77"/>
    <hyperlink r:id="rId94" ref="M78"/>
    <hyperlink r:id="rId95" ref="M79"/>
    <hyperlink r:id="rId96" ref="M80"/>
    <hyperlink r:id="rId97" ref="M81"/>
    <hyperlink r:id="rId98" ref="M82"/>
    <hyperlink r:id="rId99" ref="M83"/>
    <hyperlink r:id="rId100" ref="M84"/>
    <hyperlink r:id="rId101" ref="M85"/>
    <hyperlink r:id="rId102" ref="M86"/>
    <hyperlink r:id="rId103" ref="M87"/>
    <hyperlink r:id="rId104" ref="M88"/>
    <hyperlink r:id="rId105" ref="M89"/>
    <hyperlink r:id="rId106" ref="M90"/>
    <hyperlink r:id="rId107" ref="M91"/>
    <hyperlink r:id="rId108" ref="M92"/>
    <hyperlink r:id="rId109" ref="M93"/>
    <hyperlink r:id="rId110" ref="M94"/>
    <hyperlink r:id="rId111" ref="M95"/>
    <hyperlink r:id="rId112" ref="M96"/>
    <hyperlink r:id="rId113" ref="M97"/>
    <hyperlink r:id="rId114" ref="M98"/>
    <hyperlink r:id="rId115" ref="M99"/>
    <hyperlink r:id="rId116" ref="M100"/>
    <hyperlink r:id="rId117" ref="M101"/>
    <hyperlink r:id="rId118" ref="M102"/>
    <hyperlink r:id="rId119" ref="M103"/>
    <hyperlink r:id="rId120" ref="M104"/>
    <hyperlink r:id="rId121" ref="M105"/>
    <hyperlink r:id="rId122" ref="M106"/>
    <hyperlink r:id="rId123" ref="M107"/>
    <hyperlink r:id="rId124" ref="M108"/>
    <hyperlink r:id="rId125" ref="M109"/>
    <hyperlink r:id="rId126" ref="M110"/>
    <hyperlink r:id="rId127" ref="M111"/>
    <hyperlink r:id="rId128" ref="M112"/>
    <hyperlink r:id="rId129" ref="M113"/>
    <hyperlink r:id="rId130" ref="M114"/>
    <hyperlink r:id="rId131" ref="M115"/>
    <hyperlink r:id="rId132" ref="M116"/>
    <hyperlink r:id="rId133" ref="M117"/>
    <hyperlink r:id="rId134" ref="M118"/>
    <hyperlink r:id="rId135" ref="M119"/>
    <hyperlink r:id="rId136" ref="M120"/>
    <hyperlink r:id="rId137" ref="M121"/>
    <hyperlink r:id="rId138" ref="M122"/>
    <hyperlink r:id="rId139" ref="M123"/>
    <hyperlink r:id="rId140" ref="M124"/>
    <hyperlink r:id="rId141" ref="M125"/>
    <hyperlink r:id="rId142" ref="M126"/>
    <hyperlink r:id="rId143" ref="M127"/>
    <hyperlink r:id="rId144" ref="M128"/>
    <hyperlink r:id="rId145" ref="M129"/>
    <hyperlink r:id="rId146" ref="M130"/>
    <hyperlink r:id="rId147" ref="M131"/>
    <hyperlink r:id="rId148" ref="M132"/>
    <hyperlink r:id="rId149" ref="M133"/>
    <hyperlink r:id="rId150" ref="M134"/>
    <hyperlink r:id="rId151" ref="M135"/>
    <hyperlink r:id="rId152" ref="M136"/>
    <hyperlink r:id="rId153" ref="M137"/>
    <hyperlink r:id="rId154" ref="M138"/>
    <hyperlink r:id="rId155" ref="M139"/>
    <hyperlink r:id="rId156" ref="M140"/>
    <hyperlink r:id="rId157" ref="M141"/>
    <hyperlink r:id="rId158" ref="M142"/>
    <hyperlink r:id="rId159" ref="M143"/>
    <hyperlink r:id="rId160" ref="M144"/>
    <hyperlink r:id="rId161" ref="M145"/>
    <hyperlink r:id="rId162" ref="M146"/>
    <hyperlink r:id="rId163" ref="M147"/>
    <hyperlink r:id="rId164" ref="M148"/>
    <hyperlink r:id="rId165" ref="M149"/>
    <hyperlink r:id="rId166" ref="M150"/>
    <hyperlink r:id="rId167" ref="M151"/>
    <hyperlink r:id="rId168" ref="M152"/>
    <hyperlink r:id="rId169" ref="M153"/>
    <hyperlink r:id="rId170" ref="M154"/>
    <hyperlink r:id="rId171" ref="M155"/>
    <hyperlink r:id="rId172" ref="M156"/>
    <hyperlink r:id="rId173" ref="M157"/>
    <hyperlink r:id="rId174" ref="M158"/>
    <hyperlink r:id="rId175" ref="M159"/>
    <hyperlink r:id="rId176" ref="M160"/>
    <hyperlink r:id="rId177" ref="M161"/>
    <hyperlink r:id="rId178" ref="M162"/>
    <hyperlink r:id="rId179" ref="M163"/>
    <hyperlink r:id="rId180" ref="M164"/>
    <hyperlink r:id="rId181" ref="M165"/>
    <hyperlink r:id="rId182" ref="M166"/>
    <hyperlink r:id="rId183" ref="M167"/>
    <hyperlink r:id="rId184" ref="M168"/>
    <hyperlink r:id="rId185" ref="M169"/>
    <hyperlink r:id="rId186" ref="M170"/>
    <hyperlink r:id="rId187" ref="M171"/>
    <hyperlink r:id="rId188" ref="M172"/>
    <hyperlink r:id="rId189" ref="M173"/>
    <hyperlink r:id="rId190" ref="M174"/>
    <hyperlink r:id="rId191" ref="M175"/>
    <hyperlink r:id="rId192" ref="M176"/>
    <hyperlink r:id="rId193" ref="M177"/>
    <hyperlink r:id="rId194" ref="M178"/>
    <hyperlink r:id="rId195" ref="M179"/>
    <hyperlink r:id="rId196" ref="M180"/>
    <hyperlink r:id="rId197" ref="M181"/>
    <hyperlink r:id="rId198" ref="M182"/>
    <hyperlink r:id="rId199" ref="M183"/>
    <hyperlink r:id="rId200" ref="M184"/>
    <hyperlink r:id="rId201" ref="M185"/>
    <hyperlink r:id="rId202" ref="N185"/>
    <hyperlink r:id="rId203" ref="M186"/>
    <hyperlink r:id="rId204" ref="N186"/>
    <hyperlink r:id="rId205" ref="M187"/>
    <hyperlink r:id="rId206" ref="M188"/>
    <hyperlink r:id="rId207" ref="M189"/>
    <hyperlink r:id="rId208" ref="M190"/>
    <hyperlink r:id="rId209" ref="M191"/>
    <hyperlink r:id="rId210" ref="M192"/>
    <hyperlink r:id="rId211" ref="M193"/>
    <hyperlink r:id="rId212" ref="M194"/>
    <hyperlink r:id="rId213" ref="M195"/>
    <hyperlink r:id="rId214" ref="M196"/>
    <hyperlink r:id="rId215" ref="M197"/>
    <hyperlink r:id="rId216" ref="M198"/>
    <hyperlink r:id="rId217" ref="M199"/>
    <hyperlink r:id="rId218" ref="M200"/>
    <hyperlink r:id="rId219" ref="M201"/>
    <hyperlink r:id="rId220" ref="M202"/>
    <hyperlink r:id="rId221" ref="M203"/>
    <hyperlink r:id="rId222" ref="M204"/>
    <hyperlink r:id="rId223" ref="M205"/>
    <hyperlink r:id="rId224" ref="M206"/>
    <hyperlink r:id="rId225" ref="M207"/>
    <hyperlink r:id="rId226" ref="M208"/>
    <hyperlink r:id="rId227" ref="M209"/>
    <hyperlink r:id="rId228" ref="M210"/>
    <hyperlink r:id="rId229" ref="M211"/>
    <hyperlink r:id="rId230" ref="M212"/>
    <hyperlink r:id="rId231" ref="M213"/>
    <hyperlink r:id="rId232" ref="M214"/>
    <hyperlink r:id="rId233" ref="M215"/>
    <hyperlink r:id="rId234" ref="M216"/>
    <hyperlink r:id="rId235" ref="M217"/>
    <hyperlink r:id="rId236" ref="M218"/>
    <hyperlink r:id="rId237" ref="M219"/>
    <hyperlink r:id="rId238" ref="M220"/>
    <hyperlink r:id="rId239" ref="M221"/>
    <hyperlink r:id="rId240" ref="M222"/>
    <hyperlink r:id="rId241" ref="M223"/>
    <hyperlink r:id="rId242" ref="M224"/>
    <hyperlink r:id="rId243" ref="M225"/>
    <hyperlink r:id="rId244" ref="M226"/>
    <hyperlink r:id="rId245" ref="M227"/>
    <hyperlink r:id="rId246" ref="M228"/>
    <hyperlink r:id="rId247" ref="M229"/>
    <hyperlink r:id="rId248" ref="M230"/>
    <hyperlink r:id="rId249" ref="M231"/>
    <hyperlink r:id="rId250" ref="M232"/>
    <hyperlink r:id="rId251" ref="M233"/>
    <hyperlink r:id="rId252" ref="M234"/>
    <hyperlink r:id="rId253" ref="M235"/>
    <hyperlink r:id="rId254" ref="M236"/>
    <hyperlink r:id="rId255" ref="M237"/>
    <hyperlink r:id="rId256" ref="M238"/>
    <hyperlink r:id="rId257" ref="M239"/>
    <hyperlink r:id="rId258" ref="M240"/>
    <hyperlink r:id="rId259" ref="M241"/>
    <hyperlink r:id="rId260" ref="M242"/>
    <hyperlink r:id="rId261" ref="M243"/>
    <hyperlink r:id="rId262" ref="M244"/>
    <hyperlink r:id="rId263" ref="M245"/>
    <hyperlink r:id="rId264" ref="M246"/>
    <hyperlink r:id="rId265" ref="M247"/>
    <hyperlink r:id="rId266" ref="M248"/>
    <hyperlink r:id="rId267" ref="M249"/>
    <hyperlink r:id="rId268" ref="M250"/>
    <hyperlink r:id="rId269" ref="M251"/>
    <hyperlink r:id="rId270" ref="M252"/>
    <hyperlink r:id="rId271" ref="M253"/>
    <hyperlink r:id="rId272" ref="M254"/>
    <hyperlink r:id="rId273" ref="M255"/>
    <hyperlink r:id="rId274" ref="M256"/>
    <hyperlink r:id="rId275" ref="M257"/>
    <hyperlink r:id="rId276" ref="M258"/>
    <hyperlink r:id="rId277" ref="M259"/>
    <hyperlink r:id="rId278" ref="M260"/>
    <hyperlink r:id="rId279" ref="M261"/>
    <hyperlink r:id="rId280" ref="M262"/>
    <hyperlink r:id="rId281" ref="M263"/>
    <hyperlink r:id="rId282" ref="M264"/>
    <hyperlink r:id="rId283" ref="M265"/>
    <hyperlink r:id="rId284" ref="M266"/>
    <hyperlink r:id="rId285" ref="M267"/>
    <hyperlink r:id="rId286" ref="M268"/>
    <hyperlink r:id="rId287" ref="M269"/>
    <hyperlink r:id="rId288" ref="M270"/>
    <hyperlink r:id="rId289" ref="M271"/>
    <hyperlink r:id="rId290" ref="M272"/>
    <hyperlink r:id="rId291" ref="M273"/>
    <hyperlink r:id="rId292" ref="M274"/>
    <hyperlink r:id="rId293" ref="M275"/>
    <hyperlink r:id="rId294" ref="M276"/>
    <hyperlink r:id="rId295" ref="M277"/>
    <hyperlink r:id="rId296" ref="M278"/>
    <hyperlink r:id="rId297" ref="M279"/>
    <hyperlink r:id="rId298" ref="M280"/>
    <hyperlink r:id="rId299" ref="M281"/>
    <hyperlink r:id="rId300" ref="M282"/>
    <hyperlink r:id="rId301" ref="M283"/>
    <hyperlink r:id="rId302" ref="M284"/>
    <hyperlink r:id="rId303" ref="M285"/>
    <hyperlink r:id="rId304" ref="M286"/>
    <hyperlink r:id="rId305" ref="M287"/>
    <hyperlink r:id="rId306" ref="M288"/>
    <hyperlink r:id="rId307" ref="M289"/>
    <hyperlink r:id="rId308" ref="M290"/>
    <hyperlink r:id="rId309" ref="M291"/>
    <hyperlink r:id="rId310" ref="M292"/>
    <hyperlink r:id="rId311" ref="M293"/>
    <hyperlink r:id="rId312" ref="M294"/>
    <hyperlink r:id="rId313" ref="M295"/>
    <hyperlink r:id="rId314" ref="M296"/>
    <hyperlink r:id="rId315" ref="M297"/>
    <hyperlink r:id="rId316" ref="M298"/>
    <hyperlink r:id="rId317" ref="M299"/>
    <hyperlink r:id="rId318" ref="M300"/>
    <hyperlink r:id="rId319" ref="M301"/>
    <hyperlink r:id="rId320" ref="M302"/>
    <hyperlink r:id="rId321" ref="M303"/>
    <hyperlink r:id="rId322" ref="M304"/>
    <hyperlink r:id="rId323" ref="M305"/>
    <hyperlink r:id="rId324" ref="M306"/>
    <hyperlink r:id="rId325" ref="M307"/>
    <hyperlink r:id="rId326" ref="M308"/>
    <hyperlink r:id="rId327" ref="M309"/>
    <hyperlink r:id="rId328" ref="M310"/>
    <hyperlink r:id="rId329" ref="M311"/>
    <hyperlink r:id="rId330" ref="M312"/>
    <hyperlink r:id="rId331" ref="M313"/>
    <hyperlink r:id="rId332" ref="M314"/>
    <hyperlink r:id="rId333" ref="M315"/>
    <hyperlink r:id="rId334" ref="M316"/>
    <hyperlink r:id="rId335" ref="M317"/>
    <hyperlink r:id="rId336" ref="M318"/>
    <hyperlink r:id="rId337" ref="M319"/>
    <hyperlink r:id="rId338" ref="M320"/>
    <hyperlink r:id="rId339" ref="M321"/>
    <hyperlink r:id="rId340" ref="M322"/>
    <hyperlink r:id="rId341" ref="M323"/>
    <hyperlink r:id="rId342" ref="M324"/>
    <hyperlink r:id="rId343" ref="M325"/>
    <hyperlink r:id="rId344" ref="M326"/>
    <hyperlink r:id="rId345" ref="M327"/>
    <hyperlink r:id="rId346" ref="M328"/>
    <hyperlink r:id="rId347" ref="M329"/>
    <hyperlink r:id="rId348" ref="M330"/>
    <hyperlink r:id="rId349" ref="M331"/>
    <hyperlink r:id="rId350" ref="M332"/>
    <hyperlink r:id="rId351" ref="M333"/>
    <hyperlink r:id="rId352" ref="M334"/>
    <hyperlink r:id="rId353" ref="M335"/>
    <hyperlink r:id="rId354" ref="M336"/>
    <hyperlink r:id="rId355" ref="M337"/>
    <hyperlink r:id="rId356" ref="M338"/>
    <hyperlink r:id="rId357" ref="M339"/>
    <hyperlink r:id="rId358" ref="M340"/>
    <hyperlink r:id="rId359" ref="M341"/>
    <hyperlink r:id="rId360" ref="M342"/>
    <hyperlink r:id="rId361" ref="M343"/>
    <hyperlink r:id="rId362" ref="M344"/>
    <hyperlink r:id="rId363" ref="M345"/>
    <hyperlink r:id="rId364" ref="M346"/>
    <hyperlink r:id="rId365" ref="M347"/>
    <hyperlink r:id="rId366" ref="M348"/>
    <hyperlink r:id="rId367" ref="M349"/>
    <hyperlink r:id="rId368" ref="M350"/>
    <hyperlink r:id="rId369" ref="M351"/>
    <hyperlink r:id="rId370" ref="M352"/>
    <hyperlink r:id="rId371" ref="M353"/>
    <hyperlink r:id="rId372" ref="M354"/>
    <hyperlink r:id="rId373" ref="M355"/>
    <hyperlink r:id="rId374" ref="M356"/>
    <hyperlink r:id="rId375" ref="M357"/>
    <hyperlink r:id="rId376" ref="M358"/>
    <hyperlink r:id="rId377" ref="M359"/>
    <hyperlink r:id="rId378" ref="M360"/>
    <hyperlink r:id="rId379" ref="M361"/>
    <hyperlink r:id="rId380" ref="M362"/>
    <hyperlink r:id="rId381" ref="M363"/>
    <hyperlink r:id="rId382" ref="M364"/>
    <hyperlink r:id="rId383" ref="M365"/>
    <hyperlink r:id="rId384" ref="M366"/>
    <hyperlink r:id="rId385" ref="M367"/>
    <hyperlink r:id="rId386" ref="M368"/>
    <hyperlink r:id="rId387" ref="M369"/>
    <hyperlink r:id="rId388" ref="M370"/>
    <hyperlink r:id="rId389" ref="M371"/>
    <hyperlink r:id="rId390" ref="M372"/>
    <hyperlink r:id="rId391" ref="M373"/>
    <hyperlink r:id="rId392" ref="M374"/>
    <hyperlink r:id="rId393" ref="M375"/>
    <hyperlink r:id="rId394" ref="M376"/>
    <hyperlink r:id="rId395" ref="M377"/>
    <hyperlink r:id="rId396" ref="M378"/>
    <hyperlink r:id="rId397" ref="M379"/>
    <hyperlink r:id="rId398" ref="M380"/>
    <hyperlink r:id="rId399" ref="M381"/>
    <hyperlink r:id="rId400" ref="M382"/>
    <hyperlink r:id="rId401" ref="M383"/>
    <hyperlink r:id="rId402" ref="M384"/>
    <hyperlink r:id="rId403" ref="M385"/>
    <hyperlink r:id="rId404" ref="M386"/>
    <hyperlink r:id="rId405" ref="M387"/>
    <hyperlink r:id="rId406" ref="M388"/>
    <hyperlink r:id="rId407" ref="M389"/>
    <hyperlink r:id="rId408" ref="M390"/>
    <hyperlink r:id="rId409" ref="M391"/>
    <hyperlink r:id="rId410" ref="M392"/>
    <hyperlink r:id="rId411" ref="M393"/>
    <hyperlink r:id="rId412" ref="M394"/>
    <hyperlink r:id="rId413" ref="M395"/>
    <hyperlink r:id="rId414" ref="M396"/>
    <hyperlink r:id="rId415" ref="M397"/>
    <hyperlink r:id="rId416" ref="M398"/>
    <hyperlink r:id="rId417" ref="M399"/>
    <hyperlink r:id="rId418" ref="M400"/>
    <hyperlink r:id="rId419" ref="M401"/>
    <hyperlink r:id="rId420" ref="M402"/>
    <hyperlink r:id="rId421" ref="M403"/>
    <hyperlink r:id="rId422" ref="M404"/>
    <hyperlink r:id="rId423" ref="M405"/>
    <hyperlink r:id="rId424" ref="M406"/>
    <hyperlink r:id="rId425" ref="M407"/>
    <hyperlink r:id="rId426" ref="M408"/>
    <hyperlink r:id="rId427" ref="M409"/>
    <hyperlink r:id="rId428" ref="M410"/>
    <hyperlink r:id="rId429" ref="M411"/>
    <hyperlink r:id="rId430" ref="M412"/>
    <hyperlink r:id="rId431" ref="M413"/>
    <hyperlink r:id="rId432" ref="M414"/>
    <hyperlink r:id="rId433" ref="M415"/>
    <hyperlink r:id="rId434" ref="M416"/>
    <hyperlink r:id="rId435" ref="M417"/>
    <hyperlink r:id="rId436" ref="M418"/>
    <hyperlink r:id="rId437" ref="M419"/>
    <hyperlink r:id="rId438" ref="M420"/>
    <hyperlink r:id="rId439" ref="M421"/>
    <hyperlink r:id="rId440" ref="M422"/>
    <hyperlink r:id="rId441" ref="M423"/>
    <hyperlink r:id="rId442" ref="M424"/>
    <hyperlink r:id="rId443" ref="M425"/>
    <hyperlink r:id="rId444" ref="M426"/>
    <hyperlink r:id="rId445" ref="M427"/>
    <hyperlink r:id="rId446" ref="M428"/>
    <hyperlink r:id="rId447" ref="M429"/>
    <hyperlink r:id="rId448" ref="M430"/>
    <hyperlink r:id="rId449" ref="M431"/>
    <hyperlink r:id="rId450" ref="M432"/>
    <hyperlink r:id="rId451" ref="M433"/>
    <hyperlink r:id="rId452" ref="M434"/>
    <hyperlink r:id="rId453" ref="M435"/>
    <hyperlink r:id="rId454" ref="M436"/>
    <hyperlink r:id="rId455" ref="M437"/>
    <hyperlink r:id="rId456" ref="M438"/>
    <hyperlink r:id="rId457" ref="M439"/>
    <hyperlink r:id="rId458" ref="M440"/>
    <hyperlink r:id="rId459" ref="M441"/>
    <hyperlink r:id="rId460" ref="M442"/>
    <hyperlink r:id="rId461" ref="M443"/>
    <hyperlink r:id="rId462" ref="M444"/>
    <hyperlink r:id="rId463" ref="M445"/>
    <hyperlink r:id="rId464" ref="M446"/>
    <hyperlink r:id="rId465" ref="M447"/>
    <hyperlink r:id="rId466" ref="M448"/>
    <hyperlink r:id="rId467" ref="M449"/>
    <hyperlink r:id="rId468" ref="M450"/>
    <hyperlink r:id="rId469" ref="M451"/>
    <hyperlink r:id="rId470" ref="M452"/>
    <hyperlink r:id="rId471" ref="M453"/>
    <hyperlink r:id="rId472" ref="M454"/>
    <hyperlink r:id="rId473" ref="M455"/>
    <hyperlink r:id="rId474" ref="M456"/>
    <hyperlink r:id="rId475" ref="M457"/>
    <hyperlink r:id="rId476" ref="M458"/>
    <hyperlink r:id="rId477" ref="M459"/>
    <hyperlink r:id="rId478" ref="M460"/>
    <hyperlink r:id="rId479" ref="M461"/>
    <hyperlink r:id="rId480" ref="M462"/>
    <hyperlink r:id="rId481" ref="M463"/>
    <hyperlink r:id="rId482" ref="M464"/>
    <hyperlink r:id="rId483" ref="M465"/>
    <hyperlink r:id="rId484" ref="M466"/>
    <hyperlink r:id="rId485" ref="M467"/>
    <hyperlink r:id="rId486" ref="M468"/>
    <hyperlink r:id="rId487" ref="M469"/>
    <hyperlink r:id="rId488" ref="M470"/>
    <hyperlink r:id="rId489" ref="M471"/>
    <hyperlink r:id="rId490" ref="M472"/>
    <hyperlink r:id="rId491" ref="M473"/>
    <hyperlink r:id="rId492" ref="M474"/>
    <hyperlink r:id="rId493" ref="M475"/>
    <hyperlink r:id="rId494" ref="M476"/>
    <hyperlink r:id="rId495" ref="M477"/>
    <hyperlink r:id="rId496" ref="M478"/>
    <hyperlink r:id="rId497" ref="M479"/>
    <hyperlink r:id="rId498" ref="M480"/>
    <hyperlink r:id="rId499" ref="M481"/>
    <hyperlink r:id="rId500" ref="M482"/>
    <hyperlink r:id="rId501" ref="M483"/>
    <hyperlink r:id="rId502" ref="M484"/>
    <hyperlink r:id="rId503" ref="M485"/>
    <hyperlink r:id="rId504" ref="M486"/>
    <hyperlink r:id="rId505" ref="M487"/>
    <hyperlink r:id="rId506" ref="M488"/>
    <hyperlink r:id="rId507" ref="M489"/>
    <hyperlink r:id="rId508" ref="M490"/>
    <hyperlink r:id="rId509" ref="M491"/>
    <hyperlink r:id="rId510" ref="M492"/>
    <hyperlink r:id="rId511" ref="M493"/>
    <hyperlink r:id="rId512" ref="M494"/>
    <hyperlink r:id="rId513" ref="M495"/>
    <hyperlink r:id="rId514" ref="M496"/>
    <hyperlink r:id="rId515" ref="M497"/>
    <hyperlink r:id="rId516" ref="M498"/>
    <hyperlink r:id="rId517" ref="M499"/>
    <hyperlink r:id="rId518" ref="M500"/>
    <hyperlink r:id="rId519" ref="M501"/>
    <hyperlink r:id="rId520" ref="M502"/>
    <hyperlink r:id="rId521" ref="M503"/>
    <hyperlink r:id="rId522" ref="M504"/>
    <hyperlink r:id="rId523" ref="M505"/>
    <hyperlink r:id="rId524" ref="M506"/>
    <hyperlink r:id="rId525" ref="M507"/>
    <hyperlink r:id="rId526" ref="M508"/>
    <hyperlink r:id="rId527" ref="M509"/>
    <hyperlink r:id="rId528" ref="M510"/>
    <hyperlink r:id="rId529" ref="M511"/>
    <hyperlink r:id="rId530" ref="M512"/>
    <hyperlink r:id="rId531" ref="M513"/>
    <hyperlink r:id="rId532" ref="M514"/>
    <hyperlink r:id="rId533" ref="M515"/>
    <hyperlink r:id="rId534" ref="M516"/>
    <hyperlink r:id="rId535" ref="M517"/>
    <hyperlink r:id="rId536" ref="M518"/>
    <hyperlink r:id="rId537" ref="M519"/>
    <hyperlink r:id="rId538" ref="M520"/>
    <hyperlink r:id="rId539" ref="M521"/>
    <hyperlink r:id="rId540" ref="M522"/>
    <hyperlink r:id="rId541" ref="M523"/>
    <hyperlink r:id="rId542" ref="M524"/>
    <hyperlink r:id="rId543" ref="M525"/>
    <hyperlink r:id="rId544" ref="M526"/>
    <hyperlink r:id="rId545" ref="M527"/>
    <hyperlink r:id="rId546" ref="M528"/>
    <hyperlink r:id="rId547" ref="M529"/>
    <hyperlink r:id="rId548" ref="M530"/>
    <hyperlink r:id="rId549" ref="M531"/>
    <hyperlink r:id="rId550" ref="M532"/>
    <hyperlink r:id="rId551" ref="M533"/>
    <hyperlink r:id="rId552" ref="M534"/>
    <hyperlink r:id="rId553" ref="M535"/>
    <hyperlink r:id="rId554" ref="M536"/>
    <hyperlink r:id="rId555" ref="M537"/>
    <hyperlink r:id="rId556" ref="M538"/>
    <hyperlink r:id="rId557" ref="M539"/>
    <hyperlink r:id="rId558" ref="M540"/>
    <hyperlink r:id="rId559" ref="M541"/>
    <hyperlink r:id="rId560" ref="M542"/>
    <hyperlink r:id="rId561" ref="M543"/>
    <hyperlink r:id="rId562" ref="M544"/>
    <hyperlink r:id="rId563" ref="M545"/>
    <hyperlink r:id="rId564" ref="M546"/>
    <hyperlink r:id="rId565" ref="M547"/>
    <hyperlink r:id="rId566" ref="M548"/>
    <hyperlink r:id="rId567" ref="M549"/>
    <hyperlink r:id="rId568" ref="M550"/>
    <hyperlink r:id="rId569" ref="M551"/>
    <hyperlink r:id="rId570" ref="M552"/>
    <hyperlink r:id="rId571" ref="M553"/>
    <hyperlink r:id="rId572" ref="M554"/>
    <hyperlink r:id="rId573" ref="M555"/>
    <hyperlink r:id="rId574" ref="M556"/>
    <hyperlink r:id="rId575" ref="M557"/>
    <hyperlink r:id="rId576" ref="M558"/>
    <hyperlink r:id="rId577" ref="M559"/>
    <hyperlink r:id="rId578" ref="M560"/>
    <hyperlink r:id="rId579" ref="M561"/>
    <hyperlink r:id="rId580" ref="M562"/>
    <hyperlink r:id="rId581" ref="M563"/>
    <hyperlink r:id="rId582" ref="M564"/>
    <hyperlink r:id="rId583" ref="M565"/>
    <hyperlink r:id="rId584" ref="M566"/>
    <hyperlink r:id="rId585" ref="M567"/>
    <hyperlink r:id="rId586" ref="M568"/>
    <hyperlink r:id="rId587" ref="M569"/>
    <hyperlink r:id="rId588" ref="M570"/>
    <hyperlink r:id="rId589" ref="M571"/>
    <hyperlink r:id="rId590" ref="M572"/>
    <hyperlink r:id="rId591" ref="M573"/>
    <hyperlink r:id="rId592" ref="M574"/>
    <hyperlink r:id="rId593" ref="M575"/>
    <hyperlink r:id="rId594" ref="M576"/>
    <hyperlink r:id="rId595" ref="M577"/>
    <hyperlink r:id="rId596" ref="M578"/>
    <hyperlink r:id="rId597" ref="M579"/>
    <hyperlink r:id="rId598" ref="M580"/>
    <hyperlink r:id="rId599" ref="M581"/>
    <hyperlink r:id="rId600" ref="M582"/>
    <hyperlink r:id="rId601" ref="M583"/>
    <hyperlink r:id="rId602" ref="M584"/>
    <hyperlink r:id="rId603" ref="M585"/>
    <hyperlink r:id="rId604" ref="M586"/>
    <hyperlink r:id="rId605" ref="M587"/>
    <hyperlink r:id="rId606" ref="M588"/>
    <hyperlink r:id="rId607" ref="M589"/>
    <hyperlink r:id="rId608" ref="M590"/>
    <hyperlink r:id="rId609" ref="M591"/>
    <hyperlink r:id="rId610" ref="M592"/>
    <hyperlink r:id="rId611" ref="M593"/>
    <hyperlink r:id="rId612" ref="M594"/>
    <hyperlink r:id="rId613" ref="M595"/>
    <hyperlink r:id="rId614" ref="M596"/>
    <hyperlink r:id="rId615" ref="M597"/>
    <hyperlink r:id="rId616" ref="M598"/>
    <hyperlink r:id="rId617" ref="M599"/>
    <hyperlink r:id="rId618" ref="M600"/>
    <hyperlink r:id="rId619" ref="M601"/>
    <hyperlink r:id="rId620" ref="M602"/>
    <hyperlink r:id="rId621" ref="M603"/>
    <hyperlink r:id="rId622" ref="M604"/>
    <hyperlink r:id="rId623" ref="M605"/>
    <hyperlink r:id="rId624" ref="M606"/>
    <hyperlink r:id="rId625" ref="M607"/>
    <hyperlink r:id="rId626" ref="M608"/>
    <hyperlink r:id="rId627" ref="M609"/>
    <hyperlink r:id="rId628" ref="M610"/>
    <hyperlink r:id="rId629" ref="M611"/>
    <hyperlink r:id="rId630" ref="M612"/>
    <hyperlink r:id="rId631" ref="M613"/>
    <hyperlink r:id="rId632" ref="M614"/>
    <hyperlink r:id="rId633" ref="M615"/>
    <hyperlink r:id="rId634" ref="M616"/>
    <hyperlink r:id="rId635" ref="M617"/>
    <hyperlink r:id="rId636" ref="M618"/>
    <hyperlink r:id="rId637" ref="M619"/>
    <hyperlink r:id="rId638" ref="M620"/>
    <hyperlink r:id="rId639" ref="M621"/>
    <hyperlink r:id="rId640" ref="M622"/>
    <hyperlink r:id="rId641" ref="M623"/>
    <hyperlink r:id="rId642" ref="M624"/>
    <hyperlink r:id="rId643" ref="M625"/>
    <hyperlink r:id="rId644" ref="M626"/>
    <hyperlink r:id="rId645" ref="M627"/>
    <hyperlink r:id="rId646" ref="M628"/>
    <hyperlink r:id="rId647" ref="M629"/>
    <hyperlink r:id="rId648" ref="M630"/>
    <hyperlink r:id="rId649" ref="M631"/>
    <hyperlink r:id="rId650" ref="M632"/>
    <hyperlink r:id="rId651" ref="M633"/>
    <hyperlink r:id="rId652" ref="M634"/>
    <hyperlink r:id="rId653" ref="M635"/>
    <hyperlink r:id="rId654" ref="M636"/>
    <hyperlink r:id="rId655" ref="M637"/>
    <hyperlink r:id="rId656" ref="M638"/>
    <hyperlink r:id="rId657" ref="M639"/>
    <hyperlink r:id="rId658" ref="M640"/>
    <hyperlink r:id="rId659" ref="M641"/>
    <hyperlink r:id="rId660" ref="M642"/>
    <hyperlink r:id="rId661" ref="M643"/>
    <hyperlink r:id="rId662" ref="M644"/>
    <hyperlink r:id="rId663" ref="M645"/>
    <hyperlink r:id="rId664" ref="M646"/>
    <hyperlink r:id="rId665" ref="M647"/>
    <hyperlink r:id="rId666" ref="M648"/>
    <hyperlink r:id="rId667" ref="M649"/>
    <hyperlink r:id="rId668" ref="M650"/>
    <hyperlink r:id="rId669" ref="M651"/>
    <hyperlink r:id="rId670" ref="M652"/>
    <hyperlink r:id="rId671" ref="M653"/>
    <hyperlink r:id="rId672" ref="M654"/>
    <hyperlink r:id="rId673" ref="M655"/>
    <hyperlink r:id="rId674" ref="M656"/>
    <hyperlink r:id="rId675" ref="M657"/>
    <hyperlink r:id="rId676" ref="M658"/>
    <hyperlink r:id="rId677" ref="M659"/>
    <hyperlink r:id="rId678" ref="M660"/>
    <hyperlink r:id="rId679" ref="M661"/>
    <hyperlink r:id="rId680" ref="M662"/>
    <hyperlink r:id="rId681" ref="M663"/>
    <hyperlink r:id="rId682" ref="M664"/>
    <hyperlink r:id="rId683" ref="M665"/>
    <hyperlink r:id="rId684" ref="M666"/>
    <hyperlink r:id="rId685" ref="M667"/>
    <hyperlink r:id="rId686" ref="M668"/>
    <hyperlink r:id="rId687" ref="M669"/>
    <hyperlink r:id="rId688" ref="M670"/>
    <hyperlink r:id="rId689" ref="M671"/>
    <hyperlink r:id="rId690" ref="M672"/>
    <hyperlink r:id="rId691" ref="M673"/>
    <hyperlink r:id="rId692" ref="M674"/>
    <hyperlink r:id="rId693" ref="M675"/>
    <hyperlink r:id="rId694" ref="M676"/>
    <hyperlink r:id="rId695" ref="M677"/>
    <hyperlink r:id="rId696" ref="M678"/>
    <hyperlink r:id="rId697" ref="M679"/>
    <hyperlink r:id="rId698" ref="M680"/>
    <hyperlink r:id="rId699" ref="M681"/>
    <hyperlink r:id="rId700" ref="M682"/>
    <hyperlink r:id="rId701" ref="M683"/>
    <hyperlink r:id="rId702" ref="M684"/>
    <hyperlink r:id="rId703" ref="M685"/>
    <hyperlink r:id="rId704" ref="M686"/>
    <hyperlink r:id="rId705" ref="M687"/>
    <hyperlink r:id="rId706" ref="M688"/>
    <hyperlink r:id="rId707" ref="M689"/>
    <hyperlink r:id="rId708" ref="M690"/>
    <hyperlink r:id="rId709" ref="M691"/>
    <hyperlink r:id="rId710" ref="M692"/>
    <hyperlink r:id="rId711" ref="M693"/>
    <hyperlink r:id="rId712" ref="M694"/>
    <hyperlink r:id="rId713" ref="M695"/>
    <hyperlink r:id="rId714" ref="M696"/>
    <hyperlink r:id="rId715" ref="M697"/>
    <hyperlink r:id="rId716" ref="M698"/>
    <hyperlink r:id="rId717" ref="M699"/>
    <hyperlink r:id="rId718" ref="M700"/>
    <hyperlink r:id="rId719" ref="M701"/>
    <hyperlink r:id="rId720" ref="M702"/>
    <hyperlink r:id="rId721" ref="M703"/>
    <hyperlink r:id="rId722" ref="M704"/>
    <hyperlink r:id="rId723" ref="M705"/>
    <hyperlink r:id="rId724" ref="M706"/>
    <hyperlink r:id="rId725" ref="M707"/>
    <hyperlink r:id="rId726" ref="M708"/>
    <hyperlink r:id="rId727" ref="M709"/>
    <hyperlink r:id="rId728" ref="M710"/>
    <hyperlink r:id="rId729" ref="M711"/>
    <hyperlink r:id="rId730" ref="M712"/>
    <hyperlink r:id="rId731" ref="M713"/>
    <hyperlink r:id="rId732" ref="M714"/>
    <hyperlink r:id="rId733" ref="M715"/>
    <hyperlink r:id="rId734" ref="M716"/>
    <hyperlink r:id="rId735" ref="M717"/>
    <hyperlink r:id="rId736" ref="M718"/>
    <hyperlink r:id="rId737" ref="M719"/>
    <hyperlink r:id="rId738" ref="M720"/>
    <hyperlink r:id="rId739" ref="M721"/>
    <hyperlink r:id="rId740" ref="M722"/>
    <hyperlink r:id="rId741" ref="M723"/>
    <hyperlink r:id="rId742" ref="M724"/>
    <hyperlink r:id="rId743" ref="M725"/>
    <hyperlink r:id="rId744" ref="M726"/>
    <hyperlink r:id="rId745" ref="M727"/>
    <hyperlink r:id="rId746" ref="M728"/>
    <hyperlink r:id="rId747" ref="M729"/>
    <hyperlink r:id="rId748" ref="M730"/>
    <hyperlink r:id="rId749" ref="M731"/>
    <hyperlink r:id="rId750" ref="M732"/>
    <hyperlink r:id="rId751" ref="M733"/>
    <hyperlink r:id="rId752" ref="M734"/>
    <hyperlink r:id="rId753" ref="M735"/>
    <hyperlink r:id="rId754" ref="M736"/>
    <hyperlink r:id="rId755" ref="M737"/>
    <hyperlink r:id="rId756" ref="M738"/>
    <hyperlink r:id="rId757" ref="M739"/>
    <hyperlink r:id="rId758" ref="M740"/>
    <hyperlink r:id="rId759" ref="M741"/>
    <hyperlink r:id="rId760" ref="M742"/>
    <hyperlink r:id="rId761" ref="M743"/>
    <hyperlink r:id="rId762" ref="M744"/>
    <hyperlink r:id="rId763" ref="M745"/>
    <hyperlink r:id="rId764" ref="M746"/>
    <hyperlink r:id="rId765" ref="M747"/>
    <hyperlink r:id="rId766" ref="M748"/>
    <hyperlink r:id="rId767" ref="M749"/>
    <hyperlink r:id="rId768" ref="M750"/>
    <hyperlink r:id="rId769" ref="M751"/>
    <hyperlink r:id="rId770" ref="M752"/>
    <hyperlink r:id="rId771" ref="M753"/>
    <hyperlink r:id="rId772" ref="M754"/>
    <hyperlink r:id="rId773" ref="M755"/>
    <hyperlink r:id="rId774" ref="M756"/>
    <hyperlink r:id="rId775" ref="M757"/>
    <hyperlink r:id="rId776" ref="M758"/>
    <hyperlink r:id="rId777" ref="M759"/>
    <hyperlink r:id="rId778" ref="M760"/>
    <hyperlink r:id="rId779" ref="M761"/>
    <hyperlink r:id="rId780" ref="M762"/>
    <hyperlink r:id="rId781" ref="M763"/>
    <hyperlink r:id="rId782" ref="M764"/>
    <hyperlink r:id="rId783" ref="M765"/>
    <hyperlink r:id="rId784" ref="M766"/>
    <hyperlink r:id="rId785" ref="M767"/>
    <hyperlink r:id="rId786" ref="M768"/>
    <hyperlink r:id="rId787" ref="M769"/>
    <hyperlink r:id="rId788" ref="M770"/>
    <hyperlink r:id="rId789" ref="M771"/>
    <hyperlink r:id="rId790" ref="M772"/>
    <hyperlink r:id="rId791" ref="M773"/>
    <hyperlink r:id="rId792" ref="M774"/>
    <hyperlink r:id="rId793" ref="M775"/>
    <hyperlink r:id="rId794" ref="M776"/>
    <hyperlink r:id="rId795" ref="M777"/>
    <hyperlink r:id="rId796" ref="M778"/>
    <hyperlink r:id="rId797" ref="M779"/>
    <hyperlink r:id="rId798" ref="M780"/>
    <hyperlink r:id="rId799" ref="M781"/>
    <hyperlink r:id="rId800" ref="M782"/>
    <hyperlink r:id="rId801" ref="M783"/>
    <hyperlink r:id="rId802" ref="M784"/>
    <hyperlink r:id="rId803" ref="M785"/>
    <hyperlink r:id="rId804" ref="M786"/>
    <hyperlink r:id="rId805" ref="M787"/>
    <hyperlink r:id="rId806" ref="M788"/>
    <hyperlink r:id="rId807" ref="M789"/>
    <hyperlink r:id="rId808" ref="M790"/>
    <hyperlink r:id="rId809" ref="M791"/>
    <hyperlink r:id="rId810" ref="M792"/>
    <hyperlink r:id="rId811" ref="M793"/>
    <hyperlink r:id="rId812" ref="M794"/>
    <hyperlink r:id="rId813" ref="M795"/>
    <hyperlink r:id="rId814" ref="M796"/>
    <hyperlink r:id="rId815" ref="M797"/>
    <hyperlink r:id="rId816" ref="M798"/>
    <hyperlink r:id="rId817" ref="M799"/>
    <hyperlink r:id="rId818" ref="M800"/>
    <hyperlink r:id="rId819" ref="M801"/>
    <hyperlink r:id="rId820" ref="M802"/>
    <hyperlink r:id="rId821" ref="M803"/>
    <hyperlink r:id="rId822" ref="M804"/>
    <hyperlink r:id="rId823" ref="M805"/>
    <hyperlink r:id="rId824" ref="M806"/>
    <hyperlink r:id="rId825" ref="M807"/>
    <hyperlink r:id="rId826" ref="M808"/>
    <hyperlink r:id="rId827" ref="M809"/>
    <hyperlink r:id="rId828" ref="M810"/>
    <hyperlink r:id="rId829" ref="M811"/>
    <hyperlink r:id="rId830" ref="M812"/>
    <hyperlink r:id="rId831" ref="M813"/>
    <hyperlink r:id="rId832" ref="M814"/>
    <hyperlink r:id="rId833" ref="M815"/>
    <hyperlink r:id="rId834" ref="M822"/>
    <hyperlink r:id="rId835" ref="M823"/>
    <hyperlink r:id="rId836" ref="M824"/>
    <hyperlink r:id="rId837" ref="M825"/>
    <hyperlink r:id="rId838" ref="M826"/>
    <hyperlink r:id="rId839" ref="M827"/>
    <hyperlink r:id="rId840" ref="M828"/>
    <hyperlink r:id="rId841" ref="M829"/>
    <hyperlink r:id="rId842" ref="M830"/>
    <hyperlink r:id="rId843" ref="M831"/>
    <hyperlink r:id="rId844" ref="M832"/>
    <hyperlink r:id="rId845" ref="M833"/>
    <hyperlink r:id="rId846" ref="M834"/>
    <hyperlink r:id="rId847" ref="M835"/>
    <hyperlink r:id="rId848" ref="M836"/>
    <hyperlink r:id="rId849" ref="M837"/>
    <hyperlink r:id="rId850" ref="M838"/>
    <hyperlink r:id="rId851" ref="M839"/>
    <hyperlink r:id="rId852" ref="M840"/>
    <hyperlink r:id="rId853" ref="M841"/>
    <hyperlink r:id="rId854" ref="M842"/>
    <hyperlink r:id="rId855" ref="M843"/>
    <hyperlink r:id="rId856" ref="M844"/>
    <hyperlink r:id="rId857" ref="M845"/>
    <hyperlink r:id="rId858" ref="M846"/>
    <hyperlink r:id="rId859" ref="M847"/>
    <hyperlink r:id="rId860" ref="M848"/>
    <hyperlink r:id="rId861" ref="M849"/>
    <hyperlink r:id="rId862" ref="M850"/>
    <hyperlink r:id="rId863" ref="M851"/>
    <hyperlink r:id="rId864" ref="M852"/>
    <hyperlink r:id="rId865" ref="M853"/>
    <hyperlink r:id="rId866" ref="M854"/>
    <hyperlink r:id="rId867" ref="M855"/>
    <hyperlink r:id="rId868" ref="M856"/>
    <hyperlink r:id="rId869" ref="M857"/>
    <hyperlink r:id="rId870" ref="M858"/>
    <hyperlink r:id="rId871" ref="M859"/>
    <hyperlink r:id="rId872" ref="M860"/>
    <hyperlink r:id="rId873" ref="M861"/>
    <hyperlink r:id="rId874" ref="M862"/>
    <hyperlink r:id="rId875" ref="M863"/>
    <hyperlink r:id="rId876" ref="M864"/>
    <hyperlink r:id="rId877" ref="M865"/>
    <hyperlink r:id="rId878" ref="M866"/>
    <hyperlink r:id="rId879" ref="M867"/>
    <hyperlink r:id="rId880" ref="M868"/>
    <hyperlink r:id="rId881" ref="M869"/>
    <hyperlink r:id="rId882" ref="M870"/>
    <hyperlink r:id="rId883" ref="M871"/>
    <hyperlink r:id="rId884" ref="M872"/>
    <hyperlink r:id="rId885" ref="M873"/>
    <hyperlink r:id="rId886" ref="M874"/>
    <hyperlink r:id="rId887" ref="M875"/>
    <hyperlink r:id="rId888" ref="M876"/>
    <hyperlink r:id="rId889" ref="M877"/>
    <hyperlink r:id="rId890" ref="M878"/>
    <hyperlink r:id="rId891" ref="M879"/>
    <hyperlink r:id="rId892" ref="M880"/>
    <hyperlink r:id="rId893" ref="M881"/>
    <hyperlink r:id="rId894" ref="M882"/>
    <hyperlink r:id="rId895" ref="M883"/>
    <hyperlink r:id="rId896" ref="N883"/>
    <hyperlink r:id="rId897" ref="M884"/>
    <hyperlink r:id="rId898" ref="N884"/>
    <hyperlink r:id="rId899" ref="M885"/>
    <hyperlink r:id="rId900" ref="N885"/>
    <hyperlink r:id="rId901" ref="M886"/>
    <hyperlink r:id="rId902" ref="N886"/>
    <hyperlink r:id="rId903" ref="M887"/>
    <hyperlink r:id="rId904" ref="N887"/>
    <hyperlink r:id="rId905" ref="M888"/>
    <hyperlink r:id="rId906" ref="N888"/>
    <hyperlink r:id="rId907" ref="M889"/>
    <hyperlink r:id="rId908" ref="N889"/>
    <hyperlink r:id="rId909" ref="M890"/>
    <hyperlink r:id="rId910" ref="M891"/>
    <hyperlink r:id="rId911" ref="M892"/>
    <hyperlink r:id="rId912" ref="M893"/>
    <hyperlink r:id="rId913" ref="M894"/>
    <hyperlink r:id="rId914" ref="M895"/>
    <hyperlink r:id="rId915" ref="M896"/>
    <hyperlink r:id="rId916" ref="M897"/>
    <hyperlink r:id="rId917" ref="M898"/>
    <hyperlink r:id="rId918" ref="M899"/>
    <hyperlink r:id="rId919" ref="M900"/>
    <hyperlink r:id="rId920" ref="M901"/>
    <hyperlink r:id="rId921" ref="M902"/>
    <hyperlink r:id="rId922" ref="M903"/>
    <hyperlink r:id="rId923" ref="M904"/>
    <hyperlink r:id="rId924" ref="M905"/>
    <hyperlink r:id="rId925" ref="M906"/>
    <hyperlink r:id="rId926" ref="M907"/>
    <hyperlink r:id="rId927" ref="M908"/>
    <hyperlink r:id="rId928" ref="M909"/>
    <hyperlink r:id="rId929" ref="M910"/>
    <hyperlink r:id="rId930" ref="M911"/>
    <hyperlink r:id="rId931" ref="M912"/>
    <hyperlink r:id="rId932" ref="M913"/>
    <hyperlink r:id="rId933" ref="M914"/>
    <hyperlink r:id="rId934" ref="M915"/>
    <hyperlink r:id="rId935" ref="M916"/>
    <hyperlink r:id="rId936" ref="M917"/>
    <hyperlink r:id="rId937" ref="M918"/>
    <hyperlink r:id="rId938" ref="M919"/>
    <hyperlink r:id="rId939" ref="M920"/>
    <hyperlink r:id="rId940" ref="M921"/>
    <hyperlink r:id="rId941" ref="M922"/>
    <hyperlink r:id="rId942" ref="M923"/>
    <hyperlink r:id="rId943" ref="M924"/>
    <hyperlink r:id="rId944" ref="M925"/>
    <hyperlink r:id="rId945" ref="M926"/>
    <hyperlink r:id="rId946" ref="M927"/>
    <hyperlink r:id="rId947" ref="M928"/>
    <hyperlink r:id="rId948" ref="M929"/>
    <hyperlink r:id="rId949" ref="M930"/>
    <hyperlink r:id="rId950" ref="M931"/>
    <hyperlink r:id="rId951" ref="M932"/>
    <hyperlink r:id="rId952" ref="M933"/>
    <hyperlink r:id="rId953" ref="M934"/>
    <hyperlink r:id="rId954" ref="M935"/>
    <hyperlink r:id="rId955" ref="M936"/>
    <hyperlink r:id="rId956" ref="M937"/>
    <hyperlink r:id="rId957" ref="M938"/>
    <hyperlink r:id="rId958" ref="M939"/>
    <hyperlink r:id="rId959" ref="M940"/>
    <hyperlink r:id="rId960" ref="M941"/>
    <hyperlink r:id="rId961" ref="M942"/>
    <hyperlink r:id="rId962" ref="M943"/>
    <hyperlink r:id="rId963" ref="M944"/>
    <hyperlink r:id="rId964" ref="M945"/>
    <hyperlink r:id="rId965" ref="M946"/>
    <hyperlink r:id="rId966" ref="M947"/>
    <hyperlink r:id="rId967" ref="M948"/>
    <hyperlink r:id="rId968" ref="M949"/>
    <hyperlink r:id="rId969" ref="M950"/>
    <hyperlink r:id="rId970" ref="M951"/>
    <hyperlink r:id="rId971" ref="M952"/>
    <hyperlink r:id="rId972" ref="M953"/>
    <hyperlink r:id="rId973" ref="M954"/>
    <hyperlink r:id="rId974" ref="M955"/>
    <hyperlink r:id="rId975" ref="M956"/>
    <hyperlink r:id="rId976" ref="M957"/>
    <hyperlink r:id="rId977" ref="M958"/>
    <hyperlink r:id="rId978" ref="M959"/>
    <hyperlink r:id="rId979" ref="M960"/>
    <hyperlink r:id="rId980" ref="M961"/>
    <hyperlink r:id="rId981" ref="M962"/>
    <hyperlink r:id="rId982" ref="M963"/>
    <hyperlink r:id="rId983" ref="M964"/>
    <hyperlink r:id="rId984" ref="M965"/>
    <hyperlink r:id="rId985" ref="M966"/>
    <hyperlink r:id="rId986" ref="M967"/>
    <hyperlink r:id="rId987" ref="M968"/>
    <hyperlink r:id="rId988" ref="M969"/>
    <hyperlink r:id="rId989" ref="M970"/>
    <hyperlink r:id="rId990" ref="M971"/>
    <hyperlink r:id="rId991" ref="M972"/>
    <hyperlink r:id="rId992" ref="M973"/>
    <hyperlink r:id="rId993" ref="M974"/>
    <hyperlink r:id="rId994" ref="M975"/>
    <hyperlink r:id="rId995" ref="M976"/>
    <hyperlink r:id="rId996" ref="M977"/>
    <hyperlink r:id="rId997" ref="M978"/>
    <hyperlink r:id="rId998" ref="M979"/>
    <hyperlink r:id="rId999" ref="M980"/>
    <hyperlink r:id="rId1000" ref="M981"/>
    <hyperlink r:id="rId1001" ref="M982"/>
    <hyperlink r:id="rId1002" ref="M983"/>
    <hyperlink r:id="rId1003" ref="M984"/>
    <hyperlink r:id="rId1004" ref="M985"/>
    <hyperlink r:id="rId1005" ref="M986"/>
    <hyperlink r:id="rId1006" ref="M987"/>
    <hyperlink r:id="rId1007" ref="M988"/>
    <hyperlink r:id="rId1008" ref="M989"/>
    <hyperlink r:id="rId1009" ref="M990"/>
    <hyperlink r:id="rId1010" ref="M991"/>
    <hyperlink r:id="rId1011" ref="M992"/>
    <hyperlink r:id="rId1012" ref="M993"/>
    <hyperlink r:id="rId1013" ref="M994"/>
    <hyperlink r:id="rId1014" ref="M995"/>
    <hyperlink r:id="rId1015" ref="M996"/>
    <hyperlink r:id="rId1016" ref="M997"/>
    <hyperlink r:id="rId1017" ref="M998"/>
    <hyperlink r:id="rId1018" ref="M999"/>
    <hyperlink r:id="rId1019" ref="M1000"/>
    <hyperlink r:id="rId1020" ref="M1001"/>
    <hyperlink r:id="rId1021" ref="M1002"/>
    <hyperlink r:id="rId1022" ref="M1003"/>
    <hyperlink r:id="rId1023" ref="M1004"/>
    <hyperlink r:id="rId1024" ref="M1005"/>
    <hyperlink r:id="rId1025" ref="M1006"/>
    <hyperlink r:id="rId1026" ref="M1007"/>
    <hyperlink r:id="rId1027" ref="M1008"/>
    <hyperlink r:id="rId1028" ref="M1009"/>
    <hyperlink r:id="rId1029" ref="M1010"/>
    <hyperlink r:id="rId1030" ref="M1011"/>
    <hyperlink r:id="rId1031" ref="M1012"/>
    <hyperlink r:id="rId1032" ref="M1013"/>
    <hyperlink r:id="rId1033" ref="M1014"/>
    <hyperlink r:id="rId1034" ref="M1015"/>
    <hyperlink r:id="rId1035" ref="M1016"/>
    <hyperlink r:id="rId1036" ref="M1017"/>
    <hyperlink r:id="rId1037" ref="M1018"/>
    <hyperlink r:id="rId1038" ref="M1019"/>
    <hyperlink r:id="rId1039" ref="M1020"/>
    <hyperlink r:id="rId1040" ref="M1021"/>
    <hyperlink r:id="rId1041" ref="M1022"/>
    <hyperlink r:id="rId1042" ref="M1023"/>
    <hyperlink r:id="rId1043" ref="M1024"/>
    <hyperlink r:id="rId1044" ref="M1025"/>
    <hyperlink r:id="rId1045" ref="M1026"/>
    <hyperlink r:id="rId1046" ref="M1027"/>
    <hyperlink r:id="rId1047" ref="M1028"/>
    <hyperlink r:id="rId1048" ref="M1029"/>
    <hyperlink r:id="rId1049" ref="M1030"/>
    <hyperlink r:id="rId1050" ref="M1031"/>
    <hyperlink r:id="rId1051" ref="M1032"/>
    <hyperlink r:id="rId1052" ref="M1033"/>
    <hyperlink r:id="rId1053" ref="M1034"/>
    <hyperlink r:id="rId1054" ref="M1035"/>
    <hyperlink r:id="rId1055" ref="M1036"/>
    <hyperlink r:id="rId1056" ref="M1037"/>
    <hyperlink r:id="rId1057" ref="M1038"/>
    <hyperlink r:id="rId1058" ref="M1039"/>
    <hyperlink r:id="rId1059" ref="M1040"/>
    <hyperlink r:id="rId1060" ref="M1041"/>
    <hyperlink r:id="rId1061" ref="M1042"/>
    <hyperlink r:id="rId1062" ref="M1043"/>
    <hyperlink r:id="rId1063" ref="M1044"/>
    <hyperlink r:id="rId1064" ref="M1045"/>
    <hyperlink r:id="rId1065" ref="M1046"/>
    <hyperlink r:id="rId1066" ref="M1047"/>
    <hyperlink r:id="rId1067" ref="M1048"/>
    <hyperlink r:id="rId1068" ref="M1049"/>
    <hyperlink r:id="rId1069" ref="M1050"/>
    <hyperlink r:id="rId1070" ref="M1051"/>
    <hyperlink r:id="rId1071" ref="M1052"/>
    <hyperlink r:id="rId1072" ref="M1053"/>
    <hyperlink r:id="rId1073" ref="M1054"/>
    <hyperlink r:id="rId1074" ref="M1055"/>
    <hyperlink r:id="rId1075" ref="M1056"/>
    <hyperlink r:id="rId1076" ref="M1057"/>
    <hyperlink r:id="rId1077" ref="M1058"/>
    <hyperlink r:id="rId1078" ref="M1059"/>
    <hyperlink r:id="rId1079" ref="M1060"/>
    <hyperlink r:id="rId1080" ref="M1061"/>
    <hyperlink r:id="rId1081" ref="M1062"/>
    <hyperlink r:id="rId1082" ref="M1063"/>
    <hyperlink r:id="rId1083" ref="M1064"/>
    <hyperlink r:id="rId1084" ref="M1065"/>
    <hyperlink r:id="rId1085" ref="M1066"/>
    <hyperlink r:id="rId1086" ref="M1067"/>
    <hyperlink r:id="rId1087" ref="M1068"/>
    <hyperlink r:id="rId1088" ref="M1069"/>
    <hyperlink r:id="rId1089" ref="M1070"/>
    <hyperlink r:id="rId1090" ref="M1071"/>
    <hyperlink r:id="rId1091" ref="M1072"/>
    <hyperlink r:id="rId1092" ref="M1073"/>
    <hyperlink r:id="rId1093" ref="M1074"/>
    <hyperlink r:id="rId1094" ref="M1075"/>
    <hyperlink r:id="rId1095" ref="M1076"/>
    <hyperlink r:id="rId1096" ref="M1077"/>
    <hyperlink r:id="rId1097" ref="M1078"/>
    <hyperlink r:id="rId1098" ref="M1079"/>
    <hyperlink r:id="rId1099" ref="M1080"/>
    <hyperlink r:id="rId1100" ref="M1081"/>
    <hyperlink r:id="rId1101" ref="M1082"/>
    <hyperlink r:id="rId1102" ref="M1083"/>
    <hyperlink r:id="rId1103" ref="M1084"/>
    <hyperlink r:id="rId1104" ref="M1085"/>
    <hyperlink r:id="rId1105" ref="M1086"/>
    <hyperlink r:id="rId1106" ref="M1087"/>
    <hyperlink r:id="rId1107" ref="M1088"/>
    <hyperlink r:id="rId1108" ref="M1089"/>
    <hyperlink r:id="rId1109" ref="M1090"/>
    <hyperlink r:id="rId1110" ref="M1091"/>
    <hyperlink r:id="rId1111" ref="M1092"/>
    <hyperlink r:id="rId1112" ref="M1093"/>
    <hyperlink r:id="rId1113" ref="M1094"/>
    <hyperlink r:id="rId1114" ref="M1095"/>
    <hyperlink r:id="rId1115" ref="M1096"/>
    <hyperlink r:id="rId1116" ref="M1097"/>
    <hyperlink r:id="rId1117" ref="M1098"/>
    <hyperlink r:id="rId1118" ref="M1099"/>
    <hyperlink r:id="rId1119" ref="M1100"/>
    <hyperlink r:id="rId1120" ref="M1101"/>
    <hyperlink r:id="rId1121" ref="M1102"/>
    <hyperlink r:id="rId1122" ref="M1103"/>
    <hyperlink r:id="rId1123" ref="M1104"/>
    <hyperlink r:id="rId1124" ref="M1105"/>
    <hyperlink r:id="rId1125" ref="M1106"/>
    <hyperlink r:id="rId1126" ref="M1107"/>
    <hyperlink r:id="rId1127" ref="M1108"/>
    <hyperlink r:id="rId1128" ref="M1109"/>
    <hyperlink r:id="rId1129" ref="M1110"/>
    <hyperlink r:id="rId1130" ref="M1111"/>
    <hyperlink r:id="rId1131" ref="M1112"/>
    <hyperlink r:id="rId1132" ref="M1113"/>
    <hyperlink r:id="rId1133" ref="M1114"/>
    <hyperlink r:id="rId1134" ref="M1115"/>
    <hyperlink r:id="rId1135" ref="M1116"/>
    <hyperlink r:id="rId1136" ref="M1117"/>
    <hyperlink r:id="rId1137" ref="M1118"/>
    <hyperlink r:id="rId1138" ref="M1119"/>
    <hyperlink r:id="rId1139" ref="M1120"/>
    <hyperlink r:id="rId1140" ref="M1121"/>
    <hyperlink r:id="rId1141" ref="M1122"/>
    <hyperlink r:id="rId1142" ref="M1123"/>
    <hyperlink r:id="rId1143" ref="M1124"/>
    <hyperlink r:id="rId1144" ref="M1125"/>
    <hyperlink r:id="rId1145" ref="M1126"/>
    <hyperlink r:id="rId1146" ref="M1127"/>
    <hyperlink r:id="rId1147" ref="M1128"/>
    <hyperlink r:id="rId1148" ref="M1129"/>
    <hyperlink r:id="rId1149" ref="M1130"/>
    <hyperlink r:id="rId1150" ref="M1131"/>
    <hyperlink r:id="rId1151" ref="M1132"/>
    <hyperlink r:id="rId1152" ref="M1133"/>
    <hyperlink r:id="rId1153" ref="M1134"/>
    <hyperlink r:id="rId1154" ref="M1135"/>
    <hyperlink r:id="rId1155" ref="M1136"/>
    <hyperlink r:id="rId1156" ref="M1137"/>
    <hyperlink r:id="rId1157" ref="M1138"/>
    <hyperlink r:id="rId1158" ref="M1139"/>
    <hyperlink r:id="rId1159" ref="M1140"/>
    <hyperlink r:id="rId1160" ref="M1141"/>
    <hyperlink r:id="rId1161" ref="M1142"/>
    <hyperlink r:id="rId1162" ref="M1143"/>
    <hyperlink r:id="rId1163" ref="M1144"/>
    <hyperlink r:id="rId1164" ref="M1145"/>
    <hyperlink r:id="rId1165" ref="M1146"/>
    <hyperlink r:id="rId1166" ref="M1147"/>
    <hyperlink r:id="rId1167" ref="M1148"/>
    <hyperlink r:id="rId1168" ref="M1149"/>
    <hyperlink r:id="rId1169" ref="M1150"/>
    <hyperlink r:id="rId1170" ref="M1151"/>
    <hyperlink r:id="rId1171" ref="M1152"/>
    <hyperlink r:id="rId1172" ref="M1153"/>
    <hyperlink r:id="rId1173" ref="M1154"/>
    <hyperlink r:id="rId1174" ref="M1155"/>
    <hyperlink r:id="rId1175" ref="M1156"/>
    <hyperlink r:id="rId1176" ref="M1157"/>
    <hyperlink r:id="rId1177" ref="M1158"/>
    <hyperlink r:id="rId1178" ref="M1159"/>
    <hyperlink r:id="rId1179" ref="M1160"/>
    <hyperlink r:id="rId1180" ref="M1161"/>
    <hyperlink r:id="rId1181" ref="M1162"/>
    <hyperlink r:id="rId1182" ref="M1163"/>
    <hyperlink r:id="rId1183" ref="M1164"/>
    <hyperlink r:id="rId1184" ref="M1165"/>
    <hyperlink r:id="rId1185" ref="M1166"/>
    <hyperlink r:id="rId1186" ref="M1167"/>
    <hyperlink r:id="rId1187" ref="M1168"/>
    <hyperlink r:id="rId1188" ref="M1169"/>
    <hyperlink r:id="rId1189" ref="M1170"/>
    <hyperlink r:id="rId1190" ref="M1171"/>
    <hyperlink r:id="rId1191" ref="M1172"/>
    <hyperlink r:id="rId1192" ref="M1173"/>
    <hyperlink r:id="rId1193" ref="M1174"/>
    <hyperlink r:id="rId1194" ref="M1175"/>
    <hyperlink r:id="rId1195" ref="M1176"/>
    <hyperlink r:id="rId1196" ref="M1177"/>
    <hyperlink r:id="rId1197" ref="M1178"/>
    <hyperlink r:id="rId1198" ref="M1179"/>
    <hyperlink r:id="rId1199" ref="M1180"/>
    <hyperlink r:id="rId1200" ref="M1181"/>
    <hyperlink r:id="rId1201" ref="M1182"/>
    <hyperlink r:id="rId1202" ref="M1183"/>
    <hyperlink r:id="rId1203" ref="M1184"/>
    <hyperlink r:id="rId1204" ref="M1185"/>
    <hyperlink r:id="rId1205" ref="M1186"/>
    <hyperlink r:id="rId1206" ref="M1187"/>
    <hyperlink r:id="rId1207" ref="M1188"/>
    <hyperlink r:id="rId1208" ref="M1189"/>
    <hyperlink r:id="rId1209" ref="M1190"/>
    <hyperlink r:id="rId1210" ref="M1191"/>
    <hyperlink r:id="rId1211" ref="M1192"/>
    <hyperlink r:id="rId1212" ref="M1193"/>
    <hyperlink r:id="rId1213" ref="M1194"/>
    <hyperlink r:id="rId1214" ref="M1195"/>
    <hyperlink r:id="rId1215" ref="M1196"/>
    <hyperlink r:id="rId1216" ref="M1197"/>
    <hyperlink r:id="rId1217" ref="M1198"/>
    <hyperlink r:id="rId1218" ref="M1199"/>
    <hyperlink r:id="rId1219" ref="M1200"/>
    <hyperlink r:id="rId1220" ref="M1201"/>
    <hyperlink r:id="rId1221" ref="M1202"/>
    <hyperlink r:id="rId1222" ref="M1203"/>
    <hyperlink r:id="rId1223" ref="M1204"/>
    <hyperlink r:id="rId1224" ref="M1205"/>
    <hyperlink r:id="rId1225" ref="M1206"/>
    <hyperlink r:id="rId1226" ref="M1207"/>
    <hyperlink r:id="rId1227" ref="M1208"/>
    <hyperlink r:id="rId1228" ref="M1209"/>
    <hyperlink r:id="rId1229" ref="M1210"/>
    <hyperlink r:id="rId1230" ref="M1211"/>
    <hyperlink r:id="rId1231" ref="M1212"/>
    <hyperlink r:id="rId1232" ref="M1213"/>
    <hyperlink r:id="rId1233" ref="M1214"/>
    <hyperlink r:id="rId1234" ref="M1215"/>
    <hyperlink r:id="rId1235" ref="M1216"/>
    <hyperlink r:id="rId1236" ref="M1217"/>
    <hyperlink r:id="rId1237" ref="M1218"/>
    <hyperlink r:id="rId1238" ref="M1219"/>
    <hyperlink r:id="rId1239" ref="M1220"/>
    <hyperlink r:id="rId1240" ref="M1221"/>
    <hyperlink r:id="rId1241" ref="M1222"/>
    <hyperlink r:id="rId1242" ref="M1223"/>
    <hyperlink r:id="rId1243" ref="M1224"/>
    <hyperlink r:id="rId1244" ref="M1225"/>
    <hyperlink r:id="rId1245" ref="M1226"/>
    <hyperlink r:id="rId1246" ref="M1227"/>
    <hyperlink r:id="rId1247" ref="M1228"/>
    <hyperlink r:id="rId1248" ref="M1229"/>
    <hyperlink r:id="rId1249" ref="M1230"/>
    <hyperlink r:id="rId1250" ref="M1231"/>
    <hyperlink r:id="rId1251" ref="M1232"/>
    <hyperlink r:id="rId1252" ref="M1233"/>
    <hyperlink r:id="rId1253" ref="M1234"/>
    <hyperlink r:id="rId1254" ref="M1235"/>
    <hyperlink r:id="rId1255" ref="M1236"/>
    <hyperlink r:id="rId1256" ref="M1237"/>
    <hyperlink r:id="rId1257" ref="M1238"/>
    <hyperlink r:id="rId1258" ref="M1239"/>
    <hyperlink r:id="rId1259" ref="M1240"/>
    <hyperlink r:id="rId1260" ref="M1241"/>
    <hyperlink r:id="rId1261" ref="M1242"/>
    <hyperlink r:id="rId1262" ref="M1243"/>
    <hyperlink r:id="rId1263" ref="M1244"/>
    <hyperlink r:id="rId1264" ref="M1245"/>
    <hyperlink r:id="rId1265" ref="M1246"/>
    <hyperlink r:id="rId1266" ref="M1247"/>
    <hyperlink r:id="rId1267" ref="M1248"/>
    <hyperlink r:id="rId1268" ref="M1249"/>
    <hyperlink r:id="rId1269" ref="M1250"/>
    <hyperlink r:id="rId1270" ref="M1251"/>
    <hyperlink r:id="rId1271" ref="M1252"/>
    <hyperlink r:id="rId1272" ref="M1253"/>
    <hyperlink r:id="rId1273" ref="M1254"/>
    <hyperlink r:id="rId1274" ref="M1255"/>
    <hyperlink r:id="rId1275" ref="M1256"/>
    <hyperlink r:id="rId1276" ref="M1257"/>
    <hyperlink r:id="rId1277" ref="M1258"/>
    <hyperlink r:id="rId1278" ref="M1259"/>
    <hyperlink r:id="rId1279" ref="M1260"/>
    <hyperlink r:id="rId1280" ref="M1261"/>
    <hyperlink r:id="rId1281" ref="M1262"/>
    <hyperlink r:id="rId1282" ref="M1263"/>
    <hyperlink r:id="rId1283" ref="M1264"/>
    <hyperlink r:id="rId1284" ref="M1265"/>
    <hyperlink r:id="rId1285" ref="M1266"/>
    <hyperlink r:id="rId1286" ref="M1267"/>
    <hyperlink r:id="rId1287" ref="M1268"/>
    <hyperlink r:id="rId1288" ref="M1269"/>
    <hyperlink r:id="rId1289" ref="M1270"/>
    <hyperlink r:id="rId1290" ref="M1271"/>
    <hyperlink r:id="rId1291" ref="M1272"/>
    <hyperlink r:id="rId1292" ref="M1273"/>
    <hyperlink r:id="rId1293" ref="M1274"/>
    <hyperlink r:id="rId1294" ref="M1275"/>
    <hyperlink r:id="rId1295" ref="M1276"/>
    <hyperlink r:id="rId1296" ref="M1277"/>
    <hyperlink r:id="rId1297" ref="M1278"/>
    <hyperlink r:id="rId1298" ref="M1279"/>
    <hyperlink r:id="rId1299" ref="M1280"/>
    <hyperlink r:id="rId1300" ref="M1281"/>
    <hyperlink r:id="rId1301" ref="M1282"/>
    <hyperlink r:id="rId1302" ref="M1283"/>
    <hyperlink r:id="rId1303" ref="M1284"/>
    <hyperlink r:id="rId1304" ref="M1285"/>
    <hyperlink r:id="rId1305" ref="M1286"/>
    <hyperlink r:id="rId1306" ref="M1287"/>
    <hyperlink r:id="rId1307" ref="M1288"/>
    <hyperlink r:id="rId1308" ref="M1289"/>
    <hyperlink r:id="rId1309" ref="M1290"/>
    <hyperlink r:id="rId1310" ref="M1291"/>
    <hyperlink r:id="rId1311" ref="M1292"/>
    <hyperlink r:id="rId1312" ref="M1293"/>
    <hyperlink r:id="rId1313" ref="M1294"/>
    <hyperlink r:id="rId1314" ref="M1295"/>
    <hyperlink r:id="rId1315" ref="M1296"/>
    <hyperlink r:id="rId1316" ref="M1297"/>
    <hyperlink r:id="rId1317" ref="M1298"/>
    <hyperlink r:id="rId1318" ref="M1299"/>
    <hyperlink r:id="rId1319" ref="M1300"/>
    <hyperlink r:id="rId1320" ref="M1301"/>
    <hyperlink r:id="rId1321" ref="M1302"/>
    <hyperlink r:id="rId1322" ref="M1303"/>
    <hyperlink r:id="rId1323" ref="M1304"/>
    <hyperlink r:id="rId1324" ref="M1305"/>
    <hyperlink r:id="rId1325" ref="M1306"/>
    <hyperlink r:id="rId1326" ref="M1307"/>
    <hyperlink r:id="rId1327" ref="M1308"/>
    <hyperlink r:id="rId1328" ref="M1309"/>
    <hyperlink r:id="rId1329" ref="M1310"/>
    <hyperlink r:id="rId1330" ref="M1311"/>
    <hyperlink r:id="rId1331" ref="M1312"/>
    <hyperlink r:id="rId1332" ref="M1313"/>
    <hyperlink r:id="rId1333" ref="M1314"/>
    <hyperlink r:id="rId1334" ref="M1315"/>
    <hyperlink r:id="rId1335" ref="M1316"/>
    <hyperlink r:id="rId1336" ref="M1317"/>
    <hyperlink r:id="rId1337" ref="M1318"/>
    <hyperlink r:id="rId1338" ref="M1319"/>
    <hyperlink r:id="rId1339" ref="M1320"/>
    <hyperlink r:id="rId1340" ref="M1321"/>
    <hyperlink r:id="rId1341" ref="M1322"/>
    <hyperlink r:id="rId1342" ref="M1323"/>
    <hyperlink r:id="rId1343" ref="M1324"/>
    <hyperlink r:id="rId1344" ref="M1325"/>
    <hyperlink r:id="rId1345" ref="M1326"/>
    <hyperlink r:id="rId1346" ref="M1327"/>
    <hyperlink r:id="rId1347" ref="M1328"/>
    <hyperlink r:id="rId1348" ref="M1329"/>
    <hyperlink r:id="rId1349" ref="M1330"/>
    <hyperlink r:id="rId1350" ref="M1331"/>
    <hyperlink r:id="rId1351" ref="M1332"/>
    <hyperlink r:id="rId1352" ref="M1333"/>
    <hyperlink r:id="rId1353" ref="M1334"/>
    <hyperlink r:id="rId1354" ref="M1335"/>
    <hyperlink r:id="rId1355" ref="M1336"/>
    <hyperlink r:id="rId1356" ref="M1337"/>
    <hyperlink r:id="rId1357" ref="M1338"/>
    <hyperlink r:id="rId1358" ref="M1339"/>
    <hyperlink r:id="rId1359" ref="M1340"/>
    <hyperlink r:id="rId1360" ref="M1341"/>
    <hyperlink r:id="rId1361" ref="M1342"/>
    <hyperlink r:id="rId1362" ref="M1343"/>
    <hyperlink r:id="rId1363" ref="M1344"/>
    <hyperlink r:id="rId1364" ref="M1345"/>
    <hyperlink r:id="rId1365" ref="M1346"/>
    <hyperlink r:id="rId1366" ref="M1347"/>
    <hyperlink r:id="rId1367" ref="M1348"/>
    <hyperlink r:id="rId1368" ref="M1349"/>
    <hyperlink r:id="rId1369" ref="M1350"/>
    <hyperlink r:id="rId1370" ref="M1351"/>
    <hyperlink r:id="rId1371" ref="M1352"/>
    <hyperlink r:id="rId1372" ref="M1353"/>
    <hyperlink r:id="rId1373" ref="M1354"/>
    <hyperlink r:id="rId1374" ref="M1355"/>
    <hyperlink r:id="rId1375" ref="M1356"/>
    <hyperlink r:id="rId1376" ref="M1357"/>
    <hyperlink r:id="rId1377" ref="M1358"/>
    <hyperlink r:id="rId1378" ref="M1359"/>
    <hyperlink r:id="rId1379" ref="M1360"/>
    <hyperlink r:id="rId1380" ref="M1361"/>
    <hyperlink r:id="rId1381" ref="M1362"/>
    <hyperlink r:id="rId1382" ref="M1363"/>
    <hyperlink r:id="rId1383" ref="M1364"/>
    <hyperlink r:id="rId1384" ref="M1365"/>
    <hyperlink r:id="rId1385" ref="M1366"/>
    <hyperlink r:id="rId1386" ref="M1367"/>
    <hyperlink r:id="rId1387" ref="M1368"/>
    <hyperlink r:id="rId1388" ref="M1369"/>
    <hyperlink r:id="rId1389" ref="M1370"/>
    <hyperlink r:id="rId1390" ref="M1371"/>
    <hyperlink r:id="rId1391" ref="M1372"/>
    <hyperlink r:id="rId1392" ref="M1373"/>
    <hyperlink r:id="rId1393" ref="M1374"/>
    <hyperlink r:id="rId1394" ref="M1375"/>
    <hyperlink r:id="rId1395" ref="M1376"/>
    <hyperlink r:id="rId1396" ref="M1377"/>
    <hyperlink r:id="rId1397" ref="M1378"/>
    <hyperlink r:id="rId1398" ref="M1379"/>
    <hyperlink r:id="rId1399" ref="M1380"/>
    <hyperlink r:id="rId1400" ref="M1381"/>
    <hyperlink r:id="rId1401" ref="M1382"/>
    <hyperlink r:id="rId1402" ref="M1383"/>
    <hyperlink r:id="rId1403" ref="M1384"/>
    <hyperlink r:id="rId1404" ref="M1385"/>
    <hyperlink r:id="rId1405" ref="M1386"/>
    <hyperlink r:id="rId1406" ref="M1387"/>
    <hyperlink r:id="rId1407" ref="M1388"/>
    <hyperlink r:id="rId1408" ref="M1389"/>
    <hyperlink r:id="rId1409" ref="M1390"/>
    <hyperlink r:id="rId1410" ref="M1391"/>
    <hyperlink r:id="rId1411" ref="M1392"/>
    <hyperlink r:id="rId1412" ref="M1393"/>
    <hyperlink r:id="rId1413" ref="M1394"/>
    <hyperlink r:id="rId1414" ref="M1395"/>
    <hyperlink r:id="rId1415" ref="M1396"/>
    <hyperlink r:id="rId1416" ref="M1397"/>
    <hyperlink r:id="rId1417" ref="M1398"/>
    <hyperlink r:id="rId1418" ref="M1399"/>
    <hyperlink r:id="rId1419" ref="M1400"/>
    <hyperlink r:id="rId1420" ref="M1401"/>
    <hyperlink r:id="rId1421" ref="M1402"/>
    <hyperlink r:id="rId1422" ref="M1403"/>
    <hyperlink r:id="rId1423" ref="M1404"/>
    <hyperlink r:id="rId1424" ref="M1405"/>
    <hyperlink r:id="rId1425" ref="M1406"/>
    <hyperlink r:id="rId1426" ref="M1407"/>
    <hyperlink r:id="rId1427" ref="M1408"/>
    <hyperlink r:id="rId1428" ref="M1409"/>
    <hyperlink r:id="rId1429" ref="M1410"/>
    <hyperlink r:id="rId1430" ref="M1411"/>
    <hyperlink r:id="rId1431" ref="M1412"/>
    <hyperlink r:id="rId1432" ref="M1413"/>
    <hyperlink r:id="rId1433" ref="M1414"/>
    <hyperlink r:id="rId1434" ref="M1415"/>
    <hyperlink r:id="rId1435" ref="M1416"/>
    <hyperlink r:id="rId1436" ref="M1417"/>
    <hyperlink r:id="rId1437" ref="M1418"/>
    <hyperlink r:id="rId1438" ref="M1419"/>
    <hyperlink r:id="rId1439" ref="M1420"/>
    <hyperlink r:id="rId1440" ref="M1421"/>
    <hyperlink r:id="rId1441" ref="M1422"/>
    <hyperlink r:id="rId1442" ref="M1423"/>
    <hyperlink r:id="rId1443" ref="M1424"/>
    <hyperlink r:id="rId1444" ref="M1425"/>
    <hyperlink r:id="rId1445" ref="M1426"/>
    <hyperlink r:id="rId1446" ref="M1427"/>
    <hyperlink r:id="rId1447" ref="M1428"/>
    <hyperlink r:id="rId1448" ref="M1429"/>
    <hyperlink r:id="rId1449" ref="M1430"/>
    <hyperlink r:id="rId1450" ref="M1431"/>
    <hyperlink r:id="rId1451" ref="M1432"/>
    <hyperlink r:id="rId1452" ref="M1433"/>
    <hyperlink r:id="rId1453" ref="M1434"/>
    <hyperlink r:id="rId1454" ref="M1435"/>
    <hyperlink r:id="rId1455" ref="M1436"/>
    <hyperlink r:id="rId1456" ref="M1437"/>
    <hyperlink r:id="rId1457" ref="M1438"/>
    <hyperlink r:id="rId1458" ref="M1439"/>
    <hyperlink r:id="rId1459" ref="M1440"/>
    <hyperlink r:id="rId1460" ref="M1441"/>
    <hyperlink r:id="rId1461" ref="M1442"/>
    <hyperlink r:id="rId1462" ref="M1443"/>
    <hyperlink r:id="rId1463" ref="M1444"/>
    <hyperlink r:id="rId1464" ref="M1445"/>
    <hyperlink r:id="rId1465" ref="M1446"/>
    <hyperlink r:id="rId1466" ref="M1447"/>
    <hyperlink r:id="rId1467" ref="M1448"/>
    <hyperlink r:id="rId1468" ref="M1449"/>
    <hyperlink r:id="rId1469" ref="M1450"/>
    <hyperlink r:id="rId1470" ref="M1451"/>
    <hyperlink r:id="rId1471" ref="M1452"/>
    <hyperlink r:id="rId1472" ref="M1453"/>
    <hyperlink r:id="rId1473" ref="M1454"/>
    <hyperlink r:id="rId1474" ref="M1455"/>
    <hyperlink r:id="rId1475" ref="M1456"/>
    <hyperlink r:id="rId1476" ref="M1457"/>
    <hyperlink r:id="rId1477" ref="M1458"/>
    <hyperlink r:id="rId1478" ref="M1459"/>
    <hyperlink r:id="rId1479" ref="M1460"/>
    <hyperlink r:id="rId1480" ref="M1461"/>
    <hyperlink r:id="rId1481" ref="M1462"/>
    <hyperlink r:id="rId1482" ref="M1463"/>
    <hyperlink r:id="rId1483" ref="M1464"/>
    <hyperlink r:id="rId1484" ref="M1465"/>
    <hyperlink r:id="rId1485" ref="M1466"/>
    <hyperlink r:id="rId1486" ref="M1467"/>
    <hyperlink r:id="rId1487" ref="M1468"/>
    <hyperlink r:id="rId1488" ref="M1469"/>
    <hyperlink r:id="rId1489" ref="M1470"/>
    <hyperlink r:id="rId1490" ref="M1471"/>
    <hyperlink r:id="rId1491" ref="M1472"/>
    <hyperlink r:id="rId1492" ref="M1473"/>
    <hyperlink r:id="rId1493" ref="M1474"/>
    <hyperlink r:id="rId1494" ref="M1475"/>
    <hyperlink r:id="rId1495" ref="M1476"/>
    <hyperlink r:id="rId1496" ref="M1477"/>
    <hyperlink r:id="rId1497" ref="M1478"/>
    <hyperlink r:id="rId1498" ref="M1479"/>
    <hyperlink r:id="rId1499" ref="M1480"/>
    <hyperlink r:id="rId1500" ref="M1481"/>
    <hyperlink r:id="rId1501" ref="M1482"/>
    <hyperlink r:id="rId1502" ref="M1483"/>
    <hyperlink r:id="rId1503" ref="M1484"/>
    <hyperlink r:id="rId1504" ref="M1485"/>
    <hyperlink r:id="rId1505" ref="M1486"/>
    <hyperlink r:id="rId1506" ref="M1487"/>
    <hyperlink r:id="rId1507" ref="M1488"/>
    <hyperlink r:id="rId1508" ref="M1489"/>
    <hyperlink r:id="rId1509" ref="M1490"/>
    <hyperlink r:id="rId1510" ref="M1491"/>
    <hyperlink r:id="rId1511" ref="M1492"/>
    <hyperlink r:id="rId1512" ref="M1493"/>
    <hyperlink r:id="rId1513" ref="M1494"/>
    <hyperlink r:id="rId1514" ref="M1495"/>
    <hyperlink r:id="rId1515" ref="M1496"/>
    <hyperlink r:id="rId1516" ref="M1497"/>
    <hyperlink r:id="rId1517" ref="M1498"/>
    <hyperlink r:id="rId1518" ref="M1499"/>
    <hyperlink r:id="rId1519" ref="M1500"/>
    <hyperlink r:id="rId1520" ref="M1501"/>
    <hyperlink r:id="rId1521" ref="M1502"/>
    <hyperlink r:id="rId1522" ref="M1503"/>
    <hyperlink r:id="rId1523" ref="M1504"/>
    <hyperlink r:id="rId1524" ref="M1505"/>
    <hyperlink r:id="rId1525" ref="M1506"/>
    <hyperlink r:id="rId1526" ref="M1507"/>
    <hyperlink r:id="rId1527" ref="M1508"/>
    <hyperlink r:id="rId1528" ref="M1509"/>
    <hyperlink r:id="rId1529" ref="M1510"/>
    <hyperlink r:id="rId1530" ref="M1511"/>
    <hyperlink r:id="rId1531" ref="M1512"/>
    <hyperlink r:id="rId1532" ref="M1513"/>
    <hyperlink r:id="rId1533" ref="M1514"/>
    <hyperlink r:id="rId1534" ref="M1515"/>
    <hyperlink r:id="rId1535" ref="M1516"/>
    <hyperlink r:id="rId1536" ref="M1517"/>
    <hyperlink r:id="rId1537" ref="M1518"/>
    <hyperlink r:id="rId1538" ref="M1519"/>
    <hyperlink r:id="rId1539" ref="M1520"/>
    <hyperlink r:id="rId1540" ref="M1521"/>
    <hyperlink r:id="rId1541" ref="M1522"/>
    <hyperlink r:id="rId1542" ref="M1523"/>
    <hyperlink r:id="rId1543" ref="M1524"/>
    <hyperlink r:id="rId1544" ref="M1525"/>
    <hyperlink r:id="rId1545" ref="M1526"/>
    <hyperlink r:id="rId1546" ref="M1527"/>
    <hyperlink r:id="rId1547" ref="M1528"/>
    <hyperlink r:id="rId1548" ref="M1529"/>
    <hyperlink r:id="rId1549" ref="M1530"/>
    <hyperlink r:id="rId1550" ref="M1531"/>
    <hyperlink r:id="rId1551" ref="M1532"/>
    <hyperlink r:id="rId1552" ref="M1533"/>
    <hyperlink r:id="rId1553" ref="M1534"/>
    <hyperlink r:id="rId1554" ref="M1535"/>
    <hyperlink r:id="rId1555" ref="M1536"/>
    <hyperlink r:id="rId1556" ref="M1537"/>
    <hyperlink r:id="rId1557" ref="M1538"/>
    <hyperlink r:id="rId1558" ref="M1539"/>
    <hyperlink r:id="rId1559" ref="M1540"/>
    <hyperlink r:id="rId1560" ref="M1541"/>
    <hyperlink r:id="rId1561" ref="M1542"/>
    <hyperlink r:id="rId1562" ref="M1543"/>
    <hyperlink r:id="rId1563" ref="M1544"/>
    <hyperlink r:id="rId1564" ref="M1545"/>
    <hyperlink r:id="rId1565" ref="M1546"/>
    <hyperlink r:id="rId1566" ref="M1547"/>
    <hyperlink r:id="rId1567" ref="M1548"/>
    <hyperlink r:id="rId1568" ref="M1549"/>
    <hyperlink r:id="rId1569" ref="M1550"/>
    <hyperlink r:id="rId1570" ref="M1551"/>
    <hyperlink r:id="rId1571" ref="M1552"/>
    <hyperlink r:id="rId1572" ref="M1553"/>
    <hyperlink r:id="rId1573" ref="M1554"/>
    <hyperlink r:id="rId1574" ref="M1555"/>
    <hyperlink r:id="rId1575" ref="M1556"/>
    <hyperlink r:id="rId1576" ref="M1557"/>
    <hyperlink r:id="rId1577" ref="M1558"/>
    <hyperlink r:id="rId1578" ref="M1559"/>
    <hyperlink r:id="rId1579" ref="M1560"/>
    <hyperlink r:id="rId1580" ref="M1561"/>
    <hyperlink r:id="rId1581" ref="M1562"/>
    <hyperlink r:id="rId1582" ref="M1563"/>
    <hyperlink r:id="rId1583" ref="M1564"/>
    <hyperlink r:id="rId1584" ref="M1565"/>
    <hyperlink r:id="rId1585" ref="M1566"/>
    <hyperlink r:id="rId1586" ref="M1567"/>
    <hyperlink r:id="rId1587" ref="M1568"/>
    <hyperlink r:id="rId1588" ref="M1569"/>
    <hyperlink r:id="rId1589" ref="M1570"/>
    <hyperlink r:id="rId1590" ref="M1571"/>
    <hyperlink r:id="rId1591" ref="M1572"/>
    <hyperlink r:id="rId1592" ref="M1573"/>
    <hyperlink r:id="rId1593" ref="M1574"/>
    <hyperlink r:id="rId1594" ref="M1575"/>
    <hyperlink r:id="rId1595" ref="M1576"/>
    <hyperlink r:id="rId1596" ref="M1577"/>
    <hyperlink r:id="rId1597" ref="M1578"/>
    <hyperlink r:id="rId1598" ref="M1579"/>
    <hyperlink r:id="rId1599" ref="M1580"/>
    <hyperlink r:id="rId1600" ref="M1581"/>
    <hyperlink r:id="rId1601" ref="M1582"/>
    <hyperlink r:id="rId1602" ref="M1583"/>
    <hyperlink r:id="rId1603" ref="M1584"/>
    <hyperlink r:id="rId1604" ref="M1585"/>
    <hyperlink r:id="rId1605" ref="M1586"/>
    <hyperlink r:id="rId1606" ref="M1587"/>
    <hyperlink r:id="rId1607" ref="M1588"/>
    <hyperlink r:id="rId1608" ref="M1589"/>
    <hyperlink r:id="rId1609" ref="M1590"/>
    <hyperlink r:id="rId1610" ref="M1591"/>
    <hyperlink r:id="rId1611" ref="M1592"/>
    <hyperlink r:id="rId1612" ref="M1593"/>
    <hyperlink r:id="rId1613" ref="M1594"/>
    <hyperlink r:id="rId1614" ref="M1595"/>
    <hyperlink r:id="rId1615" ref="M1596"/>
    <hyperlink r:id="rId1616" ref="M1597"/>
    <hyperlink r:id="rId1617" ref="M1598"/>
    <hyperlink r:id="rId1618" ref="M1599"/>
    <hyperlink r:id="rId1619" ref="M1600"/>
    <hyperlink r:id="rId1620" ref="M1601"/>
    <hyperlink r:id="rId1621" ref="M1602"/>
    <hyperlink r:id="rId1622" ref="M1603"/>
    <hyperlink r:id="rId1623" ref="M1604"/>
    <hyperlink r:id="rId1624" ref="M1605"/>
    <hyperlink r:id="rId1625" ref="M1606"/>
    <hyperlink r:id="rId1626" ref="M1607"/>
    <hyperlink r:id="rId1627" ref="M1608"/>
    <hyperlink r:id="rId1628" ref="M1609"/>
    <hyperlink r:id="rId1629" ref="M1610"/>
    <hyperlink r:id="rId1630" ref="M1611"/>
    <hyperlink r:id="rId1631" ref="M1612"/>
    <hyperlink r:id="rId1632" ref="M1613"/>
    <hyperlink r:id="rId1633" ref="M1614"/>
    <hyperlink r:id="rId1634" ref="M1615"/>
    <hyperlink r:id="rId1635" ref="M1616"/>
    <hyperlink r:id="rId1636" ref="M1617"/>
    <hyperlink r:id="rId1637" ref="M1618"/>
    <hyperlink r:id="rId1638" ref="M1619"/>
    <hyperlink r:id="rId1639" ref="M1620"/>
    <hyperlink r:id="rId1640" ref="M1621"/>
    <hyperlink r:id="rId1641" ref="M1622"/>
    <hyperlink r:id="rId1642" ref="M1623"/>
    <hyperlink r:id="rId1643" ref="M1624"/>
    <hyperlink r:id="rId1644" ref="M1625"/>
    <hyperlink r:id="rId1645" ref="M1626"/>
    <hyperlink r:id="rId1646" ref="M1627"/>
    <hyperlink r:id="rId1647" ref="M1628"/>
    <hyperlink r:id="rId1648" ref="M1629"/>
    <hyperlink r:id="rId1649" ref="M1630"/>
    <hyperlink r:id="rId1650" ref="M1631"/>
    <hyperlink r:id="rId1651" ref="M1632"/>
    <hyperlink r:id="rId1652" ref="M1633"/>
    <hyperlink r:id="rId1653" ref="M1634"/>
    <hyperlink r:id="rId1654" ref="M1635"/>
    <hyperlink r:id="rId1655" ref="M1636"/>
    <hyperlink r:id="rId1656" ref="M1637"/>
    <hyperlink r:id="rId1657" ref="M1638"/>
    <hyperlink r:id="rId1658" ref="M1639"/>
    <hyperlink r:id="rId1659" ref="M1640"/>
    <hyperlink r:id="rId1660" ref="M1641"/>
    <hyperlink r:id="rId1661" ref="M1642"/>
    <hyperlink r:id="rId1662" ref="M1643"/>
    <hyperlink r:id="rId1663" ref="M1644"/>
    <hyperlink r:id="rId1664" ref="M1645"/>
    <hyperlink r:id="rId1665" ref="M1646"/>
    <hyperlink r:id="rId1666" ref="M1647"/>
    <hyperlink r:id="rId1667" ref="M1648"/>
    <hyperlink r:id="rId1668" ref="M1649"/>
    <hyperlink r:id="rId1669" ref="M1650"/>
    <hyperlink r:id="rId1670" ref="M1651"/>
    <hyperlink r:id="rId1671" ref="M1652"/>
    <hyperlink r:id="rId1672" ref="M1653"/>
    <hyperlink r:id="rId1673" ref="M1654"/>
    <hyperlink r:id="rId1674" ref="M1655"/>
    <hyperlink r:id="rId1675" ref="M1656"/>
    <hyperlink r:id="rId1676" ref="M1657"/>
    <hyperlink r:id="rId1677" ref="M1658"/>
    <hyperlink r:id="rId1678" ref="M1659"/>
    <hyperlink r:id="rId1679" ref="M1660"/>
    <hyperlink r:id="rId1680" ref="M1661"/>
    <hyperlink r:id="rId1681" ref="M1662"/>
    <hyperlink r:id="rId1682" ref="M1663"/>
    <hyperlink r:id="rId1683" ref="M1664"/>
    <hyperlink r:id="rId1684" ref="M1665"/>
    <hyperlink r:id="rId1685" ref="M1666"/>
    <hyperlink r:id="rId1686" ref="M1667"/>
    <hyperlink r:id="rId1687" ref="M1668"/>
    <hyperlink r:id="rId1688" ref="M1669"/>
    <hyperlink r:id="rId1689" ref="M1670"/>
    <hyperlink r:id="rId1690" ref="M1671"/>
    <hyperlink r:id="rId1691" ref="M1672"/>
    <hyperlink r:id="rId1692" ref="M1673"/>
    <hyperlink r:id="rId1693" ref="M1674"/>
    <hyperlink r:id="rId1694" ref="M1675"/>
    <hyperlink r:id="rId1695" ref="M1676"/>
    <hyperlink r:id="rId1696" ref="M1677"/>
    <hyperlink r:id="rId1697" ref="M1678"/>
    <hyperlink r:id="rId1698" ref="M1679"/>
    <hyperlink r:id="rId1699" ref="M1680"/>
    <hyperlink r:id="rId1700" ref="M1681"/>
    <hyperlink r:id="rId1701" ref="M1682"/>
    <hyperlink r:id="rId1702" ref="M1683"/>
    <hyperlink r:id="rId1703" ref="M1684"/>
    <hyperlink r:id="rId1704" ref="M1685"/>
    <hyperlink r:id="rId1705" ref="M1686"/>
    <hyperlink r:id="rId1706" ref="M1687"/>
    <hyperlink r:id="rId1707" ref="M1688"/>
    <hyperlink r:id="rId1708" ref="M1689"/>
    <hyperlink r:id="rId1709" ref="M1690"/>
    <hyperlink r:id="rId1710" ref="M1691"/>
    <hyperlink r:id="rId1711" ref="M1692"/>
    <hyperlink r:id="rId1712" ref="M1693"/>
    <hyperlink r:id="rId1713" ref="M1694"/>
    <hyperlink r:id="rId1714" ref="M1695"/>
    <hyperlink r:id="rId1715" ref="M1696"/>
    <hyperlink r:id="rId1716" ref="M1697"/>
    <hyperlink r:id="rId1717" ref="M1698"/>
    <hyperlink r:id="rId1718" ref="M1699"/>
    <hyperlink r:id="rId1719" ref="M1700"/>
    <hyperlink r:id="rId1720" ref="M1701"/>
    <hyperlink r:id="rId1721" ref="M1702"/>
    <hyperlink r:id="rId1722" ref="M1703"/>
    <hyperlink r:id="rId1723" ref="M1704"/>
    <hyperlink r:id="rId1724" ref="M1705"/>
    <hyperlink r:id="rId1725" ref="M1706"/>
    <hyperlink r:id="rId1726" ref="M1707"/>
    <hyperlink r:id="rId1727" ref="M1708"/>
    <hyperlink r:id="rId1728" ref="M1709"/>
    <hyperlink r:id="rId1729" ref="M1710"/>
    <hyperlink r:id="rId1730" ref="M1711"/>
    <hyperlink r:id="rId1731" ref="M1712"/>
    <hyperlink r:id="rId1732" ref="M1713"/>
    <hyperlink r:id="rId1733" ref="M1714"/>
    <hyperlink r:id="rId1734" ref="M1715"/>
    <hyperlink r:id="rId1735" ref="M1716"/>
    <hyperlink r:id="rId1736" ref="M1717"/>
    <hyperlink r:id="rId1737" ref="M1718"/>
    <hyperlink r:id="rId1738" ref="M1719"/>
    <hyperlink r:id="rId1739" ref="M1720"/>
    <hyperlink r:id="rId1740" ref="M1721"/>
    <hyperlink r:id="rId1741" ref="M1722"/>
    <hyperlink r:id="rId1742" ref="M1723"/>
    <hyperlink r:id="rId1743" ref="M1724"/>
    <hyperlink r:id="rId1744" ref="M1725"/>
    <hyperlink r:id="rId1745" ref="M1726"/>
    <hyperlink r:id="rId1746" ref="M1727"/>
    <hyperlink r:id="rId1747" ref="M1728"/>
    <hyperlink r:id="rId1748" ref="M1729"/>
    <hyperlink r:id="rId1749" ref="M1730"/>
    <hyperlink r:id="rId1750" ref="M1731"/>
    <hyperlink r:id="rId1751" ref="M1732"/>
    <hyperlink r:id="rId1752" ref="M1733"/>
    <hyperlink r:id="rId1753" ref="M1734"/>
    <hyperlink r:id="rId1754" ref="M1735"/>
    <hyperlink r:id="rId1755" ref="M1736"/>
    <hyperlink r:id="rId1756" ref="M1737"/>
    <hyperlink r:id="rId1757" ref="M1738"/>
    <hyperlink r:id="rId1758" ref="M1739"/>
    <hyperlink r:id="rId1759" ref="M1740"/>
    <hyperlink r:id="rId1760" ref="M1741"/>
    <hyperlink r:id="rId1761" ref="M1742"/>
    <hyperlink r:id="rId1762" ref="M1743"/>
    <hyperlink r:id="rId1763" ref="M1744"/>
    <hyperlink r:id="rId1764" ref="M1745"/>
    <hyperlink r:id="rId1765" ref="M1746"/>
    <hyperlink r:id="rId1766" ref="M1747"/>
    <hyperlink r:id="rId1767" ref="M1748"/>
    <hyperlink r:id="rId1768" ref="M1749"/>
    <hyperlink r:id="rId1769" ref="M1750"/>
    <hyperlink r:id="rId1770" ref="M1751"/>
    <hyperlink r:id="rId1771" ref="M1752"/>
    <hyperlink r:id="rId1772" ref="M1753"/>
    <hyperlink r:id="rId1773" ref="M1754"/>
    <hyperlink r:id="rId1774" ref="M1755"/>
    <hyperlink r:id="rId1775" ref="M1756"/>
    <hyperlink r:id="rId1776" ref="M1757"/>
    <hyperlink r:id="rId1777" ref="M1758"/>
    <hyperlink r:id="rId1778" ref="M1759"/>
    <hyperlink r:id="rId1779" ref="M1760"/>
    <hyperlink r:id="rId1780" ref="M1761"/>
    <hyperlink r:id="rId1781" ref="M1762"/>
    <hyperlink r:id="rId1782" ref="M1763"/>
    <hyperlink r:id="rId1783" ref="M1764"/>
    <hyperlink r:id="rId1784" ref="M1765"/>
    <hyperlink r:id="rId1785" ref="M1766"/>
    <hyperlink r:id="rId1786" ref="M1767"/>
    <hyperlink r:id="rId1787" ref="M1768"/>
    <hyperlink r:id="rId1788" ref="M1769"/>
    <hyperlink r:id="rId1789" ref="M1770"/>
    <hyperlink r:id="rId1790" ref="M1771"/>
    <hyperlink r:id="rId1791" ref="M1772"/>
    <hyperlink r:id="rId1792" ref="M1773"/>
    <hyperlink r:id="rId1793" ref="M1774"/>
    <hyperlink r:id="rId1794" ref="M1775"/>
    <hyperlink r:id="rId1795" ref="M1776"/>
    <hyperlink r:id="rId1796" ref="M1777"/>
    <hyperlink r:id="rId1797" ref="M1778"/>
    <hyperlink r:id="rId1798" ref="M1779"/>
    <hyperlink r:id="rId1799" ref="M1780"/>
    <hyperlink r:id="rId1800" ref="M1781"/>
    <hyperlink r:id="rId1801" ref="M1782"/>
    <hyperlink r:id="rId1802" ref="M1783"/>
    <hyperlink r:id="rId1803" ref="M1784"/>
    <hyperlink r:id="rId1804" ref="M1785"/>
    <hyperlink r:id="rId1805" ref="M1786"/>
    <hyperlink r:id="rId1806" ref="M1787"/>
    <hyperlink r:id="rId1807" ref="M1788"/>
    <hyperlink r:id="rId1808" ref="M1789"/>
    <hyperlink r:id="rId1809" ref="M1790"/>
    <hyperlink r:id="rId1810" ref="M1791"/>
    <hyperlink r:id="rId1811" ref="M1792"/>
    <hyperlink r:id="rId1812" ref="M1793"/>
    <hyperlink r:id="rId1813" ref="M1794"/>
    <hyperlink r:id="rId1814" ref="M1795"/>
    <hyperlink r:id="rId1815" ref="M1796"/>
    <hyperlink r:id="rId1816" ref="M1797"/>
    <hyperlink r:id="rId1817" ref="M1798"/>
    <hyperlink r:id="rId1818" ref="M1799"/>
    <hyperlink r:id="rId1819" ref="M1800"/>
    <hyperlink r:id="rId1820" ref="M1801"/>
    <hyperlink r:id="rId1821" ref="M1802"/>
    <hyperlink r:id="rId1822" ref="M1803"/>
    <hyperlink r:id="rId1823" ref="M1804"/>
    <hyperlink r:id="rId1824" ref="M1805"/>
    <hyperlink r:id="rId1825" ref="M1806"/>
    <hyperlink r:id="rId1826" ref="M1807"/>
    <hyperlink r:id="rId1827" ref="M1808"/>
    <hyperlink r:id="rId1828" ref="M1809"/>
    <hyperlink r:id="rId1829" ref="M1810"/>
    <hyperlink r:id="rId1830" ref="M1811"/>
    <hyperlink r:id="rId1831" ref="M1812"/>
    <hyperlink r:id="rId1832" ref="M1813"/>
    <hyperlink r:id="rId1833" ref="M1814"/>
    <hyperlink r:id="rId1834" ref="M1815"/>
    <hyperlink r:id="rId1835" ref="M1816"/>
    <hyperlink r:id="rId1836" ref="M1817"/>
    <hyperlink r:id="rId1837" ref="M1818"/>
    <hyperlink r:id="rId1838" ref="M1819"/>
    <hyperlink r:id="rId1839" ref="M1820"/>
    <hyperlink r:id="rId1840" ref="M1821"/>
    <hyperlink r:id="rId1841" ref="M1822"/>
    <hyperlink r:id="rId1842" ref="M1823"/>
    <hyperlink r:id="rId1843" ref="M1824"/>
    <hyperlink r:id="rId1844" ref="M1825"/>
    <hyperlink r:id="rId1845" ref="M1826"/>
    <hyperlink r:id="rId1846" ref="M1827"/>
    <hyperlink r:id="rId1847" ref="M1828"/>
    <hyperlink r:id="rId1848" ref="M1829"/>
    <hyperlink r:id="rId1849" ref="M1830"/>
    <hyperlink r:id="rId1850" ref="M1831"/>
    <hyperlink r:id="rId1851" ref="M1832"/>
    <hyperlink r:id="rId1852" ref="M1833"/>
    <hyperlink r:id="rId1853" ref="M1834"/>
    <hyperlink r:id="rId1854" ref="M1835"/>
    <hyperlink r:id="rId1855" ref="M1836"/>
    <hyperlink r:id="rId1856" ref="M1837"/>
    <hyperlink r:id="rId1857" ref="M1838"/>
    <hyperlink r:id="rId1858" ref="M1839"/>
    <hyperlink r:id="rId1859" ref="M1840"/>
    <hyperlink r:id="rId1860" ref="M1841"/>
    <hyperlink r:id="rId1861" ref="M1842"/>
    <hyperlink r:id="rId1862" ref="M1843"/>
    <hyperlink r:id="rId1863" ref="M1844"/>
    <hyperlink r:id="rId1864" ref="M1845"/>
    <hyperlink r:id="rId1865" ref="M1846"/>
    <hyperlink r:id="rId1866" ref="M1847"/>
    <hyperlink r:id="rId1867" ref="M1848"/>
    <hyperlink r:id="rId1868" ref="M1849"/>
    <hyperlink r:id="rId1869" ref="M1850"/>
    <hyperlink r:id="rId1870" ref="M1851"/>
    <hyperlink r:id="rId1871" ref="M1852"/>
    <hyperlink r:id="rId1872" ref="M1853"/>
    <hyperlink r:id="rId1873" ref="M1854"/>
    <hyperlink r:id="rId1874" ref="M1855"/>
    <hyperlink r:id="rId1875" ref="M1856"/>
    <hyperlink r:id="rId1876" ref="M1857"/>
    <hyperlink r:id="rId1877" ref="M1858"/>
    <hyperlink r:id="rId1878" ref="M1859"/>
    <hyperlink r:id="rId1879" ref="M1860"/>
    <hyperlink r:id="rId1880" ref="M1861"/>
    <hyperlink r:id="rId1881" ref="M1862"/>
    <hyperlink r:id="rId1882" ref="M1863"/>
    <hyperlink r:id="rId1883" ref="M1864"/>
    <hyperlink r:id="rId1884" ref="M1865"/>
    <hyperlink r:id="rId1885" ref="M1866"/>
    <hyperlink r:id="rId1886" ref="M1867"/>
    <hyperlink r:id="rId1887" ref="M1868"/>
    <hyperlink r:id="rId1888" ref="M1869"/>
    <hyperlink r:id="rId1889" ref="M1870"/>
    <hyperlink r:id="rId1890" ref="M1871"/>
    <hyperlink r:id="rId1891" ref="M1872"/>
    <hyperlink r:id="rId1892" ref="M1873"/>
    <hyperlink r:id="rId1893" ref="M1874"/>
  </hyperlinks>
  <drawing r:id="rId1894"/>
  <legacyDrawing r:id="rId189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25"/>
    <col customWidth="1" min="2" max="2" width="14.25"/>
    <col customWidth="1" min="3" max="3" width="22.25"/>
    <col customWidth="1" min="4" max="4" width="14.25"/>
    <col customWidth="1" min="5" max="5" width="14.5"/>
    <col customWidth="1" min="6" max="6" width="12.38"/>
    <col customWidth="1" min="7" max="8" width="9.75"/>
    <col customWidth="1" min="9" max="11" width="22.13"/>
    <col customWidth="1" min="12" max="12" width="23.38"/>
  </cols>
  <sheetData>
    <row r="1">
      <c r="A1" s="1" t="s">
        <v>33</v>
      </c>
      <c r="B1" s="1" t="s">
        <v>6</v>
      </c>
      <c r="C1" s="1" t="s">
        <v>35</v>
      </c>
      <c r="D1" s="1" t="s">
        <v>36</v>
      </c>
      <c r="E1" s="1" t="s">
        <v>38</v>
      </c>
      <c r="F1" s="1" t="s">
        <v>39</v>
      </c>
      <c r="G1" s="15" t="s">
        <v>40</v>
      </c>
      <c r="H1" s="15" t="s">
        <v>328</v>
      </c>
      <c r="I1" s="15" t="s">
        <v>329</v>
      </c>
      <c r="J1" s="65" t="s">
        <v>330</v>
      </c>
      <c r="K1" s="65" t="s">
        <v>332</v>
      </c>
      <c r="L1" s="1" t="s">
        <v>48</v>
      </c>
      <c r="M1" s="6"/>
      <c r="N1" s="6"/>
      <c r="O1" s="6"/>
      <c r="P1" s="6"/>
      <c r="Q1" s="6"/>
      <c r="R1" s="6"/>
      <c r="S1" s="6"/>
      <c r="T1" s="6"/>
      <c r="U1" s="6"/>
      <c r="V1" s="6"/>
      <c r="W1" s="6"/>
      <c r="X1" s="6"/>
      <c r="Y1" s="6"/>
      <c r="Z1" s="6"/>
      <c r="AA1" s="6"/>
      <c r="AB1" s="6"/>
      <c r="AC1" s="6"/>
      <c r="AD1" s="6"/>
      <c r="AE1" s="6"/>
    </row>
    <row r="2">
      <c r="A2" s="11" t="s">
        <v>68</v>
      </c>
      <c r="B2" s="11" t="s">
        <v>70</v>
      </c>
      <c r="C2" s="11" t="s">
        <v>71</v>
      </c>
      <c r="D2" s="11" t="s">
        <v>72</v>
      </c>
      <c r="E2" s="25" t="s">
        <v>74</v>
      </c>
      <c r="F2" s="26">
        <v>1991.0</v>
      </c>
      <c r="G2" s="27">
        <v>1800.0</v>
      </c>
      <c r="H2" s="27" t="s">
        <v>188</v>
      </c>
      <c r="I2" s="27" t="s">
        <v>188</v>
      </c>
      <c r="J2" s="66" t="s">
        <v>188</v>
      </c>
      <c r="K2" s="66" t="s">
        <v>188</v>
      </c>
      <c r="L2" s="29" t="s">
        <v>81</v>
      </c>
    </row>
    <row r="3">
      <c r="A3" s="11" t="s">
        <v>68</v>
      </c>
      <c r="B3" s="11" t="s">
        <v>70</v>
      </c>
      <c r="C3" s="11" t="s">
        <v>71</v>
      </c>
      <c r="D3" s="11" t="s">
        <v>72</v>
      </c>
      <c r="E3" s="25" t="s">
        <v>74</v>
      </c>
      <c r="F3" s="26">
        <v>1993.0</v>
      </c>
      <c r="G3" s="27">
        <v>2025.0</v>
      </c>
      <c r="H3" s="27">
        <f t="shared" ref="H3:I3" si="1">F3-F2</f>
        <v>2</v>
      </c>
      <c r="I3" s="27">
        <f t="shared" si="1"/>
        <v>225</v>
      </c>
      <c r="J3" s="66">
        <f t="shared" ref="J3:J8" si="3">I3/G2</f>
        <v>0.125</v>
      </c>
      <c r="K3" s="66">
        <f t="shared" ref="K3:K8" si="4">J3/H3</f>
        <v>0.0625</v>
      </c>
      <c r="L3" s="29" t="s">
        <v>81</v>
      </c>
    </row>
    <row r="4">
      <c r="A4" s="11" t="s">
        <v>68</v>
      </c>
      <c r="B4" s="11" t="s">
        <v>70</v>
      </c>
      <c r="C4" s="11" t="s">
        <v>71</v>
      </c>
      <c r="D4" s="11" t="s">
        <v>72</v>
      </c>
      <c r="E4" s="25" t="s">
        <v>74</v>
      </c>
      <c r="F4" s="26">
        <v>1996.0</v>
      </c>
      <c r="G4" s="27">
        <v>2007.0</v>
      </c>
      <c r="H4" s="27">
        <f t="shared" ref="H4:I4" si="2">F4-F3</f>
        <v>3</v>
      </c>
      <c r="I4" s="27">
        <f t="shared" si="2"/>
        <v>-18</v>
      </c>
      <c r="J4" s="66">
        <f t="shared" si="3"/>
        <v>-0.008888888889</v>
      </c>
      <c r="K4" s="66">
        <f t="shared" si="4"/>
        <v>-0.002962962963</v>
      </c>
      <c r="L4" s="29" t="s">
        <v>81</v>
      </c>
    </row>
    <row r="5">
      <c r="A5" s="11" t="s">
        <v>68</v>
      </c>
      <c r="B5" s="11" t="s">
        <v>70</v>
      </c>
      <c r="C5" s="11" t="s">
        <v>71</v>
      </c>
      <c r="D5" s="11" t="s">
        <v>72</v>
      </c>
      <c r="E5" s="25" t="s">
        <v>74</v>
      </c>
      <c r="F5" s="26">
        <v>2001.0</v>
      </c>
      <c r="G5" s="27">
        <v>1801.0</v>
      </c>
      <c r="H5" s="27">
        <f t="shared" ref="H5:I5" si="5">F5-F4</f>
        <v>5</v>
      </c>
      <c r="I5" s="27">
        <f t="shared" si="5"/>
        <v>-206</v>
      </c>
      <c r="J5" s="66">
        <f t="shared" si="3"/>
        <v>-0.1026407573</v>
      </c>
      <c r="K5" s="66">
        <f t="shared" si="4"/>
        <v>-0.02052815147</v>
      </c>
      <c r="L5" s="29" t="s">
        <v>81</v>
      </c>
    </row>
    <row r="6">
      <c r="A6" s="11" t="s">
        <v>68</v>
      </c>
      <c r="B6" s="11" t="s">
        <v>70</v>
      </c>
      <c r="C6" s="11" t="s">
        <v>71</v>
      </c>
      <c r="D6" s="11" t="s">
        <v>72</v>
      </c>
      <c r="E6" s="25" t="s">
        <v>74</v>
      </c>
      <c r="F6" s="26">
        <v>2005.0</v>
      </c>
      <c r="G6" s="27">
        <v>2026.0</v>
      </c>
      <c r="H6" s="27">
        <f t="shared" ref="H6:I6" si="6">F6-F5</f>
        <v>4</v>
      </c>
      <c r="I6" s="27">
        <f t="shared" si="6"/>
        <v>225</v>
      </c>
      <c r="J6" s="66">
        <f t="shared" si="3"/>
        <v>0.1249305941</v>
      </c>
      <c r="K6" s="66">
        <f t="shared" si="4"/>
        <v>0.03123264853</v>
      </c>
      <c r="L6" s="29" t="s">
        <v>81</v>
      </c>
    </row>
    <row r="7">
      <c r="A7" s="11" t="s">
        <v>68</v>
      </c>
      <c r="B7" s="11" t="s">
        <v>70</v>
      </c>
      <c r="C7" s="11" t="s">
        <v>71</v>
      </c>
      <c r="D7" s="11" t="s">
        <v>72</v>
      </c>
      <c r="E7" s="25" t="s">
        <v>74</v>
      </c>
      <c r="F7" s="26">
        <v>2008.0</v>
      </c>
      <c r="G7" s="27">
        <v>2496.0</v>
      </c>
      <c r="H7" s="27">
        <f t="shared" ref="H7:I7" si="7">F7-F6</f>
        <v>3</v>
      </c>
      <c r="I7" s="27">
        <f t="shared" si="7"/>
        <v>470</v>
      </c>
      <c r="J7" s="66">
        <f t="shared" si="3"/>
        <v>0.2319842053</v>
      </c>
      <c r="K7" s="66">
        <f t="shared" si="4"/>
        <v>0.07732806844</v>
      </c>
      <c r="L7" s="29" t="s">
        <v>81</v>
      </c>
    </row>
    <row r="8">
      <c r="A8" s="11" t="s">
        <v>68</v>
      </c>
      <c r="B8" s="11" t="s">
        <v>70</v>
      </c>
      <c r="C8" s="11" t="s">
        <v>71</v>
      </c>
      <c r="D8" s="11" t="s">
        <v>72</v>
      </c>
      <c r="E8" s="25" t="s">
        <v>74</v>
      </c>
      <c r="F8" s="26">
        <v>2014.0</v>
      </c>
      <c r="G8" s="27">
        <v>2697.0</v>
      </c>
      <c r="H8" s="27">
        <f t="shared" ref="H8:I8" si="8">F8-F7</f>
        <v>6</v>
      </c>
      <c r="I8" s="27">
        <f t="shared" si="8"/>
        <v>201</v>
      </c>
      <c r="J8" s="66">
        <f t="shared" si="3"/>
        <v>0.08052884615</v>
      </c>
      <c r="K8" s="66">
        <f t="shared" si="4"/>
        <v>0.01342147436</v>
      </c>
      <c r="L8" s="29" t="s">
        <v>81</v>
      </c>
    </row>
    <row r="9">
      <c r="A9" s="11" t="s">
        <v>68</v>
      </c>
      <c r="B9" s="11" t="s">
        <v>70</v>
      </c>
      <c r="C9" s="11" t="s">
        <v>71</v>
      </c>
      <c r="D9" s="11" t="s">
        <v>157</v>
      </c>
      <c r="E9" s="11" t="s">
        <v>158</v>
      </c>
      <c r="F9" s="11">
        <v>1996.0</v>
      </c>
      <c r="G9" s="40">
        <v>739.0</v>
      </c>
      <c r="H9" s="71" t="s">
        <v>188</v>
      </c>
      <c r="I9" s="27" t="s">
        <v>188</v>
      </c>
      <c r="J9" s="66" t="s">
        <v>188</v>
      </c>
      <c r="K9" s="66" t="s">
        <v>188</v>
      </c>
      <c r="L9" s="42" t="s">
        <v>160</v>
      </c>
    </row>
    <row r="10">
      <c r="A10" s="11" t="s">
        <v>68</v>
      </c>
      <c r="B10" s="11" t="s">
        <v>70</v>
      </c>
      <c r="C10" s="11" t="s">
        <v>71</v>
      </c>
      <c r="D10" s="11" t="s">
        <v>157</v>
      </c>
      <c r="E10" s="11" t="s">
        <v>158</v>
      </c>
      <c r="F10" s="11">
        <v>2001.0</v>
      </c>
      <c r="G10" s="40">
        <v>730.0</v>
      </c>
      <c r="H10" s="40">
        <f t="shared" ref="H10:I10" si="9">F10-F9</f>
        <v>5</v>
      </c>
      <c r="I10" s="40">
        <f t="shared" si="9"/>
        <v>-9</v>
      </c>
      <c r="J10" s="73">
        <f t="shared" ref="J10:J14" si="11">I10/G9</f>
        <v>-0.01217861976</v>
      </c>
      <c r="K10" s="66">
        <f t="shared" ref="K10:K14" si="12">J10/H10</f>
        <v>-0.002435723951</v>
      </c>
      <c r="L10" s="42" t="s">
        <v>160</v>
      </c>
    </row>
    <row r="11">
      <c r="A11" s="11" t="s">
        <v>68</v>
      </c>
      <c r="B11" s="11" t="s">
        <v>70</v>
      </c>
      <c r="C11" s="11" t="s">
        <v>71</v>
      </c>
      <c r="D11" s="11" t="s">
        <v>157</v>
      </c>
      <c r="E11" s="11" t="s">
        <v>158</v>
      </c>
      <c r="F11" s="11">
        <v>2005.0</v>
      </c>
      <c r="G11" s="40">
        <v>590.0</v>
      </c>
      <c r="H11" s="40">
        <f t="shared" ref="H11:I11" si="10">F11-F10</f>
        <v>4</v>
      </c>
      <c r="I11" s="40">
        <f t="shared" si="10"/>
        <v>-140</v>
      </c>
      <c r="J11" s="73">
        <f t="shared" si="11"/>
        <v>-0.1917808219</v>
      </c>
      <c r="K11" s="66">
        <f t="shared" si="12"/>
        <v>-0.04794520548</v>
      </c>
      <c r="L11" s="42" t="s">
        <v>160</v>
      </c>
    </row>
    <row r="12">
      <c r="A12" s="11" t="s">
        <v>68</v>
      </c>
      <c r="B12" s="11" t="s">
        <v>70</v>
      </c>
      <c r="C12" s="11" t="s">
        <v>71</v>
      </c>
      <c r="D12" s="11" t="s">
        <v>157</v>
      </c>
      <c r="E12" s="11" t="s">
        <v>158</v>
      </c>
      <c r="F12" s="11">
        <v>2008.0</v>
      </c>
      <c r="G12" s="40">
        <v>681.0</v>
      </c>
      <c r="H12" s="40">
        <f t="shared" ref="H12:I12" si="13">F12-F11</f>
        <v>3</v>
      </c>
      <c r="I12" s="40">
        <f t="shared" si="13"/>
        <v>91</v>
      </c>
      <c r="J12" s="73">
        <f t="shared" si="11"/>
        <v>0.1542372881</v>
      </c>
      <c r="K12" s="66">
        <f t="shared" si="12"/>
        <v>0.05141242938</v>
      </c>
      <c r="L12" s="42" t="s">
        <v>160</v>
      </c>
    </row>
    <row r="13">
      <c r="A13" s="11" t="s">
        <v>68</v>
      </c>
      <c r="B13" s="11" t="s">
        <v>70</v>
      </c>
      <c r="C13" s="11" t="s">
        <v>71</v>
      </c>
      <c r="D13" s="11" t="s">
        <v>157</v>
      </c>
      <c r="E13" s="11" t="s">
        <v>158</v>
      </c>
      <c r="F13" s="11">
        <v>2014.0</v>
      </c>
      <c r="G13" s="40">
        <v>977.0</v>
      </c>
      <c r="H13" s="40">
        <f t="shared" ref="H13:I13" si="14">F13-F12</f>
        <v>6</v>
      </c>
      <c r="I13" s="40">
        <f t="shared" si="14"/>
        <v>296</v>
      </c>
      <c r="J13" s="73">
        <f t="shared" si="11"/>
        <v>0.4346549192</v>
      </c>
      <c r="K13" s="66">
        <f t="shared" si="12"/>
        <v>0.07244248654</v>
      </c>
      <c r="L13" s="42" t="s">
        <v>160</v>
      </c>
    </row>
    <row r="14">
      <c r="A14" s="11" t="s">
        <v>68</v>
      </c>
      <c r="B14" s="11" t="s">
        <v>70</v>
      </c>
      <c r="C14" s="11" t="s">
        <v>71</v>
      </c>
      <c r="D14" s="11" t="s">
        <v>157</v>
      </c>
      <c r="E14" s="11" t="s">
        <v>158</v>
      </c>
      <c r="F14" s="11">
        <v>2018.0</v>
      </c>
      <c r="G14" s="40">
        <v>1363.0</v>
      </c>
      <c r="H14" s="40">
        <f t="shared" ref="H14:I14" si="15">F14-F13</f>
        <v>4</v>
      </c>
      <c r="I14" s="40">
        <f t="shared" si="15"/>
        <v>386</v>
      </c>
      <c r="J14" s="73">
        <f t="shared" si="11"/>
        <v>0.395087001</v>
      </c>
      <c r="K14" s="66">
        <f t="shared" si="12"/>
        <v>0.09877175026</v>
      </c>
      <c r="L14" s="42" t="s">
        <v>160</v>
      </c>
    </row>
    <row r="15">
      <c r="A15" s="11" t="s">
        <v>184</v>
      </c>
      <c r="B15" s="11" t="s">
        <v>185</v>
      </c>
      <c r="C15" s="11" t="s">
        <v>186</v>
      </c>
      <c r="D15" s="11" t="s">
        <v>187</v>
      </c>
      <c r="E15" s="11" t="s">
        <v>74</v>
      </c>
      <c r="F15" s="44">
        <v>1978.99727148704</v>
      </c>
      <c r="G15" s="27">
        <v>1293.0</v>
      </c>
      <c r="H15" s="27" t="s">
        <v>188</v>
      </c>
      <c r="I15" s="27" t="s">
        <v>188</v>
      </c>
      <c r="J15" s="66" t="s">
        <v>188</v>
      </c>
      <c r="K15" s="66" t="s">
        <v>188</v>
      </c>
      <c r="L15" s="29" t="s">
        <v>81</v>
      </c>
    </row>
    <row r="16">
      <c r="A16" s="11" t="s">
        <v>184</v>
      </c>
      <c r="B16" s="11" t="s">
        <v>185</v>
      </c>
      <c r="C16" s="11" t="s">
        <v>186</v>
      </c>
      <c r="D16" s="11" t="s">
        <v>187</v>
      </c>
      <c r="E16" s="11" t="s">
        <v>74</v>
      </c>
      <c r="F16" s="44">
        <v>1990.96452933151</v>
      </c>
      <c r="G16" s="27">
        <v>1018.0</v>
      </c>
      <c r="H16" s="27">
        <f t="shared" ref="H16:I16" si="16">F16-F15</f>
        <v>11.96725784</v>
      </c>
      <c r="I16" s="27">
        <f t="shared" si="16"/>
        <v>-275</v>
      </c>
      <c r="J16" s="66">
        <f t="shared" ref="J16:J38" si="18">I16/G15</f>
        <v>-0.2126836814</v>
      </c>
      <c r="K16" s="66">
        <f t="shared" ref="K16:K38" si="19">J16/H16</f>
        <v>-0.0177721316</v>
      </c>
      <c r="L16" s="29" t="s">
        <v>81</v>
      </c>
    </row>
    <row r="17">
      <c r="A17" s="11" t="s">
        <v>184</v>
      </c>
      <c r="B17" s="11" t="s">
        <v>185</v>
      </c>
      <c r="C17" s="11" t="s">
        <v>186</v>
      </c>
      <c r="D17" s="11" t="s">
        <v>187</v>
      </c>
      <c r="E17" s="11" t="s">
        <v>74</v>
      </c>
      <c r="F17" s="44">
        <v>1993.95634379263</v>
      </c>
      <c r="G17" s="27">
        <v>653.0</v>
      </c>
      <c r="H17" s="27">
        <f t="shared" ref="H17:I17" si="17">F17-F16</f>
        <v>2.991814461</v>
      </c>
      <c r="I17" s="27">
        <f t="shared" si="17"/>
        <v>-365</v>
      </c>
      <c r="J17" s="66">
        <f t="shared" si="18"/>
        <v>-0.358546169</v>
      </c>
      <c r="K17" s="66">
        <f t="shared" si="19"/>
        <v>-0.1198423811</v>
      </c>
      <c r="L17" s="29" t="s">
        <v>81</v>
      </c>
    </row>
    <row r="18">
      <c r="A18" s="11" t="s">
        <v>184</v>
      </c>
      <c r="B18" s="11" t="s">
        <v>185</v>
      </c>
      <c r="C18" s="11" t="s">
        <v>186</v>
      </c>
      <c r="D18" s="11" t="s">
        <v>187</v>
      </c>
      <c r="E18" s="11" t="s">
        <v>74</v>
      </c>
      <c r="F18" s="27">
        <v>1995.0</v>
      </c>
      <c r="G18" s="27">
        <v>491.0</v>
      </c>
      <c r="H18" s="27">
        <f t="shared" ref="H18:I18" si="20">F18-F17</f>
        <v>1.043656207</v>
      </c>
      <c r="I18" s="27">
        <f t="shared" si="20"/>
        <v>-162</v>
      </c>
      <c r="J18" s="66">
        <f t="shared" si="18"/>
        <v>-0.248085758</v>
      </c>
      <c r="K18" s="66">
        <f t="shared" si="19"/>
        <v>-0.2377083146</v>
      </c>
      <c r="L18" s="29" t="s">
        <v>81</v>
      </c>
    </row>
    <row r="19">
      <c r="A19" s="11" t="s">
        <v>184</v>
      </c>
      <c r="B19" s="11" t="s">
        <v>185</v>
      </c>
      <c r="C19" s="11" t="s">
        <v>186</v>
      </c>
      <c r="D19" s="11" t="s">
        <v>187</v>
      </c>
      <c r="E19" s="11" t="s">
        <v>74</v>
      </c>
      <c r="F19" s="27">
        <v>1996.0</v>
      </c>
      <c r="G19" s="27">
        <v>594.0</v>
      </c>
      <c r="H19" s="27">
        <f t="shared" ref="H19:I19" si="21">F19-F18</f>
        <v>1</v>
      </c>
      <c r="I19" s="27">
        <f t="shared" si="21"/>
        <v>103</v>
      </c>
      <c r="J19" s="66">
        <f t="shared" si="18"/>
        <v>0.2097759674</v>
      </c>
      <c r="K19" s="66">
        <f t="shared" si="19"/>
        <v>0.2097759674</v>
      </c>
      <c r="L19" s="29" t="s">
        <v>81</v>
      </c>
    </row>
    <row r="20">
      <c r="A20" s="11" t="s">
        <v>184</v>
      </c>
      <c r="B20" s="11" t="s">
        <v>185</v>
      </c>
      <c r="C20" s="11" t="s">
        <v>186</v>
      </c>
      <c r="D20" s="11" t="s">
        <v>187</v>
      </c>
      <c r="E20" s="11" t="s">
        <v>74</v>
      </c>
      <c r="F20" s="44">
        <v>1997.0068212824</v>
      </c>
      <c r="G20" s="27">
        <v>440.0</v>
      </c>
      <c r="H20" s="27">
        <f t="shared" ref="H20:I20" si="22">F20-F19</f>
        <v>1.006821282</v>
      </c>
      <c r="I20" s="27">
        <f t="shared" si="22"/>
        <v>-154</v>
      </c>
      <c r="J20" s="66">
        <f t="shared" si="18"/>
        <v>-0.2592592593</v>
      </c>
      <c r="K20" s="66">
        <f t="shared" si="19"/>
        <v>-0.2575027602</v>
      </c>
      <c r="L20" s="29" t="s">
        <v>81</v>
      </c>
    </row>
    <row r="21">
      <c r="A21" s="11" t="s">
        <v>184</v>
      </c>
      <c r="B21" s="11" t="s">
        <v>185</v>
      </c>
      <c r="C21" s="11" t="s">
        <v>186</v>
      </c>
      <c r="D21" s="11" t="s">
        <v>187</v>
      </c>
      <c r="E21" s="11" t="s">
        <v>74</v>
      </c>
      <c r="F21" s="44">
        <v>1998.06275579809</v>
      </c>
      <c r="G21" s="27">
        <v>347.0</v>
      </c>
      <c r="H21" s="27">
        <f t="shared" ref="H21:I21" si="23">F21-F20</f>
        <v>1.055934516</v>
      </c>
      <c r="I21" s="27">
        <f t="shared" si="23"/>
        <v>-93</v>
      </c>
      <c r="J21" s="66">
        <f t="shared" si="18"/>
        <v>-0.2113636364</v>
      </c>
      <c r="K21" s="66">
        <f t="shared" si="19"/>
        <v>-0.2001673714</v>
      </c>
      <c r="L21" s="29" t="s">
        <v>81</v>
      </c>
    </row>
    <row r="22">
      <c r="A22" s="11" t="s">
        <v>184</v>
      </c>
      <c r="B22" s="11" t="s">
        <v>185</v>
      </c>
      <c r="C22" s="11" t="s">
        <v>186</v>
      </c>
      <c r="D22" s="11" t="s">
        <v>187</v>
      </c>
      <c r="E22" s="11" t="s">
        <v>74</v>
      </c>
      <c r="F22" s="44">
        <v>1998.94270122783</v>
      </c>
      <c r="G22" s="27">
        <v>367.0</v>
      </c>
      <c r="H22" s="27">
        <f t="shared" ref="H22:I22" si="24">F22-F21</f>
        <v>0.8799454297</v>
      </c>
      <c r="I22" s="27">
        <f t="shared" si="24"/>
        <v>20</v>
      </c>
      <c r="J22" s="66">
        <f t="shared" si="18"/>
        <v>0.05763688761</v>
      </c>
      <c r="K22" s="66">
        <f t="shared" si="19"/>
        <v>0.06550052499</v>
      </c>
      <c r="L22" s="29" t="s">
        <v>81</v>
      </c>
    </row>
    <row r="23">
      <c r="A23" s="11" t="s">
        <v>184</v>
      </c>
      <c r="B23" s="11" t="s">
        <v>185</v>
      </c>
      <c r="C23" s="11" t="s">
        <v>186</v>
      </c>
      <c r="D23" s="11" t="s">
        <v>187</v>
      </c>
      <c r="E23" s="11" t="s">
        <v>74</v>
      </c>
      <c r="F23" s="44">
        <v>1999.99863574352</v>
      </c>
      <c r="G23" s="27">
        <v>435.0</v>
      </c>
      <c r="H23" s="27">
        <f t="shared" ref="H23:I23" si="25">F23-F22</f>
        <v>1.055934516</v>
      </c>
      <c r="I23" s="27">
        <f t="shared" si="25"/>
        <v>68</v>
      </c>
      <c r="J23" s="66">
        <f t="shared" si="18"/>
        <v>0.1852861035</v>
      </c>
      <c r="K23" s="66">
        <f t="shared" si="19"/>
        <v>0.1754712066</v>
      </c>
      <c r="L23" s="29" t="s">
        <v>81</v>
      </c>
    </row>
    <row r="24">
      <c r="A24" s="11" t="s">
        <v>184</v>
      </c>
      <c r="B24" s="11" t="s">
        <v>185</v>
      </c>
      <c r="C24" s="11" t="s">
        <v>186</v>
      </c>
      <c r="D24" s="11" t="s">
        <v>187</v>
      </c>
      <c r="E24" s="11" t="s">
        <v>74</v>
      </c>
      <c r="F24" s="44">
        <v>2000.99590723056</v>
      </c>
      <c r="G24" s="27">
        <v>386.0</v>
      </c>
      <c r="H24" s="27">
        <f t="shared" ref="H24:I24" si="26">F24-F23</f>
        <v>0.997271487</v>
      </c>
      <c r="I24" s="27">
        <f t="shared" si="26"/>
        <v>-49</v>
      </c>
      <c r="J24" s="66">
        <f t="shared" si="18"/>
        <v>-0.1126436782</v>
      </c>
      <c r="K24" s="66">
        <f t="shared" si="19"/>
        <v>-0.1129518688</v>
      </c>
      <c r="L24" s="29" t="s">
        <v>81</v>
      </c>
    </row>
    <row r="25">
      <c r="A25" s="11" t="s">
        <v>184</v>
      </c>
      <c r="B25" s="11" t="s">
        <v>185</v>
      </c>
      <c r="C25" s="11" t="s">
        <v>186</v>
      </c>
      <c r="D25" s="11" t="s">
        <v>187</v>
      </c>
      <c r="E25" s="11" t="s">
        <v>74</v>
      </c>
      <c r="F25" s="44">
        <v>2001.9931787176</v>
      </c>
      <c r="G25" s="27">
        <v>313.0</v>
      </c>
      <c r="H25" s="27">
        <f t="shared" ref="H25:I25" si="27">F25-F24</f>
        <v>0.997271487</v>
      </c>
      <c r="I25" s="27">
        <f t="shared" si="27"/>
        <v>-73</v>
      </c>
      <c r="J25" s="66">
        <f t="shared" si="18"/>
        <v>-0.189119171</v>
      </c>
      <c r="K25" s="66">
        <f t="shared" si="19"/>
        <v>-0.1896365969</v>
      </c>
      <c r="L25" s="29" t="s">
        <v>81</v>
      </c>
    </row>
    <row r="26">
      <c r="A26" s="11" t="s">
        <v>184</v>
      </c>
      <c r="B26" s="11" t="s">
        <v>185</v>
      </c>
      <c r="C26" s="11" t="s">
        <v>186</v>
      </c>
      <c r="D26" s="11" t="s">
        <v>187</v>
      </c>
      <c r="E26" s="11" t="s">
        <v>74</v>
      </c>
      <c r="F26" s="44">
        <v>2002.99045020464</v>
      </c>
      <c r="G26" s="27">
        <v>357.0</v>
      </c>
      <c r="H26" s="27">
        <f t="shared" ref="H26:I26" si="28">F26-F25</f>
        <v>0.997271487</v>
      </c>
      <c r="I26" s="27">
        <f t="shared" si="28"/>
        <v>44</v>
      </c>
      <c r="J26" s="66">
        <f t="shared" si="18"/>
        <v>0.1405750799</v>
      </c>
      <c r="K26" s="66">
        <f t="shared" si="19"/>
        <v>0.1409596902</v>
      </c>
      <c r="L26" s="29" t="s">
        <v>81</v>
      </c>
    </row>
    <row r="27">
      <c r="A27" s="11" t="s">
        <v>184</v>
      </c>
      <c r="B27" s="11" t="s">
        <v>185</v>
      </c>
      <c r="C27" s="11" t="s">
        <v>186</v>
      </c>
      <c r="D27" s="11" t="s">
        <v>187</v>
      </c>
      <c r="E27" s="11" t="s">
        <v>74</v>
      </c>
      <c r="F27" s="44">
        <v>2003.98772169168</v>
      </c>
      <c r="G27" s="27">
        <v>366.0</v>
      </c>
      <c r="H27" s="27">
        <f t="shared" ref="H27:I27" si="29">F27-F26</f>
        <v>0.997271487</v>
      </c>
      <c r="I27" s="27">
        <f t="shared" si="29"/>
        <v>9</v>
      </c>
      <c r="J27" s="66">
        <f t="shared" si="18"/>
        <v>0.02521008403</v>
      </c>
      <c r="K27" s="66">
        <f t="shared" si="19"/>
        <v>0.02527905827</v>
      </c>
      <c r="L27" s="29" t="s">
        <v>81</v>
      </c>
    </row>
    <row r="28">
      <c r="A28" s="11" t="s">
        <v>184</v>
      </c>
      <c r="B28" s="11" t="s">
        <v>185</v>
      </c>
      <c r="C28" s="11" t="s">
        <v>186</v>
      </c>
      <c r="D28" s="11" t="s">
        <v>187</v>
      </c>
      <c r="E28" s="11" t="s">
        <v>74</v>
      </c>
      <c r="F28" s="44">
        <v>2004.98499317872</v>
      </c>
      <c r="G28" s="27">
        <v>278.0</v>
      </c>
      <c r="H28" s="27">
        <f t="shared" ref="H28:I28" si="30">F28-F27</f>
        <v>0.997271487</v>
      </c>
      <c r="I28" s="27">
        <f t="shared" si="30"/>
        <v>-88</v>
      </c>
      <c r="J28" s="66">
        <f t="shared" si="18"/>
        <v>-0.2404371585</v>
      </c>
      <c r="K28" s="66">
        <f t="shared" si="19"/>
        <v>-0.2410949893</v>
      </c>
      <c r="L28" s="29" t="s">
        <v>81</v>
      </c>
    </row>
    <row r="29">
      <c r="A29" s="11" t="s">
        <v>184</v>
      </c>
      <c r="B29" s="11" t="s">
        <v>185</v>
      </c>
      <c r="C29" s="11" t="s">
        <v>186</v>
      </c>
      <c r="D29" s="11" t="s">
        <v>187</v>
      </c>
      <c r="E29" s="11" t="s">
        <v>74</v>
      </c>
      <c r="F29" s="44">
        <v>2005.98226466576</v>
      </c>
      <c r="G29" s="27">
        <v>305.0</v>
      </c>
      <c r="H29" s="27">
        <f t="shared" ref="H29:I29" si="31">F29-F28</f>
        <v>0.997271487</v>
      </c>
      <c r="I29" s="27">
        <f t="shared" si="31"/>
        <v>27</v>
      </c>
      <c r="J29" s="66">
        <f t="shared" si="18"/>
        <v>0.09712230216</v>
      </c>
      <c r="K29" s="66">
        <f t="shared" si="19"/>
        <v>0.09738802665</v>
      </c>
      <c r="L29" s="29" t="s">
        <v>81</v>
      </c>
    </row>
    <row r="30">
      <c r="A30" s="11" t="s">
        <v>184</v>
      </c>
      <c r="B30" s="11" t="s">
        <v>185</v>
      </c>
      <c r="C30" s="11" t="s">
        <v>186</v>
      </c>
      <c r="D30" s="11" t="s">
        <v>187</v>
      </c>
      <c r="E30" s="11" t="s">
        <v>74</v>
      </c>
      <c r="F30" s="44">
        <v>2006.9795361528</v>
      </c>
      <c r="G30" s="27">
        <v>375.0</v>
      </c>
      <c r="H30" s="27">
        <f t="shared" ref="H30:I30" si="32">F30-F29</f>
        <v>0.997271487</v>
      </c>
      <c r="I30" s="27">
        <f t="shared" si="32"/>
        <v>70</v>
      </c>
      <c r="J30" s="66">
        <f t="shared" si="18"/>
        <v>0.2295081967</v>
      </c>
      <c r="K30" s="66">
        <f t="shared" si="19"/>
        <v>0.2301361261</v>
      </c>
      <c r="L30" s="29" t="s">
        <v>81</v>
      </c>
    </row>
    <row r="31">
      <c r="A31" s="11" t="s">
        <v>184</v>
      </c>
      <c r="B31" s="11" t="s">
        <v>185</v>
      </c>
      <c r="C31" s="11" t="s">
        <v>186</v>
      </c>
      <c r="D31" s="11" t="s">
        <v>187</v>
      </c>
      <c r="E31" s="11" t="s">
        <v>74</v>
      </c>
      <c r="F31" s="44">
        <v>2007.97680763984</v>
      </c>
      <c r="G31" s="27">
        <v>375.0</v>
      </c>
      <c r="H31" s="27">
        <f t="shared" ref="H31:I31" si="33">F31-F30</f>
        <v>0.997271487</v>
      </c>
      <c r="I31" s="27">
        <f t="shared" si="33"/>
        <v>0</v>
      </c>
      <c r="J31" s="66">
        <f t="shared" si="18"/>
        <v>0</v>
      </c>
      <c r="K31" s="66">
        <f t="shared" si="19"/>
        <v>0</v>
      </c>
      <c r="L31" s="29" t="s">
        <v>81</v>
      </c>
    </row>
    <row r="32">
      <c r="A32" s="11" t="s">
        <v>184</v>
      </c>
      <c r="B32" s="11" t="s">
        <v>185</v>
      </c>
      <c r="C32" s="11" t="s">
        <v>186</v>
      </c>
      <c r="D32" s="11" t="s">
        <v>187</v>
      </c>
      <c r="E32" s="11" t="s">
        <v>74</v>
      </c>
      <c r="F32" s="44">
        <v>2009.03274215553</v>
      </c>
      <c r="G32" s="27">
        <v>321.0</v>
      </c>
      <c r="H32" s="27">
        <f t="shared" ref="H32:I32" si="34">F32-F31</f>
        <v>1.055934516</v>
      </c>
      <c r="I32" s="27">
        <f t="shared" si="34"/>
        <v>-54</v>
      </c>
      <c r="J32" s="66">
        <f t="shared" si="18"/>
        <v>-0.144</v>
      </c>
      <c r="K32" s="66">
        <f t="shared" si="19"/>
        <v>-0.136372093</v>
      </c>
      <c r="L32" s="29" t="s">
        <v>81</v>
      </c>
    </row>
    <row r="33">
      <c r="A33" s="11" t="s">
        <v>184</v>
      </c>
      <c r="B33" s="11" t="s">
        <v>185</v>
      </c>
      <c r="C33" s="11" t="s">
        <v>186</v>
      </c>
      <c r="D33" s="11" t="s">
        <v>187</v>
      </c>
      <c r="E33" s="11" t="s">
        <v>74</v>
      </c>
      <c r="F33" s="44">
        <v>2009.97135061392</v>
      </c>
      <c r="G33" s="27">
        <v>340.0</v>
      </c>
      <c r="H33" s="27">
        <f t="shared" ref="H33:I33" si="35">F33-F32</f>
        <v>0.9386084584</v>
      </c>
      <c r="I33" s="27">
        <f t="shared" si="35"/>
        <v>19</v>
      </c>
      <c r="J33" s="66">
        <f t="shared" si="18"/>
        <v>0.05919003115</v>
      </c>
      <c r="K33" s="66">
        <f t="shared" si="19"/>
        <v>0.06306147214</v>
      </c>
      <c r="L33" s="29" t="s">
        <v>81</v>
      </c>
    </row>
    <row r="34">
      <c r="A34" s="11" t="s">
        <v>184</v>
      </c>
      <c r="B34" s="11" t="s">
        <v>185</v>
      </c>
      <c r="C34" s="11" t="s">
        <v>186</v>
      </c>
      <c r="D34" s="11" t="s">
        <v>187</v>
      </c>
      <c r="E34" s="11" t="s">
        <v>74</v>
      </c>
      <c r="F34" s="27">
        <v>2011.0</v>
      </c>
      <c r="G34" s="27">
        <v>284.0</v>
      </c>
      <c r="H34" s="27">
        <f t="shared" ref="H34:I34" si="36">F34-F33</f>
        <v>1.028649386</v>
      </c>
      <c r="I34" s="27">
        <f t="shared" si="36"/>
        <v>-56</v>
      </c>
      <c r="J34" s="66">
        <f t="shared" si="18"/>
        <v>-0.1647058824</v>
      </c>
      <c r="K34" s="66">
        <f t="shared" si="19"/>
        <v>-0.1601185832</v>
      </c>
      <c r="L34" s="29" t="s">
        <v>81</v>
      </c>
    </row>
    <row r="35">
      <c r="A35" s="11" t="s">
        <v>184</v>
      </c>
      <c r="B35" s="11" t="s">
        <v>185</v>
      </c>
      <c r="C35" s="11" t="s">
        <v>186</v>
      </c>
      <c r="D35" s="11" t="s">
        <v>187</v>
      </c>
      <c r="E35" s="11" t="s">
        <v>74</v>
      </c>
      <c r="F35" s="44">
        <v>2012.02455661664</v>
      </c>
      <c r="G35" s="27">
        <v>312.0</v>
      </c>
      <c r="H35" s="27">
        <f t="shared" ref="H35:I35" si="37">F35-F34</f>
        <v>1.024556617</v>
      </c>
      <c r="I35" s="27">
        <f t="shared" si="37"/>
        <v>28</v>
      </c>
      <c r="J35" s="66">
        <f t="shared" si="18"/>
        <v>0.0985915493</v>
      </c>
      <c r="K35" s="66">
        <f t="shared" si="19"/>
        <v>0.09622850284</v>
      </c>
      <c r="L35" s="29" t="s">
        <v>81</v>
      </c>
    </row>
    <row r="36">
      <c r="A36" s="11" t="s">
        <v>184</v>
      </c>
      <c r="B36" s="11" t="s">
        <v>185</v>
      </c>
      <c r="C36" s="11" t="s">
        <v>186</v>
      </c>
      <c r="D36" s="11" t="s">
        <v>187</v>
      </c>
      <c r="E36" s="11" t="s">
        <v>74</v>
      </c>
      <c r="F36" s="44">
        <v>2013.96043656207</v>
      </c>
      <c r="G36" s="27">
        <v>379.0</v>
      </c>
      <c r="H36" s="27">
        <f t="shared" ref="H36:I36" si="38">F36-F35</f>
        <v>1.935879945</v>
      </c>
      <c r="I36" s="27">
        <f t="shared" si="38"/>
        <v>67</v>
      </c>
      <c r="J36" s="66">
        <f t="shared" si="18"/>
        <v>0.2147435897</v>
      </c>
      <c r="K36" s="66">
        <f t="shared" si="19"/>
        <v>0.1109281545</v>
      </c>
      <c r="L36" s="29" t="s">
        <v>81</v>
      </c>
    </row>
    <row r="37">
      <c r="A37" s="11" t="s">
        <v>184</v>
      </c>
      <c r="B37" s="11" t="s">
        <v>185</v>
      </c>
      <c r="C37" s="11" t="s">
        <v>186</v>
      </c>
      <c r="D37" s="11" t="s">
        <v>187</v>
      </c>
      <c r="E37" s="11" t="s">
        <v>74</v>
      </c>
      <c r="F37" s="44">
        <v>2016.0136425648</v>
      </c>
      <c r="G37" s="27">
        <v>247.0</v>
      </c>
      <c r="H37" s="27">
        <f t="shared" ref="H37:I37" si="39">F37-F36</f>
        <v>2.053206003</v>
      </c>
      <c r="I37" s="27">
        <f t="shared" si="39"/>
        <v>-132</v>
      </c>
      <c r="J37" s="66">
        <f t="shared" si="18"/>
        <v>-0.3482849604</v>
      </c>
      <c r="K37" s="66">
        <f t="shared" si="19"/>
        <v>-0.1696298179</v>
      </c>
      <c r="L37" s="29" t="s">
        <v>81</v>
      </c>
    </row>
    <row r="38">
      <c r="A38" s="11" t="s">
        <v>184</v>
      </c>
      <c r="B38" s="11" t="s">
        <v>185</v>
      </c>
      <c r="C38" s="11" t="s">
        <v>186</v>
      </c>
      <c r="D38" s="11" t="s">
        <v>187</v>
      </c>
      <c r="E38" s="11" t="s">
        <v>74</v>
      </c>
      <c r="F38" s="44">
        <v>2018.00818553888</v>
      </c>
      <c r="G38" s="27">
        <v>269.0</v>
      </c>
      <c r="H38" s="27">
        <f t="shared" ref="H38:I38" si="40">F38-F37</f>
        <v>1.994542974</v>
      </c>
      <c r="I38" s="27">
        <f t="shared" si="40"/>
        <v>22</v>
      </c>
      <c r="J38" s="66">
        <f t="shared" si="18"/>
        <v>0.08906882591</v>
      </c>
      <c r="K38" s="66">
        <f t="shared" si="19"/>
        <v>0.04465625813</v>
      </c>
      <c r="L38" s="29" t="s">
        <v>81</v>
      </c>
    </row>
    <row r="39">
      <c r="A39" s="46" t="s">
        <v>254</v>
      </c>
      <c r="B39" s="46" t="s">
        <v>61</v>
      </c>
      <c r="C39" s="11" t="s">
        <v>256</v>
      </c>
      <c r="D39" s="25" t="s">
        <v>257</v>
      </c>
      <c r="E39" s="46" t="s">
        <v>74</v>
      </c>
      <c r="F39" s="47">
        <v>1991.0</v>
      </c>
      <c r="G39" s="48">
        <v>2582.0</v>
      </c>
      <c r="H39" s="48" t="s">
        <v>188</v>
      </c>
      <c r="I39" s="48" t="s">
        <v>188</v>
      </c>
      <c r="J39" s="78" t="s">
        <v>188</v>
      </c>
      <c r="K39" s="66" t="s">
        <v>188</v>
      </c>
      <c r="L39" s="29" t="s">
        <v>260</v>
      </c>
      <c r="M39" s="51"/>
      <c r="N39" s="51"/>
      <c r="O39" s="51"/>
      <c r="P39" s="51"/>
      <c r="Q39" s="51"/>
      <c r="R39" s="51"/>
      <c r="S39" s="51"/>
      <c r="T39" s="51"/>
      <c r="U39" s="51"/>
      <c r="V39" s="51"/>
      <c r="W39" s="51"/>
      <c r="X39" s="51"/>
      <c r="Y39" s="51"/>
      <c r="Z39" s="51"/>
      <c r="AA39" s="51"/>
      <c r="AB39" s="51"/>
      <c r="AC39" s="51"/>
      <c r="AD39" s="51"/>
      <c r="AE39" s="51"/>
    </row>
    <row r="40">
      <c r="A40" s="46" t="s">
        <v>254</v>
      </c>
      <c r="B40" s="46" t="s">
        <v>61</v>
      </c>
      <c r="C40" s="11" t="s">
        <v>256</v>
      </c>
      <c r="D40" s="25" t="s">
        <v>257</v>
      </c>
      <c r="E40" s="46" t="s">
        <v>74</v>
      </c>
      <c r="F40" s="47">
        <v>1993.0</v>
      </c>
      <c r="G40" s="48">
        <v>2644.0</v>
      </c>
      <c r="H40" s="48">
        <f t="shared" ref="H40:I40" si="41">F40-F39</f>
        <v>2</v>
      </c>
      <c r="I40" s="48">
        <f t="shared" si="41"/>
        <v>62</v>
      </c>
      <c r="J40" s="78">
        <f t="shared" ref="J40:J45" si="43">I40/G39</f>
        <v>0.02401239349</v>
      </c>
      <c r="K40" s="66">
        <f t="shared" ref="K40:K45" si="44">J40/H40</f>
        <v>0.01200619675</v>
      </c>
      <c r="L40" s="29" t="s">
        <v>260</v>
      </c>
      <c r="M40" s="51"/>
      <c r="N40" s="51"/>
      <c r="O40" s="51"/>
      <c r="P40" s="51"/>
      <c r="Q40" s="51"/>
      <c r="R40" s="51"/>
      <c r="S40" s="51"/>
      <c r="T40" s="51"/>
      <c r="U40" s="51"/>
      <c r="V40" s="51"/>
      <c r="W40" s="51"/>
      <c r="X40" s="51"/>
      <c r="Y40" s="51"/>
      <c r="Z40" s="51"/>
      <c r="AA40" s="51"/>
      <c r="AB40" s="51"/>
      <c r="AC40" s="51"/>
      <c r="AD40" s="51"/>
      <c r="AE40" s="51"/>
    </row>
    <row r="41">
      <c r="A41" s="46" t="s">
        <v>254</v>
      </c>
      <c r="B41" s="46" t="s">
        <v>61</v>
      </c>
      <c r="C41" s="11" t="s">
        <v>256</v>
      </c>
      <c r="D41" s="25" t="s">
        <v>257</v>
      </c>
      <c r="E41" s="46" t="s">
        <v>74</v>
      </c>
      <c r="F41" s="47">
        <v>1996.0</v>
      </c>
      <c r="G41" s="48">
        <v>2948.0</v>
      </c>
      <c r="H41" s="48">
        <f t="shared" ref="H41:I41" si="42">F41-F40</f>
        <v>3</v>
      </c>
      <c r="I41" s="48">
        <f t="shared" si="42"/>
        <v>304</v>
      </c>
      <c r="J41" s="78">
        <f t="shared" si="43"/>
        <v>0.1149773071</v>
      </c>
      <c r="K41" s="66">
        <f t="shared" si="44"/>
        <v>0.03832576904</v>
      </c>
      <c r="L41" s="29" t="s">
        <v>260</v>
      </c>
      <c r="M41" s="51"/>
      <c r="N41" s="51"/>
      <c r="O41" s="51"/>
      <c r="P41" s="51"/>
      <c r="Q41" s="51"/>
      <c r="R41" s="51"/>
      <c r="S41" s="51"/>
      <c r="T41" s="51"/>
      <c r="U41" s="51"/>
      <c r="V41" s="51"/>
      <c r="W41" s="51"/>
      <c r="X41" s="51"/>
      <c r="Y41" s="51"/>
      <c r="Z41" s="51"/>
      <c r="AA41" s="51"/>
      <c r="AB41" s="51"/>
      <c r="AC41" s="51"/>
      <c r="AD41" s="51"/>
      <c r="AE41" s="51"/>
    </row>
    <row r="42">
      <c r="A42" s="46" t="s">
        <v>254</v>
      </c>
      <c r="B42" s="46" t="s">
        <v>61</v>
      </c>
      <c r="C42" s="11" t="s">
        <v>256</v>
      </c>
      <c r="D42" s="25" t="s">
        <v>257</v>
      </c>
      <c r="E42" s="46" t="s">
        <v>74</v>
      </c>
      <c r="F42" s="47">
        <v>2001.0</v>
      </c>
      <c r="G42" s="48">
        <v>961.0</v>
      </c>
      <c r="H42" s="48">
        <f t="shared" ref="H42:I42" si="45">F42-F41</f>
        <v>5</v>
      </c>
      <c r="I42" s="48">
        <f t="shared" si="45"/>
        <v>-1987</v>
      </c>
      <c r="J42" s="78">
        <f t="shared" si="43"/>
        <v>-0.6740162822</v>
      </c>
      <c r="K42" s="66">
        <f t="shared" si="44"/>
        <v>-0.1348032564</v>
      </c>
      <c r="L42" s="29" t="s">
        <v>260</v>
      </c>
      <c r="M42" s="51"/>
      <c r="N42" s="51"/>
      <c r="O42" s="51"/>
      <c r="P42" s="51"/>
      <c r="Q42" s="51"/>
      <c r="R42" s="51"/>
      <c r="S42" s="51"/>
      <c r="T42" s="51"/>
      <c r="U42" s="51"/>
      <c r="V42" s="51"/>
      <c r="W42" s="51"/>
      <c r="X42" s="51"/>
      <c r="Y42" s="51"/>
      <c r="Z42" s="51"/>
      <c r="AA42" s="51"/>
      <c r="AB42" s="51"/>
      <c r="AC42" s="51"/>
      <c r="AD42" s="51"/>
      <c r="AE42" s="51"/>
    </row>
    <row r="43">
      <c r="A43" s="46" t="s">
        <v>254</v>
      </c>
      <c r="B43" s="46" t="s">
        <v>61</v>
      </c>
      <c r="C43" s="11" t="s">
        <v>256</v>
      </c>
      <c r="D43" s="25" t="s">
        <v>257</v>
      </c>
      <c r="E43" s="46" t="s">
        <v>74</v>
      </c>
      <c r="F43" s="47">
        <v>2005.0</v>
      </c>
      <c r="G43" s="48">
        <v>1460.0</v>
      </c>
      <c r="H43" s="48">
        <f t="shared" ref="H43:I43" si="46">F43-F42</f>
        <v>4</v>
      </c>
      <c r="I43" s="48">
        <f t="shared" si="46"/>
        <v>499</v>
      </c>
      <c r="J43" s="78">
        <f t="shared" si="43"/>
        <v>0.5192507804</v>
      </c>
      <c r="K43" s="66">
        <f t="shared" si="44"/>
        <v>0.1298126951</v>
      </c>
      <c r="L43" s="29" t="s">
        <v>260</v>
      </c>
      <c r="M43" s="51"/>
      <c r="N43" s="51"/>
      <c r="O43" s="51"/>
      <c r="P43" s="51"/>
      <c r="Q43" s="51"/>
      <c r="R43" s="51"/>
      <c r="S43" s="51"/>
      <c r="T43" s="51"/>
      <c r="U43" s="51"/>
      <c r="V43" s="51"/>
      <c r="W43" s="51"/>
      <c r="X43" s="51"/>
      <c r="Y43" s="51"/>
      <c r="Z43" s="51"/>
      <c r="AA43" s="51"/>
      <c r="AB43" s="51"/>
      <c r="AC43" s="51"/>
      <c r="AD43" s="51"/>
      <c r="AE43" s="51"/>
    </row>
    <row r="44">
      <c r="A44" s="46" t="s">
        <v>254</v>
      </c>
      <c r="B44" s="46" t="s">
        <v>61</v>
      </c>
      <c r="C44" s="11" t="s">
        <v>256</v>
      </c>
      <c r="D44" s="25" t="s">
        <v>257</v>
      </c>
      <c r="E44" s="46" t="s">
        <v>74</v>
      </c>
      <c r="F44" s="47">
        <v>2008.0</v>
      </c>
      <c r="G44" s="48">
        <v>875.0</v>
      </c>
      <c r="H44" s="48">
        <f t="shared" ref="H44:I44" si="47">F44-F43</f>
        <v>3</v>
      </c>
      <c r="I44" s="48">
        <f t="shared" si="47"/>
        <v>-585</v>
      </c>
      <c r="J44" s="78">
        <f t="shared" si="43"/>
        <v>-0.4006849315</v>
      </c>
      <c r="K44" s="66">
        <f t="shared" si="44"/>
        <v>-0.1335616438</v>
      </c>
      <c r="L44" s="29" t="s">
        <v>260</v>
      </c>
      <c r="M44" s="51"/>
      <c r="N44" s="51"/>
      <c r="O44" s="51"/>
      <c r="P44" s="51"/>
      <c r="Q44" s="51"/>
      <c r="R44" s="51"/>
      <c r="S44" s="51"/>
      <c r="T44" s="51"/>
      <c r="U44" s="51"/>
      <c r="V44" s="51"/>
      <c r="W44" s="51"/>
      <c r="X44" s="51"/>
      <c r="Y44" s="51"/>
      <c r="Z44" s="51"/>
      <c r="AA44" s="51"/>
      <c r="AB44" s="51"/>
      <c r="AC44" s="51"/>
      <c r="AD44" s="51"/>
      <c r="AE44" s="51"/>
    </row>
    <row r="45">
      <c r="A45" s="54" t="s">
        <v>254</v>
      </c>
      <c r="B45" s="54" t="s">
        <v>61</v>
      </c>
      <c r="C45" s="11" t="s">
        <v>256</v>
      </c>
      <c r="D45" s="11" t="s">
        <v>257</v>
      </c>
      <c r="E45" s="54" t="s">
        <v>74</v>
      </c>
      <c r="F45" s="56">
        <v>2014.0</v>
      </c>
      <c r="G45" s="27">
        <v>1483.0</v>
      </c>
      <c r="H45" s="48">
        <f t="shared" ref="H45:I45" si="48">F45-F44</f>
        <v>6</v>
      </c>
      <c r="I45" s="48">
        <f t="shared" si="48"/>
        <v>608</v>
      </c>
      <c r="J45" s="78">
        <f t="shared" si="43"/>
        <v>0.6948571429</v>
      </c>
      <c r="K45" s="66">
        <f t="shared" si="44"/>
        <v>0.1158095238</v>
      </c>
      <c r="L45" s="29" t="s">
        <v>260</v>
      </c>
    </row>
    <row r="46">
      <c r="A46" s="54" t="s">
        <v>254</v>
      </c>
      <c r="B46" s="11" t="s">
        <v>291</v>
      </c>
      <c r="C46" s="11" t="s">
        <v>256</v>
      </c>
      <c r="D46" s="11" t="s">
        <v>157</v>
      </c>
      <c r="E46" s="11" t="s">
        <v>158</v>
      </c>
      <c r="F46" s="11">
        <v>1996.0</v>
      </c>
      <c r="G46" s="41">
        <v>1946.0</v>
      </c>
      <c r="H46" s="84" t="s">
        <v>188</v>
      </c>
      <c r="I46" s="84" t="s">
        <v>188</v>
      </c>
      <c r="J46" s="85" t="s">
        <v>188</v>
      </c>
      <c r="K46" s="66" t="s">
        <v>188</v>
      </c>
      <c r="L46" s="42" t="s">
        <v>160</v>
      </c>
    </row>
    <row r="47">
      <c r="A47" s="54" t="s">
        <v>254</v>
      </c>
      <c r="B47" s="11" t="s">
        <v>291</v>
      </c>
      <c r="C47" s="11" t="s">
        <v>256</v>
      </c>
      <c r="D47" s="11" t="s">
        <v>157</v>
      </c>
      <c r="E47" s="11" t="s">
        <v>158</v>
      </c>
      <c r="F47" s="11">
        <v>2001.0</v>
      </c>
      <c r="G47" s="41">
        <v>1657.0</v>
      </c>
      <c r="H47" s="41">
        <f t="shared" ref="H47:I47" si="49">F47-F46</f>
        <v>5</v>
      </c>
      <c r="I47" s="41">
        <f t="shared" si="49"/>
        <v>-289</v>
      </c>
      <c r="J47" s="73">
        <f t="shared" ref="J47:J51" si="51">I47/G46</f>
        <v>-0.1485097636</v>
      </c>
      <c r="K47" s="66">
        <f t="shared" ref="K47:K51" si="52">J47/H47</f>
        <v>-0.02970195272</v>
      </c>
      <c r="L47" s="42" t="s">
        <v>160</v>
      </c>
    </row>
    <row r="48">
      <c r="A48" s="54" t="s">
        <v>254</v>
      </c>
      <c r="B48" s="11" t="s">
        <v>291</v>
      </c>
      <c r="C48" s="11" t="s">
        <v>256</v>
      </c>
      <c r="D48" s="11" t="s">
        <v>157</v>
      </c>
      <c r="E48" s="11" t="s">
        <v>158</v>
      </c>
      <c r="F48" s="11">
        <v>2005.0</v>
      </c>
      <c r="G48" s="41">
        <v>1042.0</v>
      </c>
      <c r="H48" s="41">
        <f t="shared" ref="H48:I48" si="50">F48-F47</f>
        <v>4</v>
      </c>
      <c r="I48" s="41">
        <f t="shared" si="50"/>
        <v>-615</v>
      </c>
      <c r="J48" s="73">
        <f t="shared" si="51"/>
        <v>-0.3711526856</v>
      </c>
      <c r="K48" s="66">
        <f t="shared" si="52"/>
        <v>-0.09278817139</v>
      </c>
      <c r="L48" s="42" t="s">
        <v>160</v>
      </c>
    </row>
    <row r="49">
      <c r="A49" s="54" t="s">
        <v>254</v>
      </c>
      <c r="B49" s="11" t="s">
        <v>291</v>
      </c>
      <c r="C49" s="11" t="s">
        <v>256</v>
      </c>
      <c r="D49" s="11" t="s">
        <v>157</v>
      </c>
      <c r="E49" s="11" t="s">
        <v>158</v>
      </c>
      <c r="F49" s="11">
        <v>2008.0</v>
      </c>
      <c r="G49" s="11">
        <v>919.0</v>
      </c>
      <c r="H49" s="41">
        <f t="shared" ref="H49:I49" si="53">F49-F48</f>
        <v>3</v>
      </c>
      <c r="I49" s="41">
        <f t="shared" si="53"/>
        <v>-123</v>
      </c>
      <c r="J49" s="73">
        <f t="shared" si="51"/>
        <v>-0.1180422265</v>
      </c>
      <c r="K49" s="66">
        <f t="shared" si="52"/>
        <v>-0.03934740883</v>
      </c>
      <c r="L49" s="42" t="s">
        <v>160</v>
      </c>
    </row>
    <row r="50">
      <c r="A50" s="54" t="s">
        <v>254</v>
      </c>
      <c r="B50" s="11" t="s">
        <v>291</v>
      </c>
      <c r="C50" s="11" t="s">
        <v>256</v>
      </c>
      <c r="D50" s="11" t="s">
        <v>157</v>
      </c>
      <c r="E50" s="11" t="s">
        <v>158</v>
      </c>
      <c r="F50" s="11">
        <v>2014.0</v>
      </c>
      <c r="G50" s="41">
        <v>1077.0</v>
      </c>
      <c r="H50" s="41">
        <f t="shared" ref="H50:I50" si="54">F50-F49</f>
        <v>6</v>
      </c>
      <c r="I50" s="41">
        <f t="shared" si="54"/>
        <v>158</v>
      </c>
      <c r="J50" s="73">
        <f t="shared" si="51"/>
        <v>0.1719260065</v>
      </c>
      <c r="K50" s="66">
        <f t="shared" si="52"/>
        <v>0.02865433442</v>
      </c>
      <c r="L50" s="42" t="s">
        <v>160</v>
      </c>
    </row>
    <row r="51">
      <c r="A51" s="54" t="s">
        <v>254</v>
      </c>
      <c r="B51" s="11" t="s">
        <v>291</v>
      </c>
      <c r="C51" s="11" t="s">
        <v>256</v>
      </c>
      <c r="D51" s="11" t="s">
        <v>157</v>
      </c>
      <c r="E51" s="11" t="s">
        <v>158</v>
      </c>
      <c r="F51" s="11">
        <v>2018.0</v>
      </c>
      <c r="G51" s="11">
        <v>670.0</v>
      </c>
      <c r="H51" s="41">
        <f t="shared" ref="H51:I51" si="55">F51-F50</f>
        <v>4</v>
      </c>
      <c r="I51" s="41">
        <f t="shared" si="55"/>
        <v>-407</v>
      </c>
      <c r="J51" s="73">
        <f t="shared" si="51"/>
        <v>-0.3779015785</v>
      </c>
      <c r="K51" s="66">
        <f t="shared" si="52"/>
        <v>-0.09447539461</v>
      </c>
      <c r="L51" s="42" t="s">
        <v>160</v>
      </c>
    </row>
    <row r="52">
      <c r="A52" s="54" t="s">
        <v>254</v>
      </c>
      <c r="B52" s="11" t="s">
        <v>291</v>
      </c>
      <c r="C52" s="11" t="s">
        <v>256</v>
      </c>
      <c r="D52" s="11" t="s">
        <v>299</v>
      </c>
      <c r="E52" s="11" t="s">
        <v>158</v>
      </c>
      <c r="F52" s="11">
        <v>1986.0</v>
      </c>
      <c r="G52" s="11" t="s">
        <v>188</v>
      </c>
      <c r="H52" s="11" t="s">
        <v>188</v>
      </c>
      <c r="I52" s="11" t="s">
        <v>188</v>
      </c>
      <c r="J52" s="73" t="s">
        <v>188</v>
      </c>
      <c r="K52" s="66" t="s">
        <v>188</v>
      </c>
      <c r="L52" s="42" t="s">
        <v>160</v>
      </c>
    </row>
    <row r="53">
      <c r="A53" s="54" t="s">
        <v>254</v>
      </c>
      <c r="B53" s="11" t="s">
        <v>291</v>
      </c>
      <c r="C53" s="11" t="s">
        <v>256</v>
      </c>
      <c r="D53" s="11" t="s">
        <v>299</v>
      </c>
      <c r="E53" s="11" t="s">
        <v>158</v>
      </c>
      <c r="F53" s="11">
        <v>1987.0</v>
      </c>
      <c r="G53" s="11" t="s">
        <v>188</v>
      </c>
      <c r="H53" s="11" t="s">
        <v>188</v>
      </c>
      <c r="I53" s="11" t="s">
        <v>188</v>
      </c>
      <c r="J53" s="73" t="s">
        <v>188</v>
      </c>
      <c r="K53" s="66" t="s">
        <v>188</v>
      </c>
      <c r="L53" s="42" t="s">
        <v>160</v>
      </c>
    </row>
    <row r="54">
      <c r="A54" s="54" t="s">
        <v>254</v>
      </c>
      <c r="B54" s="11" t="s">
        <v>291</v>
      </c>
      <c r="C54" s="11" t="s">
        <v>256</v>
      </c>
      <c r="D54" s="11" t="s">
        <v>299</v>
      </c>
      <c r="E54" s="11" t="s">
        <v>158</v>
      </c>
      <c r="F54" s="11">
        <v>1988.0</v>
      </c>
      <c r="G54" s="11" t="s">
        <v>188</v>
      </c>
      <c r="H54" s="11" t="s">
        <v>188</v>
      </c>
      <c r="I54" s="11" t="s">
        <v>188</v>
      </c>
      <c r="J54" s="73" t="s">
        <v>188</v>
      </c>
      <c r="K54" s="66" t="s">
        <v>188</v>
      </c>
      <c r="L54" s="42" t="s">
        <v>160</v>
      </c>
    </row>
    <row r="55">
      <c r="A55" s="54" t="s">
        <v>254</v>
      </c>
      <c r="B55" s="11" t="s">
        <v>291</v>
      </c>
      <c r="C55" s="11" t="s">
        <v>256</v>
      </c>
      <c r="D55" s="11" t="s">
        <v>299</v>
      </c>
      <c r="E55" s="11" t="s">
        <v>158</v>
      </c>
      <c r="F55" s="11">
        <v>1989.0</v>
      </c>
      <c r="G55" s="11">
        <v>742.0</v>
      </c>
      <c r="H55" s="11" t="s">
        <v>188</v>
      </c>
      <c r="I55" s="11" t="s">
        <v>188</v>
      </c>
      <c r="J55" s="73" t="s">
        <v>188</v>
      </c>
      <c r="K55" s="66" t="s">
        <v>188</v>
      </c>
      <c r="L55" s="42" t="s">
        <v>160</v>
      </c>
    </row>
    <row r="56">
      <c r="A56" s="54" t="s">
        <v>254</v>
      </c>
      <c r="B56" s="11" t="s">
        <v>291</v>
      </c>
      <c r="C56" s="11" t="s">
        <v>256</v>
      </c>
      <c r="D56" s="11" t="s">
        <v>299</v>
      </c>
      <c r="E56" s="11" t="s">
        <v>158</v>
      </c>
      <c r="F56" s="11">
        <v>1990.0</v>
      </c>
      <c r="G56" s="11">
        <v>588.0</v>
      </c>
      <c r="H56" s="11">
        <f t="shared" ref="H56:I56" si="56">F56-F55</f>
        <v>1</v>
      </c>
      <c r="I56" s="11">
        <f t="shared" si="56"/>
        <v>-154</v>
      </c>
      <c r="J56" s="73">
        <f t="shared" ref="J56:J84" si="58">I56/G55</f>
        <v>-0.2075471698</v>
      </c>
      <c r="K56" s="66">
        <f t="shared" ref="K56:K84" si="59">J56/H56</f>
        <v>-0.2075471698</v>
      </c>
      <c r="L56" s="42" t="s">
        <v>160</v>
      </c>
    </row>
    <row r="57">
      <c r="A57" s="54" t="s">
        <v>254</v>
      </c>
      <c r="B57" s="11" t="s">
        <v>291</v>
      </c>
      <c r="C57" s="11" t="s">
        <v>256</v>
      </c>
      <c r="D57" s="11" t="s">
        <v>299</v>
      </c>
      <c r="E57" s="11" t="s">
        <v>158</v>
      </c>
      <c r="F57" s="11">
        <v>1991.0</v>
      </c>
      <c r="G57" s="11">
        <v>641.0</v>
      </c>
      <c r="H57" s="11">
        <f t="shared" ref="H57:I57" si="57">F57-F56</f>
        <v>1</v>
      </c>
      <c r="I57" s="11">
        <f t="shared" si="57"/>
        <v>53</v>
      </c>
      <c r="J57" s="73">
        <f t="shared" si="58"/>
        <v>0.09013605442</v>
      </c>
      <c r="K57" s="66">
        <f t="shared" si="59"/>
        <v>0.09013605442</v>
      </c>
      <c r="L57" s="42" t="s">
        <v>160</v>
      </c>
    </row>
    <row r="58">
      <c r="A58" s="54" t="s">
        <v>254</v>
      </c>
      <c r="B58" s="11" t="s">
        <v>291</v>
      </c>
      <c r="C58" s="11" t="s">
        <v>256</v>
      </c>
      <c r="D58" s="11" t="s">
        <v>299</v>
      </c>
      <c r="E58" s="11" t="s">
        <v>158</v>
      </c>
      <c r="F58" s="11">
        <v>1992.0</v>
      </c>
      <c r="G58" s="41">
        <v>1050.0</v>
      </c>
      <c r="H58" s="11">
        <f t="shared" ref="H58:I58" si="60">F58-F57</f>
        <v>1</v>
      </c>
      <c r="I58" s="41">
        <f t="shared" si="60"/>
        <v>409</v>
      </c>
      <c r="J58" s="73">
        <f t="shared" si="58"/>
        <v>0.6380655226</v>
      </c>
      <c r="K58" s="66">
        <f t="shared" si="59"/>
        <v>0.6380655226</v>
      </c>
      <c r="L58" s="42" t="s">
        <v>160</v>
      </c>
    </row>
    <row r="59">
      <c r="A59" s="54" t="s">
        <v>254</v>
      </c>
      <c r="B59" s="11" t="s">
        <v>291</v>
      </c>
      <c r="C59" s="11" t="s">
        <v>256</v>
      </c>
      <c r="D59" s="11" t="s">
        <v>299</v>
      </c>
      <c r="E59" s="11" t="s">
        <v>158</v>
      </c>
      <c r="F59" s="11">
        <v>1993.0</v>
      </c>
      <c r="G59" s="11">
        <v>980.0</v>
      </c>
      <c r="H59" s="11">
        <f t="shared" ref="H59:I59" si="61">F59-F58</f>
        <v>1</v>
      </c>
      <c r="I59" s="41">
        <f t="shared" si="61"/>
        <v>-70</v>
      </c>
      <c r="J59" s="73">
        <f t="shared" si="58"/>
        <v>-0.06666666667</v>
      </c>
      <c r="K59" s="66">
        <f t="shared" si="59"/>
        <v>-0.06666666667</v>
      </c>
      <c r="L59" s="42" t="s">
        <v>160</v>
      </c>
    </row>
    <row r="60">
      <c r="A60" s="54" t="s">
        <v>254</v>
      </c>
      <c r="B60" s="11" t="s">
        <v>291</v>
      </c>
      <c r="C60" s="11" t="s">
        <v>256</v>
      </c>
      <c r="D60" s="11" t="s">
        <v>299</v>
      </c>
      <c r="E60" s="11" t="s">
        <v>158</v>
      </c>
      <c r="F60" s="11">
        <v>1994.0</v>
      </c>
      <c r="G60" s="41">
        <v>1361.0</v>
      </c>
      <c r="H60" s="11">
        <f t="shared" ref="H60:I60" si="62">F60-F59</f>
        <v>1</v>
      </c>
      <c r="I60" s="41">
        <f t="shared" si="62"/>
        <v>381</v>
      </c>
      <c r="J60" s="73">
        <f t="shared" si="58"/>
        <v>0.3887755102</v>
      </c>
      <c r="K60" s="66">
        <f t="shared" si="59"/>
        <v>0.3887755102</v>
      </c>
      <c r="L60" s="42" t="s">
        <v>160</v>
      </c>
    </row>
    <row r="61">
      <c r="A61" s="54" t="s">
        <v>254</v>
      </c>
      <c r="B61" s="11" t="s">
        <v>291</v>
      </c>
      <c r="C61" s="11" t="s">
        <v>256</v>
      </c>
      <c r="D61" s="11" t="s">
        <v>299</v>
      </c>
      <c r="E61" s="11" t="s">
        <v>158</v>
      </c>
      <c r="F61" s="11">
        <v>1995.0</v>
      </c>
      <c r="G61" s="41">
        <v>1335.0</v>
      </c>
      <c r="H61" s="11">
        <f t="shared" ref="H61:I61" si="63">F61-F60</f>
        <v>1</v>
      </c>
      <c r="I61" s="41">
        <f t="shared" si="63"/>
        <v>-26</v>
      </c>
      <c r="J61" s="73">
        <f t="shared" si="58"/>
        <v>-0.01910360029</v>
      </c>
      <c r="K61" s="66">
        <f t="shared" si="59"/>
        <v>-0.01910360029</v>
      </c>
      <c r="L61" s="42" t="s">
        <v>160</v>
      </c>
    </row>
    <row r="62">
      <c r="A62" s="54" t="s">
        <v>254</v>
      </c>
      <c r="B62" s="11" t="s">
        <v>291</v>
      </c>
      <c r="C62" s="11" t="s">
        <v>256</v>
      </c>
      <c r="D62" s="11" t="s">
        <v>299</v>
      </c>
      <c r="E62" s="11" t="s">
        <v>158</v>
      </c>
      <c r="F62" s="11">
        <v>1996.0</v>
      </c>
      <c r="G62" s="41">
        <v>1502.0</v>
      </c>
      <c r="H62" s="11">
        <f t="shared" ref="H62:I62" si="64">F62-F61</f>
        <v>1</v>
      </c>
      <c r="I62" s="41">
        <f t="shared" si="64"/>
        <v>167</v>
      </c>
      <c r="J62" s="73">
        <f t="shared" si="58"/>
        <v>0.125093633</v>
      </c>
      <c r="K62" s="66">
        <f t="shared" si="59"/>
        <v>0.125093633</v>
      </c>
      <c r="L62" s="42" t="s">
        <v>160</v>
      </c>
    </row>
    <row r="63">
      <c r="A63" s="54" t="s">
        <v>254</v>
      </c>
      <c r="B63" s="11" t="s">
        <v>291</v>
      </c>
      <c r="C63" s="11" t="s">
        <v>256</v>
      </c>
      <c r="D63" s="11" t="s">
        <v>299</v>
      </c>
      <c r="E63" s="11" t="s">
        <v>158</v>
      </c>
      <c r="F63" s="11">
        <v>1997.0</v>
      </c>
      <c r="G63" s="41">
        <v>1224.0</v>
      </c>
      <c r="H63" s="11">
        <f t="shared" ref="H63:I63" si="65">F63-F62</f>
        <v>1</v>
      </c>
      <c r="I63" s="41">
        <f t="shared" si="65"/>
        <v>-278</v>
      </c>
      <c r="J63" s="73">
        <f t="shared" si="58"/>
        <v>-0.1850865513</v>
      </c>
      <c r="K63" s="66">
        <f t="shared" si="59"/>
        <v>-0.1850865513</v>
      </c>
      <c r="L63" s="42" t="s">
        <v>160</v>
      </c>
    </row>
    <row r="64">
      <c r="A64" s="54" t="s">
        <v>254</v>
      </c>
      <c r="B64" s="11" t="s">
        <v>291</v>
      </c>
      <c r="C64" s="11" t="s">
        <v>256</v>
      </c>
      <c r="D64" s="11" t="s">
        <v>299</v>
      </c>
      <c r="E64" s="11" t="s">
        <v>158</v>
      </c>
      <c r="F64" s="11">
        <v>1998.0</v>
      </c>
      <c r="G64" s="41">
        <v>1422.0</v>
      </c>
      <c r="H64" s="11">
        <f t="shared" ref="H64:I64" si="66">F64-F63</f>
        <v>1</v>
      </c>
      <c r="I64" s="41">
        <f t="shared" si="66"/>
        <v>198</v>
      </c>
      <c r="J64" s="73">
        <f t="shared" si="58"/>
        <v>0.1617647059</v>
      </c>
      <c r="K64" s="66">
        <f t="shared" si="59"/>
        <v>0.1617647059</v>
      </c>
      <c r="L64" s="42" t="s">
        <v>160</v>
      </c>
    </row>
    <row r="65">
      <c r="A65" s="54" t="s">
        <v>254</v>
      </c>
      <c r="B65" s="11" t="s">
        <v>291</v>
      </c>
      <c r="C65" s="11" t="s">
        <v>256</v>
      </c>
      <c r="D65" s="11" t="s">
        <v>299</v>
      </c>
      <c r="E65" s="11" t="s">
        <v>158</v>
      </c>
      <c r="F65" s="11">
        <v>1999.0</v>
      </c>
      <c r="G65" s="41">
        <v>1260.0</v>
      </c>
      <c r="H65" s="11">
        <f t="shared" ref="H65:I65" si="67">F65-F64</f>
        <v>1</v>
      </c>
      <c r="I65" s="41">
        <f t="shared" si="67"/>
        <v>-162</v>
      </c>
      <c r="J65" s="73">
        <f t="shared" si="58"/>
        <v>-0.1139240506</v>
      </c>
      <c r="K65" s="66">
        <f t="shared" si="59"/>
        <v>-0.1139240506</v>
      </c>
      <c r="L65" s="42" t="s">
        <v>160</v>
      </c>
    </row>
    <row r="66">
      <c r="A66" s="54" t="s">
        <v>254</v>
      </c>
      <c r="B66" s="11" t="s">
        <v>291</v>
      </c>
      <c r="C66" s="11" t="s">
        <v>256</v>
      </c>
      <c r="D66" s="11" t="s">
        <v>299</v>
      </c>
      <c r="E66" s="11" t="s">
        <v>158</v>
      </c>
      <c r="F66" s="11">
        <v>2000.0</v>
      </c>
      <c r="G66" s="41">
        <v>1072.0</v>
      </c>
      <c r="H66" s="11">
        <f t="shared" ref="H66:I66" si="68">F66-F65</f>
        <v>1</v>
      </c>
      <c r="I66" s="41">
        <f t="shared" si="68"/>
        <v>-188</v>
      </c>
      <c r="J66" s="73">
        <f t="shared" si="58"/>
        <v>-0.1492063492</v>
      </c>
      <c r="K66" s="66">
        <f t="shared" si="59"/>
        <v>-0.1492063492</v>
      </c>
      <c r="L66" s="42" t="s">
        <v>160</v>
      </c>
    </row>
    <row r="67">
      <c r="A67" s="54" t="s">
        <v>254</v>
      </c>
      <c r="B67" s="11" t="s">
        <v>291</v>
      </c>
      <c r="C67" s="11" t="s">
        <v>256</v>
      </c>
      <c r="D67" s="11" t="s">
        <v>299</v>
      </c>
      <c r="E67" s="11" t="s">
        <v>158</v>
      </c>
      <c r="F67" s="11">
        <v>2001.0</v>
      </c>
      <c r="G67" s="41">
        <v>1158.0</v>
      </c>
      <c r="H67" s="11">
        <f t="shared" ref="H67:I67" si="69">F67-F66</f>
        <v>1</v>
      </c>
      <c r="I67" s="41">
        <f t="shared" si="69"/>
        <v>86</v>
      </c>
      <c r="J67" s="73">
        <f t="shared" si="58"/>
        <v>0.0802238806</v>
      </c>
      <c r="K67" s="66">
        <f t="shared" si="59"/>
        <v>0.0802238806</v>
      </c>
      <c r="L67" s="42" t="s">
        <v>160</v>
      </c>
    </row>
    <row r="68">
      <c r="A68" s="54" t="s">
        <v>254</v>
      </c>
      <c r="B68" s="11" t="s">
        <v>291</v>
      </c>
      <c r="C68" s="11" t="s">
        <v>256</v>
      </c>
      <c r="D68" s="11" t="s">
        <v>299</v>
      </c>
      <c r="E68" s="11" t="s">
        <v>158</v>
      </c>
      <c r="F68" s="11">
        <v>2002.0</v>
      </c>
      <c r="G68" s="41">
        <v>1343.0</v>
      </c>
      <c r="H68" s="11">
        <f t="shared" ref="H68:I68" si="70">F68-F67</f>
        <v>1</v>
      </c>
      <c r="I68" s="41">
        <f t="shared" si="70"/>
        <v>185</v>
      </c>
      <c r="J68" s="73">
        <f t="shared" si="58"/>
        <v>0.1597582038</v>
      </c>
      <c r="K68" s="66">
        <f t="shared" si="59"/>
        <v>0.1597582038</v>
      </c>
      <c r="L68" s="42" t="s">
        <v>160</v>
      </c>
    </row>
    <row r="69">
      <c r="A69" s="54" t="s">
        <v>254</v>
      </c>
      <c r="B69" s="11" t="s">
        <v>291</v>
      </c>
      <c r="C69" s="11" t="s">
        <v>256</v>
      </c>
      <c r="D69" s="11" t="s">
        <v>299</v>
      </c>
      <c r="E69" s="11" t="s">
        <v>158</v>
      </c>
      <c r="F69" s="11">
        <v>2003.0</v>
      </c>
      <c r="G69" s="41">
        <v>1224.0</v>
      </c>
      <c r="H69" s="11">
        <f t="shared" ref="H69:I69" si="71">F69-F68</f>
        <v>1</v>
      </c>
      <c r="I69" s="41">
        <f t="shared" si="71"/>
        <v>-119</v>
      </c>
      <c r="J69" s="73">
        <f t="shared" si="58"/>
        <v>-0.08860759494</v>
      </c>
      <c r="K69" s="66">
        <f t="shared" si="59"/>
        <v>-0.08860759494</v>
      </c>
      <c r="L69" s="42" t="s">
        <v>160</v>
      </c>
    </row>
    <row r="70">
      <c r="A70" s="54" t="s">
        <v>254</v>
      </c>
      <c r="B70" s="11" t="s">
        <v>291</v>
      </c>
      <c r="C70" s="11" t="s">
        <v>256</v>
      </c>
      <c r="D70" s="11" t="s">
        <v>299</v>
      </c>
      <c r="E70" s="11" t="s">
        <v>158</v>
      </c>
      <c r="F70" s="11">
        <v>2004.0</v>
      </c>
      <c r="G70" s="41">
        <v>1391.0</v>
      </c>
      <c r="H70" s="11">
        <f t="shared" ref="H70:I70" si="72">F70-F69</f>
        <v>1</v>
      </c>
      <c r="I70" s="41">
        <f t="shared" si="72"/>
        <v>167</v>
      </c>
      <c r="J70" s="73">
        <f t="shared" si="58"/>
        <v>0.1364379085</v>
      </c>
      <c r="K70" s="66">
        <f t="shared" si="59"/>
        <v>0.1364379085</v>
      </c>
      <c r="L70" s="42" t="s">
        <v>160</v>
      </c>
    </row>
    <row r="71">
      <c r="A71" s="54" t="s">
        <v>254</v>
      </c>
      <c r="B71" s="11" t="s">
        <v>291</v>
      </c>
      <c r="C71" s="11" t="s">
        <v>256</v>
      </c>
      <c r="D71" s="11" t="s">
        <v>299</v>
      </c>
      <c r="E71" s="11" t="s">
        <v>158</v>
      </c>
      <c r="F71" s="11">
        <v>2005.0</v>
      </c>
      <c r="G71" s="41">
        <v>1522.0</v>
      </c>
      <c r="H71" s="11">
        <f t="shared" ref="H71:I71" si="73">F71-F70</f>
        <v>1</v>
      </c>
      <c r="I71" s="41">
        <f t="shared" si="73"/>
        <v>131</v>
      </c>
      <c r="J71" s="73">
        <f t="shared" si="58"/>
        <v>0.09417685119</v>
      </c>
      <c r="K71" s="66">
        <f t="shared" si="59"/>
        <v>0.09417685119</v>
      </c>
      <c r="L71" s="42" t="s">
        <v>160</v>
      </c>
    </row>
    <row r="72">
      <c r="A72" s="54" t="s">
        <v>254</v>
      </c>
      <c r="B72" s="11" t="s">
        <v>291</v>
      </c>
      <c r="C72" s="11" t="s">
        <v>256</v>
      </c>
      <c r="D72" s="11" t="s">
        <v>299</v>
      </c>
      <c r="E72" s="11" t="s">
        <v>158</v>
      </c>
      <c r="F72" s="11">
        <v>2006.0</v>
      </c>
      <c r="G72" s="41">
        <v>1619.0</v>
      </c>
      <c r="H72" s="11">
        <f t="shared" ref="H72:I72" si="74">F72-F71</f>
        <v>1</v>
      </c>
      <c r="I72" s="41">
        <f t="shared" si="74"/>
        <v>97</v>
      </c>
      <c r="J72" s="73">
        <f t="shared" si="58"/>
        <v>0.06373193167</v>
      </c>
      <c r="K72" s="66">
        <f t="shared" si="59"/>
        <v>0.06373193167</v>
      </c>
      <c r="L72" s="42" t="s">
        <v>160</v>
      </c>
    </row>
    <row r="73">
      <c r="A73" s="54" t="s">
        <v>254</v>
      </c>
      <c r="B73" s="11" t="s">
        <v>291</v>
      </c>
      <c r="C73" s="11" t="s">
        <v>256</v>
      </c>
      <c r="D73" s="11" t="s">
        <v>299</v>
      </c>
      <c r="E73" s="11" t="s">
        <v>158</v>
      </c>
      <c r="F73" s="11">
        <v>2007.0</v>
      </c>
      <c r="G73" s="41">
        <v>1327.0</v>
      </c>
      <c r="H73" s="11">
        <f t="shared" ref="H73:I73" si="75">F73-F72</f>
        <v>1</v>
      </c>
      <c r="I73" s="41">
        <f t="shared" si="75"/>
        <v>-292</v>
      </c>
      <c r="J73" s="73">
        <f t="shared" si="58"/>
        <v>-0.1803582458</v>
      </c>
      <c r="K73" s="66">
        <f t="shared" si="59"/>
        <v>-0.1803582458</v>
      </c>
      <c r="L73" s="42" t="s">
        <v>160</v>
      </c>
    </row>
    <row r="74">
      <c r="A74" s="54" t="s">
        <v>254</v>
      </c>
      <c r="B74" s="11" t="s">
        <v>291</v>
      </c>
      <c r="C74" s="11" t="s">
        <v>256</v>
      </c>
      <c r="D74" s="11" t="s">
        <v>299</v>
      </c>
      <c r="E74" s="11" t="s">
        <v>158</v>
      </c>
      <c r="F74" s="11">
        <v>2008.0</v>
      </c>
      <c r="G74" s="41">
        <v>1397.0</v>
      </c>
      <c r="H74" s="11">
        <f t="shared" ref="H74:I74" si="76">F74-F73</f>
        <v>1</v>
      </c>
      <c r="I74" s="41">
        <f t="shared" si="76"/>
        <v>70</v>
      </c>
      <c r="J74" s="73">
        <f t="shared" si="58"/>
        <v>0.05275056518</v>
      </c>
      <c r="K74" s="66">
        <f t="shared" si="59"/>
        <v>0.05275056518</v>
      </c>
      <c r="L74" s="42" t="s">
        <v>160</v>
      </c>
    </row>
    <row r="75">
      <c r="A75" s="54" t="s">
        <v>254</v>
      </c>
      <c r="B75" s="11" t="s">
        <v>291</v>
      </c>
      <c r="C75" s="11" t="s">
        <v>256</v>
      </c>
      <c r="D75" s="11" t="s">
        <v>299</v>
      </c>
      <c r="E75" s="11" t="s">
        <v>158</v>
      </c>
      <c r="F75" s="11">
        <v>2009.0</v>
      </c>
      <c r="G75" s="41">
        <v>1490.0</v>
      </c>
      <c r="H75" s="11">
        <f t="shared" ref="H75:I75" si="77">F75-F74</f>
        <v>1</v>
      </c>
      <c r="I75" s="41">
        <f t="shared" si="77"/>
        <v>93</v>
      </c>
      <c r="J75" s="73">
        <f t="shared" si="58"/>
        <v>0.06657122405</v>
      </c>
      <c r="K75" s="66">
        <f t="shared" si="59"/>
        <v>0.06657122405</v>
      </c>
      <c r="L75" s="42" t="s">
        <v>160</v>
      </c>
    </row>
    <row r="76">
      <c r="A76" s="54" t="s">
        <v>254</v>
      </c>
      <c r="B76" s="11" t="s">
        <v>291</v>
      </c>
      <c r="C76" s="11" t="s">
        <v>256</v>
      </c>
      <c r="D76" s="11" t="s">
        <v>299</v>
      </c>
      <c r="E76" s="11" t="s">
        <v>158</v>
      </c>
      <c r="F76" s="11">
        <v>2010.0</v>
      </c>
      <c r="G76" s="41">
        <v>1358.0</v>
      </c>
      <c r="H76" s="11">
        <f t="shared" ref="H76:I76" si="78">F76-F75</f>
        <v>1</v>
      </c>
      <c r="I76" s="41">
        <f t="shared" si="78"/>
        <v>-132</v>
      </c>
      <c r="J76" s="73">
        <f t="shared" si="58"/>
        <v>-0.08859060403</v>
      </c>
      <c r="K76" s="66">
        <f t="shared" si="59"/>
        <v>-0.08859060403</v>
      </c>
      <c r="L76" s="42" t="s">
        <v>160</v>
      </c>
    </row>
    <row r="77">
      <c r="A77" s="54" t="s">
        <v>254</v>
      </c>
      <c r="B77" s="11" t="s">
        <v>291</v>
      </c>
      <c r="C77" s="11" t="s">
        <v>256</v>
      </c>
      <c r="D77" s="11" t="s">
        <v>299</v>
      </c>
      <c r="E77" s="11" t="s">
        <v>158</v>
      </c>
      <c r="F77" s="11">
        <v>2011.0</v>
      </c>
      <c r="G77" s="41">
        <v>1391.0</v>
      </c>
      <c r="H77" s="11">
        <f t="shared" ref="H77:I77" si="79">F77-F76</f>
        <v>1</v>
      </c>
      <c r="I77" s="41">
        <f t="shared" si="79"/>
        <v>33</v>
      </c>
      <c r="J77" s="73">
        <f t="shared" si="58"/>
        <v>0.02430044183</v>
      </c>
      <c r="K77" s="66">
        <f t="shared" si="59"/>
        <v>0.02430044183</v>
      </c>
      <c r="L77" s="42" t="s">
        <v>160</v>
      </c>
    </row>
    <row r="78">
      <c r="A78" s="54" t="s">
        <v>254</v>
      </c>
      <c r="B78" s="11" t="s">
        <v>291</v>
      </c>
      <c r="C78" s="11" t="s">
        <v>256</v>
      </c>
      <c r="D78" s="11" t="s">
        <v>299</v>
      </c>
      <c r="E78" s="11" t="s">
        <v>158</v>
      </c>
      <c r="F78" s="11">
        <v>2012.0</v>
      </c>
      <c r="G78" s="41">
        <v>1426.0</v>
      </c>
      <c r="H78" s="11">
        <f t="shared" ref="H78:I78" si="80">F78-F77</f>
        <v>1</v>
      </c>
      <c r="I78" s="41">
        <f t="shared" si="80"/>
        <v>35</v>
      </c>
      <c r="J78" s="73">
        <f t="shared" si="58"/>
        <v>0.02516175413</v>
      </c>
      <c r="K78" s="66">
        <f t="shared" si="59"/>
        <v>0.02516175413</v>
      </c>
      <c r="L78" s="42" t="s">
        <v>160</v>
      </c>
    </row>
    <row r="79">
      <c r="A79" s="54" t="s">
        <v>254</v>
      </c>
      <c r="B79" s="11" t="s">
        <v>291</v>
      </c>
      <c r="C79" s="11" t="s">
        <v>256</v>
      </c>
      <c r="D79" s="11" t="s">
        <v>299</v>
      </c>
      <c r="E79" s="11" t="s">
        <v>158</v>
      </c>
      <c r="F79" s="11">
        <v>2013.0</v>
      </c>
      <c r="G79" s="41">
        <v>1375.0</v>
      </c>
      <c r="H79" s="11">
        <f t="shared" ref="H79:I79" si="81">F79-F78</f>
        <v>1</v>
      </c>
      <c r="I79" s="41">
        <f t="shared" si="81"/>
        <v>-51</v>
      </c>
      <c r="J79" s="73">
        <f t="shared" si="58"/>
        <v>-0.03576437588</v>
      </c>
      <c r="K79" s="66">
        <f t="shared" si="59"/>
        <v>-0.03576437588</v>
      </c>
      <c r="L79" s="42" t="s">
        <v>160</v>
      </c>
    </row>
    <row r="80">
      <c r="A80" s="54" t="s">
        <v>254</v>
      </c>
      <c r="B80" s="11" t="s">
        <v>291</v>
      </c>
      <c r="C80" s="11" t="s">
        <v>256</v>
      </c>
      <c r="D80" s="11" t="s">
        <v>299</v>
      </c>
      <c r="E80" s="11" t="s">
        <v>158</v>
      </c>
      <c r="F80" s="11">
        <v>2014.0</v>
      </c>
      <c r="G80" s="41">
        <v>2123.0</v>
      </c>
      <c r="H80" s="11">
        <f t="shared" ref="H80:I80" si="82">F80-F79</f>
        <v>1</v>
      </c>
      <c r="I80" s="41">
        <f t="shared" si="82"/>
        <v>748</v>
      </c>
      <c r="J80" s="73">
        <f t="shared" si="58"/>
        <v>0.544</v>
      </c>
      <c r="K80" s="66">
        <f t="shared" si="59"/>
        <v>0.544</v>
      </c>
      <c r="L80" s="42" t="s">
        <v>160</v>
      </c>
    </row>
    <row r="81">
      <c r="A81" s="54" t="s">
        <v>254</v>
      </c>
      <c r="B81" s="11" t="s">
        <v>291</v>
      </c>
      <c r="C81" s="11" t="s">
        <v>256</v>
      </c>
      <c r="D81" s="11" t="s">
        <v>299</v>
      </c>
      <c r="E81" s="11" t="s">
        <v>158</v>
      </c>
      <c r="F81" s="11">
        <v>2015.0</v>
      </c>
      <c r="G81" s="41">
        <v>2173.0</v>
      </c>
      <c r="H81" s="11">
        <f t="shared" ref="H81:I81" si="83">F81-F80</f>
        <v>1</v>
      </c>
      <c r="I81" s="41">
        <f t="shared" si="83"/>
        <v>50</v>
      </c>
      <c r="J81" s="73">
        <f t="shared" si="58"/>
        <v>0.02355157796</v>
      </c>
      <c r="K81" s="66">
        <f t="shared" si="59"/>
        <v>0.02355157796</v>
      </c>
      <c r="L81" s="42" t="s">
        <v>160</v>
      </c>
    </row>
    <row r="82">
      <c r="A82" s="54" t="s">
        <v>254</v>
      </c>
      <c r="B82" s="11" t="s">
        <v>291</v>
      </c>
      <c r="C82" s="11" t="s">
        <v>256</v>
      </c>
      <c r="D82" s="11" t="s">
        <v>299</v>
      </c>
      <c r="E82" s="11" t="s">
        <v>158</v>
      </c>
      <c r="F82" s="11">
        <v>2016.0</v>
      </c>
      <c r="G82" s="41">
        <v>1860.0</v>
      </c>
      <c r="H82" s="11">
        <f t="shared" ref="H82:I82" si="84">F82-F81</f>
        <v>1</v>
      </c>
      <c r="I82" s="41">
        <f t="shared" si="84"/>
        <v>-313</v>
      </c>
      <c r="J82" s="73">
        <f t="shared" si="58"/>
        <v>-0.144040497</v>
      </c>
      <c r="K82" s="66">
        <f t="shared" si="59"/>
        <v>-0.144040497</v>
      </c>
      <c r="L82" s="42" t="s">
        <v>160</v>
      </c>
    </row>
    <row r="83">
      <c r="A83" s="54" t="s">
        <v>254</v>
      </c>
      <c r="B83" s="11" t="s">
        <v>291</v>
      </c>
      <c r="C83" s="11" t="s">
        <v>256</v>
      </c>
      <c r="D83" s="11" t="s">
        <v>299</v>
      </c>
      <c r="E83" s="11" t="s">
        <v>158</v>
      </c>
      <c r="F83" s="11">
        <v>2017.0</v>
      </c>
      <c r="G83" s="41">
        <v>2088.0</v>
      </c>
      <c r="H83" s="11">
        <f t="shared" ref="H83:I83" si="85">F83-F82</f>
        <v>1</v>
      </c>
      <c r="I83" s="41">
        <f t="shared" si="85"/>
        <v>228</v>
      </c>
      <c r="J83" s="73">
        <f t="shared" si="58"/>
        <v>0.1225806452</v>
      </c>
      <c r="K83" s="66">
        <f t="shared" si="59"/>
        <v>0.1225806452</v>
      </c>
      <c r="L83" s="42" t="s">
        <v>160</v>
      </c>
    </row>
    <row r="84">
      <c r="A84" s="54" t="s">
        <v>254</v>
      </c>
      <c r="B84" s="11" t="s">
        <v>291</v>
      </c>
      <c r="C84" s="11" t="s">
        <v>256</v>
      </c>
      <c r="D84" s="11" t="s">
        <v>299</v>
      </c>
      <c r="E84" s="11" t="s">
        <v>158</v>
      </c>
      <c r="F84" s="11">
        <v>2018.0</v>
      </c>
      <c r="G84" s="41">
        <v>1898.0</v>
      </c>
      <c r="H84" s="11">
        <f t="shared" ref="H84:I84" si="86">F84-F83</f>
        <v>1</v>
      </c>
      <c r="I84" s="41">
        <f t="shared" si="86"/>
        <v>-190</v>
      </c>
      <c r="J84" s="73">
        <f t="shared" si="58"/>
        <v>-0.09099616858</v>
      </c>
      <c r="K84" s="66">
        <f t="shared" si="59"/>
        <v>-0.09099616858</v>
      </c>
      <c r="L84" s="42" t="s">
        <v>160</v>
      </c>
    </row>
    <row r="85">
      <c r="A85" s="54" t="s">
        <v>369</v>
      </c>
      <c r="B85" s="54" t="s">
        <v>91</v>
      </c>
      <c r="C85" s="11" t="s">
        <v>370</v>
      </c>
      <c r="D85" s="54" t="s">
        <v>371</v>
      </c>
      <c r="E85" s="54" t="s">
        <v>74</v>
      </c>
      <c r="F85" s="68">
        <v>1978.04143126177</v>
      </c>
      <c r="G85" s="69">
        <v>4765.0</v>
      </c>
      <c r="H85" s="69" t="s">
        <v>188</v>
      </c>
      <c r="I85" s="69" t="s">
        <v>188</v>
      </c>
      <c r="J85" s="92" t="s">
        <v>188</v>
      </c>
      <c r="K85" s="66" t="s">
        <v>188</v>
      </c>
      <c r="L85" s="29" t="s">
        <v>81</v>
      </c>
      <c r="M85" s="54"/>
      <c r="N85" s="54"/>
      <c r="O85" s="54"/>
      <c r="P85" s="54"/>
      <c r="Q85" s="54"/>
      <c r="R85" s="54"/>
      <c r="S85" s="54"/>
      <c r="T85" s="54"/>
      <c r="U85" s="54"/>
      <c r="V85" s="54"/>
      <c r="W85" s="54"/>
      <c r="X85" s="54"/>
      <c r="Y85" s="54"/>
      <c r="Z85" s="54"/>
      <c r="AA85" s="54"/>
      <c r="AB85" s="54"/>
      <c r="AC85" s="54"/>
      <c r="AD85" s="54"/>
      <c r="AE85" s="54"/>
    </row>
    <row r="86">
      <c r="A86" s="54" t="s">
        <v>369</v>
      </c>
      <c r="B86" s="54" t="s">
        <v>91</v>
      </c>
      <c r="C86" s="11" t="s">
        <v>370</v>
      </c>
      <c r="D86" s="54" t="s">
        <v>371</v>
      </c>
      <c r="E86" s="54" t="s">
        <v>74</v>
      </c>
      <c r="F86" s="68">
        <v>1980.0</v>
      </c>
      <c r="G86" s="69">
        <v>3885.0</v>
      </c>
      <c r="H86" s="69">
        <f t="shared" ref="H86:I86" si="87">F86-F85</f>
        <v>1.958568738</v>
      </c>
      <c r="I86" s="69">
        <f t="shared" si="87"/>
        <v>-880</v>
      </c>
      <c r="J86" s="92">
        <f t="shared" ref="J86:J98" si="89">I86/G85</f>
        <v>-0.184679958</v>
      </c>
      <c r="K86" s="66">
        <f t="shared" ref="K86:K98" si="90">J86/H86</f>
        <v>-0.09429332472</v>
      </c>
      <c r="L86" s="29" t="s">
        <v>81</v>
      </c>
      <c r="M86" s="54"/>
      <c r="N86" s="54"/>
      <c r="O86" s="54"/>
      <c r="P86" s="54"/>
      <c r="Q86" s="54"/>
      <c r="R86" s="54"/>
      <c r="S86" s="54"/>
      <c r="T86" s="54"/>
      <c r="U86" s="54"/>
      <c r="V86" s="54"/>
      <c r="W86" s="54"/>
      <c r="X86" s="54"/>
      <c r="Y86" s="54"/>
      <c r="Z86" s="54"/>
      <c r="AA86" s="54"/>
      <c r="AB86" s="54"/>
      <c r="AC86" s="54"/>
      <c r="AD86" s="54"/>
      <c r="AE86" s="54"/>
    </row>
    <row r="87">
      <c r="A87" s="54" t="s">
        <v>369</v>
      </c>
      <c r="B87" s="54" t="s">
        <v>91</v>
      </c>
      <c r="C87" s="11" t="s">
        <v>370</v>
      </c>
      <c r="D87" s="54" t="s">
        <v>371</v>
      </c>
      <c r="E87" s="54" t="s">
        <v>74</v>
      </c>
      <c r="F87" s="68">
        <v>1980.97928436912</v>
      </c>
      <c r="G87" s="69">
        <v>4467.0</v>
      </c>
      <c r="H87" s="69">
        <f t="shared" ref="H87:I87" si="88">F87-F86</f>
        <v>0.9792843691</v>
      </c>
      <c r="I87" s="69">
        <f t="shared" si="88"/>
        <v>582</v>
      </c>
      <c r="J87" s="92">
        <f t="shared" si="89"/>
        <v>0.1498069498</v>
      </c>
      <c r="K87" s="66">
        <f t="shared" si="90"/>
        <v>0.152975943</v>
      </c>
      <c r="L87" s="29" t="s">
        <v>81</v>
      </c>
      <c r="M87" s="54"/>
      <c r="N87" s="54"/>
      <c r="O87" s="54"/>
      <c r="P87" s="54"/>
      <c r="Q87" s="54"/>
      <c r="R87" s="54"/>
      <c r="S87" s="54"/>
      <c r="T87" s="54"/>
      <c r="U87" s="54"/>
      <c r="V87" s="54"/>
      <c r="W87" s="54"/>
      <c r="X87" s="54"/>
      <c r="Y87" s="54"/>
      <c r="Z87" s="54"/>
      <c r="AA87" s="54"/>
      <c r="AB87" s="54"/>
      <c r="AC87" s="54"/>
      <c r="AD87" s="54"/>
      <c r="AE87" s="54"/>
    </row>
    <row r="88">
      <c r="A88" s="54" t="s">
        <v>369</v>
      </c>
      <c r="B88" s="54" t="s">
        <v>91</v>
      </c>
      <c r="C88" s="11" t="s">
        <v>370</v>
      </c>
      <c r="D88" s="54" t="s">
        <v>371</v>
      </c>
      <c r="E88" s="54" t="s">
        <v>74</v>
      </c>
      <c r="F88" s="68">
        <v>1981.95856873823</v>
      </c>
      <c r="G88" s="69">
        <v>7395.0</v>
      </c>
      <c r="H88" s="69">
        <f t="shared" ref="H88:I88" si="91">F88-F87</f>
        <v>0.9792843691</v>
      </c>
      <c r="I88" s="69">
        <f t="shared" si="91"/>
        <v>2928</v>
      </c>
      <c r="J88" s="92">
        <f t="shared" si="89"/>
        <v>0.6554734721</v>
      </c>
      <c r="K88" s="66">
        <f t="shared" si="90"/>
        <v>0.6693392571</v>
      </c>
      <c r="L88" s="29" t="s">
        <v>81</v>
      </c>
      <c r="M88" s="54"/>
      <c r="N88" s="54"/>
      <c r="O88" s="54"/>
      <c r="P88" s="54"/>
      <c r="Q88" s="54"/>
      <c r="R88" s="54"/>
      <c r="S88" s="54"/>
      <c r="T88" s="54"/>
      <c r="U88" s="54"/>
      <c r="V88" s="54"/>
      <c r="W88" s="54"/>
      <c r="X88" s="54"/>
      <c r="Y88" s="54"/>
      <c r="Z88" s="54"/>
      <c r="AA88" s="54"/>
      <c r="AB88" s="54"/>
      <c r="AC88" s="54"/>
      <c r="AD88" s="54"/>
      <c r="AE88" s="54"/>
    </row>
    <row r="89">
      <c r="A89" s="54" t="s">
        <v>369</v>
      </c>
      <c r="B89" s="54" t="s">
        <v>91</v>
      </c>
      <c r="C89" s="11" t="s">
        <v>370</v>
      </c>
      <c r="D89" s="54" t="s">
        <v>371</v>
      </c>
      <c r="E89" s="54" t="s">
        <v>74</v>
      </c>
      <c r="F89" s="68">
        <v>1982.93785310734</v>
      </c>
      <c r="G89" s="69">
        <v>6573.0</v>
      </c>
      <c r="H89" s="69">
        <f t="shared" ref="H89:I89" si="92">F89-F88</f>
        <v>0.9792843691</v>
      </c>
      <c r="I89" s="69">
        <f t="shared" si="92"/>
        <v>-822</v>
      </c>
      <c r="J89" s="92">
        <f t="shared" si="89"/>
        <v>-0.1111561866</v>
      </c>
      <c r="K89" s="66">
        <f t="shared" si="90"/>
        <v>-0.1135075675</v>
      </c>
      <c r="L89" s="29" t="s">
        <v>81</v>
      </c>
      <c r="M89" s="54"/>
      <c r="N89" s="54"/>
      <c r="O89" s="54"/>
      <c r="P89" s="54"/>
      <c r="Q89" s="54"/>
      <c r="R89" s="54"/>
      <c r="S89" s="54"/>
      <c r="T89" s="54"/>
      <c r="U89" s="54"/>
      <c r="V89" s="54"/>
      <c r="W89" s="54"/>
      <c r="X89" s="54"/>
      <c r="Y89" s="54"/>
      <c r="Z89" s="54"/>
      <c r="AA89" s="54"/>
      <c r="AB89" s="54"/>
      <c r="AC89" s="54"/>
      <c r="AD89" s="54"/>
      <c r="AE89" s="54"/>
    </row>
    <row r="90">
      <c r="A90" s="54" t="s">
        <v>369</v>
      </c>
      <c r="B90" s="54" t="s">
        <v>91</v>
      </c>
      <c r="C90" s="11" t="s">
        <v>370</v>
      </c>
      <c r="D90" s="54" t="s">
        <v>371</v>
      </c>
      <c r="E90" s="54" t="s">
        <v>74</v>
      </c>
      <c r="F90" s="68">
        <v>1984.97175141243</v>
      </c>
      <c r="G90" s="69">
        <v>5762.0</v>
      </c>
      <c r="H90" s="69">
        <f t="shared" ref="H90:I90" si="93">F90-F89</f>
        <v>2.033898305</v>
      </c>
      <c r="I90" s="69">
        <f t="shared" si="93"/>
        <v>-811</v>
      </c>
      <c r="J90" s="92">
        <f t="shared" si="89"/>
        <v>-0.1233835387</v>
      </c>
      <c r="K90" s="66">
        <f t="shared" si="90"/>
        <v>-0.0606635732</v>
      </c>
      <c r="L90" s="29" t="s">
        <v>81</v>
      </c>
      <c r="M90" s="54"/>
      <c r="N90" s="54"/>
      <c r="O90" s="54"/>
      <c r="P90" s="54"/>
      <c r="Q90" s="54"/>
      <c r="R90" s="54"/>
      <c r="S90" s="54"/>
      <c r="T90" s="54"/>
      <c r="U90" s="54"/>
      <c r="V90" s="54"/>
      <c r="W90" s="54"/>
      <c r="X90" s="54"/>
      <c r="Y90" s="54"/>
      <c r="Z90" s="54"/>
      <c r="AA90" s="54"/>
      <c r="AB90" s="54"/>
      <c r="AC90" s="54"/>
      <c r="AD90" s="54"/>
      <c r="AE90" s="54"/>
    </row>
    <row r="91">
      <c r="A91" s="54" t="s">
        <v>369</v>
      </c>
      <c r="B91" s="54" t="s">
        <v>91</v>
      </c>
      <c r="C91" s="11" t="s">
        <v>370</v>
      </c>
      <c r="D91" s="54" t="s">
        <v>371</v>
      </c>
      <c r="E91" s="54" t="s">
        <v>74</v>
      </c>
      <c r="F91" s="68">
        <v>1985.95103578154</v>
      </c>
      <c r="G91" s="69">
        <v>8917.0</v>
      </c>
      <c r="H91" s="69">
        <f t="shared" ref="H91:I91" si="94">F91-F90</f>
        <v>0.9792843691</v>
      </c>
      <c r="I91" s="69">
        <f t="shared" si="94"/>
        <v>3155</v>
      </c>
      <c r="J91" s="92">
        <f t="shared" si="89"/>
        <v>0.547552933</v>
      </c>
      <c r="K91" s="66">
        <f t="shared" si="90"/>
        <v>0.5591357835</v>
      </c>
      <c r="L91" s="29" t="s">
        <v>81</v>
      </c>
      <c r="M91" s="54"/>
      <c r="N91" s="54"/>
      <c r="O91" s="54"/>
      <c r="P91" s="54"/>
      <c r="Q91" s="54"/>
      <c r="R91" s="54"/>
      <c r="S91" s="54"/>
      <c r="T91" s="54"/>
      <c r="U91" s="54"/>
      <c r="V91" s="54"/>
      <c r="W91" s="54"/>
      <c r="X91" s="54"/>
      <c r="Y91" s="54"/>
      <c r="Z91" s="54"/>
      <c r="AA91" s="54"/>
      <c r="AB91" s="54"/>
      <c r="AC91" s="54"/>
      <c r="AD91" s="54"/>
      <c r="AE91" s="54"/>
    </row>
    <row r="92">
      <c r="A92" s="54" t="s">
        <v>369</v>
      </c>
      <c r="B92" s="54" t="s">
        <v>91</v>
      </c>
      <c r="C92" s="11" t="s">
        <v>370</v>
      </c>
      <c r="D92" s="54" t="s">
        <v>371</v>
      </c>
      <c r="E92" s="54" t="s">
        <v>74</v>
      </c>
      <c r="F92" s="68">
        <v>1986.93032015066</v>
      </c>
      <c r="G92" s="69">
        <v>5298.0</v>
      </c>
      <c r="H92" s="69">
        <f t="shared" ref="H92:I92" si="95">F92-F91</f>
        <v>0.9792843691</v>
      </c>
      <c r="I92" s="69">
        <f t="shared" si="95"/>
        <v>-3619</v>
      </c>
      <c r="J92" s="92">
        <f t="shared" si="89"/>
        <v>-0.4058539868</v>
      </c>
      <c r="K92" s="66">
        <f t="shared" si="90"/>
        <v>-0.4144393596</v>
      </c>
      <c r="L92" s="29" t="s">
        <v>81</v>
      </c>
      <c r="M92" s="54"/>
      <c r="N92" s="54"/>
      <c r="O92" s="54"/>
      <c r="P92" s="54"/>
      <c r="Q92" s="54"/>
      <c r="R92" s="54"/>
      <c r="S92" s="54"/>
      <c r="T92" s="54"/>
      <c r="U92" s="54"/>
      <c r="V92" s="54"/>
      <c r="W92" s="54"/>
      <c r="X92" s="54"/>
      <c r="Y92" s="54"/>
      <c r="Z92" s="54"/>
      <c r="AA92" s="54"/>
      <c r="AB92" s="54"/>
      <c r="AC92" s="54"/>
      <c r="AD92" s="54"/>
      <c r="AE92" s="54"/>
    </row>
    <row r="93">
      <c r="A93" s="54" t="s">
        <v>369</v>
      </c>
      <c r="B93" s="54" t="s">
        <v>91</v>
      </c>
      <c r="C93" s="11" t="s">
        <v>370</v>
      </c>
      <c r="D93" s="54" t="s">
        <v>371</v>
      </c>
      <c r="E93" s="54" t="s">
        <v>74</v>
      </c>
      <c r="F93" s="68">
        <v>1987.90960451977</v>
      </c>
      <c r="G93" s="69">
        <v>6928.0</v>
      </c>
      <c r="H93" s="69">
        <f t="shared" ref="H93:I93" si="96">F93-F92</f>
        <v>0.9792843691</v>
      </c>
      <c r="I93" s="69">
        <f t="shared" si="96"/>
        <v>1630</v>
      </c>
      <c r="J93" s="92">
        <f t="shared" si="89"/>
        <v>0.3076632692</v>
      </c>
      <c r="K93" s="66">
        <f t="shared" si="90"/>
        <v>0.3141715306</v>
      </c>
      <c r="L93" s="29" t="s">
        <v>81</v>
      </c>
      <c r="M93" s="54"/>
      <c r="N93" s="54"/>
      <c r="O93" s="54"/>
      <c r="P93" s="54"/>
      <c r="Q93" s="54"/>
      <c r="R93" s="54"/>
      <c r="S93" s="54"/>
      <c r="T93" s="54"/>
      <c r="U93" s="54"/>
      <c r="V93" s="54"/>
      <c r="W93" s="54"/>
      <c r="X93" s="54"/>
      <c r="Y93" s="54"/>
      <c r="Z93" s="54"/>
      <c r="AA93" s="54"/>
      <c r="AB93" s="54"/>
      <c r="AC93" s="54"/>
      <c r="AD93" s="54"/>
      <c r="AE93" s="54"/>
    </row>
    <row r="94">
      <c r="A94" s="54" t="s">
        <v>369</v>
      </c>
      <c r="B94" s="54" t="s">
        <v>91</v>
      </c>
      <c r="C94" s="11" t="s">
        <v>370</v>
      </c>
      <c r="D94" s="54" t="s">
        <v>371</v>
      </c>
      <c r="E94" s="54" t="s">
        <v>74</v>
      </c>
      <c r="F94" s="68">
        <v>1992.95668549906</v>
      </c>
      <c r="G94" s="69">
        <v>8167.0</v>
      </c>
      <c r="H94" s="69">
        <f t="shared" ref="H94:I94" si="97">F94-F93</f>
        <v>5.047080979</v>
      </c>
      <c r="I94" s="69">
        <f t="shared" si="97"/>
        <v>1239</v>
      </c>
      <c r="J94" s="92">
        <f t="shared" si="89"/>
        <v>0.1788394919</v>
      </c>
      <c r="K94" s="66">
        <f t="shared" si="90"/>
        <v>0.03543424261</v>
      </c>
      <c r="L94" s="29" t="s">
        <v>81</v>
      </c>
      <c r="M94" s="54"/>
      <c r="N94" s="54"/>
      <c r="O94" s="54"/>
      <c r="P94" s="54"/>
      <c r="Q94" s="54"/>
      <c r="R94" s="54"/>
      <c r="S94" s="54"/>
      <c r="T94" s="54"/>
      <c r="U94" s="54"/>
      <c r="V94" s="54"/>
      <c r="W94" s="54"/>
      <c r="X94" s="54"/>
      <c r="Y94" s="54"/>
      <c r="Z94" s="54"/>
      <c r="AA94" s="54"/>
      <c r="AB94" s="54"/>
      <c r="AC94" s="54"/>
      <c r="AD94" s="54"/>
      <c r="AE94" s="54"/>
    </row>
    <row r="95">
      <c r="A95" s="54" t="s">
        <v>369</v>
      </c>
      <c r="B95" s="54" t="s">
        <v>91</v>
      </c>
      <c r="C95" s="11" t="s">
        <v>370</v>
      </c>
      <c r="D95" s="54" t="s">
        <v>371</v>
      </c>
      <c r="E95" s="54" t="s">
        <v>74</v>
      </c>
      <c r="F95" s="68">
        <v>2001.01694915254</v>
      </c>
      <c r="G95" s="69">
        <v>10545.0</v>
      </c>
      <c r="H95" s="69">
        <f t="shared" ref="H95:I95" si="98">F95-F94</f>
        <v>8.060263653</v>
      </c>
      <c r="I95" s="69">
        <f t="shared" si="98"/>
        <v>2378</v>
      </c>
      <c r="J95" s="92">
        <f t="shared" si="89"/>
        <v>0.2911717889</v>
      </c>
      <c r="K95" s="66">
        <f t="shared" si="90"/>
        <v>0.03612435045</v>
      </c>
      <c r="L95" s="29" t="s">
        <v>81</v>
      </c>
      <c r="M95" s="54"/>
      <c r="N95" s="54"/>
      <c r="O95" s="54"/>
      <c r="P95" s="54"/>
      <c r="Q95" s="54"/>
      <c r="R95" s="54"/>
      <c r="S95" s="54"/>
      <c r="T95" s="54"/>
      <c r="U95" s="54"/>
      <c r="V95" s="54"/>
      <c r="W95" s="54"/>
      <c r="X95" s="54"/>
      <c r="Y95" s="54"/>
      <c r="Z95" s="54"/>
      <c r="AA95" s="54"/>
      <c r="AB95" s="54"/>
      <c r="AC95" s="54"/>
      <c r="AD95" s="54"/>
      <c r="AE95" s="54"/>
    </row>
    <row r="96">
      <c r="A96" s="54" t="s">
        <v>369</v>
      </c>
      <c r="B96" s="54" t="s">
        <v>91</v>
      </c>
      <c r="C96" s="11" t="s">
        <v>370</v>
      </c>
      <c r="D96" s="54" t="s">
        <v>371</v>
      </c>
      <c r="E96" s="54" t="s">
        <v>74</v>
      </c>
      <c r="F96" s="68">
        <v>2004.03013182674</v>
      </c>
      <c r="G96" s="69">
        <v>12631.0</v>
      </c>
      <c r="H96" s="69">
        <f t="shared" ref="H96:I96" si="99">F96-F95</f>
        <v>3.013182674</v>
      </c>
      <c r="I96" s="69">
        <f t="shared" si="99"/>
        <v>2086</v>
      </c>
      <c r="J96" s="92">
        <f t="shared" si="89"/>
        <v>0.1978188715</v>
      </c>
      <c r="K96" s="66">
        <f t="shared" si="90"/>
        <v>0.06565113798</v>
      </c>
      <c r="L96" s="29" t="s">
        <v>81</v>
      </c>
      <c r="M96" s="54"/>
      <c r="N96" s="54"/>
      <c r="O96" s="54"/>
      <c r="P96" s="54"/>
      <c r="Q96" s="54"/>
      <c r="R96" s="54"/>
      <c r="S96" s="54"/>
      <c r="T96" s="54"/>
      <c r="U96" s="54"/>
      <c r="V96" s="54"/>
      <c r="W96" s="54"/>
      <c r="X96" s="54"/>
      <c r="Y96" s="54"/>
      <c r="Z96" s="54"/>
      <c r="AA96" s="54"/>
      <c r="AB96" s="54"/>
      <c r="AC96" s="54"/>
      <c r="AD96" s="54"/>
      <c r="AE96" s="54"/>
    </row>
    <row r="97">
      <c r="A97" s="54" t="s">
        <v>369</v>
      </c>
      <c r="B97" s="54" t="s">
        <v>91</v>
      </c>
      <c r="C97" s="11" t="s">
        <v>370</v>
      </c>
      <c r="D97" s="54" t="s">
        <v>371</v>
      </c>
      <c r="E97" s="54" t="s">
        <v>74</v>
      </c>
      <c r="F97" s="68">
        <v>2010.9604519774</v>
      </c>
      <c r="G97" s="69">
        <v>16820.0</v>
      </c>
      <c r="H97" s="69">
        <f t="shared" ref="H97:I97" si="100">F97-F96</f>
        <v>6.930320151</v>
      </c>
      <c r="I97" s="69">
        <f t="shared" si="100"/>
        <v>4189</v>
      </c>
      <c r="J97" s="92">
        <f t="shared" si="89"/>
        <v>0.331644367</v>
      </c>
      <c r="K97" s="66">
        <f t="shared" si="90"/>
        <v>0.04785411926</v>
      </c>
      <c r="L97" s="29" t="s">
        <v>81</v>
      </c>
      <c r="M97" s="54"/>
      <c r="N97" s="54"/>
      <c r="O97" s="54"/>
      <c r="P97" s="54"/>
      <c r="Q97" s="54"/>
      <c r="R97" s="54"/>
      <c r="S97" s="54"/>
      <c r="T97" s="54"/>
      <c r="U97" s="54"/>
      <c r="V97" s="54"/>
      <c r="W97" s="54"/>
      <c r="X97" s="54"/>
      <c r="Y97" s="54"/>
      <c r="Z97" s="54"/>
      <c r="AA97" s="54"/>
      <c r="AB97" s="54"/>
      <c r="AC97" s="54"/>
      <c r="AD97" s="54"/>
      <c r="AE97" s="54"/>
    </row>
    <row r="98">
      <c r="A98" s="54" t="s">
        <v>369</v>
      </c>
      <c r="B98" s="54" t="s">
        <v>91</v>
      </c>
      <c r="C98" s="11" t="s">
        <v>370</v>
      </c>
      <c r="D98" s="54" t="s">
        <v>371</v>
      </c>
      <c r="E98" s="54" t="s">
        <v>74</v>
      </c>
      <c r="F98" s="68">
        <v>2018.94538606403</v>
      </c>
      <c r="G98" s="69">
        <v>14025.0</v>
      </c>
      <c r="H98" s="69">
        <f t="shared" ref="H98:I98" si="101">F98-F97</f>
        <v>7.984934087</v>
      </c>
      <c r="I98" s="69">
        <f t="shared" si="101"/>
        <v>-2795</v>
      </c>
      <c r="J98" s="92">
        <f t="shared" si="89"/>
        <v>-0.1661712247</v>
      </c>
      <c r="K98" s="66">
        <f t="shared" si="90"/>
        <v>-0.02081059442</v>
      </c>
      <c r="L98" s="29" t="s">
        <v>81</v>
      </c>
      <c r="M98" s="54"/>
      <c r="N98" s="54"/>
      <c r="O98" s="54"/>
      <c r="P98" s="54"/>
      <c r="Q98" s="54"/>
      <c r="R98" s="54"/>
      <c r="S98" s="54"/>
      <c r="T98" s="54"/>
      <c r="U98" s="54"/>
      <c r="V98" s="54"/>
      <c r="W98" s="54"/>
      <c r="X98" s="54"/>
      <c r="Y98" s="54"/>
      <c r="Z98" s="54"/>
      <c r="AA98" s="54"/>
      <c r="AB98" s="54"/>
      <c r="AC98" s="54"/>
      <c r="AD98" s="54"/>
      <c r="AE98" s="54"/>
    </row>
    <row r="99">
      <c r="A99" s="54" t="s">
        <v>21</v>
      </c>
      <c r="B99" s="54" t="s">
        <v>22</v>
      </c>
      <c r="C99" s="11" t="s">
        <v>416</v>
      </c>
      <c r="D99" s="11" t="s">
        <v>417</v>
      </c>
      <c r="E99" s="59" t="s">
        <v>418</v>
      </c>
      <c r="F99" s="75">
        <v>1975.0</v>
      </c>
      <c r="G99" s="76">
        <v>88924.0</v>
      </c>
      <c r="H99" s="76" t="s">
        <v>188</v>
      </c>
      <c r="I99" s="76" t="s">
        <v>188</v>
      </c>
      <c r="J99" s="93" t="s">
        <v>188</v>
      </c>
      <c r="K99" s="66" t="s">
        <v>188</v>
      </c>
      <c r="L99" s="29" t="s">
        <v>81</v>
      </c>
    </row>
    <row r="100">
      <c r="A100" s="54" t="s">
        <v>21</v>
      </c>
      <c r="B100" s="54" t="s">
        <v>22</v>
      </c>
      <c r="C100" s="11" t="s">
        <v>416</v>
      </c>
      <c r="D100" s="11" t="s">
        <v>417</v>
      </c>
      <c r="E100" s="59" t="s">
        <v>418</v>
      </c>
      <c r="F100" s="75">
        <v>1976.0</v>
      </c>
      <c r="G100" s="76">
        <v>94170.0</v>
      </c>
      <c r="H100" s="76">
        <f t="shared" ref="H100:I100" si="102">F100-F99</f>
        <v>1</v>
      </c>
      <c r="I100" s="76">
        <f t="shared" si="102"/>
        <v>5246</v>
      </c>
      <c r="J100" s="93">
        <f t="shared" ref="J100:J138" si="104">I100/G99</f>
        <v>0.05899419729</v>
      </c>
      <c r="K100" s="66">
        <f t="shared" ref="K100:K138" si="105">J100/H100</f>
        <v>0.05899419729</v>
      </c>
      <c r="L100" s="29" t="s">
        <v>81</v>
      </c>
    </row>
    <row r="101">
      <c r="A101" s="54" t="s">
        <v>21</v>
      </c>
      <c r="B101" s="54" t="s">
        <v>22</v>
      </c>
      <c r="C101" s="11" t="s">
        <v>416</v>
      </c>
      <c r="D101" s="11" t="s">
        <v>417</v>
      </c>
      <c r="E101" s="59" t="s">
        <v>418</v>
      </c>
      <c r="F101" s="75">
        <v>1977.0</v>
      </c>
      <c r="G101" s="76">
        <v>91199.0</v>
      </c>
      <c r="H101" s="76">
        <f t="shared" ref="H101:I101" si="103">F101-F100</f>
        <v>1</v>
      </c>
      <c r="I101" s="76">
        <f t="shared" si="103"/>
        <v>-2971</v>
      </c>
      <c r="J101" s="93">
        <f t="shared" si="104"/>
        <v>-0.03154932569</v>
      </c>
      <c r="K101" s="66">
        <f t="shared" si="105"/>
        <v>-0.03154932569</v>
      </c>
      <c r="L101" s="29" t="s">
        <v>81</v>
      </c>
    </row>
    <row r="102">
      <c r="A102" s="54" t="s">
        <v>21</v>
      </c>
      <c r="B102" s="54" t="s">
        <v>22</v>
      </c>
      <c r="C102" s="11" t="s">
        <v>416</v>
      </c>
      <c r="D102" s="11" t="s">
        <v>417</v>
      </c>
      <c r="E102" s="59" t="s">
        <v>418</v>
      </c>
      <c r="F102" s="75">
        <v>1978.0</v>
      </c>
      <c r="G102" s="76">
        <v>90913.0</v>
      </c>
      <c r="H102" s="76">
        <f t="shared" ref="H102:I102" si="106">F102-F101</f>
        <v>1</v>
      </c>
      <c r="I102" s="76">
        <f t="shared" si="106"/>
        <v>-286</v>
      </c>
      <c r="J102" s="93">
        <f t="shared" si="104"/>
        <v>-0.003135999298</v>
      </c>
      <c r="K102" s="66">
        <f t="shared" si="105"/>
        <v>-0.003135999298</v>
      </c>
      <c r="L102" s="29" t="s">
        <v>81</v>
      </c>
    </row>
    <row r="103">
      <c r="A103" s="54" t="s">
        <v>21</v>
      </c>
      <c r="B103" s="54" t="s">
        <v>22</v>
      </c>
      <c r="C103" s="11" t="s">
        <v>416</v>
      </c>
      <c r="D103" s="11" t="s">
        <v>417</v>
      </c>
      <c r="E103" s="59" t="s">
        <v>418</v>
      </c>
      <c r="F103" s="75">
        <v>1979.0</v>
      </c>
      <c r="G103" s="76">
        <v>92812.0</v>
      </c>
      <c r="H103" s="76">
        <f t="shared" ref="H103:I103" si="107">F103-F102</f>
        <v>1</v>
      </c>
      <c r="I103" s="76">
        <f t="shared" si="107"/>
        <v>1899</v>
      </c>
      <c r="J103" s="93">
        <f t="shared" si="104"/>
        <v>0.02088810181</v>
      </c>
      <c r="K103" s="66">
        <f t="shared" si="105"/>
        <v>0.02088810181</v>
      </c>
      <c r="L103" s="29" t="s">
        <v>81</v>
      </c>
    </row>
    <row r="104">
      <c r="A104" s="54" t="s">
        <v>21</v>
      </c>
      <c r="B104" s="54" t="s">
        <v>22</v>
      </c>
      <c r="C104" s="11" t="s">
        <v>416</v>
      </c>
      <c r="D104" s="11" t="s">
        <v>417</v>
      </c>
      <c r="E104" s="59" t="s">
        <v>418</v>
      </c>
      <c r="F104" s="75">
        <v>1980.0</v>
      </c>
      <c r="G104" s="76">
        <v>94333.0</v>
      </c>
      <c r="H104" s="76">
        <f t="shared" ref="H104:I104" si="108">F104-F103</f>
        <v>1</v>
      </c>
      <c r="I104" s="76">
        <f t="shared" si="108"/>
        <v>1521</v>
      </c>
      <c r="J104" s="93">
        <f t="shared" si="104"/>
        <v>0.01638796707</v>
      </c>
      <c r="K104" s="66">
        <f t="shared" si="105"/>
        <v>0.01638796707</v>
      </c>
      <c r="L104" s="29" t="s">
        <v>81</v>
      </c>
    </row>
    <row r="105">
      <c r="A105" s="54" t="s">
        <v>21</v>
      </c>
      <c r="B105" s="54" t="s">
        <v>22</v>
      </c>
      <c r="C105" s="11" t="s">
        <v>416</v>
      </c>
      <c r="D105" s="11" t="s">
        <v>417</v>
      </c>
      <c r="E105" s="59" t="s">
        <v>418</v>
      </c>
      <c r="F105" s="75">
        <v>1981.0</v>
      </c>
      <c r="G105" s="76">
        <v>96997.0</v>
      </c>
      <c r="H105" s="76">
        <f t="shared" ref="H105:I105" si="109">F105-F104</f>
        <v>1</v>
      </c>
      <c r="I105" s="76">
        <f t="shared" si="109"/>
        <v>2664</v>
      </c>
      <c r="J105" s="93">
        <f t="shared" si="104"/>
        <v>0.02824038247</v>
      </c>
      <c r="K105" s="66">
        <f t="shared" si="105"/>
        <v>0.02824038247</v>
      </c>
      <c r="L105" s="29" t="s">
        <v>81</v>
      </c>
    </row>
    <row r="106">
      <c r="A106" s="54" t="s">
        <v>21</v>
      </c>
      <c r="B106" s="54" t="s">
        <v>22</v>
      </c>
      <c r="C106" s="11" t="s">
        <v>416</v>
      </c>
      <c r="D106" s="11" t="s">
        <v>417</v>
      </c>
      <c r="E106" s="59" t="s">
        <v>418</v>
      </c>
      <c r="F106" s="75">
        <v>1982.0</v>
      </c>
      <c r="G106" s="76">
        <v>104780.0</v>
      </c>
      <c r="H106" s="76">
        <f t="shared" ref="H106:I106" si="110">F106-F105</f>
        <v>1</v>
      </c>
      <c r="I106" s="76">
        <f t="shared" si="110"/>
        <v>7783</v>
      </c>
      <c r="J106" s="93">
        <f t="shared" si="104"/>
        <v>0.08023959504</v>
      </c>
      <c r="K106" s="66">
        <f t="shared" si="105"/>
        <v>0.08023959504</v>
      </c>
      <c r="L106" s="29" t="s">
        <v>81</v>
      </c>
    </row>
    <row r="107">
      <c r="A107" s="54" t="s">
        <v>21</v>
      </c>
      <c r="B107" s="54" t="s">
        <v>22</v>
      </c>
      <c r="C107" s="11" t="s">
        <v>416</v>
      </c>
      <c r="D107" s="11" t="s">
        <v>417</v>
      </c>
      <c r="E107" s="59" t="s">
        <v>418</v>
      </c>
      <c r="F107" s="75">
        <v>1983.0</v>
      </c>
      <c r="G107" s="76">
        <v>96807.0</v>
      </c>
      <c r="H107" s="76">
        <f t="shared" ref="H107:I107" si="111">F107-F106</f>
        <v>1</v>
      </c>
      <c r="I107" s="76">
        <f t="shared" si="111"/>
        <v>-7973</v>
      </c>
      <c r="J107" s="93">
        <f t="shared" si="104"/>
        <v>-0.07609276579</v>
      </c>
      <c r="K107" s="66">
        <f t="shared" si="105"/>
        <v>-0.07609276579</v>
      </c>
      <c r="L107" s="29" t="s">
        <v>81</v>
      </c>
    </row>
    <row r="108">
      <c r="A108" s="54" t="s">
        <v>21</v>
      </c>
      <c r="B108" s="54" t="s">
        <v>22</v>
      </c>
      <c r="C108" s="11" t="s">
        <v>416</v>
      </c>
      <c r="D108" s="11" t="s">
        <v>417</v>
      </c>
      <c r="E108" s="59" t="s">
        <v>418</v>
      </c>
      <c r="F108" s="75">
        <v>1984.0</v>
      </c>
      <c r="G108" s="76">
        <v>93011.0</v>
      </c>
      <c r="H108" s="76">
        <f t="shared" ref="H108:I108" si="112">F108-F107</f>
        <v>1</v>
      </c>
      <c r="I108" s="76">
        <f t="shared" si="112"/>
        <v>-3796</v>
      </c>
      <c r="J108" s="93">
        <f t="shared" si="104"/>
        <v>-0.03921204045</v>
      </c>
      <c r="K108" s="66">
        <f t="shared" si="105"/>
        <v>-0.03921204045</v>
      </c>
      <c r="L108" s="29" t="s">
        <v>81</v>
      </c>
    </row>
    <row r="109">
      <c r="A109" s="54" t="s">
        <v>21</v>
      </c>
      <c r="B109" s="54" t="s">
        <v>22</v>
      </c>
      <c r="C109" s="11" t="s">
        <v>416</v>
      </c>
      <c r="D109" s="11" t="s">
        <v>417</v>
      </c>
      <c r="E109" s="59" t="s">
        <v>418</v>
      </c>
      <c r="F109" s="75">
        <v>1985.0</v>
      </c>
      <c r="G109" s="76">
        <v>93012.0</v>
      </c>
      <c r="H109" s="76">
        <f t="shared" ref="H109:I109" si="113">F109-F108</f>
        <v>1</v>
      </c>
      <c r="I109" s="76">
        <f t="shared" si="113"/>
        <v>1</v>
      </c>
      <c r="J109" s="93">
        <f t="shared" si="104"/>
        <v>0.0000107514165</v>
      </c>
      <c r="K109" s="66">
        <f t="shared" si="105"/>
        <v>0.0000107514165</v>
      </c>
      <c r="L109" s="29" t="s">
        <v>81</v>
      </c>
    </row>
    <row r="110">
      <c r="A110" s="54" t="s">
        <v>21</v>
      </c>
      <c r="B110" s="54" t="s">
        <v>22</v>
      </c>
      <c r="C110" s="11" t="s">
        <v>416</v>
      </c>
      <c r="D110" s="11" t="s">
        <v>417</v>
      </c>
      <c r="E110" s="59" t="s">
        <v>418</v>
      </c>
      <c r="F110" s="75">
        <v>1986.0</v>
      </c>
      <c r="G110" s="76">
        <v>96676.0</v>
      </c>
      <c r="H110" s="76">
        <f t="shared" ref="H110:I110" si="114">F110-F109</f>
        <v>1</v>
      </c>
      <c r="I110" s="76">
        <f t="shared" si="114"/>
        <v>3664</v>
      </c>
      <c r="J110" s="93">
        <f t="shared" si="104"/>
        <v>0.03939276652</v>
      </c>
      <c r="K110" s="66">
        <f t="shared" si="105"/>
        <v>0.03939276652</v>
      </c>
      <c r="L110" s="29" t="s">
        <v>81</v>
      </c>
    </row>
    <row r="111">
      <c r="A111" s="54" t="s">
        <v>21</v>
      </c>
      <c r="B111" s="54" t="s">
        <v>22</v>
      </c>
      <c r="C111" s="11" t="s">
        <v>416</v>
      </c>
      <c r="D111" s="11" t="s">
        <v>417</v>
      </c>
      <c r="E111" s="59" t="s">
        <v>418</v>
      </c>
      <c r="F111" s="75">
        <v>1987.0</v>
      </c>
      <c r="G111" s="76">
        <v>101844.0</v>
      </c>
      <c r="H111" s="76">
        <f t="shared" ref="H111:I111" si="115">F111-F110</f>
        <v>1</v>
      </c>
      <c r="I111" s="76">
        <f t="shared" si="115"/>
        <v>5168</v>
      </c>
      <c r="J111" s="93">
        <f t="shared" si="104"/>
        <v>0.05345690761</v>
      </c>
      <c r="K111" s="66">
        <f t="shared" si="105"/>
        <v>0.05345690761</v>
      </c>
      <c r="L111" s="29" t="s">
        <v>81</v>
      </c>
    </row>
    <row r="112">
      <c r="A112" s="54" t="s">
        <v>21</v>
      </c>
      <c r="B112" s="54" t="s">
        <v>22</v>
      </c>
      <c r="C112" s="11" t="s">
        <v>416</v>
      </c>
      <c r="D112" s="11" t="s">
        <v>417</v>
      </c>
      <c r="E112" s="59" t="s">
        <v>418</v>
      </c>
      <c r="F112" s="75">
        <v>1988.0</v>
      </c>
      <c r="G112" s="76">
        <v>106850.0</v>
      </c>
      <c r="H112" s="76">
        <f t="shared" ref="H112:I112" si="116">F112-F111</f>
        <v>1</v>
      </c>
      <c r="I112" s="76">
        <f t="shared" si="116"/>
        <v>5006</v>
      </c>
      <c r="J112" s="93">
        <f t="shared" si="104"/>
        <v>0.04915360748</v>
      </c>
      <c r="K112" s="66">
        <f t="shared" si="105"/>
        <v>0.04915360748</v>
      </c>
      <c r="L112" s="29" t="s">
        <v>81</v>
      </c>
    </row>
    <row r="113">
      <c r="A113" s="54" t="s">
        <v>21</v>
      </c>
      <c r="B113" s="54" t="s">
        <v>22</v>
      </c>
      <c r="C113" s="11" t="s">
        <v>416</v>
      </c>
      <c r="D113" s="11" t="s">
        <v>417</v>
      </c>
      <c r="E113" s="59" t="s">
        <v>418</v>
      </c>
      <c r="F113" s="75">
        <v>1989.0</v>
      </c>
      <c r="G113" s="76">
        <v>116183.0</v>
      </c>
      <c r="H113" s="76">
        <f t="shared" ref="H113:I113" si="117">F113-F112</f>
        <v>1</v>
      </c>
      <c r="I113" s="76">
        <f t="shared" si="117"/>
        <v>9333</v>
      </c>
      <c r="J113" s="93">
        <f t="shared" si="104"/>
        <v>0.08734674778</v>
      </c>
      <c r="K113" s="66">
        <f t="shared" si="105"/>
        <v>0.08734674778</v>
      </c>
      <c r="L113" s="29" t="s">
        <v>81</v>
      </c>
    </row>
    <row r="114">
      <c r="A114" s="54" t="s">
        <v>21</v>
      </c>
      <c r="B114" s="54" t="s">
        <v>22</v>
      </c>
      <c r="C114" s="11" t="s">
        <v>416</v>
      </c>
      <c r="D114" s="11" t="s">
        <v>417</v>
      </c>
      <c r="E114" s="59" t="s">
        <v>418</v>
      </c>
      <c r="F114" s="75">
        <v>1990.0</v>
      </c>
      <c r="G114" s="76">
        <v>126321.0</v>
      </c>
      <c r="H114" s="76">
        <f t="shared" ref="H114:I114" si="118">F114-F113</f>
        <v>1</v>
      </c>
      <c r="I114" s="76">
        <f t="shared" si="118"/>
        <v>10138</v>
      </c>
      <c r="J114" s="93">
        <f t="shared" si="104"/>
        <v>0.0872588933</v>
      </c>
      <c r="K114" s="66">
        <f t="shared" si="105"/>
        <v>0.0872588933</v>
      </c>
      <c r="L114" s="29" t="s">
        <v>81</v>
      </c>
    </row>
    <row r="115">
      <c r="A115" s="54" t="s">
        <v>21</v>
      </c>
      <c r="B115" s="54" t="s">
        <v>22</v>
      </c>
      <c r="C115" s="11" t="s">
        <v>416</v>
      </c>
      <c r="D115" s="11" t="s">
        <v>417</v>
      </c>
      <c r="E115" s="59" t="s">
        <v>418</v>
      </c>
      <c r="F115" s="75">
        <v>1991.0</v>
      </c>
      <c r="G115" s="76">
        <v>139223.0</v>
      </c>
      <c r="H115" s="76">
        <f t="shared" ref="H115:I115" si="119">F115-F114</f>
        <v>1</v>
      </c>
      <c r="I115" s="76">
        <f t="shared" si="119"/>
        <v>12902</v>
      </c>
      <c r="J115" s="93">
        <f t="shared" si="104"/>
        <v>0.1021366202</v>
      </c>
      <c r="K115" s="66">
        <f t="shared" si="105"/>
        <v>0.1021366202</v>
      </c>
      <c r="L115" s="29" t="s">
        <v>81</v>
      </c>
    </row>
    <row r="116">
      <c r="A116" s="54" t="s">
        <v>21</v>
      </c>
      <c r="B116" s="54" t="s">
        <v>22</v>
      </c>
      <c r="C116" s="11" t="s">
        <v>416</v>
      </c>
      <c r="D116" s="11" t="s">
        <v>417</v>
      </c>
      <c r="E116" s="59" t="s">
        <v>418</v>
      </c>
      <c r="F116" s="75">
        <v>1992.0</v>
      </c>
      <c r="G116" s="76">
        <v>140338.0</v>
      </c>
      <c r="H116" s="76">
        <f t="shared" ref="H116:I116" si="120">F116-F115</f>
        <v>1</v>
      </c>
      <c r="I116" s="76">
        <f t="shared" si="120"/>
        <v>1115</v>
      </c>
      <c r="J116" s="93">
        <f t="shared" si="104"/>
        <v>0.008008734189</v>
      </c>
      <c r="K116" s="66">
        <f t="shared" si="105"/>
        <v>0.008008734189</v>
      </c>
      <c r="L116" s="29" t="s">
        <v>81</v>
      </c>
    </row>
    <row r="117">
      <c r="A117" s="54" t="s">
        <v>21</v>
      </c>
      <c r="B117" s="54" t="s">
        <v>22</v>
      </c>
      <c r="C117" s="11" t="s">
        <v>416</v>
      </c>
      <c r="D117" s="11" t="s">
        <v>417</v>
      </c>
      <c r="E117" s="59" t="s">
        <v>418</v>
      </c>
      <c r="F117" s="75">
        <v>1993.0</v>
      </c>
      <c r="G117" s="76">
        <v>139859.0</v>
      </c>
      <c r="H117" s="76">
        <f t="shared" ref="H117:I117" si="121">F117-F116</f>
        <v>1</v>
      </c>
      <c r="I117" s="76">
        <f t="shared" si="121"/>
        <v>-479</v>
      </c>
      <c r="J117" s="93">
        <f t="shared" si="104"/>
        <v>-0.00341318816</v>
      </c>
      <c r="K117" s="66">
        <f t="shared" si="105"/>
        <v>-0.00341318816</v>
      </c>
      <c r="L117" s="29" t="s">
        <v>81</v>
      </c>
    </row>
    <row r="118">
      <c r="A118" s="54" t="s">
        <v>21</v>
      </c>
      <c r="B118" s="54" t="s">
        <v>22</v>
      </c>
      <c r="C118" s="11" t="s">
        <v>416</v>
      </c>
      <c r="D118" s="11" t="s">
        <v>417</v>
      </c>
      <c r="E118" s="59" t="s">
        <v>418</v>
      </c>
      <c r="F118" s="75">
        <v>1994.0</v>
      </c>
      <c r="G118" s="76">
        <v>154128.0</v>
      </c>
      <c r="H118" s="76">
        <f t="shared" ref="H118:I118" si="122">F118-F117</f>
        <v>1</v>
      </c>
      <c r="I118" s="76">
        <f t="shared" si="122"/>
        <v>14269</v>
      </c>
      <c r="J118" s="93">
        <f t="shared" si="104"/>
        <v>0.1020241815</v>
      </c>
      <c r="K118" s="66">
        <f t="shared" si="105"/>
        <v>0.1020241815</v>
      </c>
      <c r="L118" s="29" t="s">
        <v>81</v>
      </c>
    </row>
    <row r="119">
      <c r="A119" s="54" t="s">
        <v>21</v>
      </c>
      <c r="B119" s="54" t="s">
        <v>22</v>
      </c>
      <c r="C119" s="11" t="s">
        <v>416</v>
      </c>
      <c r="D119" s="11" t="s">
        <v>417</v>
      </c>
      <c r="E119" s="59" t="s">
        <v>418</v>
      </c>
      <c r="F119" s="75">
        <v>1995.0</v>
      </c>
      <c r="G119" s="76">
        <v>169098.0</v>
      </c>
      <c r="H119" s="76">
        <f t="shared" ref="H119:I119" si="123">F119-F118</f>
        <v>1</v>
      </c>
      <c r="I119" s="76">
        <f t="shared" si="123"/>
        <v>14970</v>
      </c>
      <c r="J119" s="93">
        <f t="shared" si="104"/>
        <v>0.09712706322</v>
      </c>
      <c r="K119" s="66">
        <f t="shared" si="105"/>
        <v>0.09712706322</v>
      </c>
      <c r="L119" s="29" t="s">
        <v>81</v>
      </c>
    </row>
    <row r="120">
      <c r="A120" s="54" t="s">
        <v>21</v>
      </c>
      <c r="B120" s="54" t="s">
        <v>22</v>
      </c>
      <c r="C120" s="11" t="s">
        <v>416</v>
      </c>
      <c r="D120" s="11" t="s">
        <v>417</v>
      </c>
      <c r="E120" s="59" t="s">
        <v>418</v>
      </c>
      <c r="F120" s="75">
        <v>1996.0</v>
      </c>
      <c r="G120" s="76">
        <v>183101.0</v>
      </c>
      <c r="H120" s="76">
        <f t="shared" ref="H120:I120" si="124">F120-F119</f>
        <v>1</v>
      </c>
      <c r="I120" s="76">
        <f t="shared" si="124"/>
        <v>14003</v>
      </c>
      <c r="J120" s="93">
        <f t="shared" si="104"/>
        <v>0.08280996818</v>
      </c>
      <c r="K120" s="66">
        <f t="shared" si="105"/>
        <v>0.08280996818</v>
      </c>
      <c r="L120" s="29" t="s">
        <v>81</v>
      </c>
    </row>
    <row r="121">
      <c r="A121" s="54" t="s">
        <v>21</v>
      </c>
      <c r="B121" s="54" t="s">
        <v>22</v>
      </c>
      <c r="C121" s="11" t="s">
        <v>416</v>
      </c>
      <c r="D121" s="11" t="s">
        <v>417</v>
      </c>
      <c r="E121" s="59" t="s">
        <v>418</v>
      </c>
      <c r="F121" s="75">
        <v>1997.0</v>
      </c>
      <c r="G121" s="76">
        <v>191799.0</v>
      </c>
      <c r="H121" s="76">
        <f t="shared" ref="H121:I121" si="125">F121-F120</f>
        <v>1</v>
      </c>
      <c r="I121" s="76">
        <f t="shared" si="125"/>
        <v>8698</v>
      </c>
      <c r="J121" s="93">
        <f t="shared" si="104"/>
        <v>0.04750383668</v>
      </c>
      <c r="K121" s="66">
        <f t="shared" si="105"/>
        <v>0.04750383668</v>
      </c>
      <c r="L121" s="29" t="s">
        <v>81</v>
      </c>
    </row>
    <row r="122">
      <c r="A122" s="54" t="s">
        <v>21</v>
      </c>
      <c r="B122" s="54" t="s">
        <v>22</v>
      </c>
      <c r="C122" s="11" t="s">
        <v>416</v>
      </c>
      <c r="D122" s="11" t="s">
        <v>417</v>
      </c>
      <c r="E122" s="59" t="s">
        <v>418</v>
      </c>
      <c r="F122" s="75">
        <v>1998.0</v>
      </c>
      <c r="G122" s="76">
        <v>145911.0</v>
      </c>
      <c r="H122" s="76">
        <f t="shared" ref="H122:I122" si="126">F122-F121</f>
        <v>1</v>
      </c>
      <c r="I122" s="76">
        <f t="shared" si="126"/>
        <v>-45888</v>
      </c>
      <c r="J122" s="93">
        <f t="shared" si="104"/>
        <v>-0.2392504653</v>
      </c>
      <c r="K122" s="66">
        <f t="shared" si="105"/>
        <v>-0.2392504653</v>
      </c>
      <c r="L122" s="29" t="s">
        <v>81</v>
      </c>
    </row>
    <row r="123">
      <c r="A123" s="54" t="s">
        <v>21</v>
      </c>
      <c r="B123" s="54" t="s">
        <v>22</v>
      </c>
      <c r="C123" s="11" t="s">
        <v>416</v>
      </c>
      <c r="D123" s="11" t="s">
        <v>417</v>
      </c>
      <c r="E123" s="59" t="s">
        <v>418</v>
      </c>
      <c r="F123" s="75">
        <v>1999.0</v>
      </c>
      <c r="G123" s="76">
        <v>167358.0</v>
      </c>
      <c r="H123" s="76">
        <f t="shared" ref="H123:I123" si="127">F123-F122</f>
        <v>1</v>
      </c>
      <c r="I123" s="76">
        <f t="shared" si="127"/>
        <v>21447</v>
      </c>
      <c r="J123" s="93">
        <f t="shared" si="104"/>
        <v>0.1469868619</v>
      </c>
      <c r="K123" s="66">
        <f t="shared" si="105"/>
        <v>0.1469868619</v>
      </c>
      <c r="L123" s="29" t="s">
        <v>81</v>
      </c>
    </row>
    <row r="124">
      <c r="A124" s="54" t="s">
        <v>21</v>
      </c>
      <c r="B124" s="54" t="s">
        <v>22</v>
      </c>
      <c r="C124" s="11" t="s">
        <v>416</v>
      </c>
      <c r="D124" s="11" t="s">
        <v>417</v>
      </c>
      <c r="E124" s="59" t="s">
        <v>418</v>
      </c>
      <c r="F124" s="75">
        <v>2000.0</v>
      </c>
      <c r="G124" s="76">
        <v>191632.0</v>
      </c>
      <c r="H124" s="76">
        <f t="shared" ref="H124:I124" si="128">F124-F123</f>
        <v>1</v>
      </c>
      <c r="I124" s="76">
        <f t="shared" si="128"/>
        <v>24274</v>
      </c>
      <c r="J124" s="93">
        <f t="shared" si="104"/>
        <v>0.1450423643</v>
      </c>
      <c r="K124" s="66">
        <f t="shared" si="105"/>
        <v>0.1450423643</v>
      </c>
      <c r="L124" s="29" t="s">
        <v>81</v>
      </c>
    </row>
    <row r="125">
      <c r="A125" s="54" t="s">
        <v>21</v>
      </c>
      <c r="B125" s="54" t="s">
        <v>22</v>
      </c>
      <c r="C125" s="11" t="s">
        <v>416</v>
      </c>
      <c r="D125" s="11" t="s">
        <v>417</v>
      </c>
      <c r="E125" s="59" t="s">
        <v>418</v>
      </c>
      <c r="F125" s="75">
        <v>2001.0</v>
      </c>
      <c r="G125" s="76">
        <v>195805.0</v>
      </c>
      <c r="H125" s="76">
        <f t="shared" ref="H125:I125" si="129">F125-F124</f>
        <v>1</v>
      </c>
      <c r="I125" s="76">
        <f t="shared" si="129"/>
        <v>4173</v>
      </c>
      <c r="J125" s="93">
        <f t="shared" si="104"/>
        <v>0.02177611255</v>
      </c>
      <c r="K125" s="66">
        <f t="shared" si="105"/>
        <v>0.02177611255</v>
      </c>
      <c r="L125" s="29" t="s">
        <v>81</v>
      </c>
    </row>
    <row r="126">
      <c r="A126" s="54" t="s">
        <v>21</v>
      </c>
      <c r="B126" s="54" t="s">
        <v>22</v>
      </c>
      <c r="C126" s="11" t="s">
        <v>416</v>
      </c>
      <c r="D126" s="11" t="s">
        <v>417</v>
      </c>
      <c r="E126" s="59" t="s">
        <v>418</v>
      </c>
      <c r="F126" s="75">
        <v>2002.0</v>
      </c>
      <c r="G126" s="76">
        <v>200865.0</v>
      </c>
      <c r="H126" s="76">
        <f t="shared" ref="H126:I126" si="130">F126-F125</f>
        <v>1</v>
      </c>
      <c r="I126" s="76">
        <f t="shared" si="130"/>
        <v>5060</v>
      </c>
      <c r="J126" s="93">
        <f t="shared" si="104"/>
        <v>0.02584203672</v>
      </c>
      <c r="K126" s="66">
        <f t="shared" si="105"/>
        <v>0.02584203672</v>
      </c>
      <c r="L126" s="29" t="s">
        <v>81</v>
      </c>
    </row>
    <row r="127">
      <c r="A127" s="54" t="s">
        <v>21</v>
      </c>
      <c r="B127" s="54" t="s">
        <v>22</v>
      </c>
      <c r="C127" s="11" t="s">
        <v>416</v>
      </c>
      <c r="D127" s="11" t="s">
        <v>417</v>
      </c>
      <c r="E127" s="59" t="s">
        <v>418</v>
      </c>
      <c r="F127" s="75">
        <v>2003.0</v>
      </c>
      <c r="G127" s="76">
        <v>192075.0</v>
      </c>
      <c r="H127" s="76">
        <f t="shared" ref="H127:I127" si="131">F127-F126</f>
        <v>1</v>
      </c>
      <c r="I127" s="76">
        <f t="shared" si="131"/>
        <v>-8790</v>
      </c>
      <c r="J127" s="93">
        <f t="shared" si="104"/>
        <v>-0.04376073482</v>
      </c>
      <c r="K127" s="66">
        <f t="shared" si="105"/>
        <v>-0.04376073482</v>
      </c>
      <c r="L127" s="29" t="s">
        <v>81</v>
      </c>
    </row>
    <row r="128">
      <c r="A128" s="54" t="s">
        <v>21</v>
      </c>
      <c r="B128" s="54" t="s">
        <v>22</v>
      </c>
      <c r="C128" s="11" t="s">
        <v>416</v>
      </c>
      <c r="D128" s="11" t="s">
        <v>417</v>
      </c>
      <c r="E128" s="59" t="s">
        <v>418</v>
      </c>
      <c r="F128" s="75">
        <v>2004.0</v>
      </c>
      <c r="G128" s="76">
        <v>200327.0</v>
      </c>
      <c r="H128" s="76">
        <f t="shared" ref="H128:I128" si="132">F128-F127</f>
        <v>1</v>
      </c>
      <c r="I128" s="76">
        <f t="shared" si="132"/>
        <v>8252</v>
      </c>
      <c r="J128" s="93">
        <f t="shared" si="104"/>
        <v>0.04296238449</v>
      </c>
      <c r="K128" s="66">
        <f t="shared" si="105"/>
        <v>0.04296238449</v>
      </c>
      <c r="L128" s="29" t="s">
        <v>81</v>
      </c>
    </row>
    <row r="129">
      <c r="A129" s="54" t="s">
        <v>21</v>
      </c>
      <c r="B129" s="54" t="s">
        <v>22</v>
      </c>
      <c r="C129" s="11" t="s">
        <v>416</v>
      </c>
      <c r="D129" s="11" t="s">
        <v>417</v>
      </c>
      <c r="E129" s="59" t="s">
        <v>418</v>
      </c>
      <c r="F129" s="75">
        <v>2005.0</v>
      </c>
      <c r="G129" s="76">
        <v>215248.0</v>
      </c>
      <c r="H129" s="76">
        <f t="shared" ref="H129:I129" si="133">F129-F128</f>
        <v>1</v>
      </c>
      <c r="I129" s="76">
        <f t="shared" si="133"/>
        <v>14921</v>
      </c>
      <c r="J129" s="93">
        <f t="shared" si="104"/>
        <v>0.07448321994</v>
      </c>
      <c r="K129" s="66">
        <f t="shared" si="105"/>
        <v>0.07448321994</v>
      </c>
      <c r="L129" s="29" t="s">
        <v>81</v>
      </c>
    </row>
    <row r="130">
      <c r="A130" s="54" t="s">
        <v>21</v>
      </c>
      <c r="B130" s="54" t="s">
        <v>22</v>
      </c>
      <c r="C130" s="11" t="s">
        <v>416</v>
      </c>
      <c r="D130" s="11" t="s">
        <v>417</v>
      </c>
      <c r="E130" s="59" t="s">
        <v>418</v>
      </c>
      <c r="F130" s="75">
        <v>2006.0</v>
      </c>
      <c r="G130" s="76">
        <v>242193.0</v>
      </c>
      <c r="H130" s="76">
        <f t="shared" ref="H130:I130" si="134">F130-F129</f>
        <v>1</v>
      </c>
      <c r="I130" s="76">
        <f t="shared" si="134"/>
        <v>26945</v>
      </c>
      <c r="J130" s="93">
        <f t="shared" si="104"/>
        <v>0.1251811864</v>
      </c>
      <c r="K130" s="66">
        <f t="shared" si="105"/>
        <v>0.1251811864</v>
      </c>
      <c r="L130" s="29" t="s">
        <v>81</v>
      </c>
    </row>
    <row r="131">
      <c r="A131" s="54" t="s">
        <v>21</v>
      </c>
      <c r="B131" s="54" t="s">
        <v>22</v>
      </c>
      <c r="C131" s="11" t="s">
        <v>416</v>
      </c>
      <c r="D131" s="11" t="s">
        <v>417</v>
      </c>
      <c r="E131" s="59" t="s">
        <v>418</v>
      </c>
      <c r="F131" s="75">
        <v>2007.0</v>
      </c>
      <c r="G131" s="76">
        <v>259004.0</v>
      </c>
      <c r="H131" s="76">
        <f t="shared" ref="H131:I131" si="135">F131-F130</f>
        <v>1</v>
      </c>
      <c r="I131" s="76">
        <f t="shared" si="135"/>
        <v>16811</v>
      </c>
      <c r="J131" s="93">
        <f t="shared" si="104"/>
        <v>0.06941158498</v>
      </c>
      <c r="K131" s="66">
        <f t="shared" si="105"/>
        <v>0.06941158498</v>
      </c>
      <c r="L131" s="29" t="s">
        <v>81</v>
      </c>
    </row>
    <row r="132">
      <c r="A132" s="54" t="s">
        <v>21</v>
      </c>
      <c r="B132" s="54" t="s">
        <v>22</v>
      </c>
      <c r="C132" s="11" t="s">
        <v>416</v>
      </c>
      <c r="D132" s="11" t="s">
        <v>417</v>
      </c>
      <c r="E132" s="59" t="s">
        <v>418</v>
      </c>
      <c r="F132" s="75">
        <v>2008.0</v>
      </c>
      <c r="G132" s="76">
        <v>281450.0</v>
      </c>
      <c r="H132" s="76">
        <f t="shared" ref="H132:I132" si="136">F132-F131</f>
        <v>1</v>
      </c>
      <c r="I132" s="76">
        <f t="shared" si="136"/>
        <v>22446</v>
      </c>
      <c r="J132" s="93">
        <f t="shared" si="104"/>
        <v>0.08666275424</v>
      </c>
      <c r="K132" s="66">
        <f t="shared" si="105"/>
        <v>0.08666275424</v>
      </c>
      <c r="L132" s="29" t="s">
        <v>81</v>
      </c>
    </row>
    <row r="133">
      <c r="A133" s="54" t="s">
        <v>21</v>
      </c>
      <c r="B133" s="54" t="s">
        <v>22</v>
      </c>
      <c r="C133" s="11" t="s">
        <v>416</v>
      </c>
      <c r="D133" s="11" t="s">
        <v>417</v>
      </c>
      <c r="E133" s="59" t="s">
        <v>418</v>
      </c>
      <c r="F133" s="75">
        <v>2009.0</v>
      </c>
      <c r="G133" s="76">
        <v>276155.0</v>
      </c>
      <c r="H133" s="76">
        <f t="shared" ref="H133:I133" si="137">F133-F132</f>
        <v>1</v>
      </c>
      <c r="I133" s="76">
        <f t="shared" si="137"/>
        <v>-5295</v>
      </c>
      <c r="J133" s="93">
        <f t="shared" si="104"/>
        <v>-0.01881328833</v>
      </c>
      <c r="K133" s="66">
        <f t="shared" si="105"/>
        <v>-0.01881328833</v>
      </c>
      <c r="L133" s="29" t="s">
        <v>81</v>
      </c>
    </row>
    <row r="134">
      <c r="A134" s="54" t="s">
        <v>21</v>
      </c>
      <c r="B134" s="54" t="s">
        <v>22</v>
      </c>
      <c r="C134" s="11" t="s">
        <v>416</v>
      </c>
      <c r="D134" s="11" t="s">
        <v>417</v>
      </c>
      <c r="E134" s="59" t="s">
        <v>418</v>
      </c>
      <c r="F134" s="75">
        <v>2010.0</v>
      </c>
      <c r="G134" s="76">
        <v>246331.0</v>
      </c>
      <c r="H134" s="76">
        <f t="shared" ref="H134:I134" si="138">F134-F133</f>
        <v>1</v>
      </c>
      <c r="I134" s="76">
        <f t="shared" si="138"/>
        <v>-29824</v>
      </c>
      <c r="J134" s="93">
        <f t="shared" si="104"/>
        <v>-0.1079973203</v>
      </c>
      <c r="K134" s="66">
        <f t="shared" si="105"/>
        <v>-0.1079973203</v>
      </c>
      <c r="L134" s="29" t="s">
        <v>81</v>
      </c>
    </row>
    <row r="135">
      <c r="A135" s="54" t="s">
        <v>21</v>
      </c>
      <c r="B135" s="54" t="s">
        <v>22</v>
      </c>
      <c r="C135" s="11" t="s">
        <v>416</v>
      </c>
      <c r="D135" s="11" t="s">
        <v>417</v>
      </c>
      <c r="E135" s="59" t="s">
        <v>418</v>
      </c>
      <c r="F135" s="75">
        <v>2011.0</v>
      </c>
      <c r="G135" s="76">
        <v>275489.0</v>
      </c>
      <c r="H135" s="76">
        <f t="shared" ref="H135:I135" si="139">F135-F134</f>
        <v>1</v>
      </c>
      <c r="I135" s="76">
        <f t="shared" si="139"/>
        <v>29158</v>
      </c>
      <c r="J135" s="93">
        <f t="shared" si="104"/>
        <v>0.1183691862</v>
      </c>
      <c r="K135" s="66">
        <f t="shared" si="105"/>
        <v>0.1183691862</v>
      </c>
      <c r="L135" s="29" t="s">
        <v>81</v>
      </c>
    </row>
    <row r="136">
      <c r="A136" s="54" t="s">
        <v>21</v>
      </c>
      <c r="B136" s="54" t="s">
        <v>22</v>
      </c>
      <c r="C136" s="11" t="s">
        <v>416</v>
      </c>
      <c r="D136" s="11" t="s">
        <v>417</v>
      </c>
      <c r="E136" s="59" t="s">
        <v>418</v>
      </c>
      <c r="F136" s="75">
        <v>2012.0</v>
      </c>
      <c r="G136" s="76">
        <v>306220.0</v>
      </c>
      <c r="H136" s="76">
        <f t="shared" ref="H136:I136" si="140">F136-F135</f>
        <v>1</v>
      </c>
      <c r="I136" s="76">
        <f t="shared" si="140"/>
        <v>30731</v>
      </c>
      <c r="J136" s="93">
        <f t="shared" si="104"/>
        <v>0.1115507334</v>
      </c>
      <c r="K136" s="66">
        <f t="shared" si="105"/>
        <v>0.1115507334</v>
      </c>
      <c r="L136" s="29" t="s">
        <v>81</v>
      </c>
    </row>
    <row r="137">
      <c r="A137" s="54" t="s">
        <v>21</v>
      </c>
      <c r="B137" s="54" t="s">
        <v>22</v>
      </c>
      <c r="C137" s="11" t="s">
        <v>416</v>
      </c>
      <c r="D137" s="11" t="s">
        <v>417</v>
      </c>
      <c r="E137" s="59" t="s">
        <v>418</v>
      </c>
      <c r="F137" s="75">
        <v>2013.0</v>
      </c>
      <c r="G137" s="76">
        <v>253662.0</v>
      </c>
      <c r="H137" s="76">
        <f t="shared" ref="H137:I137" si="141">F137-F136</f>
        <v>1</v>
      </c>
      <c r="I137" s="76">
        <f t="shared" si="141"/>
        <v>-52558</v>
      </c>
      <c r="J137" s="93">
        <f t="shared" si="104"/>
        <v>-0.1716347724</v>
      </c>
      <c r="K137" s="66">
        <f t="shared" si="105"/>
        <v>-0.1716347724</v>
      </c>
      <c r="L137" s="29" t="s">
        <v>81</v>
      </c>
    </row>
    <row r="138">
      <c r="A138" s="54" t="s">
        <v>21</v>
      </c>
      <c r="B138" s="54" t="s">
        <v>22</v>
      </c>
      <c r="C138" s="11" t="s">
        <v>416</v>
      </c>
      <c r="D138" s="11" t="s">
        <v>417</v>
      </c>
      <c r="E138" s="59" t="s">
        <v>418</v>
      </c>
      <c r="F138" s="75">
        <v>2014.0</v>
      </c>
      <c r="G138" s="76">
        <v>257606.0</v>
      </c>
      <c r="H138" s="76">
        <f t="shared" ref="H138:I138" si="142">F138-F137</f>
        <v>1</v>
      </c>
      <c r="I138" s="76">
        <f t="shared" si="142"/>
        <v>3944</v>
      </c>
      <c r="J138" s="93">
        <f t="shared" si="104"/>
        <v>0.01554824925</v>
      </c>
      <c r="K138" s="66">
        <f t="shared" si="105"/>
        <v>0.01554824925</v>
      </c>
      <c r="L138" s="29" t="s">
        <v>81</v>
      </c>
    </row>
    <row r="139">
      <c r="A139" s="54" t="s">
        <v>21</v>
      </c>
      <c r="B139" s="54" t="s">
        <v>22</v>
      </c>
      <c r="C139" s="80" t="s">
        <v>416</v>
      </c>
      <c r="D139" s="59" t="s">
        <v>554</v>
      </c>
      <c r="E139" s="59" t="s">
        <v>555</v>
      </c>
      <c r="F139" s="75">
        <v>1975.0</v>
      </c>
      <c r="G139" s="76">
        <v>12499.0</v>
      </c>
      <c r="H139" s="76" t="s">
        <v>188</v>
      </c>
      <c r="I139" s="76" t="s">
        <v>188</v>
      </c>
      <c r="J139" s="93" t="s">
        <v>188</v>
      </c>
      <c r="K139" s="66" t="s">
        <v>188</v>
      </c>
      <c r="L139" s="82" t="s">
        <v>81</v>
      </c>
      <c r="M139" s="54"/>
      <c r="N139" s="54"/>
      <c r="O139" s="54"/>
      <c r="P139" s="54"/>
      <c r="Q139" s="54"/>
      <c r="R139" s="54"/>
      <c r="S139" s="54"/>
      <c r="T139" s="54"/>
      <c r="U139" s="54"/>
      <c r="V139" s="54"/>
      <c r="W139" s="54"/>
      <c r="X139" s="54"/>
      <c r="Y139" s="54"/>
      <c r="Z139" s="54"/>
      <c r="AA139" s="54"/>
      <c r="AB139" s="54"/>
      <c r="AC139" s="54"/>
      <c r="AD139" s="54"/>
      <c r="AE139" s="54"/>
    </row>
    <row r="140">
      <c r="A140" s="80" t="s">
        <v>21</v>
      </c>
      <c r="B140" s="80" t="s">
        <v>22</v>
      </c>
      <c r="C140" s="80" t="s">
        <v>416</v>
      </c>
      <c r="D140" s="59" t="s">
        <v>554</v>
      </c>
      <c r="E140" s="59" t="s">
        <v>555</v>
      </c>
      <c r="F140" s="83">
        <v>1976.0</v>
      </c>
      <c r="G140" s="76">
        <v>14749.0</v>
      </c>
      <c r="H140" s="76">
        <f t="shared" ref="H140:I140" si="143">F140-F139</f>
        <v>1</v>
      </c>
      <c r="I140" s="76">
        <f t="shared" si="143"/>
        <v>2250</v>
      </c>
      <c r="J140" s="93">
        <f t="shared" ref="J140:J178" si="145">I140/G139</f>
        <v>0.1800144012</v>
      </c>
      <c r="K140" s="66">
        <f t="shared" ref="K140:K178" si="146">J140/H140</f>
        <v>0.1800144012</v>
      </c>
      <c r="L140" s="82" t="s">
        <v>81</v>
      </c>
      <c r="M140" s="54"/>
      <c r="N140" s="54"/>
      <c r="O140" s="54"/>
      <c r="P140" s="54"/>
      <c r="Q140" s="54"/>
      <c r="R140" s="54"/>
      <c r="S140" s="54"/>
      <c r="T140" s="54"/>
      <c r="U140" s="54"/>
      <c r="V140" s="54"/>
      <c r="W140" s="54"/>
      <c r="X140" s="54"/>
      <c r="Y140" s="54"/>
      <c r="Z140" s="54"/>
      <c r="AA140" s="54"/>
      <c r="AB140" s="54"/>
      <c r="AC140" s="54"/>
      <c r="AD140" s="54"/>
      <c r="AE140" s="54"/>
    </row>
    <row r="141">
      <c r="A141" s="80" t="s">
        <v>21</v>
      </c>
      <c r="B141" s="80" t="s">
        <v>22</v>
      </c>
      <c r="C141" s="80" t="s">
        <v>416</v>
      </c>
      <c r="D141" s="59" t="s">
        <v>554</v>
      </c>
      <c r="E141" s="59" t="s">
        <v>555</v>
      </c>
      <c r="F141" s="83">
        <v>1977.0</v>
      </c>
      <c r="G141" s="76">
        <v>11712.0</v>
      </c>
      <c r="H141" s="76">
        <f t="shared" ref="H141:I141" si="144">F141-F140</f>
        <v>1</v>
      </c>
      <c r="I141" s="76">
        <f t="shared" si="144"/>
        <v>-3037</v>
      </c>
      <c r="J141" s="93">
        <f t="shared" si="145"/>
        <v>-0.2059122652</v>
      </c>
      <c r="K141" s="66">
        <f t="shared" si="146"/>
        <v>-0.2059122652</v>
      </c>
      <c r="L141" s="82" t="s">
        <v>81</v>
      </c>
      <c r="M141" s="54"/>
      <c r="N141" s="54"/>
      <c r="O141" s="54"/>
      <c r="P141" s="54"/>
      <c r="Q141" s="54"/>
      <c r="R141" s="54"/>
      <c r="S141" s="54"/>
      <c r="T141" s="54"/>
      <c r="U141" s="54"/>
      <c r="V141" s="54"/>
      <c r="W141" s="54"/>
      <c r="X141" s="54"/>
      <c r="Y141" s="54"/>
      <c r="Z141" s="54"/>
      <c r="AA141" s="54"/>
      <c r="AB141" s="54"/>
      <c r="AC141" s="54"/>
      <c r="AD141" s="54"/>
      <c r="AE141" s="54"/>
    </row>
    <row r="142">
      <c r="A142" s="80" t="s">
        <v>21</v>
      </c>
      <c r="B142" s="80" t="s">
        <v>22</v>
      </c>
      <c r="C142" s="80" t="s">
        <v>416</v>
      </c>
      <c r="D142" s="59" t="s">
        <v>554</v>
      </c>
      <c r="E142" s="59" t="s">
        <v>555</v>
      </c>
      <c r="F142" s="83">
        <v>1978.0</v>
      </c>
      <c r="G142" s="76">
        <v>13449.0</v>
      </c>
      <c r="H142" s="76">
        <f t="shared" ref="H142:I142" si="147">F142-F141</f>
        <v>1</v>
      </c>
      <c r="I142" s="76">
        <f t="shared" si="147"/>
        <v>1737</v>
      </c>
      <c r="J142" s="93">
        <f t="shared" si="145"/>
        <v>0.1483094262</v>
      </c>
      <c r="K142" s="66">
        <f t="shared" si="146"/>
        <v>0.1483094262</v>
      </c>
      <c r="L142" s="82" t="s">
        <v>81</v>
      </c>
      <c r="M142" s="54"/>
      <c r="N142" s="54"/>
      <c r="O142" s="54"/>
      <c r="P142" s="54"/>
      <c r="Q142" s="54"/>
      <c r="R142" s="54"/>
      <c r="S142" s="54"/>
      <c r="T142" s="54"/>
      <c r="U142" s="54"/>
      <c r="V142" s="54"/>
      <c r="W142" s="54"/>
      <c r="X142" s="54"/>
      <c r="Y142" s="54"/>
      <c r="Z142" s="54"/>
      <c r="AA142" s="54"/>
      <c r="AB142" s="54"/>
      <c r="AC142" s="54"/>
      <c r="AD142" s="54"/>
      <c r="AE142" s="54"/>
    </row>
    <row r="143">
      <c r="A143" s="80" t="s">
        <v>21</v>
      </c>
      <c r="B143" s="80" t="s">
        <v>22</v>
      </c>
      <c r="C143" s="80" t="s">
        <v>416</v>
      </c>
      <c r="D143" s="59" t="s">
        <v>554</v>
      </c>
      <c r="E143" s="59" t="s">
        <v>555</v>
      </c>
      <c r="F143" s="83">
        <v>1979.0</v>
      </c>
      <c r="G143" s="76">
        <v>14145.0</v>
      </c>
      <c r="H143" s="76">
        <f t="shared" ref="H143:I143" si="148">F143-F142</f>
        <v>1</v>
      </c>
      <c r="I143" s="76">
        <f t="shared" si="148"/>
        <v>696</v>
      </c>
      <c r="J143" s="93">
        <f t="shared" si="145"/>
        <v>0.05175105956</v>
      </c>
      <c r="K143" s="66">
        <f t="shared" si="146"/>
        <v>0.05175105956</v>
      </c>
      <c r="L143" s="82" t="s">
        <v>81</v>
      </c>
      <c r="M143" s="54"/>
      <c r="N143" s="54"/>
      <c r="O143" s="54"/>
      <c r="P143" s="54"/>
      <c r="Q143" s="54"/>
      <c r="R143" s="54"/>
      <c r="S143" s="54"/>
      <c r="T143" s="54"/>
      <c r="U143" s="54"/>
      <c r="V143" s="54"/>
      <c r="W143" s="54"/>
      <c r="X143" s="54"/>
      <c r="Y143" s="54"/>
      <c r="Z143" s="54"/>
      <c r="AA143" s="54"/>
      <c r="AB143" s="54"/>
      <c r="AC143" s="54"/>
      <c r="AD143" s="54"/>
      <c r="AE143" s="54"/>
    </row>
    <row r="144">
      <c r="A144" s="80" t="s">
        <v>21</v>
      </c>
      <c r="B144" s="80" t="s">
        <v>22</v>
      </c>
      <c r="C144" s="80" t="s">
        <v>416</v>
      </c>
      <c r="D144" s="59" t="s">
        <v>554</v>
      </c>
      <c r="E144" s="59" t="s">
        <v>555</v>
      </c>
      <c r="F144" s="83">
        <v>1980.0</v>
      </c>
      <c r="G144" s="76">
        <v>14878.0</v>
      </c>
      <c r="H144" s="76">
        <f t="shared" ref="H144:I144" si="149">F144-F143</f>
        <v>1</v>
      </c>
      <c r="I144" s="76">
        <f t="shared" si="149"/>
        <v>733</v>
      </c>
      <c r="J144" s="93">
        <f t="shared" si="145"/>
        <v>0.05182043125</v>
      </c>
      <c r="K144" s="66">
        <f t="shared" si="146"/>
        <v>0.05182043125</v>
      </c>
      <c r="L144" s="82" t="s">
        <v>81</v>
      </c>
      <c r="M144" s="54"/>
      <c r="N144" s="54"/>
      <c r="O144" s="54"/>
      <c r="P144" s="54"/>
      <c r="Q144" s="54"/>
      <c r="R144" s="54"/>
      <c r="S144" s="54"/>
      <c r="T144" s="54"/>
      <c r="U144" s="54"/>
      <c r="V144" s="54"/>
      <c r="W144" s="54"/>
      <c r="X144" s="54"/>
      <c r="Y144" s="54"/>
      <c r="Z144" s="54"/>
      <c r="AA144" s="54"/>
      <c r="AB144" s="54"/>
      <c r="AC144" s="54"/>
      <c r="AD144" s="54"/>
      <c r="AE144" s="54"/>
    </row>
    <row r="145">
      <c r="A145" s="80" t="s">
        <v>21</v>
      </c>
      <c r="B145" s="80" t="s">
        <v>22</v>
      </c>
      <c r="C145" s="80" t="s">
        <v>416</v>
      </c>
      <c r="D145" s="59" t="s">
        <v>554</v>
      </c>
      <c r="E145" s="59" t="s">
        <v>555</v>
      </c>
      <c r="F145" s="83">
        <v>1981.0</v>
      </c>
      <c r="G145" s="76">
        <v>16701.0</v>
      </c>
      <c r="H145" s="76">
        <f t="shared" ref="H145:I145" si="150">F145-F144</f>
        <v>1</v>
      </c>
      <c r="I145" s="76">
        <f t="shared" si="150"/>
        <v>1823</v>
      </c>
      <c r="J145" s="93">
        <f t="shared" si="145"/>
        <v>0.1225299099</v>
      </c>
      <c r="K145" s="66">
        <f t="shared" si="146"/>
        <v>0.1225299099</v>
      </c>
      <c r="L145" s="82" t="s">
        <v>81</v>
      </c>
      <c r="M145" s="54"/>
      <c r="N145" s="54"/>
      <c r="O145" s="54"/>
      <c r="P145" s="54"/>
      <c r="Q145" s="54"/>
      <c r="R145" s="54"/>
      <c r="S145" s="54"/>
      <c r="T145" s="54"/>
      <c r="U145" s="54"/>
      <c r="V145" s="54"/>
      <c r="W145" s="54"/>
      <c r="X145" s="54"/>
      <c r="Y145" s="54"/>
      <c r="Z145" s="54"/>
      <c r="AA145" s="54"/>
      <c r="AB145" s="54"/>
      <c r="AC145" s="54"/>
      <c r="AD145" s="54"/>
      <c r="AE145" s="54"/>
    </row>
    <row r="146">
      <c r="A146" s="80" t="s">
        <v>21</v>
      </c>
      <c r="B146" s="80" t="s">
        <v>22</v>
      </c>
      <c r="C146" s="80" t="s">
        <v>416</v>
      </c>
      <c r="D146" s="59" t="s">
        <v>554</v>
      </c>
      <c r="E146" s="59" t="s">
        <v>555</v>
      </c>
      <c r="F146" s="83">
        <v>1982.0</v>
      </c>
      <c r="G146" s="76">
        <v>20540.0</v>
      </c>
      <c r="H146" s="76">
        <f t="shared" ref="H146:I146" si="151">F146-F145</f>
        <v>1</v>
      </c>
      <c r="I146" s="76">
        <f t="shared" si="151"/>
        <v>3839</v>
      </c>
      <c r="J146" s="93">
        <f t="shared" si="145"/>
        <v>0.2298664751</v>
      </c>
      <c r="K146" s="66">
        <f t="shared" si="146"/>
        <v>0.2298664751</v>
      </c>
      <c r="L146" s="82" t="s">
        <v>81</v>
      </c>
      <c r="M146" s="54"/>
      <c r="N146" s="54"/>
      <c r="O146" s="54"/>
      <c r="P146" s="54"/>
      <c r="Q146" s="54"/>
      <c r="R146" s="54"/>
      <c r="S146" s="54"/>
      <c r="T146" s="54"/>
      <c r="U146" s="54"/>
      <c r="V146" s="54"/>
      <c r="W146" s="54"/>
      <c r="X146" s="54"/>
      <c r="Y146" s="54"/>
      <c r="Z146" s="54"/>
      <c r="AA146" s="54"/>
      <c r="AB146" s="54"/>
      <c r="AC146" s="54"/>
      <c r="AD146" s="54"/>
      <c r="AE146" s="54"/>
    </row>
    <row r="147">
      <c r="A147" s="80" t="s">
        <v>21</v>
      </c>
      <c r="B147" s="80" t="s">
        <v>22</v>
      </c>
      <c r="C147" s="80" t="s">
        <v>416</v>
      </c>
      <c r="D147" s="59" t="s">
        <v>554</v>
      </c>
      <c r="E147" s="59" t="s">
        <v>555</v>
      </c>
      <c r="F147" s="83">
        <v>1983.0</v>
      </c>
      <c r="G147" s="76">
        <v>11595.0</v>
      </c>
      <c r="H147" s="76">
        <f t="shared" ref="H147:I147" si="152">F147-F146</f>
        <v>1</v>
      </c>
      <c r="I147" s="76">
        <f t="shared" si="152"/>
        <v>-8945</v>
      </c>
      <c r="J147" s="93">
        <f t="shared" si="145"/>
        <v>-0.4354917235</v>
      </c>
      <c r="K147" s="66">
        <f t="shared" si="146"/>
        <v>-0.4354917235</v>
      </c>
      <c r="L147" s="82" t="s">
        <v>81</v>
      </c>
      <c r="M147" s="54"/>
      <c r="N147" s="54"/>
      <c r="O147" s="54"/>
      <c r="P147" s="54"/>
      <c r="Q147" s="54"/>
      <c r="R147" s="54"/>
      <c r="S147" s="54"/>
      <c r="T147" s="54"/>
      <c r="U147" s="54"/>
      <c r="V147" s="54"/>
      <c r="W147" s="54"/>
      <c r="X147" s="54"/>
      <c r="Y147" s="54"/>
      <c r="Z147" s="54"/>
      <c r="AA147" s="54"/>
      <c r="AB147" s="54"/>
      <c r="AC147" s="54"/>
      <c r="AD147" s="54"/>
      <c r="AE147" s="54"/>
    </row>
    <row r="148">
      <c r="A148" s="80" t="s">
        <v>21</v>
      </c>
      <c r="B148" s="80" t="s">
        <v>22</v>
      </c>
      <c r="C148" s="80" t="s">
        <v>416</v>
      </c>
      <c r="D148" s="59" t="s">
        <v>554</v>
      </c>
      <c r="E148" s="59" t="s">
        <v>555</v>
      </c>
      <c r="F148" s="83">
        <v>1984.0</v>
      </c>
      <c r="G148" s="76">
        <v>13550.0</v>
      </c>
      <c r="H148" s="76">
        <f t="shared" ref="H148:I148" si="153">F148-F147</f>
        <v>1</v>
      </c>
      <c r="I148" s="76">
        <f t="shared" si="153"/>
        <v>1955</v>
      </c>
      <c r="J148" s="93">
        <f t="shared" si="145"/>
        <v>0.1686071583</v>
      </c>
      <c r="K148" s="66">
        <f t="shared" si="146"/>
        <v>0.1686071583</v>
      </c>
      <c r="L148" s="82" t="s">
        <v>81</v>
      </c>
      <c r="M148" s="54"/>
      <c r="N148" s="54"/>
      <c r="O148" s="54"/>
      <c r="P148" s="54"/>
      <c r="Q148" s="54"/>
      <c r="R148" s="54"/>
      <c r="S148" s="54"/>
      <c r="T148" s="54"/>
      <c r="U148" s="54"/>
      <c r="V148" s="54"/>
      <c r="W148" s="54"/>
      <c r="X148" s="54"/>
      <c r="Y148" s="54"/>
      <c r="Z148" s="54"/>
      <c r="AA148" s="54"/>
      <c r="AB148" s="54"/>
      <c r="AC148" s="54"/>
      <c r="AD148" s="54"/>
      <c r="AE148" s="54"/>
    </row>
    <row r="149">
      <c r="A149" s="80" t="s">
        <v>21</v>
      </c>
      <c r="B149" s="80" t="s">
        <v>22</v>
      </c>
      <c r="C149" s="80" t="s">
        <v>416</v>
      </c>
      <c r="D149" s="59" t="s">
        <v>554</v>
      </c>
      <c r="E149" s="59" t="s">
        <v>555</v>
      </c>
      <c r="F149" s="83">
        <v>1985.0</v>
      </c>
      <c r="G149" s="76">
        <v>15224.0</v>
      </c>
      <c r="H149" s="76">
        <f t="shared" ref="H149:I149" si="154">F149-F148</f>
        <v>1</v>
      </c>
      <c r="I149" s="76">
        <f t="shared" si="154"/>
        <v>1674</v>
      </c>
      <c r="J149" s="93">
        <f t="shared" si="145"/>
        <v>0.1235424354</v>
      </c>
      <c r="K149" s="66">
        <f t="shared" si="146"/>
        <v>0.1235424354</v>
      </c>
      <c r="L149" s="82" t="s">
        <v>81</v>
      </c>
      <c r="M149" s="54"/>
      <c r="N149" s="54"/>
      <c r="O149" s="54"/>
      <c r="P149" s="54"/>
      <c r="Q149" s="54"/>
      <c r="R149" s="54"/>
      <c r="S149" s="54"/>
      <c r="T149" s="54"/>
      <c r="U149" s="54"/>
      <c r="V149" s="54"/>
      <c r="W149" s="54"/>
      <c r="X149" s="54"/>
      <c r="Y149" s="54"/>
      <c r="Z149" s="54"/>
      <c r="AA149" s="54"/>
      <c r="AB149" s="54"/>
      <c r="AC149" s="54"/>
      <c r="AD149" s="54"/>
      <c r="AE149" s="54"/>
    </row>
    <row r="150">
      <c r="A150" s="80" t="s">
        <v>21</v>
      </c>
      <c r="B150" s="80" t="s">
        <v>22</v>
      </c>
      <c r="C150" s="80" t="s">
        <v>416</v>
      </c>
      <c r="D150" s="59" t="s">
        <v>554</v>
      </c>
      <c r="E150" s="59" t="s">
        <v>555</v>
      </c>
      <c r="F150" s="83">
        <v>1986.0</v>
      </c>
      <c r="G150" s="76">
        <v>17896.0</v>
      </c>
      <c r="H150" s="76">
        <f t="shared" ref="H150:I150" si="155">F150-F149</f>
        <v>1</v>
      </c>
      <c r="I150" s="76">
        <f t="shared" si="155"/>
        <v>2672</v>
      </c>
      <c r="J150" s="93">
        <f t="shared" si="145"/>
        <v>0.1755123489</v>
      </c>
      <c r="K150" s="66">
        <f t="shared" si="146"/>
        <v>0.1755123489</v>
      </c>
      <c r="L150" s="82" t="s">
        <v>81</v>
      </c>
      <c r="M150" s="54"/>
      <c r="N150" s="54"/>
      <c r="O150" s="54"/>
      <c r="P150" s="54"/>
      <c r="Q150" s="54"/>
      <c r="R150" s="54"/>
      <c r="S150" s="54"/>
      <c r="T150" s="54"/>
      <c r="U150" s="54"/>
      <c r="V150" s="54"/>
      <c r="W150" s="54"/>
      <c r="X150" s="54"/>
      <c r="Y150" s="54"/>
      <c r="Z150" s="54"/>
      <c r="AA150" s="54"/>
      <c r="AB150" s="54"/>
      <c r="AC150" s="54"/>
      <c r="AD150" s="54"/>
      <c r="AE150" s="54"/>
    </row>
    <row r="151">
      <c r="A151" s="80" t="s">
        <v>21</v>
      </c>
      <c r="B151" s="80" t="s">
        <v>22</v>
      </c>
      <c r="C151" s="80" t="s">
        <v>416</v>
      </c>
      <c r="D151" s="59" t="s">
        <v>554</v>
      </c>
      <c r="E151" s="59" t="s">
        <v>555</v>
      </c>
      <c r="F151" s="83">
        <v>1987.0</v>
      </c>
      <c r="G151" s="76">
        <v>19796.0</v>
      </c>
      <c r="H151" s="76">
        <f t="shared" ref="H151:I151" si="156">F151-F150</f>
        <v>1</v>
      </c>
      <c r="I151" s="76">
        <f t="shared" si="156"/>
        <v>1900</v>
      </c>
      <c r="J151" s="93">
        <f t="shared" si="145"/>
        <v>0.1061689763</v>
      </c>
      <c r="K151" s="66">
        <f t="shared" si="146"/>
        <v>0.1061689763</v>
      </c>
      <c r="L151" s="82" t="s">
        <v>81</v>
      </c>
      <c r="M151" s="54"/>
      <c r="N151" s="54"/>
      <c r="O151" s="54"/>
      <c r="P151" s="54"/>
      <c r="Q151" s="54"/>
      <c r="R151" s="54"/>
      <c r="S151" s="54"/>
      <c r="T151" s="54"/>
      <c r="U151" s="54"/>
      <c r="V151" s="54"/>
      <c r="W151" s="54"/>
      <c r="X151" s="54"/>
      <c r="Y151" s="54"/>
      <c r="Z151" s="54"/>
      <c r="AA151" s="54"/>
      <c r="AB151" s="54"/>
      <c r="AC151" s="54"/>
      <c r="AD151" s="54"/>
      <c r="AE151" s="54"/>
    </row>
    <row r="152">
      <c r="A152" s="80" t="s">
        <v>21</v>
      </c>
      <c r="B152" s="80" t="s">
        <v>22</v>
      </c>
      <c r="C152" s="80" t="s">
        <v>416</v>
      </c>
      <c r="D152" s="59" t="s">
        <v>554</v>
      </c>
      <c r="E152" s="59" t="s">
        <v>555</v>
      </c>
      <c r="F152" s="83">
        <v>1988.0</v>
      </c>
      <c r="G152" s="76">
        <v>19452.0</v>
      </c>
      <c r="H152" s="76">
        <f t="shared" ref="H152:I152" si="157">F152-F151</f>
        <v>1</v>
      </c>
      <c r="I152" s="76">
        <f t="shared" si="157"/>
        <v>-344</v>
      </c>
      <c r="J152" s="93">
        <f t="shared" si="145"/>
        <v>-0.01737724793</v>
      </c>
      <c r="K152" s="66">
        <f t="shared" si="146"/>
        <v>-0.01737724793</v>
      </c>
      <c r="L152" s="82" t="s">
        <v>81</v>
      </c>
      <c r="M152" s="54"/>
      <c r="N152" s="54"/>
      <c r="O152" s="54"/>
      <c r="P152" s="54"/>
      <c r="Q152" s="54"/>
      <c r="R152" s="54"/>
      <c r="S152" s="54"/>
      <c r="T152" s="54"/>
      <c r="U152" s="54"/>
      <c r="V152" s="54"/>
      <c r="W152" s="54"/>
      <c r="X152" s="54"/>
      <c r="Y152" s="54"/>
      <c r="Z152" s="54"/>
      <c r="AA152" s="54"/>
      <c r="AB152" s="54"/>
      <c r="AC152" s="54"/>
      <c r="AD152" s="54"/>
      <c r="AE152" s="54"/>
    </row>
    <row r="153">
      <c r="A153" s="80" t="s">
        <v>21</v>
      </c>
      <c r="B153" s="80" t="s">
        <v>22</v>
      </c>
      <c r="C153" s="80" t="s">
        <v>416</v>
      </c>
      <c r="D153" s="59" t="s">
        <v>554</v>
      </c>
      <c r="E153" s="59" t="s">
        <v>555</v>
      </c>
      <c r="F153" s="83">
        <v>1989.0</v>
      </c>
      <c r="G153" s="76">
        <v>23757.0</v>
      </c>
      <c r="H153" s="76">
        <f t="shared" ref="H153:I153" si="158">F153-F152</f>
        <v>1</v>
      </c>
      <c r="I153" s="76">
        <f t="shared" si="158"/>
        <v>4305</v>
      </c>
      <c r="J153" s="93">
        <f t="shared" si="145"/>
        <v>0.2213140037</v>
      </c>
      <c r="K153" s="66">
        <f t="shared" si="146"/>
        <v>0.2213140037</v>
      </c>
      <c r="L153" s="82" t="s">
        <v>81</v>
      </c>
      <c r="M153" s="54"/>
      <c r="N153" s="54"/>
      <c r="O153" s="54"/>
      <c r="P153" s="54"/>
      <c r="Q153" s="54"/>
      <c r="R153" s="54"/>
      <c r="S153" s="54"/>
      <c r="T153" s="54"/>
      <c r="U153" s="54"/>
      <c r="V153" s="54"/>
      <c r="W153" s="54"/>
      <c r="X153" s="54"/>
      <c r="Y153" s="54"/>
      <c r="Z153" s="54"/>
      <c r="AA153" s="54"/>
      <c r="AB153" s="54"/>
      <c r="AC153" s="54"/>
      <c r="AD153" s="54"/>
      <c r="AE153" s="54"/>
    </row>
    <row r="154">
      <c r="A154" s="80" t="s">
        <v>21</v>
      </c>
      <c r="B154" s="80" t="s">
        <v>22</v>
      </c>
      <c r="C154" s="80" t="s">
        <v>416</v>
      </c>
      <c r="D154" s="59" t="s">
        <v>554</v>
      </c>
      <c r="E154" s="59" t="s">
        <v>555</v>
      </c>
      <c r="F154" s="83">
        <v>1990.0</v>
      </c>
      <c r="G154" s="76">
        <v>25422.0</v>
      </c>
      <c r="H154" s="76">
        <f t="shared" ref="H154:I154" si="159">F154-F153</f>
        <v>1</v>
      </c>
      <c r="I154" s="76">
        <f t="shared" si="159"/>
        <v>1665</v>
      </c>
      <c r="J154" s="93">
        <f t="shared" si="145"/>
        <v>0.07008460664</v>
      </c>
      <c r="K154" s="66">
        <f t="shared" si="146"/>
        <v>0.07008460664</v>
      </c>
      <c r="L154" s="82" t="s">
        <v>81</v>
      </c>
      <c r="M154" s="54"/>
      <c r="N154" s="54"/>
      <c r="O154" s="54"/>
      <c r="P154" s="54"/>
      <c r="Q154" s="54"/>
      <c r="R154" s="54"/>
      <c r="S154" s="54"/>
      <c r="T154" s="54"/>
      <c r="U154" s="54"/>
      <c r="V154" s="54"/>
      <c r="W154" s="54"/>
      <c r="X154" s="54"/>
      <c r="Y154" s="54"/>
      <c r="Z154" s="54"/>
      <c r="AA154" s="54"/>
      <c r="AB154" s="54"/>
      <c r="AC154" s="54"/>
      <c r="AD154" s="54"/>
      <c r="AE154" s="54"/>
    </row>
    <row r="155">
      <c r="A155" s="80" t="s">
        <v>21</v>
      </c>
      <c r="B155" s="80" t="s">
        <v>22</v>
      </c>
      <c r="C155" s="80" t="s">
        <v>416</v>
      </c>
      <c r="D155" s="59" t="s">
        <v>554</v>
      </c>
      <c r="E155" s="59" t="s">
        <v>555</v>
      </c>
      <c r="F155" s="83">
        <v>1991.0</v>
      </c>
      <c r="G155" s="76">
        <v>30747.0</v>
      </c>
      <c r="H155" s="76">
        <f t="shared" ref="H155:I155" si="160">F155-F154</f>
        <v>1</v>
      </c>
      <c r="I155" s="76">
        <f t="shared" si="160"/>
        <v>5325</v>
      </c>
      <c r="J155" s="93">
        <f t="shared" si="145"/>
        <v>0.2094642436</v>
      </c>
      <c r="K155" s="66">
        <f t="shared" si="146"/>
        <v>0.2094642436</v>
      </c>
      <c r="L155" s="82" t="s">
        <v>81</v>
      </c>
      <c r="M155" s="54"/>
      <c r="N155" s="54"/>
      <c r="O155" s="54"/>
      <c r="P155" s="54"/>
      <c r="Q155" s="54"/>
      <c r="R155" s="54"/>
      <c r="S155" s="54"/>
      <c r="T155" s="54"/>
      <c r="U155" s="54"/>
      <c r="V155" s="54"/>
      <c r="W155" s="54"/>
      <c r="X155" s="54"/>
      <c r="Y155" s="54"/>
      <c r="Z155" s="54"/>
      <c r="AA155" s="54"/>
      <c r="AB155" s="54"/>
      <c r="AC155" s="54"/>
      <c r="AD155" s="54"/>
      <c r="AE155" s="54"/>
    </row>
    <row r="156">
      <c r="A156" s="80" t="s">
        <v>21</v>
      </c>
      <c r="B156" s="80" t="s">
        <v>22</v>
      </c>
      <c r="C156" s="80" t="s">
        <v>416</v>
      </c>
      <c r="D156" s="59" t="s">
        <v>554</v>
      </c>
      <c r="E156" s="59" t="s">
        <v>555</v>
      </c>
      <c r="F156" s="83">
        <v>1992.0</v>
      </c>
      <c r="G156" s="76">
        <v>22364.0</v>
      </c>
      <c r="H156" s="76">
        <f t="shared" ref="H156:I156" si="161">F156-F155</f>
        <v>1</v>
      </c>
      <c r="I156" s="76">
        <f t="shared" si="161"/>
        <v>-8383</v>
      </c>
      <c r="J156" s="93">
        <f t="shared" si="145"/>
        <v>-0.2726444856</v>
      </c>
      <c r="K156" s="66">
        <f t="shared" si="146"/>
        <v>-0.2726444856</v>
      </c>
      <c r="L156" s="82" t="s">
        <v>81</v>
      </c>
      <c r="M156" s="54"/>
      <c r="N156" s="54"/>
      <c r="O156" s="54"/>
      <c r="P156" s="54"/>
      <c r="Q156" s="54"/>
      <c r="R156" s="54"/>
      <c r="S156" s="54"/>
      <c r="T156" s="54"/>
      <c r="U156" s="54"/>
      <c r="V156" s="54"/>
      <c r="W156" s="54"/>
      <c r="X156" s="54"/>
      <c r="Y156" s="54"/>
      <c r="Z156" s="54"/>
      <c r="AA156" s="54"/>
      <c r="AB156" s="54"/>
      <c r="AC156" s="54"/>
      <c r="AD156" s="54"/>
      <c r="AE156" s="54"/>
    </row>
    <row r="157">
      <c r="A157" s="80" t="s">
        <v>21</v>
      </c>
      <c r="B157" s="80" t="s">
        <v>22</v>
      </c>
      <c r="C157" s="80" t="s">
        <v>416</v>
      </c>
      <c r="D157" s="59" t="s">
        <v>554</v>
      </c>
      <c r="E157" s="59" t="s">
        <v>555</v>
      </c>
      <c r="F157" s="83">
        <v>1993.0</v>
      </c>
      <c r="G157" s="76">
        <v>24274.0</v>
      </c>
      <c r="H157" s="76">
        <f t="shared" ref="H157:I157" si="162">F157-F156</f>
        <v>1</v>
      </c>
      <c r="I157" s="76">
        <f t="shared" si="162"/>
        <v>1910</v>
      </c>
      <c r="J157" s="93">
        <f t="shared" si="145"/>
        <v>0.08540511536</v>
      </c>
      <c r="K157" s="66">
        <f t="shared" si="146"/>
        <v>0.08540511536</v>
      </c>
      <c r="L157" s="82" t="s">
        <v>81</v>
      </c>
      <c r="M157" s="54"/>
      <c r="N157" s="54"/>
      <c r="O157" s="54"/>
      <c r="P157" s="54"/>
      <c r="Q157" s="54"/>
      <c r="R157" s="54"/>
      <c r="S157" s="54"/>
      <c r="T157" s="54"/>
      <c r="U157" s="54"/>
      <c r="V157" s="54"/>
      <c r="W157" s="54"/>
      <c r="X157" s="54"/>
      <c r="Y157" s="54"/>
      <c r="Z157" s="54"/>
      <c r="AA157" s="54"/>
      <c r="AB157" s="54"/>
      <c r="AC157" s="54"/>
      <c r="AD157" s="54"/>
      <c r="AE157" s="54"/>
    </row>
    <row r="158">
      <c r="A158" s="80" t="s">
        <v>21</v>
      </c>
      <c r="B158" s="80" t="s">
        <v>22</v>
      </c>
      <c r="C158" s="80" t="s">
        <v>416</v>
      </c>
      <c r="D158" s="59" t="s">
        <v>554</v>
      </c>
      <c r="E158" s="59" t="s">
        <v>555</v>
      </c>
      <c r="F158" s="83">
        <v>1994.0</v>
      </c>
      <c r="G158" s="76">
        <v>36184.0</v>
      </c>
      <c r="H158" s="76">
        <f t="shared" ref="H158:I158" si="163">F158-F157</f>
        <v>1</v>
      </c>
      <c r="I158" s="76">
        <f t="shared" si="163"/>
        <v>11910</v>
      </c>
      <c r="J158" s="93">
        <f t="shared" si="145"/>
        <v>0.4906484304</v>
      </c>
      <c r="K158" s="66">
        <f t="shared" si="146"/>
        <v>0.4906484304</v>
      </c>
      <c r="L158" s="82" t="s">
        <v>81</v>
      </c>
      <c r="M158" s="54"/>
      <c r="N158" s="54"/>
      <c r="O158" s="54"/>
      <c r="P158" s="54"/>
      <c r="Q158" s="54"/>
      <c r="R158" s="54"/>
      <c r="S158" s="54"/>
      <c r="T158" s="54"/>
      <c r="U158" s="54"/>
      <c r="V158" s="54"/>
      <c r="W158" s="54"/>
      <c r="X158" s="54"/>
      <c r="Y158" s="54"/>
      <c r="Z158" s="54"/>
      <c r="AA158" s="54"/>
      <c r="AB158" s="54"/>
      <c r="AC158" s="54"/>
      <c r="AD158" s="54"/>
      <c r="AE158" s="54"/>
    </row>
    <row r="159">
      <c r="A159" s="80" t="s">
        <v>21</v>
      </c>
      <c r="B159" s="80" t="s">
        <v>22</v>
      </c>
      <c r="C159" s="80" t="s">
        <v>416</v>
      </c>
      <c r="D159" s="59" t="s">
        <v>554</v>
      </c>
      <c r="E159" s="59" t="s">
        <v>555</v>
      </c>
      <c r="F159" s="83">
        <v>1995.0</v>
      </c>
      <c r="G159" s="76">
        <v>36073.0</v>
      </c>
      <c r="H159" s="76">
        <f t="shared" ref="H159:I159" si="164">F159-F158</f>
        <v>1</v>
      </c>
      <c r="I159" s="76">
        <f t="shared" si="164"/>
        <v>-111</v>
      </c>
      <c r="J159" s="93">
        <f t="shared" si="145"/>
        <v>-0.003067654212</v>
      </c>
      <c r="K159" s="66">
        <f t="shared" si="146"/>
        <v>-0.003067654212</v>
      </c>
      <c r="L159" s="82" t="s">
        <v>81</v>
      </c>
      <c r="M159" s="54"/>
      <c r="N159" s="54"/>
      <c r="O159" s="54"/>
      <c r="P159" s="54"/>
      <c r="Q159" s="54"/>
      <c r="R159" s="54"/>
      <c r="S159" s="54"/>
      <c r="T159" s="54"/>
      <c r="U159" s="54"/>
      <c r="V159" s="54"/>
      <c r="W159" s="54"/>
      <c r="X159" s="54"/>
      <c r="Y159" s="54"/>
      <c r="Z159" s="54"/>
      <c r="AA159" s="54"/>
      <c r="AB159" s="54"/>
      <c r="AC159" s="54"/>
      <c r="AD159" s="54"/>
      <c r="AE159" s="54"/>
    </row>
    <row r="160">
      <c r="A160" s="80" t="s">
        <v>21</v>
      </c>
      <c r="B160" s="80" t="s">
        <v>22</v>
      </c>
      <c r="C160" s="80" t="s">
        <v>416</v>
      </c>
      <c r="D160" s="59" t="s">
        <v>554</v>
      </c>
      <c r="E160" s="59" t="s">
        <v>555</v>
      </c>
      <c r="F160" s="83">
        <v>1996.0</v>
      </c>
      <c r="G160" s="76">
        <v>41044.0</v>
      </c>
      <c r="H160" s="76">
        <f t="shared" ref="H160:I160" si="165">F160-F159</f>
        <v>1</v>
      </c>
      <c r="I160" s="76">
        <f t="shared" si="165"/>
        <v>4971</v>
      </c>
      <c r="J160" s="93">
        <f t="shared" si="145"/>
        <v>0.1378038977</v>
      </c>
      <c r="K160" s="66">
        <f t="shared" si="146"/>
        <v>0.1378038977</v>
      </c>
      <c r="L160" s="82" t="s">
        <v>81</v>
      </c>
      <c r="M160" s="54"/>
      <c r="N160" s="54"/>
      <c r="O160" s="54"/>
      <c r="P160" s="54"/>
      <c r="Q160" s="54"/>
      <c r="R160" s="54"/>
      <c r="S160" s="54"/>
      <c r="T160" s="54"/>
      <c r="U160" s="54"/>
      <c r="V160" s="54"/>
      <c r="W160" s="54"/>
      <c r="X160" s="54"/>
      <c r="Y160" s="54"/>
      <c r="Z160" s="54"/>
      <c r="AA160" s="54"/>
      <c r="AB160" s="54"/>
      <c r="AC160" s="54"/>
      <c r="AD160" s="54"/>
      <c r="AE160" s="54"/>
    </row>
    <row r="161">
      <c r="A161" s="80" t="s">
        <v>21</v>
      </c>
      <c r="B161" s="80" t="s">
        <v>22</v>
      </c>
      <c r="C161" s="80" t="s">
        <v>416</v>
      </c>
      <c r="D161" s="59" t="s">
        <v>554</v>
      </c>
      <c r="E161" s="59" t="s">
        <v>555</v>
      </c>
      <c r="F161" s="83">
        <v>1997.0</v>
      </c>
      <c r="G161" s="76">
        <v>39245.0</v>
      </c>
      <c r="H161" s="76">
        <f t="shared" ref="H161:I161" si="166">F161-F160</f>
        <v>1</v>
      </c>
      <c r="I161" s="76">
        <f t="shared" si="166"/>
        <v>-1799</v>
      </c>
      <c r="J161" s="93">
        <f t="shared" si="145"/>
        <v>-0.04383101062</v>
      </c>
      <c r="K161" s="66">
        <f t="shared" si="146"/>
        <v>-0.04383101062</v>
      </c>
      <c r="L161" s="82" t="s">
        <v>81</v>
      </c>
      <c r="M161" s="54"/>
      <c r="N161" s="54"/>
      <c r="O161" s="54"/>
      <c r="P161" s="54"/>
      <c r="Q161" s="54"/>
      <c r="R161" s="54"/>
      <c r="S161" s="54"/>
      <c r="T161" s="54"/>
      <c r="U161" s="54"/>
      <c r="V161" s="54"/>
      <c r="W161" s="54"/>
      <c r="X161" s="54"/>
      <c r="Y161" s="54"/>
      <c r="Z161" s="54"/>
      <c r="AA161" s="54"/>
      <c r="AB161" s="54"/>
      <c r="AC161" s="54"/>
      <c r="AD161" s="54"/>
      <c r="AE161" s="54"/>
    </row>
    <row r="162">
      <c r="A162" s="80" t="s">
        <v>21</v>
      </c>
      <c r="B162" s="80" t="s">
        <v>22</v>
      </c>
      <c r="C162" s="80" t="s">
        <v>416</v>
      </c>
      <c r="D162" s="59" t="s">
        <v>554</v>
      </c>
      <c r="E162" s="59" t="s">
        <v>555</v>
      </c>
      <c r="F162" s="83">
        <v>1998.0</v>
      </c>
      <c r="G162" s="76">
        <v>14506.0</v>
      </c>
      <c r="H162" s="76">
        <f t="shared" ref="H162:I162" si="167">F162-F161</f>
        <v>1</v>
      </c>
      <c r="I162" s="76">
        <f t="shared" si="167"/>
        <v>-24739</v>
      </c>
      <c r="J162" s="93">
        <f t="shared" si="145"/>
        <v>-0.630373296</v>
      </c>
      <c r="K162" s="66">
        <f t="shared" si="146"/>
        <v>-0.630373296</v>
      </c>
      <c r="L162" s="82" t="s">
        <v>81</v>
      </c>
      <c r="M162" s="54"/>
      <c r="N162" s="54"/>
      <c r="O162" s="54"/>
      <c r="P162" s="54"/>
      <c r="Q162" s="54"/>
      <c r="R162" s="54"/>
      <c r="S162" s="54"/>
      <c r="T162" s="54"/>
      <c r="U162" s="54"/>
      <c r="V162" s="54"/>
      <c r="W162" s="54"/>
      <c r="X162" s="54"/>
      <c r="Y162" s="54"/>
      <c r="Z162" s="54"/>
      <c r="AA162" s="54"/>
      <c r="AB162" s="54"/>
      <c r="AC162" s="54"/>
      <c r="AD162" s="54"/>
      <c r="AE162" s="54"/>
    </row>
    <row r="163">
      <c r="A163" s="80" t="s">
        <v>21</v>
      </c>
      <c r="B163" s="80" t="s">
        <v>22</v>
      </c>
      <c r="C163" s="80" t="s">
        <v>416</v>
      </c>
      <c r="D163" s="59" t="s">
        <v>554</v>
      </c>
      <c r="E163" s="59" t="s">
        <v>555</v>
      </c>
      <c r="F163" s="83">
        <v>1999.0</v>
      </c>
      <c r="G163" s="76">
        <v>41695.0</v>
      </c>
      <c r="H163" s="76">
        <f t="shared" ref="H163:I163" si="168">F163-F162</f>
        <v>1</v>
      </c>
      <c r="I163" s="76">
        <f t="shared" si="168"/>
        <v>27189</v>
      </c>
      <c r="J163" s="93">
        <f t="shared" si="145"/>
        <v>1.874327864</v>
      </c>
      <c r="K163" s="66">
        <f t="shared" si="146"/>
        <v>1.874327864</v>
      </c>
      <c r="L163" s="82" t="s">
        <v>81</v>
      </c>
      <c r="M163" s="54"/>
      <c r="N163" s="54"/>
      <c r="O163" s="54"/>
      <c r="P163" s="54"/>
      <c r="Q163" s="54"/>
      <c r="R163" s="54"/>
      <c r="S163" s="54"/>
      <c r="T163" s="54"/>
      <c r="U163" s="54"/>
      <c r="V163" s="54"/>
      <c r="W163" s="54"/>
      <c r="X163" s="54"/>
      <c r="Y163" s="54"/>
      <c r="Z163" s="54"/>
      <c r="AA163" s="54"/>
      <c r="AB163" s="54"/>
      <c r="AC163" s="54"/>
      <c r="AD163" s="54"/>
      <c r="AE163" s="54"/>
    </row>
    <row r="164">
      <c r="A164" s="80" t="s">
        <v>21</v>
      </c>
      <c r="B164" s="80" t="s">
        <v>22</v>
      </c>
      <c r="C164" s="80" t="s">
        <v>416</v>
      </c>
      <c r="D164" s="59" t="s">
        <v>554</v>
      </c>
      <c r="E164" s="59" t="s">
        <v>555</v>
      </c>
      <c r="F164" s="83">
        <v>2000.0</v>
      </c>
      <c r="G164" s="76">
        <v>49372.0</v>
      </c>
      <c r="H164" s="76">
        <f t="shared" ref="H164:I164" si="169">F164-F163</f>
        <v>1</v>
      </c>
      <c r="I164" s="76">
        <f t="shared" si="169"/>
        <v>7677</v>
      </c>
      <c r="J164" s="93">
        <f t="shared" si="145"/>
        <v>0.1841227965</v>
      </c>
      <c r="K164" s="66">
        <f t="shared" si="146"/>
        <v>0.1841227965</v>
      </c>
      <c r="L164" s="82" t="s">
        <v>81</v>
      </c>
      <c r="M164" s="54"/>
      <c r="N164" s="54"/>
      <c r="O164" s="54"/>
      <c r="P164" s="54"/>
      <c r="Q164" s="54"/>
      <c r="R164" s="54"/>
      <c r="S164" s="54"/>
      <c r="T164" s="54"/>
      <c r="U164" s="54"/>
      <c r="V164" s="54"/>
      <c r="W164" s="54"/>
      <c r="X164" s="54"/>
      <c r="Y164" s="54"/>
      <c r="Z164" s="54"/>
      <c r="AA164" s="54"/>
      <c r="AB164" s="54"/>
      <c r="AC164" s="54"/>
      <c r="AD164" s="54"/>
      <c r="AE164" s="54"/>
    </row>
    <row r="165">
      <c r="A165" s="80" t="s">
        <v>21</v>
      </c>
      <c r="B165" s="80" t="s">
        <v>22</v>
      </c>
      <c r="C165" s="80" t="s">
        <v>416</v>
      </c>
      <c r="D165" s="59" t="s">
        <v>554</v>
      </c>
      <c r="E165" s="59" t="s">
        <v>555</v>
      </c>
      <c r="F165" s="83">
        <v>2001.0</v>
      </c>
      <c r="G165" s="76">
        <v>49078.0</v>
      </c>
      <c r="H165" s="76">
        <f t="shared" ref="H165:I165" si="170">F165-F164</f>
        <v>1</v>
      </c>
      <c r="I165" s="76">
        <f t="shared" si="170"/>
        <v>-294</v>
      </c>
      <c r="J165" s="93">
        <f t="shared" si="145"/>
        <v>-0.00595479219</v>
      </c>
      <c r="K165" s="66">
        <f t="shared" si="146"/>
        <v>-0.00595479219</v>
      </c>
      <c r="L165" s="82" t="s">
        <v>81</v>
      </c>
      <c r="M165" s="54"/>
      <c r="N165" s="54"/>
      <c r="O165" s="54"/>
      <c r="P165" s="54"/>
      <c r="Q165" s="54"/>
      <c r="R165" s="54"/>
      <c r="S165" s="54"/>
      <c r="T165" s="54"/>
      <c r="U165" s="54"/>
      <c r="V165" s="54"/>
      <c r="W165" s="54"/>
      <c r="X165" s="54"/>
      <c r="Y165" s="54"/>
      <c r="Z165" s="54"/>
      <c r="AA165" s="54"/>
      <c r="AB165" s="54"/>
      <c r="AC165" s="54"/>
      <c r="AD165" s="54"/>
      <c r="AE165" s="54"/>
    </row>
    <row r="166">
      <c r="A166" s="80" t="s">
        <v>21</v>
      </c>
      <c r="B166" s="80" t="s">
        <v>22</v>
      </c>
      <c r="C166" s="80" t="s">
        <v>416</v>
      </c>
      <c r="D166" s="59" t="s">
        <v>554</v>
      </c>
      <c r="E166" s="59" t="s">
        <v>555</v>
      </c>
      <c r="F166" s="83">
        <v>2002.0</v>
      </c>
      <c r="G166" s="76">
        <v>45658.0</v>
      </c>
      <c r="H166" s="76">
        <f t="shared" ref="H166:I166" si="171">F166-F165</f>
        <v>1</v>
      </c>
      <c r="I166" s="76">
        <f t="shared" si="171"/>
        <v>-3420</v>
      </c>
      <c r="J166" s="93">
        <f t="shared" si="145"/>
        <v>-0.06968499124</v>
      </c>
      <c r="K166" s="66">
        <f t="shared" si="146"/>
        <v>-0.06968499124</v>
      </c>
      <c r="L166" s="82" t="s">
        <v>81</v>
      </c>
      <c r="M166" s="54"/>
      <c r="N166" s="54"/>
      <c r="O166" s="54"/>
      <c r="P166" s="54"/>
      <c r="Q166" s="54"/>
      <c r="R166" s="54"/>
      <c r="S166" s="54"/>
      <c r="T166" s="54"/>
      <c r="U166" s="54"/>
      <c r="V166" s="54"/>
      <c r="W166" s="54"/>
      <c r="X166" s="54"/>
      <c r="Y166" s="54"/>
      <c r="Z166" s="54"/>
      <c r="AA166" s="54"/>
      <c r="AB166" s="54"/>
      <c r="AC166" s="54"/>
      <c r="AD166" s="54"/>
      <c r="AE166" s="54"/>
    </row>
    <row r="167">
      <c r="A167" s="80" t="s">
        <v>21</v>
      </c>
      <c r="B167" s="80" t="s">
        <v>22</v>
      </c>
      <c r="C167" s="80" t="s">
        <v>416</v>
      </c>
      <c r="D167" s="59" t="s">
        <v>554</v>
      </c>
      <c r="E167" s="59" t="s">
        <v>555</v>
      </c>
      <c r="F167" s="83">
        <v>2003.0</v>
      </c>
      <c r="G167" s="76">
        <v>36659.0</v>
      </c>
      <c r="H167" s="76">
        <f t="shared" ref="H167:I167" si="172">F167-F166</f>
        <v>1</v>
      </c>
      <c r="I167" s="76">
        <f t="shared" si="172"/>
        <v>-8999</v>
      </c>
      <c r="J167" s="93">
        <f t="shared" si="145"/>
        <v>-0.1970957992</v>
      </c>
      <c r="K167" s="66">
        <f t="shared" si="146"/>
        <v>-0.1970957992</v>
      </c>
      <c r="L167" s="82" t="s">
        <v>81</v>
      </c>
      <c r="M167" s="54"/>
      <c r="N167" s="54"/>
      <c r="O167" s="54"/>
      <c r="P167" s="54"/>
      <c r="Q167" s="54"/>
      <c r="R167" s="54"/>
      <c r="S167" s="54"/>
      <c r="T167" s="54"/>
      <c r="U167" s="54"/>
      <c r="V167" s="54"/>
      <c r="W167" s="54"/>
      <c r="X167" s="54"/>
      <c r="Y167" s="54"/>
      <c r="Z167" s="54"/>
      <c r="AA167" s="54"/>
      <c r="AB167" s="54"/>
      <c r="AC167" s="54"/>
      <c r="AD167" s="54"/>
      <c r="AE167" s="54"/>
    </row>
    <row r="168">
      <c r="A168" s="80" t="s">
        <v>21</v>
      </c>
      <c r="B168" s="80" t="s">
        <v>22</v>
      </c>
      <c r="C168" s="80" t="s">
        <v>416</v>
      </c>
      <c r="D168" s="59" t="s">
        <v>554</v>
      </c>
      <c r="E168" s="59" t="s">
        <v>555</v>
      </c>
      <c r="F168" s="83">
        <v>2004.0</v>
      </c>
      <c r="G168" s="76">
        <v>43490.0</v>
      </c>
      <c r="H168" s="76">
        <f t="shared" ref="H168:I168" si="173">F168-F167</f>
        <v>1</v>
      </c>
      <c r="I168" s="76">
        <f t="shared" si="173"/>
        <v>6831</v>
      </c>
      <c r="J168" s="93">
        <f t="shared" si="145"/>
        <v>0.1863389618</v>
      </c>
      <c r="K168" s="66">
        <f t="shared" si="146"/>
        <v>0.1863389618</v>
      </c>
      <c r="L168" s="82" t="s">
        <v>81</v>
      </c>
      <c r="M168" s="54"/>
      <c r="N168" s="54"/>
      <c r="O168" s="54"/>
      <c r="P168" s="54"/>
      <c r="Q168" s="54"/>
      <c r="R168" s="54"/>
      <c r="S168" s="54"/>
      <c r="T168" s="54"/>
      <c r="U168" s="54"/>
      <c r="V168" s="54"/>
      <c r="W168" s="54"/>
      <c r="X168" s="54"/>
      <c r="Y168" s="54"/>
      <c r="Z168" s="54"/>
      <c r="AA168" s="54"/>
      <c r="AB168" s="54"/>
      <c r="AC168" s="54"/>
      <c r="AD168" s="54"/>
      <c r="AE168" s="54"/>
    </row>
    <row r="169">
      <c r="A169" s="80" t="s">
        <v>21</v>
      </c>
      <c r="B169" s="80" t="s">
        <v>22</v>
      </c>
      <c r="C169" s="80" t="s">
        <v>416</v>
      </c>
      <c r="D169" s="59" t="s">
        <v>554</v>
      </c>
      <c r="E169" s="59" t="s">
        <v>555</v>
      </c>
      <c r="F169" s="83">
        <v>2005.0</v>
      </c>
      <c r="G169" s="76">
        <v>48331.0</v>
      </c>
      <c r="H169" s="76">
        <f t="shared" ref="H169:I169" si="174">F169-F168</f>
        <v>1</v>
      </c>
      <c r="I169" s="76">
        <f t="shared" si="174"/>
        <v>4841</v>
      </c>
      <c r="J169" s="93">
        <f t="shared" si="145"/>
        <v>0.1113129455</v>
      </c>
      <c r="K169" s="66">
        <f t="shared" si="146"/>
        <v>0.1113129455</v>
      </c>
      <c r="L169" s="82" t="s">
        <v>81</v>
      </c>
      <c r="M169" s="54"/>
      <c r="N169" s="54"/>
      <c r="O169" s="54"/>
      <c r="P169" s="54"/>
      <c r="Q169" s="54"/>
      <c r="R169" s="54"/>
      <c r="S169" s="54"/>
      <c r="T169" s="54"/>
      <c r="U169" s="54"/>
      <c r="V169" s="54"/>
      <c r="W169" s="54"/>
      <c r="X169" s="54"/>
      <c r="Y169" s="54"/>
      <c r="Z169" s="54"/>
      <c r="AA169" s="54"/>
      <c r="AB169" s="54"/>
      <c r="AC169" s="54"/>
      <c r="AD169" s="54"/>
      <c r="AE169" s="54"/>
    </row>
    <row r="170">
      <c r="A170" s="80" t="s">
        <v>21</v>
      </c>
      <c r="B170" s="80" t="s">
        <v>22</v>
      </c>
      <c r="C170" s="80" t="s">
        <v>416</v>
      </c>
      <c r="D170" s="59" t="s">
        <v>554</v>
      </c>
      <c r="E170" s="59" t="s">
        <v>555</v>
      </c>
      <c r="F170" s="83">
        <v>2006.0</v>
      </c>
      <c r="G170" s="76">
        <v>56144.0</v>
      </c>
      <c r="H170" s="76">
        <f t="shared" ref="H170:I170" si="175">F170-F169</f>
        <v>1</v>
      </c>
      <c r="I170" s="76">
        <f t="shared" si="175"/>
        <v>7813</v>
      </c>
      <c r="J170" s="93">
        <f t="shared" si="145"/>
        <v>0.1616560799</v>
      </c>
      <c r="K170" s="66">
        <f t="shared" si="146"/>
        <v>0.1616560799</v>
      </c>
      <c r="L170" s="82" t="s">
        <v>81</v>
      </c>
      <c r="M170" s="54"/>
      <c r="N170" s="54"/>
      <c r="O170" s="54"/>
      <c r="P170" s="54"/>
      <c r="Q170" s="54"/>
      <c r="R170" s="54"/>
      <c r="S170" s="54"/>
      <c r="T170" s="54"/>
      <c r="U170" s="54"/>
      <c r="V170" s="54"/>
      <c r="W170" s="54"/>
      <c r="X170" s="54"/>
      <c r="Y170" s="54"/>
      <c r="Z170" s="54"/>
      <c r="AA170" s="54"/>
      <c r="AB170" s="54"/>
      <c r="AC170" s="54"/>
      <c r="AD170" s="54"/>
      <c r="AE170" s="54"/>
    </row>
    <row r="171">
      <c r="A171" s="80" t="s">
        <v>21</v>
      </c>
      <c r="B171" s="80" t="s">
        <v>22</v>
      </c>
      <c r="C171" s="80" t="s">
        <v>416</v>
      </c>
      <c r="D171" s="59" t="s">
        <v>554</v>
      </c>
      <c r="E171" s="59" t="s">
        <v>555</v>
      </c>
      <c r="F171" s="83">
        <v>2007.0</v>
      </c>
      <c r="G171" s="76">
        <v>54088.0</v>
      </c>
      <c r="H171" s="76">
        <f t="shared" ref="H171:I171" si="176">F171-F170</f>
        <v>1</v>
      </c>
      <c r="I171" s="76">
        <f t="shared" si="176"/>
        <v>-2056</v>
      </c>
      <c r="J171" s="93">
        <f t="shared" si="145"/>
        <v>-0.03662011969</v>
      </c>
      <c r="K171" s="66">
        <f t="shared" si="146"/>
        <v>-0.03662011969</v>
      </c>
      <c r="L171" s="82" t="s">
        <v>81</v>
      </c>
      <c r="M171" s="54"/>
      <c r="N171" s="54"/>
      <c r="O171" s="54"/>
      <c r="P171" s="54"/>
      <c r="Q171" s="54"/>
      <c r="R171" s="54"/>
      <c r="S171" s="54"/>
      <c r="T171" s="54"/>
      <c r="U171" s="54"/>
      <c r="V171" s="54"/>
      <c r="W171" s="54"/>
      <c r="X171" s="54"/>
      <c r="Y171" s="54"/>
      <c r="Z171" s="54"/>
      <c r="AA171" s="54"/>
      <c r="AB171" s="54"/>
      <c r="AC171" s="54"/>
      <c r="AD171" s="54"/>
      <c r="AE171" s="54"/>
    </row>
    <row r="172">
      <c r="A172" s="80" t="s">
        <v>21</v>
      </c>
      <c r="B172" s="80" t="s">
        <v>22</v>
      </c>
      <c r="C172" s="80" t="s">
        <v>416</v>
      </c>
      <c r="D172" s="59" t="s">
        <v>554</v>
      </c>
      <c r="E172" s="59" t="s">
        <v>555</v>
      </c>
      <c r="F172" s="83">
        <v>2008.0</v>
      </c>
      <c r="G172" s="76">
        <v>59774.0</v>
      </c>
      <c r="H172" s="76">
        <f t="shared" ref="H172:I172" si="177">F172-F171</f>
        <v>1</v>
      </c>
      <c r="I172" s="76">
        <f t="shared" si="177"/>
        <v>5686</v>
      </c>
      <c r="J172" s="93">
        <f t="shared" si="145"/>
        <v>0.1051249815</v>
      </c>
      <c r="K172" s="66">
        <f t="shared" si="146"/>
        <v>0.1051249815</v>
      </c>
      <c r="L172" s="82" t="s">
        <v>81</v>
      </c>
      <c r="M172" s="54"/>
      <c r="N172" s="54"/>
      <c r="O172" s="54"/>
      <c r="P172" s="54"/>
      <c r="Q172" s="54"/>
      <c r="R172" s="54"/>
      <c r="S172" s="54"/>
      <c r="T172" s="54"/>
      <c r="U172" s="54"/>
      <c r="V172" s="54"/>
      <c r="W172" s="54"/>
      <c r="X172" s="54"/>
      <c r="Y172" s="54"/>
      <c r="Z172" s="54"/>
      <c r="AA172" s="54"/>
      <c r="AB172" s="54"/>
      <c r="AC172" s="54"/>
      <c r="AD172" s="54"/>
      <c r="AE172" s="54"/>
    </row>
    <row r="173">
      <c r="A173" s="80" t="s">
        <v>21</v>
      </c>
      <c r="B173" s="80" t="s">
        <v>22</v>
      </c>
      <c r="C173" s="80" t="s">
        <v>416</v>
      </c>
      <c r="D173" s="59" t="s">
        <v>554</v>
      </c>
      <c r="E173" s="59" t="s">
        <v>555</v>
      </c>
      <c r="F173" s="83">
        <v>2009.0</v>
      </c>
      <c r="G173" s="76">
        <v>35914.0</v>
      </c>
      <c r="H173" s="76">
        <f t="shared" ref="H173:I173" si="178">F173-F172</f>
        <v>1</v>
      </c>
      <c r="I173" s="76">
        <f t="shared" si="178"/>
        <v>-23860</v>
      </c>
      <c r="J173" s="93">
        <f t="shared" si="145"/>
        <v>-0.3991702078</v>
      </c>
      <c r="K173" s="66">
        <f t="shared" si="146"/>
        <v>-0.3991702078</v>
      </c>
      <c r="L173" s="82" t="s">
        <v>81</v>
      </c>
      <c r="M173" s="54"/>
      <c r="N173" s="54"/>
      <c r="O173" s="54"/>
      <c r="P173" s="54"/>
      <c r="Q173" s="54"/>
      <c r="R173" s="54"/>
      <c r="S173" s="54"/>
      <c r="T173" s="54"/>
      <c r="U173" s="54"/>
      <c r="V173" s="54"/>
      <c r="W173" s="54"/>
      <c r="X173" s="54"/>
      <c r="Y173" s="54"/>
      <c r="Z173" s="54"/>
      <c r="AA173" s="54"/>
      <c r="AB173" s="54"/>
      <c r="AC173" s="54"/>
      <c r="AD173" s="54"/>
      <c r="AE173" s="54"/>
    </row>
    <row r="174">
      <c r="A174" s="80" t="s">
        <v>21</v>
      </c>
      <c r="B174" s="80" t="s">
        <v>22</v>
      </c>
      <c r="C174" s="80" t="s">
        <v>416</v>
      </c>
      <c r="D174" s="59" t="s">
        <v>554</v>
      </c>
      <c r="E174" s="59" t="s">
        <v>555</v>
      </c>
      <c r="F174" s="83">
        <v>2010.0</v>
      </c>
      <c r="G174" s="76">
        <v>33873.0</v>
      </c>
      <c r="H174" s="76">
        <f t="shared" ref="H174:I174" si="179">F174-F173</f>
        <v>1</v>
      </c>
      <c r="I174" s="76">
        <f t="shared" si="179"/>
        <v>-2041</v>
      </c>
      <c r="J174" s="93">
        <f t="shared" si="145"/>
        <v>-0.05683020549</v>
      </c>
      <c r="K174" s="66">
        <f t="shared" si="146"/>
        <v>-0.05683020549</v>
      </c>
      <c r="L174" s="82" t="s">
        <v>81</v>
      </c>
      <c r="M174" s="54"/>
      <c r="N174" s="54"/>
      <c r="O174" s="54"/>
      <c r="P174" s="54"/>
      <c r="Q174" s="54"/>
      <c r="R174" s="54"/>
      <c r="S174" s="54"/>
      <c r="T174" s="54"/>
      <c r="U174" s="54"/>
      <c r="V174" s="54"/>
      <c r="W174" s="54"/>
      <c r="X174" s="54"/>
      <c r="Y174" s="54"/>
      <c r="Z174" s="54"/>
      <c r="AA174" s="54"/>
      <c r="AB174" s="54"/>
      <c r="AC174" s="54"/>
      <c r="AD174" s="54"/>
      <c r="AE174" s="54"/>
    </row>
    <row r="175">
      <c r="A175" s="80" t="s">
        <v>21</v>
      </c>
      <c r="B175" s="80" t="s">
        <v>22</v>
      </c>
      <c r="C175" s="80" t="s">
        <v>416</v>
      </c>
      <c r="D175" s="59" t="s">
        <v>554</v>
      </c>
      <c r="E175" s="59" t="s">
        <v>555</v>
      </c>
      <c r="F175" s="83">
        <v>2011.0</v>
      </c>
      <c r="G175" s="76">
        <v>62109.0</v>
      </c>
      <c r="H175" s="76">
        <f t="shared" ref="H175:I175" si="180">F175-F174</f>
        <v>1</v>
      </c>
      <c r="I175" s="76">
        <f t="shared" si="180"/>
        <v>28236</v>
      </c>
      <c r="J175" s="93">
        <f t="shared" si="145"/>
        <v>0.8335842707</v>
      </c>
      <c r="K175" s="66">
        <f t="shared" si="146"/>
        <v>0.8335842707</v>
      </c>
      <c r="L175" s="82" t="s">
        <v>81</v>
      </c>
      <c r="M175" s="54"/>
      <c r="N175" s="54"/>
      <c r="O175" s="54"/>
      <c r="P175" s="54"/>
      <c r="Q175" s="54"/>
      <c r="R175" s="54"/>
      <c r="S175" s="54"/>
      <c r="T175" s="54"/>
      <c r="U175" s="54"/>
      <c r="V175" s="54"/>
      <c r="W175" s="54"/>
      <c r="X175" s="54"/>
      <c r="Y175" s="54"/>
      <c r="Z175" s="54"/>
      <c r="AA175" s="54"/>
      <c r="AB175" s="54"/>
      <c r="AC175" s="54"/>
      <c r="AD175" s="54"/>
      <c r="AE175" s="54"/>
    </row>
    <row r="176">
      <c r="A176" s="80" t="s">
        <v>21</v>
      </c>
      <c r="B176" s="80" t="s">
        <v>22</v>
      </c>
      <c r="C176" s="80" t="s">
        <v>416</v>
      </c>
      <c r="D176" s="59" t="s">
        <v>554</v>
      </c>
      <c r="E176" s="59" t="s">
        <v>555</v>
      </c>
      <c r="F176" s="83">
        <v>2012.0</v>
      </c>
      <c r="G176" s="76">
        <v>67396.0</v>
      </c>
      <c r="H176" s="76">
        <f t="shared" ref="H176:I176" si="181">F176-F175</f>
        <v>1</v>
      </c>
      <c r="I176" s="76">
        <f t="shared" si="181"/>
        <v>5287</v>
      </c>
      <c r="J176" s="93">
        <f t="shared" si="145"/>
        <v>0.08512453912</v>
      </c>
      <c r="K176" s="66">
        <f t="shared" si="146"/>
        <v>0.08512453912</v>
      </c>
      <c r="L176" s="82" t="s">
        <v>81</v>
      </c>
      <c r="M176" s="54"/>
      <c r="N176" s="54"/>
      <c r="O176" s="54"/>
      <c r="P176" s="54"/>
      <c r="Q176" s="54"/>
      <c r="R176" s="54"/>
      <c r="S176" s="54"/>
      <c r="T176" s="54"/>
      <c r="U176" s="54"/>
      <c r="V176" s="54"/>
      <c r="W176" s="54"/>
      <c r="X176" s="54"/>
      <c r="Y176" s="54"/>
      <c r="Z176" s="54"/>
      <c r="AA176" s="54"/>
      <c r="AB176" s="54"/>
      <c r="AC176" s="54"/>
      <c r="AD176" s="54"/>
      <c r="AE176" s="54"/>
    </row>
    <row r="177">
      <c r="A177" s="80" t="s">
        <v>21</v>
      </c>
      <c r="B177" s="80" t="s">
        <v>22</v>
      </c>
      <c r="C177" s="80" t="s">
        <v>416</v>
      </c>
      <c r="D177" s="59" t="s">
        <v>554</v>
      </c>
      <c r="E177" s="59" t="s">
        <v>555</v>
      </c>
      <c r="F177" s="83">
        <v>2013.0</v>
      </c>
      <c r="G177" s="76">
        <v>42913.0</v>
      </c>
      <c r="H177" s="76">
        <f t="shared" ref="H177:I177" si="182">F177-F176</f>
        <v>1</v>
      </c>
      <c r="I177" s="76">
        <f t="shared" si="182"/>
        <v>-24483</v>
      </c>
      <c r="J177" s="93">
        <f t="shared" si="145"/>
        <v>-0.3632708173</v>
      </c>
      <c r="K177" s="66">
        <f t="shared" si="146"/>
        <v>-0.3632708173</v>
      </c>
      <c r="L177" s="82" t="s">
        <v>81</v>
      </c>
      <c r="M177" s="54"/>
      <c r="N177" s="54"/>
      <c r="O177" s="54"/>
      <c r="P177" s="54"/>
      <c r="Q177" s="54"/>
      <c r="R177" s="54"/>
      <c r="S177" s="54"/>
      <c r="T177" s="54"/>
      <c r="U177" s="54"/>
      <c r="V177" s="54"/>
      <c r="W177" s="54"/>
      <c r="X177" s="54"/>
      <c r="Y177" s="54"/>
      <c r="Z177" s="54"/>
      <c r="AA177" s="54"/>
      <c r="AB177" s="54"/>
      <c r="AC177" s="54"/>
      <c r="AD177" s="54"/>
      <c r="AE177" s="54"/>
    </row>
    <row r="178">
      <c r="A178" s="80" t="s">
        <v>21</v>
      </c>
      <c r="B178" s="80" t="s">
        <v>22</v>
      </c>
      <c r="C178" s="80" t="s">
        <v>416</v>
      </c>
      <c r="D178" s="59" t="s">
        <v>554</v>
      </c>
      <c r="E178" s="59" t="s">
        <v>555</v>
      </c>
      <c r="F178" s="83">
        <v>2014.0</v>
      </c>
      <c r="G178" s="76">
        <v>47691.0</v>
      </c>
      <c r="H178" s="76">
        <f t="shared" ref="H178:I178" si="183">F178-F177</f>
        <v>1</v>
      </c>
      <c r="I178" s="76">
        <f t="shared" si="183"/>
        <v>4778</v>
      </c>
      <c r="J178" s="93">
        <f t="shared" si="145"/>
        <v>0.1113415515</v>
      </c>
      <c r="K178" s="66">
        <f t="shared" si="146"/>
        <v>0.1113415515</v>
      </c>
      <c r="L178" s="82" t="s">
        <v>81</v>
      </c>
      <c r="M178" s="54"/>
      <c r="N178" s="54"/>
      <c r="O178" s="54"/>
      <c r="P178" s="54"/>
      <c r="Q178" s="54"/>
      <c r="R178" s="54"/>
      <c r="S178" s="54"/>
      <c r="T178" s="54"/>
      <c r="U178" s="54"/>
      <c r="V178" s="54"/>
      <c r="W178" s="54"/>
      <c r="X178" s="54"/>
      <c r="Y178" s="54"/>
      <c r="Z178" s="54"/>
      <c r="AA178" s="54"/>
      <c r="AB178" s="54"/>
      <c r="AC178" s="54"/>
      <c r="AD178" s="54"/>
      <c r="AE178" s="54"/>
    </row>
    <row r="179">
      <c r="A179" s="11" t="s">
        <v>68</v>
      </c>
      <c r="B179" s="11" t="s">
        <v>635</v>
      </c>
      <c r="C179" s="11" t="s">
        <v>636</v>
      </c>
      <c r="D179" s="11" t="s">
        <v>72</v>
      </c>
      <c r="E179" s="25" t="s">
        <v>74</v>
      </c>
      <c r="F179" s="87">
        <v>1990.96875</v>
      </c>
      <c r="G179" s="27">
        <v>4860.0</v>
      </c>
      <c r="H179" s="27" t="s">
        <v>188</v>
      </c>
      <c r="I179" s="27" t="s">
        <v>188</v>
      </c>
      <c r="J179" s="66" t="s">
        <v>188</v>
      </c>
      <c r="K179" s="66" t="s">
        <v>188</v>
      </c>
      <c r="L179" s="29" t="s">
        <v>81</v>
      </c>
    </row>
    <row r="180">
      <c r="A180" s="11" t="s">
        <v>68</v>
      </c>
      <c r="B180" s="11" t="s">
        <v>635</v>
      </c>
      <c r="C180" s="11" t="s">
        <v>636</v>
      </c>
      <c r="D180" s="11" t="s">
        <v>72</v>
      </c>
      <c r="E180" s="25" t="s">
        <v>74</v>
      </c>
      <c r="F180" s="87">
        <v>1993.03125</v>
      </c>
      <c r="G180" s="27">
        <v>4812.0</v>
      </c>
      <c r="H180" s="27">
        <f t="shared" ref="H180:I180" si="184">F180-F179</f>
        <v>2.0625</v>
      </c>
      <c r="I180" s="27">
        <f t="shared" si="184"/>
        <v>-48</v>
      </c>
      <c r="J180" s="66">
        <f t="shared" ref="J180:J186" si="186">I180/G179</f>
        <v>-0.00987654321</v>
      </c>
      <c r="K180" s="66">
        <f t="shared" ref="K180:K186" si="187">J180/H180</f>
        <v>-0.004788627011</v>
      </c>
      <c r="L180" s="29" t="s">
        <v>81</v>
      </c>
    </row>
    <row r="181">
      <c r="A181" s="11" t="s">
        <v>68</v>
      </c>
      <c r="B181" s="11" t="s">
        <v>635</v>
      </c>
      <c r="C181" s="11" t="s">
        <v>636</v>
      </c>
      <c r="D181" s="11" t="s">
        <v>72</v>
      </c>
      <c r="E181" s="25" t="s">
        <v>74</v>
      </c>
      <c r="F181" s="87">
        <v>1996.03125</v>
      </c>
      <c r="G181" s="27">
        <v>2680.0</v>
      </c>
      <c r="H181" s="27">
        <f t="shared" ref="H181:I181" si="185">F181-F180</f>
        <v>3</v>
      </c>
      <c r="I181" s="27">
        <f t="shared" si="185"/>
        <v>-2132</v>
      </c>
      <c r="J181" s="66">
        <f t="shared" si="186"/>
        <v>-0.4430590191</v>
      </c>
      <c r="K181" s="66">
        <f t="shared" si="187"/>
        <v>-0.1476863397</v>
      </c>
      <c r="L181" s="29" t="s">
        <v>81</v>
      </c>
    </row>
    <row r="182">
      <c r="A182" s="11" t="s">
        <v>68</v>
      </c>
      <c r="B182" s="11" t="s">
        <v>635</v>
      </c>
      <c r="C182" s="11" t="s">
        <v>636</v>
      </c>
      <c r="D182" s="11" t="s">
        <v>72</v>
      </c>
      <c r="E182" s="25" t="s">
        <v>74</v>
      </c>
      <c r="F182" s="87">
        <v>2000.96875</v>
      </c>
      <c r="G182" s="27">
        <v>2422.0</v>
      </c>
      <c r="H182" s="27">
        <f t="shared" ref="H182:I182" si="188">F182-F181</f>
        <v>4.9375</v>
      </c>
      <c r="I182" s="27">
        <f t="shared" si="188"/>
        <v>-258</v>
      </c>
      <c r="J182" s="66">
        <f t="shared" si="186"/>
        <v>-0.09626865672</v>
      </c>
      <c r="K182" s="66">
        <f t="shared" si="187"/>
        <v>-0.01949744946</v>
      </c>
      <c r="L182" s="29" t="s">
        <v>81</v>
      </c>
    </row>
    <row r="183">
      <c r="A183" s="11" t="s">
        <v>68</v>
      </c>
      <c r="B183" s="11" t="s">
        <v>635</v>
      </c>
      <c r="C183" s="11" t="s">
        <v>636</v>
      </c>
      <c r="D183" s="11" t="s">
        <v>72</v>
      </c>
      <c r="E183" s="25" t="s">
        <v>74</v>
      </c>
      <c r="F183" s="87">
        <v>2005.03125</v>
      </c>
      <c r="G183" s="27">
        <v>2246.0</v>
      </c>
      <c r="H183" s="27">
        <f t="shared" ref="H183:I183" si="189">F183-F182</f>
        <v>4.0625</v>
      </c>
      <c r="I183" s="27">
        <f t="shared" si="189"/>
        <v>-176</v>
      </c>
      <c r="J183" s="66">
        <f t="shared" si="186"/>
        <v>-0.07266721718</v>
      </c>
      <c r="K183" s="66">
        <f t="shared" si="187"/>
        <v>-0.017887315</v>
      </c>
      <c r="L183" s="29" t="s">
        <v>81</v>
      </c>
    </row>
    <row r="184">
      <c r="A184" s="11" t="s">
        <v>68</v>
      </c>
      <c r="B184" s="11" t="s">
        <v>635</v>
      </c>
      <c r="C184" s="11" t="s">
        <v>636</v>
      </c>
      <c r="D184" s="11" t="s">
        <v>72</v>
      </c>
      <c r="E184" s="25" t="s">
        <v>74</v>
      </c>
      <c r="F184" s="87">
        <v>2008.0625</v>
      </c>
      <c r="G184" s="27">
        <v>3314.0</v>
      </c>
      <c r="H184" s="27">
        <f t="shared" ref="H184:I184" si="190">F184-F183</f>
        <v>3.03125</v>
      </c>
      <c r="I184" s="27">
        <f t="shared" si="190"/>
        <v>1068</v>
      </c>
      <c r="J184" s="66">
        <f t="shared" si="186"/>
        <v>0.4755120214</v>
      </c>
      <c r="K184" s="66">
        <f t="shared" si="187"/>
        <v>0.1568699452</v>
      </c>
      <c r="L184" s="29" t="s">
        <v>81</v>
      </c>
    </row>
    <row r="185">
      <c r="A185" s="11" t="s">
        <v>68</v>
      </c>
      <c r="B185" s="11" t="s">
        <v>635</v>
      </c>
      <c r="C185" s="11" t="s">
        <v>636</v>
      </c>
      <c r="D185" s="11" t="s">
        <v>72</v>
      </c>
      <c r="E185" s="25" t="s">
        <v>74</v>
      </c>
      <c r="F185" s="87">
        <v>2014.03125</v>
      </c>
      <c r="G185" s="27">
        <v>3274.0</v>
      </c>
      <c r="H185" s="27">
        <f t="shared" ref="H185:I185" si="191">F185-F184</f>
        <v>5.96875</v>
      </c>
      <c r="I185" s="27">
        <f t="shared" si="191"/>
        <v>-40</v>
      </c>
      <c r="J185" s="66">
        <f t="shared" si="186"/>
        <v>-0.01207000604</v>
      </c>
      <c r="K185" s="66">
        <f t="shared" si="187"/>
        <v>-0.002022199964</v>
      </c>
      <c r="L185" s="29" t="s">
        <v>81</v>
      </c>
    </row>
    <row r="186">
      <c r="A186" s="11" t="s">
        <v>68</v>
      </c>
      <c r="B186" s="11" t="s">
        <v>635</v>
      </c>
      <c r="C186" s="11" t="s">
        <v>636</v>
      </c>
      <c r="D186" s="11" t="s">
        <v>644</v>
      </c>
      <c r="E186" s="25" t="s">
        <v>74</v>
      </c>
      <c r="F186" s="88">
        <v>2016.0</v>
      </c>
      <c r="G186" s="27">
        <v>5454.0</v>
      </c>
      <c r="H186" s="27">
        <f t="shared" ref="H186:I186" si="192">F186-F185</f>
        <v>1.96875</v>
      </c>
      <c r="I186" s="27">
        <f t="shared" si="192"/>
        <v>2180</v>
      </c>
      <c r="J186" s="66">
        <f t="shared" si="186"/>
        <v>0.6658521686</v>
      </c>
      <c r="K186" s="66">
        <f t="shared" si="187"/>
        <v>0.3382106253</v>
      </c>
      <c r="L186" s="29" t="s">
        <v>81</v>
      </c>
    </row>
    <row r="187">
      <c r="A187" s="11" t="s">
        <v>68</v>
      </c>
      <c r="B187" s="11" t="s">
        <v>607</v>
      </c>
      <c r="C187" s="11" t="s">
        <v>648</v>
      </c>
      <c r="D187" s="11" t="s">
        <v>257</v>
      </c>
      <c r="E187" s="25" t="s">
        <v>74</v>
      </c>
      <c r="F187" s="11">
        <v>1991.0</v>
      </c>
      <c r="G187" s="89">
        <v>25323.0</v>
      </c>
      <c r="H187" s="89" t="s">
        <v>188</v>
      </c>
      <c r="I187" s="89" t="s">
        <v>188</v>
      </c>
      <c r="J187" s="97" t="s">
        <v>188</v>
      </c>
      <c r="K187" s="66" t="s">
        <v>188</v>
      </c>
      <c r="L187" s="42" t="s">
        <v>260</v>
      </c>
    </row>
    <row r="188">
      <c r="A188" s="11" t="s">
        <v>68</v>
      </c>
      <c r="B188" s="11" t="s">
        <v>607</v>
      </c>
      <c r="C188" s="11" t="s">
        <v>648</v>
      </c>
      <c r="D188" s="11" t="s">
        <v>257</v>
      </c>
      <c r="E188" s="25" t="s">
        <v>74</v>
      </c>
      <c r="F188" s="11">
        <v>1993.0</v>
      </c>
      <c r="G188" s="89">
        <v>8269.0</v>
      </c>
      <c r="H188" s="89">
        <f t="shared" ref="H188:I188" si="193">F188-F187</f>
        <v>2</v>
      </c>
      <c r="I188" s="89">
        <f t="shared" si="193"/>
        <v>-17054</v>
      </c>
      <c r="J188" s="97">
        <f t="shared" ref="J188:J193" si="195">I188/G187</f>
        <v>-0.6734589109</v>
      </c>
      <c r="K188" s="66">
        <f t="shared" ref="K188:K193" si="196">J188/H188</f>
        <v>-0.3367294554</v>
      </c>
      <c r="L188" s="42" t="s">
        <v>260</v>
      </c>
    </row>
    <row r="189">
      <c r="A189" s="11" t="s">
        <v>68</v>
      </c>
      <c r="B189" s="11" t="s">
        <v>607</v>
      </c>
      <c r="C189" s="11" t="s">
        <v>648</v>
      </c>
      <c r="D189" s="11" t="s">
        <v>257</v>
      </c>
      <c r="E189" s="25" t="s">
        <v>74</v>
      </c>
      <c r="F189" s="11">
        <v>1996.0</v>
      </c>
      <c r="G189" s="89">
        <v>56848.0</v>
      </c>
      <c r="H189" s="89">
        <f t="shared" ref="H189:I189" si="194">F189-F188</f>
        <v>3</v>
      </c>
      <c r="I189" s="89">
        <f t="shared" si="194"/>
        <v>48579</v>
      </c>
      <c r="J189" s="97">
        <f t="shared" si="195"/>
        <v>5.874833716</v>
      </c>
      <c r="K189" s="66">
        <f t="shared" si="196"/>
        <v>1.958277905</v>
      </c>
      <c r="L189" s="42" t="s">
        <v>260</v>
      </c>
    </row>
    <row r="190">
      <c r="A190" s="11" t="s">
        <v>68</v>
      </c>
      <c r="B190" s="11" t="s">
        <v>607</v>
      </c>
      <c r="C190" s="11" t="s">
        <v>648</v>
      </c>
      <c r="D190" s="11" t="s">
        <v>257</v>
      </c>
      <c r="E190" s="25" t="s">
        <v>74</v>
      </c>
      <c r="F190" s="11">
        <v>2001.0</v>
      </c>
      <c r="G190" s="89">
        <v>27390.0</v>
      </c>
      <c r="H190" s="89">
        <f t="shared" ref="H190:I190" si="197">F190-F189</f>
        <v>5</v>
      </c>
      <c r="I190" s="89">
        <f t="shared" si="197"/>
        <v>-29458</v>
      </c>
      <c r="J190" s="97">
        <f t="shared" si="195"/>
        <v>-0.5181888545</v>
      </c>
      <c r="K190" s="66">
        <f t="shared" si="196"/>
        <v>-0.1036377709</v>
      </c>
      <c r="L190" s="42" t="s">
        <v>260</v>
      </c>
    </row>
    <row r="191">
      <c r="A191" s="11" t="s">
        <v>68</v>
      </c>
      <c r="B191" s="11" t="s">
        <v>607</v>
      </c>
      <c r="C191" s="11" t="s">
        <v>648</v>
      </c>
      <c r="D191" s="11" t="s">
        <v>257</v>
      </c>
      <c r="E191" s="25" t="s">
        <v>74</v>
      </c>
      <c r="F191" s="11">
        <v>2005.0</v>
      </c>
      <c r="G191" s="89">
        <v>45995.0</v>
      </c>
      <c r="H191" s="89">
        <f t="shared" ref="H191:I191" si="198">F191-F190</f>
        <v>4</v>
      </c>
      <c r="I191" s="89">
        <f t="shared" si="198"/>
        <v>18605</v>
      </c>
      <c r="J191" s="97">
        <f t="shared" si="195"/>
        <v>0.6792625046</v>
      </c>
      <c r="K191" s="66">
        <f t="shared" si="196"/>
        <v>0.1698156261</v>
      </c>
      <c r="L191" s="42" t="s">
        <v>260</v>
      </c>
    </row>
    <row r="192">
      <c r="A192" s="11" t="s">
        <v>68</v>
      </c>
      <c r="B192" s="11" t="s">
        <v>607</v>
      </c>
      <c r="C192" s="11" t="s">
        <v>648</v>
      </c>
      <c r="D192" s="11" t="s">
        <v>257</v>
      </c>
      <c r="E192" s="25" t="s">
        <v>74</v>
      </c>
      <c r="F192" s="11">
        <v>2008.0</v>
      </c>
      <c r="G192" s="89">
        <v>29974.0</v>
      </c>
      <c r="H192" s="89">
        <f t="shared" ref="H192:I192" si="199">F192-F191</f>
        <v>3</v>
      </c>
      <c r="I192" s="89">
        <f t="shared" si="199"/>
        <v>-16021</v>
      </c>
      <c r="J192" s="97">
        <f t="shared" si="195"/>
        <v>-0.3483204696</v>
      </c>
      <c r="K192" s="66">
        <f t="shared" si="196"/>
        <v>-0.1161068232</v>
      </c>
      <c r="L192" s="42" t="s">
        <v>260</v>
      </c>
    </row>
    <row r="193">
      <c r="A193" s="11" t="s">
        <v>68</v>
      </c>
      <c r="B193" s="11" t="s">
        <v>607</v>
      </c>
      <c r="C193" s="11" t="s">
        <v>648</v>
      </c>
      <c r="D193" s="11" t="s">
        <v>257</v>
      </c>
      <c r="E193" s="25" t="s">
        <v>74</v>
      </c>
      <c r="F193" s="11">
        <v>2014.0</v>
      </c>
      <c r="G193" s="89">
        <v>21705.0</v>
      </c>
      <c r="H193" s="89">
        <f t="shared" ref="H193:I193" si="200">F193-F192</f>
        <v>6</v>
      </c>
      <c r="I193" s="89">
        <f t="shared" si="200"/>
        <v>-8269</v>
      </c>
      <c r="J193" s="97">
        <f t="shared" si="195"/>
        <v>-0.2758724228</v>
      </c>
      <c r="K193" s="66">
        <f t="shared" si="196"/>
        <v>-0.04597873713</v>
      </c>
      <c r="L193" s="42" t="s">
        <v>260</v>
      </c>
    </row>
    <row r="194">
      <c r="A194" s="11" t="s">
        <v>68</v>
      </c>
      <c r="B194" s="11" t="s">
        <v>607</v>
      </c>
      <c r="C194" s="11" t="s">
        <v>648</v>
      </c>
      <c r="D194" s="11" t="s">
        <v>651</v>
      </c>
      <c r="E194" s="25" t="s">
        <v>74</v>
      </c>
      <c r="F194" s="11">
        <v>1996.0</v>
      </c>
      <c r="G194" s="89">
        <v>50129.0</v>
      </c>
      <c r="H194" s="89" t="s">
        <v>188</v>
      </c>
      <c r="I194" s="89" t="s">
        <v>188</v>
      </c>
      <c r="J194" s="97" t="s">
        <v>188</v>
      </c>
      <c r="K194" s="66" t="s">
        <v>188</v>
      </c>
      <c r="L194" s="42" t="s">
        <v>260</v>
      </c>
    </row>
    <row r="195">
      <c r="A195" s="11" t="s">
        <v>68</v>
      </c>
      <c r="B195" s="11" t="s">
        <v>607</v>
      </c>
      <c r="C195" s="11" t="s">
        <v>648</v>
      </c>
      <c r="D195" s="11" t="s">
        <v>651</v>
      </c>
      <c r="E195" s="25" t="s">
        <v>74</v>
      </c>
      <c r="F195" s="11">
        <v>2002.0</v>
      </c>
      <c r="G195" s="89">
        <v>48062.0</v>
      </c>
      <c r="H195" s="89">
        <f t="shared" ref="H195:I195" si="201">F195-F194</f>
        <v>6</v>
      </c>
      <c r="I195" s="89">
        <f t="shared" si="201"/>
        <v>-2067</v>
      </c>
      <c r="J195" s="97">
        <f t="shared" ref="J195:J197" si="203">I195/G194</f>
        <v>-0.04123361727</v>
      </c>
      <c r="K195" s="66">
        <f t="shared" ref="K195:K197" si="204">J195/H195</f>
        <v>-0.006872269545</v>
      </c>
      <c r="L195" s="42" t="s">
        <v>260</v>
      </c>
    </row>
    <row r="196">
      <c r="A196" s="11" t="s">
        <v>68</v>
      </c>
      <c r="B196" s="11" t="s">
        <v>607</v>
      </c>
      <c r="C196" s="11" t="s">
        <v>648</v>
      </c>
      <c r="D196" s="11" t="s">
        <v>651</v>
      </c>
      <c r="E196" s="25" t="s">
        <v>74</v>
      </c>
      <c r="F196" s="11">
        <v>2006.0</v>
      </c>
      <c r="G196" s="89">
        <v>49096.0</v>
      </c>
      <c r="H196" s="89">
        <f t="shared" ref="H196:I196" si="202">F196-F195</f>
        <v>4</v>
      </c>
      <c r="I196" s="89">
        <f t="shared" si="202"/>
        <v>1034</v>
      </c>
      <c r="J196" s="97">
        <f t="shared" si="203"/>
        <v>0.02151387791</v>
      </c>
      <c r="K196" s="66">
        <f t="shared" si="204"/>
        <v>0.005378469477</v>
      </c>
      <c r="L196" s="42" t="s">
        <v>260</v>
      </c>
    </row>
    <row r="197">
      <c r="A197" s="11" t="s">
        <v>68</v>
      </c>
      <c r="B197" s="11" t="s">
        <v>607</v>
      </c>
      <c r="C197" s="11" t="s">
        <v>648</v>
      </c>
      <c r="D197" s="11" t="s">
        <v>651</v>
      </c>
      <c r="E197" s="25" t="s">
        <v>74</v>
      </c>
      <c r="F197" s="11">
        <v>2009.0</v>
      </c>
      <c r="G197" s="89">
        <v>39793.0</v>
      </c>
      <c r="H197" s="89">
        <f t="shared" ref="H197:I197" si="205">F197-F196</f>
        <v>3</v>
      </c>
      <c r="I197" s="89">
        <f t="shared" si="205"/>
        <v>-9303</v>
      </c>
      <c r="J197" s="97">
        <f t="shared" si="203"/>
        <v>-0.1894859052</v>
      </c>
      <c r="K197" s="66">
        <f t="shared" si="204"/>
        <v>-0.06316196839</v>
      </c>
      <c r="L197" s="42" t="s">
        <v>260</v>
      </c>
    </row>
    <row r="198">
      <c r="A198" s="11" t="s">
        <v>68</v>
      </c>
      <c r="B198" s="11" t="s">
        <v>607</v>
      </c>
      <c r="C198" s="11" t="s">
        <v>648</v>
      </c>
      <c r="D198" s="11" t="s">
        <v>157</v>
      </c>
      <c r="E198" s="11" t="s">
        <v>158</v>
      </c>
      <c r="F198" s="11">
        <v>1996.0</v>
      </c>
      <c r="G198" s="40">
        <v>49811.0</v>
      </c>
      <c r="H198" s="40" t="s">
        <v>188</v>
      </c>
      <c r="I198" s="40" t="s">
        <v>188</v>
      </c>
      <c r="J198" s="73" t="s">
        <v>188</v>
      </c>
      <c r="K198" s="66" t="s">
        <v>188</v>
      </c>
      <c r="L198" s="42" t="s">
        <v>160</v>
      </c>
    </row>
    <row r="199">
      <c r="A199" s="11" t="s">
        <v>68</v>
      </c>
      <c r="B199" s="11" t="s">
        <v>607</v>
      </c>
      <c r="C199" s="11" t="s">
        <v>648</v>
      </c>
      <c r="D199" s="11" t="s">
        <v>157</v>
      </c>
      <c r="E199" s="11" t="s">
        <v>158</v>
      </c>
      <c r="F199" s="11">
        <v>2001.0</v>
      </c>
      <c r="G199" s="40">
        <v>44418.0</v>
      </c>
      <c r="H199" s="40">
        <f t="shared" ref="H199:I199" si="206">F199-F198</f>
        <v>5</v>
      </c>
      <c r="I199" s="40">
        <f t="shared" si="206"/>
        <v>-5393</v>
      </c>
      <c r="J199" s="73">
        <f t="shared" ref="J199:J203" si="208">I199/G198</f>
        <v>-0.1082692578</v>
      </c>
      <c r="K199" s="66">
        <f t="shared" ref="K199:K203" si="209">J199/H199</f>
        <v>-0.02165385156</v>
      </c>
      <c r="L199" s="42" t="s">
        <v>160</v>
      </c>
    </row>
    <row r="200">
      <c r="A200" s="11" t="s">
        <v>68</v>
      </c>
      <c r="B200" s="11" t="s">
        <v>607</v>
      </c>
      <c r="C200" s="11" t="s">
        <v>648</v>
      </c>
      <c r="D200" s="11" t="s">
        <v>157</v>
      </c>
      <c r="E200" s="11" t="s">
        <v>158</v>
      </c>
      <c r="F200" s="11">
        <v>2005.0</v>
      </c>
      <c r="G200" s="40">
        <v>36373.0</v>
      </c>
      <c r="H200" s="40">
        <f t="shared" ref="H200:I200" si="207">F200-F199</f>
        <v>4</v>
      </c>
      <c r="I200" s="40">
        <f t="shared" si="207"/>
        <v>-8045</v>
      </c>
      <c r="J200" s="73">
        <f t="shared" si="208"/>
        <v>-0.1811202666</v>
      </c>
      <c r="K200" s="66">
        <f t="shared" si="209"/>
        <v>-0.04528006664</v>
      </c>
      <c r="L200" s="42" t="s">
        <v>160</v>
      </c>
    </row>
    <row r="201">
      <c r="A201" s="11" t="s">
        <v>68</v>
      </c>
      <c r="B201" s="11" t="s">
        <v>607</v>
      </c>
      <c r="C201" s="11" t="s">
        <v>648</v>
      </c>
      <c r="D201" s="11" t="s">
        <v>157</v>
      </c>
      <c r="E201" s="11" t="s">
        <v>158</v>
      </c>
      <c r="F201" s="11">
        <v>2008.0</v>
      </c>
      <c r="G201" s="40">
        <v>34654.0</v>
      </c>
      <c r="H201" s="40">
        <f t="shared" ref="H201:I201" si="210">F201-F200</f>
        <v>3</v>
      </c>
      <c r="I201" s="40">
        <f t="shared" si="210"/>
        <v>-1719</v>
      </c>
      <c r="J201" s="73">
        <f t="shared" si="208"/>
        <v>-0.04726033046</v>
      </c>
      <c r="K201" s="66">
        <f t="shared" si="209"/>
        <v>-0.01575344349</v>
      </c>
      <c r="L201" s="42" t="s">
        <v>160</v>
      </c>
    </row>
    <row r="202">
      <c r="A202" s="11" t="s">
        <v>68</v>
      </c>
      <c r="B202" s="11" t="s">
        <v>607</v>
      </c>
      <c r="C202" s="11" t="s">
        <v>648</v>
      </c>
      <c r="D202" s="11" t="s">
        <v>157</v>
      </c>
      <c r="E202" s="11" t="s">
        <v>158</v>
      </c>
      <c r="F202" s="11">
        <v>2014.0</v>
      </c>
      <c r="G202" s="40">
        <v>21219.0</v>
      </c>
      <c r="H202" s="40">
        <f t="shared" ref="H202:I202" si="211">F202-F201</f>
        <v>6</v>
      </c>
      <c r="I202" s="40">
        <f t="shared" si="211"/>
        <v>-13435</v>
      </c>
      <c r="J202" s="73">
        <f t="shared" si="208"/>
        <v>-0.3876897328</v>
      </c>
      <c r="K202" s="66">
        <f t="shared" si="209"/>
        <v>-0.06461495546</v>
      </c>
      <c r="L202" s="42" t="s">
        <v>160</v>
      </c>
    </row>
    <row r="203">
      <c r="A203" s="11" t="s">
        <v>68</v>
      </c>
      <c r="B203" s="11" t="s">
        <v>607</v>
      </c>
      <c r="C203" s="11" t="s">
        <v>648</v>
      </c>
      <c r="D203" s="11" t="s">
        <v>157</v>
      </c>
      <c r="E203" s="11" t="s">
        <v>158</v>
      </c>
      <c r="F203" s="11">
        <v>2018.0</v>
      </c>
      <c r="G203" s="40">
        <v>16498.0</v>
      </c>
      <c r="H203" s="40">
        <f t="shared" ref="H203:I203" si="212">F203-F202</f>
        <v>4</v>
      </c>
      <c r="I203" s="40">
        <f t="shared" si="212"/>
        <v>-4721</v>
      </c>
      <c r="J203" s="73">
        <f t="shared" si="208"/>
        <v>-0.2224892785</v>
      </c>
      <c r="K203" s="66">
        <f t="shared" si="209"/>
        <v>-0.05562231962</v>
      </c>
      <c r="L203" s="42" t="s">
        <v>160</v>
      </c>
    </row>
    <row r="204">
      <c r="A204" s="11" t="s">
        <v>309</v>
      </c>
      <c r="B204" s="11" t="s">
        <v>213</v>
      </c>
      <c r="C204" s="11" t="s">
        <v>655</v>
      </c>
      <c r="D204" s="11" t="s">
        <v>656</v>
      </c>
      <c r="E204" s="11" t="s">
        <v>74</v>
      </c>
      <c r="F204" s="11">
        <v>2002.0</v>
      </c>
      <c r="G204" s="40">
        <v>613.0</v>
      </c>
      <c r="H204" s="40" t="s">
        <v>188</v>
      </c>
      <c r="I204" s="40" t="s">
        <v>188</v>
      </c>
      <c r="J204" s="73" t="s">
        <v>188</v>
      </c>
      <c r="K204" s="66" t="s">
        <v>188</v>
      </c>
      <c r="L204" s="29" t="s">
        <v>81</v>
      </c>
    </row>
    <row r="205">
      <c r="A205" s="11" t="s">
        <v>309</v>
      </c>
      <c r="B205" s="11" t="s">
        <v>213</v>
      </c>
      <c r="C205" s="11" t="s">
        <v>655</v>
      </c>
      <c r="D205" s="11" t="s">
        <v>656</v>
      </c>
      <c r="E205" s="11" t="s">
        <v>74</v>
      </c>
      <c r="F205" s="11">
        <v>2010.0</v>
      </c>
      <c r="G205" s="40">
        <v>2489.0</v>
      </c>
      <c r="H205" s="40">
        <f t="shared" ref="H205:I205" si="213">F205-F204</f>
        <v>8</v>
      </c>
      <c r="I205" s="40">
        <f t="shared" si="213"/>
        <v>1876</v>
      </c>
      <c r="J205" s="73">
        <f t="shared" ref="J205:J206" si="215">I205/G204</f>
        <v>3.060358891</v>
      </c>
      <c r="K205" s="66">
        <f t="shared" ref="K205:K206" si="216">J205/H205</f>
        <v>0.3825448613</v>
      </c>
      <c r="L205" s="29" t="s">
        <v>81</v>
      </c>
    </row>
    <row r="206">
      <c r="A206" s="11" t="s">
        <v>309</v>
      </c>
      <c r="B206" s="11" t="s">
        <v>213</v>
      </c>
      <c r="C206" s="11" t="s">
        <v>655</v>
      </c>
      <c r="D206" s="11" t="s">
        <v>656</v>
      </c>
      <c r="E206" s="11" t="s">
        <v>74</v>
      </c>
      <c r="F206" s="11">
        <v>2017.0</v>
      </c>
      <c r="G206" s="40">
        <v>5106.0</v>
      </c>
      <c r="H206" s="40">
        <f t="shared" ref="H206:I206" si="214">F206-F205</f>
        <v>7</v>
      </c>
      <c r="I206" s="40">
        <f t="shared" si="214"/>
        <v>2617</v>
      </c>
      <c r="J206" s="73">
        <f t="shared" si="215"/>
        <v>1.051426276</v>
      </c>
      <c r="K206" s="66">
        <f t="shared" si="216"/>
        <v>0.1502037537</v>
      </c>
      <c r="L206" s="29" t="s">
        <v>81</v>
      </c>
    </row>
    <row r="207">
      <c r="A207" s="11" t="s">
        <v>309</v>
      </c>
      <c r="B207" s="11" t="s">
        <v>213</v>
      </c>
      <c r="C207" s="11" t="s">
        <v>655</v>
      </c>
      <c r="D207" s="11" t="s">
        <v>659</v>
      </c>
      <c r="E207" s="11" t="s">
        <v>74</v>
      </c>
      <c r="F207" s="11">
        <v>2002.0</v>
      </c>
      <c r="G207" s="40">
        <v>2122.0</v>
      </c>
      <c r="H207" s="40" t="s">
        <v>188</v>
      </c>
      <c r="I207" s="40" t="s">
        <v>188</v>
      </c>
      <c r="J207" s="73" t="s">
        <v>188</v>
      </c>
      <c r="K207" s="66" t="s">
        <v>188</v>
      </c>
      <c r="L207" s="29" t="s">
        <v>81</v>
      </c>
    </row>
    <row r="208">
      <c r="A208" s="11" t="s">
        <v>309</v>
      </c>
      <c r="B208" s="11" t="s">
        <v>213</v>
      </c>
      <c r="C208" s="11" t="s">
        <v>655</v>
      </c>
      <c r="D208" s="11" t="s">
        <v>659</v>
      </c>
      <c r="E208" s="11" t="s">
        <v>74</v>
      </c>
      <c r="F208" s="11">
        <v>2010.0</v>
      </c>
      <c r="G208" s="40">
        <v>2144.0</v>
      </c>
      <c r="H208" s="40">
        <f t="shared" ref="H208:I208" si="217">F208-F207</f>
        <v>8</v>
      </c>
      <c r="I208" s="40">
        <f t="shared" si="217"/>
        <v>22</v>
      </c>
      <c r="J208" s="73">
        <f t="shared" ref="J208:J209" si="219">I208/G207</f>
        <v>0.01036757776</v>
      </c>
      <c r="K208" s="66">
        <f t="shared" ref="K208:K209" si="220">J208/H208</f>
        <v>0.00129594722</v>
      </c>
      <c r="L208" s="29" t="s">
        <v>81</v>
      </c>
    </row>
    <row r="209">
      <c r="A209" s="11" t="s">
        <v>309</v>
      </c>
      <c r="B209" s="11" t="s">
        <v>213</v>
      </c>
      <c r="C209" s="11" t="s">
        <v>655</v>
      </c>
      <c r="D209" s="11" t="s">
        <v>659</v>
      </c>
      <c r="E209" s="11" t="s">
        <v>74</v>
      </c>
      <c r="F209" s="11">
        <v>2017.0</v>
      </c>
      <c r="G209" s="40">
        <v>2086.0</v>
      </c>
      <c r="H209" s="40">
        <f t="shared" ref="H209:I209" si="218">F209-F208</f>
        <v>7</v>
      </c>
      <c r="I209" s="40">
        <f t="shared" si="218"/>
        <v>-58</v>
      </c>
      <c r="J209" s="73">
        <f t="shared" si="219"/>
        <v>-0.02705223881</v>
      </c>
      <c r="K209" s="66">
        <f t="shared" si="220"/>
        <v>-0.003864605544</v>
      </c>
      <c r="L209" s="29" t="s">
        <v>81</v>
      </c>
    </row>
    <row r="210">
      <c r="A210" s="11" t="s">
        <v>68</v>
      </c>
      <c r="B210" s="11" t="s">
        <v>109</v>
      </c>
      <c r="C210" s="11" t="s">
        <v>661</v>
      </c>
      <c r="D210" s="11" t="s">
        <v>662</v>
      </c>
      <c r="E210" s="11" t="s">
        <v>74</v>
      </c>
      <c r="F210" s="27">
        <v>1991.0</v>
      </c>
      <c r="G210" s="27">
        <v>1381.0</v>
      </c>
      <c r="H210" s="27" t="s">
        <v>188</v>
      </c>
      <c r="I210" s="27" t="s">
        <v>188</v>
      </c>
      <c r="J210" s="73" t="s">
        <v>188</v>
      </c>
      <c r="K210" s="66" t="s">
        <v>188</v>
      </c>
      <c r="L210" s="29" t="s">
        <v>81</v>
      </c>
    </row>
    <row r="211">
      <c r="A211" s="11" t="s">
        <v>68</v>
      </c>
      <c r="B211" s="11" t="s">
        <v>109</v>
      </c>
      <c r="C211" s="11" t="s">
        <v>661</v>
      </c>
      <c r="D211" s="11" t="s">
        <v>662</v>
      </c>
      <c r="E211" s="11" t="s">
        <v>74</v>
      </c>
      <c r="F211" s="27">
        <v>1993.0</v>
      </c>
      <c r="G211" s="27">
        <v>2779.0</v>
      </c>
      <c r="H211" s="27">
        <f t="shared" ref="H211:I211" si="221">F211-F210</f>
        <v>2</v>
      </c>
      <c r="I211" s="27">
        <f t="shared" si="221"/>
        <v>1398</v>
      </c>
      <c r="J211" s="66">
        <f t="shared" ref="J211:J216" si="223">I211/G210</f>
        <v>1.01230992</v>
      </c>
      <c r="K211" s="66">
        <f t="shared" ref="K211:K216" si="224">J211/H211</f>
        <v>0.5061549602</v>
      </c>
      <c r="L211" s="29" t="s">
        <v>81</v>
      </c>
    </row>
    <row r="212">
      <c r="A212" s="11" t="s">
        <v>68</v>
      </c>
      <c r="B212" s="11" t="s">
        <v>109</v>
      </c>
      <c r="C212" s="11" t="s">
        <v>661</v>
      </c>
      <c r="D212" s="11" t="s">
        <v>662</v>
      </c>
      <c r="E212" s="11" t="s">
        <v>74</v>
      </c>
      <c r="F212" s="44">
        <v>1995.50380228137</v>
      </c>
      <c r="G212" s="27">
        <v>3680.0</v>
      </c>
      <c r="H212" s="27">
        <f t="shared" ref="H212:I212" si="222">F212-F211</f>
        <v>2.503802281</v>
      </c>
      <c r="I212" s="27">
        <f t="shared" si="222"/>
        <v>901</v>
      </c>
      <c r="J212" s="66">
        <f t="shared" si="223"/>
        <v>0.3242173444</v>
      </c>
      <c r="K212" s="66">
        <f t="shared" si="224"/>
        <v>0.1294899948</v>
      </c>
      <c r="L212" s="29" t="s">
        <v>81</v>
      </c>
    </row>
    <row r="213">
      <c r="A213" s="11" t="s">
        <v>68</v>
      </c>
      <c r="B213" s="11" t="s">
        <v>109</v>
      </c>
      <c r="C213" s="11" t="s">
        <v>661</v>
      </c>
      <c r="D213" s="11" t="s">
        <v>662</v>
      </c>
      <c r="E213" s="11" t="s">
        <v>74</v>
      </c>
      <c r="F213" s="44">
        <v>2000.53231939164</v>
      </c>
      <c r="G213" s="27">
        <v>3491.0</v>
      </c>
      <c r="H213" s="27">
        <f t="shared" ref="H213:I213" si="225">F213-F212</f>
        <v>5.02851711</v>
      </c>
      <c r="I213" s="27">
        <f t="shared" si="225"/>
        <v>-189</v>
      </c>
      <c r="J213" s="66">
        <f t="shared" si="223"/>
        <v>-0.05135869565</v>
      </c>
      <c r="K213" s="66">
        <f t="shared" si="224"/>
        <v>-0.0102134873</v>
      </c>
      <c r="L213" s="29" t="s">
        <v>81</v>
      </c>
    </row>
    <row r="214">
      <c r="A214" s="11" t="s">
        <v>68</v>
      </c>
      <c r="B214" s="11" t="s">
        <v>109</v>
      </c>
      <c r="C214" s="11" t="s">
        <v>661</v>
      </c>
      <c r="D214" s="11" t="s">
        <v>662</v>
      </c>
      <c r="E214" s="11" t="s">
        <v>74</v>
      </c>
      <c r="F214" s="27">
        <v>2005.0</v>
      </c>
      <c r="G214" s="27">
        <v>6801.0</v>
      </c>
      <c r="H214" s="27">
        <f t="shared" ref="H214:I214" si="226">F214-F213</f>
        <v>4.467680608</v>
      </c>
      <c r="I214" s="27">
        <f t="shared" si="226"/>
        <v>3310</v>
      </c>
      <c r="J214" s="66">
        <f t="shared" si="223"/>
        <v>0.9481523919</v>
      </c>
      <c r="K214" s="66">
        <f t="shared" si="224"/>
        <v>0.2122247481</v>
      </c>
      <c r="L214" s="29" t="s">
        <v>81</v>
      </c>
    </row>
    <row r="215">
      <c r="A215" s="11" t="s">
        <v>68</v>
      </c>
      <c r="B215" s="11" t="s">
        <v>109</v>
      </c>
      <c r="C215" s="11" t="s">
        <v>661</v>
      </c>
      <c r="D215" s="11" t="s">
        <v>662</v>
      </c>
      <c r="E215" s="11" t="s">
        <v>74</v>
      </c>
      <c r="F215" s="27">
        <v>2008.0</v>
      </c>
      <c r="G215" s="27">
        <v>7624.0</v>
      </c>
      <c r="H215" s="27">
        <f t="shared" ref="H215:I215" si="227">F215-F214</f>
        <v>3</v>
      </c>
      <c r="I215" s="27">
        <f t="shared" si="227"/>
        <v>823</v>
      </c>
      <c r="J215" s="66">
        <f t="shared" si="223"/>
        <v>0.1210116159</v>
      </c>
      <c r="K215" s="66">
        <f t="shared" si="224"/>
        <v>0.04033720531</v>
      </c>
      <c r="L215" s="29" t="s">
        <v>81</v>
      </c>
    </row>
    <row r="216">
      <c r="A216" s="11" t="s">
        <v>68</v>
      </c>
      <c r="B216" s="11" t="s">
        <v>109</v>
      </c>
      <c r="C216" s="11" t="s">
        <v>661</v>
      </c>
      <c r="D216" s="11" t="s">
        <v>662</v>
      </c>
      <c r="E216" s="11" t="s">
        <v>74</v>
      </c>
      <c r="F216" s="27">
        <v>2014.0</v>
      </c>
      <c r="G216" s="27">
        <v>8127.0</v>
      </c>
      <c r="H216" s="27">
        <f t="shared" ref="H216:I216" si="228">F216-F215</f>
        <v>6</v>
      </c>
      <c r="I216" s="27">
        <f t="shared" si="228"/>
        <v>503</v>
      </c>
      <c r="J216" s="66">
        <f t="shared" si="223"/>
        <v>0.06597586569</v>
      </c>
      <c r="K216" s="66">
        <f t="shared" si="224"/>
        <v>0.01099597761</v>
      </c>
      <c r="L216" s="29" t="s">
        <v>81</v>
      </c>
    </row>
    <row r="217">
      <c r="A217" s="11" t="s">
        <v>68</v>
      </c>
      <c r="B217" s="11" t="s">
        <v>109</v>
      </c>
      <c r="C217" s="11" t="s">
        <v>661</v>
      </c>
      <c r="D217" s="11" t="s">
        <v>669</v>
      </c>
      <c r="E217" s="11" t="s">
        <v>74</v>
      </c>
      <c r="F217" s="87">
        <v>1991.48098859316</v>
      </c>
      <c r="G217" s="44">
        <v>1486.61361765513</v>
      </c>
      <c r="H217" s="27" t="s">
        <v>188</v>
      </c>
      <c r="I217" s="27" t="s">
        <v>188</v>
      </c>
      <c r="J217" s="66" t="s">
        <v>188</v>
      </c>
      <c r="K217" s="66" t="s">
        <v>188</v>
      </c>
      <c r="L217" s="29" t="s">
        <v>260</v>
      </c>
    </row>
    <row r="218">
      <c r="A218" s="11" t="s">
        <v>68</v>
      </c>
      <c r="B218" s="11" t="s">
        <v>109</v>
      </c>
      <c r="C218" s="11" t="s">
        <v>661</v>
      </c>
      <c r="D218" s="11" t="s">
        <v>669</v>
      </c>
      <c r="E218" s="11" t="s">
        <v>74</v>
      </c>
      <c r="F218" s="87">
        <v>1993.44866920152</v>
      </c>
      <c r="G218" s="44">
        <v>3080.14189957273</v>
      </c>
      <c r="H218" s="44">
        <f t="shared" ref="H218:I218" si="229">F218-F217</f>
        <v>1.967680608</v>
      </c>
      <c r="I218" s="44">
        <f t="shared" si="229"/>
        <v>1593.528282</v>
      </c>
      <c r="J218" s="101">
        <f t="shared" ref="J218:J223" si="231">I218/G217</f>
        <v>1.07191826</v>
      </c>
      <c r="K218" s="66">
        <f t="shared" ref="K218:K223" si="232">J218/H218</f>
        <v>0.5447623233</v>
      </c>
      <c r="L218" s="29" t="s">
        <v>260</v>
      </c>
    </row>
    <row r="219">
      <c r="A219" s="11" t="s">
        <v>68</v>
      </c>
      <c r="B219" s="11" t="s">
        <v>109</v>
      </c>
      <c r="C219" s="11" t="s">
        <v>661</v>
      </c>
      <c r="D219" s="11" t="s">
        <v>669</v>
      </c>
      <c r="E219" s="11" t="s">
        <v>74</v>
      </c>
      <c r="F219" s="87">
        <v>1996.46577946768</v>
      </c>
      <c r="G219" s="44">
        <v>4671.31825487045</v>
      </c>
      <c r="H219" s="44">
        <f t="shared" ref="H219:I219" si="230">F219-F218</f>
        <v>3.017110266</v>
      </c>
      <c r="I219" s="44">
        <f t="shared" si="230"/>
        <v>1591.176355</v>
      </c>
      <c r="J219" s="101">
        <f t="shared" si="231"/>
        <v>0.5165918997</v>
      </c>
      <c r="K219" s="66">
        <f t="shared" si="232"/>
        <v>0.1712207557</v>
      </c>
      <c r="L219" s="29" t="s">
        <v>260</v>
      </c>
    </row>
    <row r="220">
      <c r="A220" s="11" t="s">
        <v>68</v>
      </c>
      <c r="B220" s="11" t="s">
        <v>109</v>
      </c>
      <c r="C220" s="11" t="s">
        <v>661</v>
      </c>
      <c r="D220" s="11" t="s">
        <v>669</v>
      </c>
      <c r="E220" s="11" t="s">
        <v>74</v>
      </c>
      <c r="F220" s="87">
        <v>2001.45057034221</v>
      </c>
      <c r="G220" s="44">
        <v>5072.51773744659</v>
      </c>
      <c r="H220" s="44">
        <f t="shared" ref="H220:I220" si="233">F220-F219</f>
        <v>4.984790875</v>
      </c>
      <c r="I220" s="44">
        <f t="shared" si="233"/>
        <v>401.1994826</v>
      </c>
      <c r="J220" s="101">
        <f t="shared" si="231"/>
        <v>0.08588570949</v>
      </c>
      <c r="K220" s="66">
        <f t="shared" si="232"/>
        <v>0.01722955118</v>
      </c>
      <c r="L220" s="29" t="s">
        <v>260</v>
      </c>
    </row>
    <row r="221">
      <c r="A221" s="11" t="s">
        <v>68</v>
      </c>
      <c r="B221" s="11" t="s">
        <v>109</v>
      </c>
      <c r="C221" s="11" t="s">
        <v>661</v>
      </c>
      <c r="D221" s="11" t="s">
        <v>669</v>
      </c>
      <c r="E221" s="11" t="s">
        <v>74</v>
      </c>
      <c r="F221" s="87">
        <v>2005.47338403042</v>
      </c>
      <c r="G221" s="44">
        <v>8207.83191564423</v>
      </c>
      <c r="H221" s="44">
        <f t="shared" ref="H221:I221" si="234">F221-F220</f>
        <v>4.022813688</v>
      </c>
      <c r="I221" s="44">
        <f t="shared" si="234"/>
        <v>3135.314178</v>
      </c>
      <c r="J221" s="101">
        <f t="shared" si="231"/>
        <v>0.6180982188</v>
      </c>
      <c r="K221" s="66">
        <f t="shared" si="232"/>
        <v>0.153648234</v>
      </c>
      <c r="L221" s="29" t="s">
        <v>260</v>
      </c>
    </row>
    <row r="222">
      <c r="A222" s="11" t="s">
        <v>68</v>
      </c>
      <c r="B222" s="11" t="s">
        <v>109</v>
      </c>
      <c r="C222" s="11" t="s">
        <v>661</v>
      </c>
      <c r="D222" s="11" t="s">
        <v>669</v>
      </c>
      <c r="E222" s="11" t="s">
        <v>74</v>
      </c>
      <c r="F222" s="87">
        <v>2008.44676806084</v>
      </c>
      <c r="G222" s="44">
        <v>7221.78668025558</v>
      </c>
      <c r="H222" s="44">
        <f t="shared" ref="H222:I222" si="235">F222-F221</f>
        <v>2.97338403</v>
      </c>
      <c r="I222" s="44">
        <f t="shared" si="235"/>
        <v>-986.0452354</v>
      </c>
      <c r="J222" s="101">
        <f t="shared" si="231"/>
        <v>-0.1201346769</v>
      </c>
      <c r="K222" s="66">
        <f t="shared" si="232"/>
        <v>-0.04040335042</v>
      </c>
      <c r="L222" s="29" t="s">
        <v>260</v>
      </c>
    </row>
    <row r="223">
      <c r="A223" s="11" t="s">
        <v>68</v>
      </c>
      <c r="B223" s="11" t="s">
        <v>109</v>
      </c>
      <c r="C223" s="11" t="s">
        <v>661</v>
      </c>
      <c r="D223" s="11" t="s">
        <v>669</v>
      </c>
      <c r="E223" s="11" t="s">
        <v>74</v>
      </c>
      <c r="F223" s="87">
        <v>2014.48098859316</v>
      </c>
      <c r="G223" s="44">
        <v>9785.58268982008</v>
      </c>
      <c r="H223" s="44">
        <f t="shared" ref="H223:I223" si="236">F223-F222</f>
        <v>6.034220532</v>
      </c>
      <c r="I223" s="44">
        <f t="shared" si="236"/>
        <v>2563.79601</v>
      </c>
      <c r="J223" s="101">
        <f t="shared" si="231"/>
        <v>0.3550085489</v>
      </c>
      <c r="K223" s="66">
        <f t="shared" si="232"/>
        <v>0.05883254464</v>
      </c>
      <c r="L223" s="29" t="s">
        <v>260</v>
      </c>
    </row>
    <row r="224">
      <c r="A224" s="11" t="s">
        <v>68</v>
      </c>
      <c r="B224" s="11" t="s">
        <v>612</v>
      </c>
      <c r="C224" s="11" t="s">
        <v>661</v>
      </c>
      <c r="D224" s="11" t="s">
        <v>157</v>
      </c>
      <c r="E224" s="11" t="s">
        <v>158</v>
      </c>
      <c r="F224" s="11">
        <v>1996.0</v>
      </c>
      <c r="G224" s="40">
        <v>3804.0</v>
      </c>
      <c r="H224" s="40" t="s">
        <v>188</v>
      </c>
      <c r="I224" s="40" t="s">
        <v>188</v>
      </c>
      <c r="J224" s="73" t="s">
        <v>188</v>
      </c>
      <c r="K224" s="66" t="s">
        <v>188</v>
      </c>
      <c r="L224" s="42" t="s">
        <v>160</v>
      </c>
    </row>
    <row r="225">
      <c r="A225" s="11" t="s">
        <v>68</v>
      </c>
      <c r="B225" s="11" t="s">
        <v>612</v>
      </c>
      <c r="C225" s="11" t="s">
        <v>661</v>
      </c>
      <c r="D225" s="11" t="s">
        <v>157</v>
      </c>
      <c r="E225" s="11" t="s">
        <v>158</v>
      </c>
      <c r="F225" s="11">
        <v>2001.0</v>
      </c>
      <c r="G225" s="40">
        <v>5733.0</v>
      </c>
      <c r="H225" s="40">
        <f t="shared" ref="H225:I225" si="237">F225-F224</f>
        <v>5</v>
      </c>
      <c r="I225" s="40">
        <f t="shared" si="237"/>
        <v>1929</v>
      </c>
      <c r="J225" s="73">
        <f t="shared" ref="J225:J229" si="239">I225/G224</f>
        <v>0.5070977918</v>
      </c>
      <c r="K225" s="66">
        <f t="shared" ref="K225:K229" si="240">J225/H225</f>
        <v>0.1014195584</v>
      </c>
      <c r="L225" s="42" t="s">
        <v>160</v>
      </c>
    </row>
    <row r="226">
      <c r="A226" s="11" t="s">
        <v>68</v>
      </c>
      <c r="B226" s="11" t="s">
        <v>612</v>
      </c>
      <c r="C226" s="11" t="s">
        <v>661</v>
      </c>
      <c r="D226" s="11" t="s">
        <v>157</v>
      </c>
      <c r="E226" s="11" t="s">
        <v>158</v>
      </c>
      <c r="F226" s="11">
        <v>2005.0</v>
      </c>
      <c r="G226" s="40">
        <v>7319.0</v>
      </c>
      <c r="H226" s="40">
        <f t="shared" ref="H226:I226" si="238">F226-F225</f>
        <v>4</v>
      </c>
      <c r="I226" s="40">
        <f t="shared" si="238"/>
        <v>1586</v>
      </c>
      <c r="J226" s="73">
        <f t="shared" si="239"/>
        <v>0.2766439909</v>
      </c>
      <c r="K226" s="66">
        <f t="shared" si="240"/>
        <v>0.06916099773</v>
      </c>
      <c r="L226" s="42" t="s">
        <v>160</v>
      </c>
    </row>
    <row r="227">
      <c r="A227" s="11" t="s">
        <v>68</v>
      </c>
      <c r="B227" s="11" t="s">
        <v>612</v>
      </c>
      <c r="C227" s="11" t="s">
        <v>661</v>
      </c>
      <c r="D227" s="11" t="s">
        <v>157</v>
      </c>
      <c r="E227" s="11" t="s">
        <v>158</v>
      </c>
      <c r="F227" s="11">
        <v>2008.0</v>
      </c>
      <c r="G227" s="40">
        <v>7606.0</v>
      </c>
      <c r="H227" s="40">
        <f t="shared" ref="H227:I227" si="241">F227-F226</f>
        <v>3</v>
      </c>
      <c r="I227" s="40">
        <f t="shared" si="241"/>
        <v>287</v>
      </c>
      <c r="J227" s="73">
        <f t="shared" si="239"/>
        <v>0.03921300724</v>
      </c>
      <c r="K227" s="66">
        <f t="shared" si="240"/>
        <v>0.01307100241</v>
      </c>
      <c r="L227" s="42" t="s">
        <v>160</v>
      </c>
    </row>
    <row r="228">
      <c r="A228" s="11" t="s">
        <v>68</v>
      </c>
      <c r="B228" s="11" t="s">
        <v>612</v>
      </c>
      <c r="C228" s="11" t="s">
        <v>661</v>
      </c>
      <c r="D228" s="11" t="s">
        <v>157</v>
      </c>
      <c r="E228" s="11" t="s">
        <v>158</v>
      </c>
      <c r="F228" s="11">
        <v>2014.0</v>
      </c>
      <c r="G228" s="40">
        <v>10139.0</v>
      </c>
      <c r="H228" s="40">
        <f t="shared" ref="H228:I228" si="242">F228-F227</f>
        <v>6</v>
      </c>
      <c r="I228" s="40">
        <f t="shared" si="242"/>
        <v>2533</v>
      </c>
      <c r="J228" s="73">
        <f t="shared" si="239"/>
        <v>0.333026558</v>
      </c>
      <c r="K228" s="66">
        <f t="shared" si="240"/>
        <v>0.05550442633</v>
      </c>
      <c r="L228" s="42" t="s">
        <v>160</v>
      </c>
    </row>
    <row r="229">
      <c r="A229" s="11" t="s">
        <v>68</v>
      </c>
      <c r="B229" s="11" t="s">
        <v>612</v>
      </c>
      <c r="C229" s="11" t="s">
        <v>661</v>
      </c>
      <c r="D229" s="11" t="s">
        <v>157</v>
      </c>
      <c r="E229" s="11" t="s">
        <v>158</v>
      </c>
      <c r="F229" s="11">
        <v>2018.0</v>
      </c>
      <c r="G229" s="40">
        <v>11065.0</v>
      </c>
      <c r="H229" s="40">
        <f t="shared" ref="H229:I229" si="243">F229-F228</f>
        <v>4</v>
      </c>
      <c r="I229" s="40">
        <f t="shared" si="243"/>
        <v>926</v>
      </c>
      <c r="J229" s="73">
        <f t="shared" si="239"/>
        <v>0.09133050597</v>
      </c>
      <c r="K229" s="66">
        <f t="shared" si="240"/>
        <v>0.02283262649</v>
      </c>
      <c r="L229" s="42" t="s">
        <v>160</v>
      </c>
    </row>
    <row r="230">
      <c r="A230" s="25" t="s">
        <v>254</v>
      </c>
      <c r="B230" s="25" t="s">
        <v>141</v>
      </c>
      <c r="C230" s="11" t="s">
        <v>673</v>
      </c>
      <c r="D230" s="25" t="s">
        <v>674</v>
      </c>
      <c r="E230" s="25" t="s">
        <v>74</v>
      </c>
      <c r="F230" s="87">
        <v>1966.92697768763</v>
      </c>
      <c r="G230" s="27">
        <v>13426.0</v>
      </c>
      <c r="H230" s="27" t="s">
        <v>188</v>
      </c>
      <c r="I230" s="27" t="s">
        <v>188</v>
      </c>
      <c r="J230" s="66" t="s">
        <v>188</v>
      </c>
      <c r="K230" s="66" t="s">
        <v>188</v>
      </c>
      <c r="L230" s="29" t="s">
        <v>160</v>
      </c>
      <c r="M230" s="51"/>
      <c r="N230" s="51"/>
      <c r="O230" s="51"/>
      <c r="P230" s="51"/>
      <c r="Q230" s="51"/>
      <c r="R230" s="51"/>
      <c r="S230" s="51"/>
      <c r="T230" s="51"/>
      <c r="U230" s="51"/>
      <c r="V230" s="51"/>
      <c r="W230" s="51"/>
      <c r="X230" s="51"/>
      <c r="Y230" s="51"/>
      <c r="Z230" s="51"/>
      <c r="AA230" s="51"/>
      <c r="AB230" s="51"/>
      <c r="AC230" s="51"/>
      <c r="AD230" s="51"/>
      <c r="AE230" s="51"/>
    </row>
    <row r="231">
      <c r="A231" s="25" t="s">
        <v>254</v>
      </c>
      <c r="B231" s="25" t="s">
        <v>141</v>
      </c>
      <c r="C231" s="11" t="s">
        <v>673</v>
      </c>
      <c r="D231" s="25" t="s">
        <v>674</v>
      </c>
      <c r="E231" s="25" t="s">
        <v>74</v>
      </c>
      <c r="F231" s="87">
        <v>1967.94117647059</v>
      </c>
      <c r="G231" s="27">
        <v>14548.0</v>
      </c>
      <c r="H231" s="27">
        <f t="shared" ref="H231:I231" si="244">F231-F230</f>
        <v>1.014198783</v>
      </c>
      <c r="I231" s="27">
        <f t="shared" si="244"/>
        <v>1122</v>
      </c>
      <c r="J231" s="66">
        <f t="shared" ref="J231:J257" si="246">I231/G230</f>
        <v>0.0835691941</v>
      </c>
      <c r="K231" s="66">
        <f t="shared" ref="K231:K257" si="247">J231/H231</f>
        <v>0.08239922538</v>
      </c>
      <c r="L231" s="29" t="s">
        <v>160</v>
      </c>
    </row>
    <row r="232">
      <c r="A232" s="25" t="s">
        <v>254</v>
      </c>
      <c r="B232" s="25" t="s">
        <v>141</v>
      </c>
      <c r="C232" s="11" t="s">
        <v>673</v>
      </c>
      <c r="D232" s="25" t="s">
        <v>674</v>
      </c>
      <c r="E232" s="25" t="s">
        <v>74</v>
      </c>
      <c r="F232" s="87">
        <v>1968.85395537525</v>
      </c>
      <c r="G232" s="27">
        <v>14553.0</v>
      </c>
      <c r="H232" s="27">
        <f t="shared" ref="H232:I232" si="245">F232-F231</f>
        <v>0.9127789047</v>
      </c>
      <c r="I232" s="27">
        <f t="shared" si="245"/>
        <v>5</v>
      </c>
      <c r="J232" s="66">
        <f t="shared" si="246"/>
        <v>0.0003436898543</v>
      </c>
      <c r="K232" s="66">
        <f t="shared" si="247"/>
        <v>0.0003765313292</v>
      </c>
      <c r="L232" s="29" t="s">
        <v>160</v>
      </c>
    </row>
    <row r="233">
      <c r="A233" s="25" t="s">
        <v>254</v>
      </c>
      <c r="B233" s="25" t="s">
        <v>141</v>
      </c>
      <c r="C233" s="11" t="s">
        <v>673</v>
      </c>
      <c r="D233" s="25" t="s">
        <v>674</v>
      </c>
      <c r="E233" s="25" t="s">
        <v>74</v>
      </c>
      <c r="F233" s="87">
        <v>1969.96957403651</v>
      </c>
      <c r="G233" s="27">
        <v>12771.0</v>
      </c>
      <c r="H233" s="27">
        <f t="shared" ref="H233:I233" si="248">F233-F232</f>
        <v>1.115618661</v>
      </c>
      <c r="I233" s="27">
        <f t="shared" si="248"/>
        <v>-1782</v>
      </c>
      <c r="J233" s="66">
        <f t="shared" si="246"/>
        <v>-0.1224489796</v>
      </c>
      <c r="K233" s="66">
        <f t="shared" si="247"/>
        <v>-0.1097588126</v>
      </c>
      <c r="L233" s="29" t="s">
        <v>160</v>
      </c>
    </row>
    <row r="234">
      <c r="A234" s="25" t="s">
        <v>254</v>
      </c>
      <c r="B234" s="25" t="s">
        <v>141</v>
      </c>
      <c r="C234" s="11" t="s">
        <v>673</v>
      </c>
      <c r="D234" s="25" t="s">
        <v>674</v>
      </c>
      <c r="E234" s="25" t="s">
        <v>74</v>
      </c>
      <c r="F234" s="87">
        <v>1970.88235294118</v>
      </c>
      <c r="G234" s="27">
        <v>11079.0</v>
      </c>
      <c r="H234" s="27">
        <f t="shared" ref="H234:I234" si="249">F234-F233</f>
        <v>0.9127789047</v>
      </c>
      <c r="I234" s="27">
        <f t="shared" si="249"/>
        <v>-1692</v>
      </c>
      <c r="J234" s="66">
        <f t="shared" si="246"/>
        <v>-0.1324876674</v>
      </c>
      <c r="K234" s="66">
        <f t="shared" si="247"/>
        <v>-0.1451476</v>
      </c>
      <c r="L234" s="29" t="s">
        <v>160</v>
      </c>
    </row>
    <row r="235">
      <c r="A235" s="25" t="s">
        <v>254</v>
      </c>
      <c r="B235" s="25" t="s">
        <v>141</v>
      </c>
      <c r="C235" s="11" t="s">
        <v>673</v>
      </c>
      <c r="D235" s="25" t="s">
        <v>674</v>
      </c>
      <c r="E235" s="25" t="s">
        <v>74</v>
      </c>
      <c r="F235" s="87">
        <v>1971.89655172414</v>
      </c>
      <c r="G235" s="27">
        <v>17365.0</v>
      </c>
      <c r="H235" s="27">
        <f t="shared" ref="H235:I235" si="250">F235-F234</f>
        <v>1.014198783</v>
      </c>
      <c r="I235" s="27">
        <f t="shared" si="250"/>
        <v>6286</v>
      </c>
      <c r="J235" s="66">
        <f t="shared" si="246"/>
        <v>0.5673797274</v>
      </c>
      <c r="K235" s="66">
        <f t="shared" si="247"/>
        <v>0.5594364112</v>
      </c>
      <c r="L235" s="29" t="s">
        <v>160</v>
      </c>
    </row>
    <row r="236">
      <c r="A236" s="25" t="s">
        <v>254</v>
      </c>
      <c r="B236" s="25" t="s">
        <v>141</v>
      </c>
      <c r="C236" s="11" t="s">
        <v>673</v>
      </c>
      <c r="D236" s="25" t="s">
        <v>674</v>
      </c>
      <c r="E236" s="25" t="s">
        <v>74</v>
      </c>
      <c r="F236" s="87">
        <v>1972.9107505071</v>
      </c>
      <c r="G236" s="27">
        <v>17375.0</v>
      </c>
      <c r="H236" s="27">
        <f t="shared" ref="H236:I236" si="251">F236-F235</f>
        <v>1.014198783</v>
      </c>
      <c r="I236" s="27">
        <f t="shared" si="251"/>
        <v>10</v>
      </c>
      <c r="J236" s="66">
        <f t="shared" si="246"/>
        <v>0.0005758710049</v>
      </c>
      <c r="K236" s="66">
        <f t="shared" si="247"/>
        <v>0.0005678088108</v>
      </c>
      <c r="L236" s="29" t="s">
        <v>160</v>
      </c>
    </row>
    <row r="237">
      <c r="A237" s="25" t="s">
        <v>254</v>
      </c>
      <c r="B237" s="25" t="s">
        <v>141</v>
      </c>
      <c r="C237" s="11" t="s">
        <v>673</v>
      </c>
      <c r="D237" s="25" t="s">
        <v>674</v>
      </c>
      <c r="E237" s="25" t="s">
        <v>74</v>
      </c>
      <c r="F237" s="87">
        <v>1973.92494929006</v>
      </c>
      <c r="G237" s="27">
        <v>15290.0</v>
      </c>
      <c r="H237" s="27">
        <f t="shared" ref="H237:I237" si="252">F237-F236</f>
        <v>1.014198783</v>
      </c>
      <c r="I237" s="27">
        <f t="shared" si="252"/>
        <v>-2085</v>
      </c>
      <c r="J237" s="66">
        <f t="shared" si="246"/>
        <v>-0.12</v>
      </c>
      <c r="K237" s="66">
        <f t="shared" si="247"/>
        <v>-0.11832</v>
      </c>
      <c r="L237" s="29" t="s">
        <v>160</v>
      </c>
      <c r="M237" s="54"/>
      <c r="N237" s="54"/>
      <c r="O237" s="54"/>
      <c r="P237" s="54"/>
      <c r="Q237" s="54"/>
      <c r="R237" s="54"/>
      <c r="S237" s="54"/>
      <c r="T237" s="54"/>
      <c r="U237" s="54"/>
      <c r="V237" s="54"/>
      <c r="W237" s="54"/>
      <c r="X237" s="54"/>
      <c r="Y237" s="54"/>
      <c r="Z237" s="54"/>
      <c r="AA237" s="54"/>
      <c r="AB237" s="54"/>
      <c r="AC237" s="54"/>
      <c r="AD237" s="54"/>
      <c r="AE237" s="54"/>
    </row>
    <row r="238">
      <c r="A238" s="25" t="s">
        <v>254</v>
      </c>
      <c r="B238" s="25" t="s">
        <v>141</v>
      </c>
      <c r="C238" s="11" t="s">
        <v>673</v>
      </c>
      <c r="D238" s="25" t="s">
        <v>674</v>
      </c>
      <c r="E238" s="25" t="s">
        <v>74</v>
      </c>
      <c r="F238" s="87">
        <v>1974.83772819473</v>
      </c>
      <c r="G238" s="27">
        <v>17564.0</v>
      </c>
      <c r="H238" s="27">
        <f t="shared" ref="H238:I238" si="253">F238-F237</f>
        <v>0.9127789047</v>
      </c>
      <c r="I238" s="27">
        <f t="shared" si="253"/>
        <v>2274</v>
      </c>
      <c r="J238" s="66">
        <f t="shared" si="246"/>
        <v>0.1487246566</v>
      </c>
      <c r="K238" s="66">
        <f t="shared" si="247"/>
        <v>0.1629361238</v>
      </c>
      <c r="L238" s="29" t="s">
        <v>160</v>
      </c>
      <c r="M238" s="54"/>
      <c r="N238" s="54"/>
      <c r="O238" s="54"/>
      <c r="P238" s="54"/>
      <c r="Q238" s="54"/>
      <c r="R238" s="54"/>
      <c r="S238" s="54"/>
      <c r="T238" s="54"/>
      <c r="U238" s="54"/>
      <c r="V238" s="54"/>
      <c r="W238" s="54"/>
      <c r="X238" s="54"/>
      <c r="Y238" s="54"/>
      <c r="Z238" s="54"/>
      <c r="AA238" s="54"/>
      <c r="AB238" s="54"/>
      <c r="AC238" s="54"/>
      <c r="AD238" s="54"/>
      <c r="AE238" s="54"/>
    </row>
    <row r="239">
      <c r="A239" s="25" t="s">
        <v>254</v>
      </c>
      <c r="B239" s="25" t="s">
        <v>141</v>
      </c>
      <c r="C239" s="11" t="s">
        <v>673</v>
      </c>
      <c r="D239" s="25" t="s">
        <v>674</v>
      </c>
      <c r="E239" s="25" t="s">
        <v>74</v>
      </c>
      <c r="F239" s="87">
        <v>1975.95334685598</v>
      </c>
      <c r="G239" s="27">
        <v>18377.0</v>
      </c>
      <c r="H239" s="27">
        <f t="shared" ref="H239:I239" si="254">F239-F238</f>
        <v>1.115618661</v>
      </c>
      <c r="I239" s="27">
        <f t="shared" si="254"/>
        <v>813</v>
      </c>
      <c r="J239" s="66">
        <f t="shared" si="246"/>
        <v>0.04628786153</v>
      </c>
      <c r="K239" s="66">
        <f t="shared" si="247"/>
        <v>0.04149075589</v>
      </c>
      <c r="L239" s="29" t="s">
        <v>160</v>
      </c>
      <c r="M239" s="54"/>
      <c r="N239" s="54"/>
      <c r="O239" s="54"/>
      <c r="P239" s="54"/>
      <c r="Q239" s="54"/>
      <c r="R239" s="54"/>
      <c r="S239" s="54"/>
      <c r="T239" s="54"/>
      <c r="U239" s="54"/>
      <c r="V239" s="54"/>
      <c r="W239" s="54"/>
      <c r="X239" s="54"/>
      <c r="Y239" s="54"/>
      <c r="Z239" s="54"/>
      <c r="AA239" s="54"/>
      <c r="AB239" s="54"/>
      <c r="AC239" s="54"/>
      <c r="AD239" s="54"/>
      <c r="AE239" s="54"/>
    </row>
    <row r="240">
      <c r="A240" s="25" t="s">
        <v>254</v>
      </c>
      <c r="B240" s="25" t="s">
        <v>141</v>
      </c>
      <c r="C240" s="11" t="s">
        <v>673</v>
      </c>
      <c r="D240" s="25" t="s">
        <v>674</v>
      </c>
      <c r="E240" s="25" t="s">
        <v>74</v>
      </c>
      <c r="F240" s="87">
        <v>1976.96754563895</v>
      </c>
      <c r="G240" s="27">
        <v>19538.0</v>
      </c>
      <c r="H240" s="27">
        <f t="shared" ref="H240:I240" si="255">F240-F239</f>
        <v>1.014198783</v>
      </c>
      <c r="I240" s="27">
        <f t="shared" si="255"/>
        <v>1161</v>
      </c>
      <c r="J240" s="66">
        <f t="shared" si="246"/>
        <v>0.06317679708</v>
      </c>
      <c r="K240" s="66">
        <f t="shared" si="247"/>
        <v>0.06229232192</v>
      </c>
      <c r="L240" s="29" t="s">
        <v>160</v>
      </c>
      <c r="M240" s="54"/>
      <c r="N240" s="54"/>
      <c r="O240" s="54"/>
      <c r="P240" s="54"/>
      <c r="Q240" s="54"/>
      <c r="R240" s="54"/>
      <c r="S240" s="54"/>
      <c r="T240" s="54"/>
      <c r="U240" s="54"/>
      <c r="V240" s="54"/>
      <c r="W240" s="54"/>
      <c r="X240" s="54"/>
      <c r="Y240" s="54"/>
      <c r="Z240" s="54"/>
      <c r="AA240" s="54"/>
      <c r="AB240" s="54"/>
      <c r="AC240" s="54"/>
      <c r="AD240" s="54"/>
      <c r="AE240" s="54"/>
    </row>
    <row r="241">
      <c r="A241" s="25" t="s">
        <v>254</v>
      </c>
      <c r="B241" s="25" t="s">
        <v>141</v>
      </c>
      <c r="C241" s="11" t="s">
        <v>673</v>
      </c>
      <c r="D241" s="25" t="s">
        <v>674</v>
      </c>
      <c r="E241" s="25" t="s">
        <v>74</v>
      </c>
      <c r="F241" s="87">
        <v>1977.88032454361</v>
      </c>
      <c r="G241" s="27">
        <v>15384.0</v>
      </c>
      <c r="H241" s="27">
        <f t="shared" ref="H241:I241" si="256">F241-F240</f>
        <v>0.9127789047</v>
      </c>
      <c r="I241" s="27">
        <f t="shared" si="256"/>
        <v>-4154</v>
      </c>
      <c r="J241" s="66">
        <f t="shared" si="246"/>
        <v>-0.2126113215</v>
      </c>
      <c r="K241" s="66">
        <f t="shared" si="247"/>
        <v>-0.2329275145</v>
      </c>
      <c r="L241" s="29" t="s">
        <v>160</v>
      </c>
      <c r="M241" s="54"/>
      <c r="N241" s="54"/>
      <c r="O241" s="54"/>
      <c r="P241" s="54"/>
      <c r="Q241" s="54"/>
      <c r="R241" s="54"/>
      <c r="S241" s="54"/>
      <c r="T241" s="54"/>
      <c r="U241" s="54"/>
      <c r="V241" s="54"/>
      <c r="W241" s="54"/>
      <c r="X241" s="54"/>
      <c r="Y241" s="54"/>
      <c r="Z241" s="54"/>
      <c r="AA241" s="54"/>
      <c r="AB241" s="54"/>
      <c r="AC241" s="54"/>
      <c r="AD241" s="54"/>
      <c r="AE241" s="54"/>
    </row>
    <row r="242">
      <c r="A242" s="25" t="s">
        <v>254</v>
      </c>
      <c r="B242" s="25" t="s">
        <v>141</v>
      </c>
      <c r="C242" s="11" t="s">
        <v>673</v>
      </c>
      <c r="D242" s="25" t="s">
        <v>674</v>
      </c>
      <c r="E242" s="25" t="s">
        <v>74</v>
      </c>
      <c r="F242" s="87">
        <v>1978.89452332657</v>
      </c>
      <c r="G242" s="27">
        <v>19763.0</v>
      </c>
      <c r="H242" s="27">
        <f t="shared" ref="H242:I242" si="257">F242-F241</f>
        <v>1.014198783</v>
      </c>
      <c r="I242" s="27">
        <f t="shared" si="257"/>
        <v>4379</v>
      </c>
      <c r="J242" s="66">
        <f t="shared" si="246"/>
        <v>0.2846463859</v>
      </c>
      <c r="K242" s="66">
        <f t="shared" si="247"/>
        <v>0.2806613365</v>
      </c>
      <c r="L242" s="29" t="s">
        <v>160</v>
      </c>
      <c r="M242" s="54"/>
      <c r="N242" s="54"/>
      <c r="O242" s="54"/>
      <c r="P242" s="54"/>
      <c r="Q242" s="54"/>
      <c r="R242" s="54"/>
      <c r="S242" s="54"/>
      <c r="T242" s="54"/>
      <c r="U242" s="54"/>
      <c r="V242" s="54"/>
      <c r="W242" s="54"/>
      <c r="X242" s="54"/>
      <c r="Y242" s="54"/>
      <c r="Z242" s="54"/>
      <c r="AA242" s="54"/>
      <c r="AB242" s="54"/>
      <c r="AC242" s="54"/>
      <c r="AD242" s="54"/>
      <c r="AE242" s="54"/>
    </row>
    <row r="243">
      <c r="A243" s="25" t="s">
        <v>254</v>
      </c>
      <c r="B243" s="25" t="s">
        <v>141</v>
      </c>
      <c r="C243" s="11" t="s">
        <v>673</v>
      </c>
      <c r="D243" s="25" t="s">
        <v>674</v>
      </c>
      <c r="E243" s="25" t="s">
        <v>74</v>
      </c>
      <c r="F243" s="87">
        <v>1983.96551724138</v>
      </c>
      <c r="G243" s="27">
        <v>23499.0</v>
      </c>
      <c r="H243" s="27">
        <f t="shared" ref="H243:I243" si="258">F243-F242</f>
        <v>5.070993915</v>
      </c>
      <c r="I243" s="27">
        <f t="shared" si="258"/>
        <v>3736</v>
      </c>
      <c r="J243" s="66">
        <f t="shared" si="246"/>
        <v>0.1890401255</v>
      </c>
      <c r="K243" s="66">
        <f t="shared" si="247"/>
        <v>0.03727871275</v>
      </c>
      <c r="L243" s="29" t="s">
        <v>160</v>
      </c>
      <c r="M243" s="54"/>
      <c r="N243" s="54"/>
      <c r="O243" s="54"/>
      <c r="P243" s="54"/>
      <c r="Q243" s="54"/>
      <c r="R243" s="54"/>
      <c r="S243" s="54"/>
      <c r="T243" s="54"/>
      <c r="U243" s="54"/>
      <c r="V243" s="54"/>
      <c r="W243" s="54"/>
      <c r="X243" s="54"/>
      <c r="Y243" s="54"/>
      <c r="Z243" s="54"/>
      <c r="AA243" s="54"/>
      <c r="AB243" s="54"/>
      <c r="AC243" s="54"/>
      <c r="AD243" s="54"/>
      <c r="AE243" s="54"/>
    </row>
    <row r="244">
      <c r="A244" s="25" t="s">
        <v>254</v>
      </c>
      <c r="B244" s="25" t="s">
        <v>141</v>
      </c>
      <c r="C244" s="11" t="s">
        <v>673</v>
      </c>
      <c r="D244" s="25" t="s">
        <v>674</v>
      </c>
      <c r="E244" s="25" t="s">
        <v>74</v>
      </c>
      <c r="F244" s="87">
        <v>1984.97971602434</v>
      </c>
      <c r="G244" s="27">
        <v>22921.0</v>
      </c>
      <c r="H244" s="27">
        <f t="shared" ref="H244:I244" si="259">F244-F243</f>
        <v>1.014198783</v>
      </c>
      <c r="I244" s="27">
        <f t="shared" si="259"/>
        <v>-578</v>
      </c>
      <c r="J244" s="66">
        <f t="shared" si="246"/>
        <v>-0.02459679135</v>
      </c>
      <c r="K244" s="66">
        <f t="shared" si="247"/>
        <v>-0.02425243627</v>
      </c>
      <c r="L244" s="29" t="s">
        <v>160</v>
      </c>
      <c r="M244" s="54"/>
      <c r="N244" s="54"/>
      <c r="O244" s="54"/>
      <c r="P244" s="54"/>
      <c r="Q244" s="54"/>
      <c r="R244" s="54"/>
      <c r="S244" s="54"/>
      <c r="T244" s="54"/>
      <c r="U244" s="54"/>
      <c r="V244" s="54"/>
      <c r="W244" s="54"/>
      <c r="X244" s="54"/>
      <c r="Y244" s="54"/>
      <c r="Z244" s="54"/>
      <c r="AA244" s="54"/>
      <c r="AB244" s="54"/>
      <c r="AC244" s="54"/>
      <c r="AD244" s="54"/>
      <c r="AE244" s="54"/>
    </row>
    <row r="245">
      <c r="A245" s="25" t="s">
        <v>254</v>
      </c>
      <c r="B245" s="25" t="s">
        <v>141</v>
      </c>
      <c r="C245" s="11" t="s">
        <v>673</v>
      </c>
      <c r="D245" s="25" t="s">
        <v>674</v>
      </c>
      <c r="E245" s="25" t="s">
        <v>74</v>
      </c>
      <c r="F245" s="87">
        <v>1987.00811359026</v>
      </c>
      <c r="G245" s="27">
        <v>26916.0</v>
      </c>
      <c r="H245" s="27">
        <f t="shared" ref="H245:I245" si="260">F245-F244</f>
        <v>2.028397566</v>
      </c>
      <c r="I245" s="27">
        <f t="shared" si="260"/>
        <v>3995</v>
      </c>
      <c r="J245" s="66">
        <f t="shared" si="246"/>
        <v>0.1742943153</v>
      </c>
      <c r="K245" s="66">
        <f t="shared" si="247"/>
        <v>0.08592709742</v>
      </c>
      <c r="L245" s="29" t="s">
        <v>160</v>
      </c>
      <c r="M245" s="54"/>
      <c r="N245" s="54"/>
      <c r="O245" s="54"/>
      <c r="P245" s="54"/>
      <c r="Q245" s="54"/>
      <c r="R245" s="54"/>
      <c r="S245" s="54"/>
      <c r="T245" s="54"/>
      <c r="U245" s="54"/>
      <c r="V245" s="54"/>
      <c r="W245" s="54"/>
      <c r="X245" s="54"/>
      <c r="Y245" s="54"/>
      <c r="Z245" s="54"/>
      <c r="AA245" s="54"/>
      <c r="AB245" s="54"/>
      <c r="AC245" s="54"/>
      <c r="AD245" s="54"/>
      <c r="AE245" s="54"/>
    </row>
    <row r="246">
      <c r="A246" s="25" t="s">
        <v>254</v>
      </c>
      <c r="B246" s="25" t="s">
        <v>141</v>
      </c>
      <c r="C246" s="11" t="s">
        <v>673</v>
      </c>
      <c r="D246" s="25" t="s">
        <v>674</v>
      </c>
      <c r="E246" s="25" t="s">
        <v>74</v>
      </c>
      <c r="F246" s="87">
        <v>1991.87626774848</v>
      </c>
      <c r="G246" s="27">
        <v>15762.0</v>
      </c>
      <c r="H246" s="27">
        <f t="shared" ref="H246:I246" si="261">F246-F245</f>
        <v>4.868154158</v>
      </c>
      <c r="I246" s="27">
        <f t="shared" si="261"/>
        <v>-11154</v>
      </c>
      <c r="J246" s="66">
        <f t="shared" si="246"/>
        <v>-0.4144003567</v>
      </c>
      <c r="K246" s="66">
        <f t="shared" si="247"/>
        <v>-0.08512473993</v>
      </c>
      <c r="L246" s="29" t="s">
        <v>160</v>
      </c>
      <c r="M246" s="54"/>
      <c r="N246" s="54"/>
      <c r="O246" s="54"/>
      <c r="P246" s="54"/>
      <c r="Q246" s="54"/>
      <c r="R246" s="54"/>
      <c r="S246" s="54"/>
      <c r="T246" s="54"/>
      <c r="U246" s="54"/>
      <c r="V246" s="54"/>
      <c r="W246" s="54"/>
      <c r="X246" s="54"/>
      <c r="Y246" s="54"/>
      <c r="Z246" s="54"/>
      <c r="AA246" s="54"/>
      <c r="AB246" s="54"/>
      <c r="AC246" s="54"/>
      <c r="AD246" s="54"/>
      <c r="AE246" s="54"/>
    </row>
    <row r="247">
      <c r="A247" s="25" t="s">
        <v>254</v>
      </c>
      <c r="B247" s="25" t="s">
        <v>141</v>
      </c>
      <c r="C247" s="11" t="s">
        <v>673</v>
      </c>
      <c r="D247" s="25" t="s">
        <v>674</v>
      </c>
      <c r="E247" s="25" t="s">
        <v>74</v>
      </c>
      <c r="F247" s="87">
        <v>1992.99188640974</v>
      </c>
      <c r="G247" s="27">
        <v>20103.0</v>
      </c>
      <c r="H247" s="27">
        <f t="shared" ref="H247:I247" si="262">F247-F246</f>
        <v>1.115618661</v>
      </c>
      <c r="I247" s="27">
        <f t="shared" si="262"/>
        <v>4341</v>
      </c>
      <c r="J247" s="66">
        <f t="shared" si="246"/>
        <v>0.275409212</v>
      </c>
      <c r="K247" s="66">
        <f t="shared" si="247"/>
        <v>0.2468668028</v>
      </c>
      <c r="L247" s="29" t="s">
        <v>160</v>
      </c>
      <c r="M247" s="54"/>
      <c r="N247" s="54"/>
      <c r="O247" s="54"/>
      <c r="P247" s="54"/>
      <c r="Q247" s="54"/>
      <c r="R247" s="54"/>
      <c r="S247" s="54"/>
      <c r="T247" s="54"/>
      <c r="U247" s="54"/>
      <c r="V247" s="54"/>
      <c r="W247" s="54"/>
      <c r="X247" s="54"/>
      <c r="Y247" s="54"/>
      <c r="Z247" s="54"/>
      <c r="AA247" s="54"/>
      <c r="AB247" s="54"/>
      <c r="AC247" s="54"/>
      <c r="AD247" s="54"/>
      <c r="AE247" s="54"/>
    </row>
    <row r="248">
      <c r="A248" s="25" t="s">
        <v>254</v>
      </c>
      <c r="B248" s="25" t="s">
        <v>141</v>
      </c>
      <c r="C248" s="11" t="s">
        <v>673</v>
      </c>
      <c r="D248" s="25" t="s">
        <v>674</v>
      </c>
      <c r="E248" s="25" t="s">
        <v>74</v>
      </c>
      <c r="F248" s="87">
        <v>1994.81744421907</v>
      </c>
      <c r="G248" s="27">
        <v>20944.0</v>
      </c>
      <c r="H248" s="27">
        <f t="shared" ref="H248:I248" si="263">F248-F247</f>
        <v>1.825557809</v>
      </c>
      <c r="I248" s="27">
        <f t="shared" si="263"/>
        <v>841</v>
      </c>
      <c r="J248" s="66">
        <f t="shared" si="246"/>
        <v>0.04183455206</v>
      </c>
      <c r="K248" s="66">
        <f t="shared" si="247"/>
        <v>0.02291603796</v>
      </c>
      <c r="L248" s="29" t="s">
        <v>160</v>
      </c>
      <c r="M248" s="54"/>
      <c r="N248" s="54"/>
      <c r="O248" s="54"/>
      <c r="P248" s="54"/>
      <c r="Q248" s="54"/>
      <c r="R248" s="54"/>
      <c r="S248" s="54"/>
      <c r="T248" s="54"/>
      <c r="U248" s="54"/>
      <c r="V248" s="54"/>
      <c r="W248" s="54"/>
      <c r="X248" s="54"/>
      <c r="Y248" s="54"/>
      <c r="Z248" s="54"/>
      <c r="AA248" s="54"/>
      <c r="AB248" s="54"/>
      <c r="AC248" s="54"/>
      <c r="AD248" s="54"/>
      <c r="AE248" s="54"/>
    </row>
    <row r="249">
      <c r="A249" s="25" t="s">
        <v>254</v>
      </c>
      <c r="B249" s="25" t="s">
        <v>141</v>
      </c>
      <c r="C249" s="11" t="s">
        <v>673</v>
      </c>
      <c r="D249" s="25" t="s">
        <v>674</v>
      </c>
      <c r="E249" s="25" t="s">
        <v>74</v>
      </c>
      <c r="F249" s="87">
        <v>1996.94726166329</v>
      </c>
      <c r="G249" s="27">
        <v>21135.0</v>
      </c>
      <c r="H249" s="27">
        <f t="shared" ref="H249:I249" si="264">F249-F248</f>
        <v>2.129817444</v>
      </c>
      <c r="I249" s="27">
        <f t="shared" si="264"/>
        <v>191</v>
      </c>
      <c r="J249" s="66">
        <f t="shared" si="246"/>
        <v>0.009119556914</v>
      </c>
      <c r="K249" s="66">
        <f t="shared" si="247"/>
        <v>0.004281849103</v>
      </c>
      <c r="L249" s="29" t="s">
        <v>160</v>
      </c>
      <c r="M249" s="54"/>
      <c r="N249" s="54"/>
      <c r="O249" s="54"/>
      <c r="P249" s="54"/>
      <c r="Q249" s="54"/>
      <c r="R249" s="54"/>
      <c r="S249" s="54"/>
      <c r="T249" s="54"/>
      <c r="U249" s="54"/>
      <c r="V249" s="54"/>
      <c r="W249" s="54"/>
      <c r="X249" s="54"/>
      <c r="Y249" s="54"/>
      <c r="Z249" s="54"/>
      <c r="AA249" s="54"/>
      <c r="AB249" s="54"/>
      <c r="AC249" s="54"/>
      <c r="AD249" s="54"/>
      <c r="AE249" s="54"/>
    </row>
    <row r="250">
      <c r="A250" s="25" t="s">
        <v>254</v>
      </c>
      <c r="B250" s="25" t="s">
        <v>141</v>
      </c>
      <c r="C250" s="11" t="s">
        <v>673</v>
      </c>
      <c r="D250" s="25" t="s">
        <v>674</v>
      </c>
      <c r="E250" s="25" t="s">
        <v>74</v>
      </c>
      <c r="F250" s="87">
        <v>1999.88843813387</v>
      </c>
      <c r="G250" s="27">
        <v>16369.0</v>
      </c>
      <c r="H250" s="27">
        <f t="shared" ref="H250:I250" si="265">F250-F249</f>
        <v>2.941176471</v>
      </c>
      <c r="I250" s="27">
        <f t="shared" si="265"/>
        <v>-4766</v>
      </c>
      <c r="J250" s="66">
        <f t="shared" si="246"/>
        <v>-0.2255027206</v>
      </c>
      <c r="K250" s="66">
        <f t="shared" si="247"/>
        <v>-0.07667092501</v>
      </c>
      <c r="L250" s="29" t="s">
        <v>160</v>
      </c>
      <c r="M250" s="54"/>
      <c r="N250" s="54"/>
      <c r="O250" s="54"/>
      <c r="P250" s="54"/>
      <c r="Q250" s="54"/>
      <c r="R250" s="54"/>
      <c r="S250" s="54"/>
      <c r="T250" s="54"/>
      <c r="U250" s="54"/>
      <c r="V250" s="54"/>
      <c r="W250" s="54"/>
      <c r="X250" s="54"/>
      <c r="Y250" s="54"/>
      <c r="Z250" s="54"/>
      <c r="AA250" s="54"/>
      <c r="AB250" s="54"/>
      <c r="AC250" s="54"/>
      <c r="AD250" s="54"/>
      <c r="AE250" s="54"/>
    </row>
    <row r="251">
      <c r="A251" s="25" t="s">
        <v>254</v>
      </c>
      <c r="B251" s="25" t="s">
        <v>141</v>
      </c>
      <c r="C251" s="11" t="s">
        <v>673</v>
      </c>
      <c r="D251" s="25" t="s">
        <v>674</v>
      </c>
      <c r="E251" s="25" t="s">
        <v>74</v>
      </c>
      <c r="F251" s="87">
        <v>2000.90263691684</v>
      </c>
      <c r="G251" s="27">
        <v>16033.0</v>
      </c>
      <c r="H251" s="27">
        <f t="shared" ref="H251:I251" si="266">F251-F250</f>
        <v>1.014198783</v>
      </c>
      <c r="I251" s="27">
        <f t="shared" si="266"/>
        <v>-336</v>
      </c>
      <c r="J251" s="66">
        <f t="shared" si="246"/>
        <v>-0.02052660517</v>
      </c>
      <c r="K251" s="66">
        <f t="shared" si="247"/>
        <v>-0.0202392327</v>
      </c>
      <c r="L251" s="29" t="s">
        <v>160</v>
      </c>
    </row>
    <row r="252">
      <c r="A252" s="25" t="s">
        <v>254</v>
      </c>
      <c r="B252" s="25" t="s">
        <v>141</v>
      </c>
      <c r="C252" s="11" t="s">
        <v>673</v>
      </c>
      <c r="D252" s="25" t="s">
        <v>674</v>
      </c>
      <c r="E252" s="25" t="s">
        <v>74</v>
      </c>
      <c r="F252" s="87">
        <v>2005.87221095335</v>
      </c>
      <c r="G252" s="27">
        <v>19126.0</v>
      </c>
      <c r="H252" s="27">
        <f t="shared" ref="H252:I252" si="267">F252-F251</f>
        <v>4.969574037</v>
      </c>
      <c r="I252" s="27">
        <f t="shared" si="267"/>
        <v>3093</v>
      </c>
      <c r="J252" s="66">
        <f t="shared" si="246"/>
        <v>0.1929146136</v>
      </c>
      <c r="K252" s="66">
        <f t="shared" si="247"/>
        <v>0.0388191447</v>
      </c>
      <c r="L252" s="29" t="s">
        <v>160</v>
      </c>
    </row>
    <row r="253">
      <c r="A253" s="25" t="s">
        <v>254</v>
      </c>
      <c r="B253" s="25" t="s">
        <v>141</v>
      </c>
      <c r="C253" s="11" t="s">
        <v>673</v>
      </c>
      <c r="D253" s="25" t="s">
        <v>674</v>
      </c>
      <c r="E253" s="25" t="s">
        <v>74</v>
      </c>
      <c r="F253" s="28">
        <v>2007.0</v>
      </c>
      <c r="G253" s="27">
        <v>17820.0</v>
      </c>
      <c r="H253" s="27">
        <f t="shared" ref="H253:I253" si="268">F253-F252</f>
        <v>1.127789047</v>
      </c>
      <c r="I253" s="27">
        <f t="shared" si="268"/>
        <v>-1306</v>
      </c>
      <c r="J253" s="66">
        <f t="shared" si="246"/>
        <v>-0.06828401129</v>
      </c>
      <c r="K253" s="66">
        <f t="shared" si="247"/>
        <v>-0.06054679419</v>
      </c>
      <c r="L253" s="29" t="s">
        <v>160</v>
      </c>
    </row>
    <row r="254">
      <c r="A254" s="25" t="s">
        <v>254</v>
      </c>
      <c r="B254" s="25" t="s">
        <v>141</v>
      </c>
      <c r="C254" s="11" t="s">
        <v>673</v>
      </c>
      <c r="D254" s="25" t="s">
        <v>674</v>
      </c>
      <c r="E254" s="25" t="s">
        <v>74</v>
      </c>
      <c r="F254" s="28">
        <v>2009.0</v>
      </c>
      <c r="G254" s="27">
        <v>21210.0</v>
      </c>
      <c r="H254" s="27">
        <f t="shared" ref="H254:I254" si="269">F254-F253</f>
        <v>2</v>
      </c>
      <c r="I254" s="27">
        <f t="shared" si="269"/>
        <v>3390</v>
      </c>
      <c r="J254" s="66">
        <f t="shared" si="246"/>
        <v>0.1902356902</v>
      </c>
      <c r="K254" s="66">
        <f t="shared" si="247"/>
        <v>0.09511784512</v>
      </c>
      <c r="L254" s="29" t="s">
        <v>160</v>
      </c>
    </row>
    <row r="255">
      <c r="A255" s="25" t="s">
        <v>254</v>
      </c>
      <c r="B255" s="25" t="s">
        <v>141</v>
      </c>
      <c r="C255" s="11" t="s">
        <v>673</v>
      </c>
      <c r="D255" s="25" t="s">
        <v>674</v>
      </c>
      <c r="E255" s="25" t="s">
        <v>74</v>
      </c>
      <c r="F255" s="28">
        <v>2010.0</v>
      </c>
      <c r="G255" s="27">
        <v>20990.0</v>
      </c>
      <c r="H255" s="27">
        <f t="shared" ref="H255:I255" si="270">F255-F254</f>
        <v>1</v>
      </c>
      <c r="I255" s="27">
        <f t="shared" si="270"/>
        <v>-220</v>
      </c>
      <c r="J255" s="66">
        <f t="shared" si="246"/>
        <v>-0.01037246582</v>
      </c>
      <c r="K255" s="66">
        <f t="shared" si="247"/>
        <v>-0.01037246582</v>
      </c>
      <c r="L255" s="29" t="s">
        <v>160</v>
      </c>
    </row>
    <row r="256">
      <c r="A256" s="25" t="s">
        <v>254</v>
      </c>
      <c r="B256" s="25" t="s">
        <v>141</v>
      </c>
      <c r="C256" s="11" t="s">
        <v>673</v>
      </c>
      <c r="D256" s="25" t="s">
        <v>674</v>
      </c>
      <c r="E256" s="25" t="s">
        <v>74</v>
      </c>
      <c r="F256" s="28">
        <v>2014.0</v>
      </c>
      <c r="G256" s="27">
        <v>28790.0</v>
      </c>
      <c r="H256" s="27">
        <f t="shared" ref="H256:I256" si="271">F256-F255</f>
        <v>4</v>
      </c>
      <c r="I256" s="27">
        <f t="shared" si="271"/>
        <v>7800</v>
      </c>
      <c r="J256" s="66">
        <f t="shared" si="246"/>
        <v>0.3716055264</v>
      </c>
      <c r="K256" s="66">
        <f t="shared" si="247"/>
        <v>0.09290138161</v>
      </c>
      <c r="L256" s="29" t="s">
        <v>160</v>
      </c>
    </row>
    <row r="257">
      <c r="A257" s="25" t="s">
        <v>254</v>
      </c>
      <c r="B257" s="25" t="s">
        <v>141</v>
      </c>
      <c r="C257" s="11" t="s">
        <v>673</v>
      </c>
      <c r="D257" s="25" t="s">
        <v>674</v>
      </c>
      <c r="E257" s="25" t="s">
        <v>74</v>
      </c>
      <c r="F257" s="28">
        <v>2015.0</v>
      </c>
      <c r="G257" s="27">
        <v>26960.0</v>
      </c>
      <c r="H257" s="27">
        <f t="shared" ref="H257:I257" si="272">F257-F256</f>
        <v>1</v>
      </c>
      <c r="I257" s="27">
        <f t="shared" si="272"/>
        <v>-1830</v>
      </c>
      <c r="J257" s="66">
        <f t="shared" si="246"/>
        <v>-0.06356373741</v>
      </c>
      <c r="K257" s="66">
        <f t="shared" si="247"/>
        <v>-0.06356373741</v>
      </c>
      <c r="L257" s="29" t="s">
        <v>160</v>
      </c>
    </row>
    <row r="258">
      <c r="A258" s="25" t="s">
        <v>282</v>
      </c>
      <c r="B258" s="25" t="s">
        <v>284</v>
      </c>
      <c r="C258" s="11" t="s">
        <v>689</v>
      </c>
      <c r="D258" s="11" t="s">
        <v>690</v>
      </c>
      <c r="E258" s="11" t="s">
        <v>158</v>
      </c>
      <c r="F258" s="11">
        <v>1986.0</v>
      </c>
      <c r="G258" s="40">
        <v>5014.0</v>
      </c>
      <c r="H258" s="40" t="s">
        <v>188</v>
      </c>
      <c r="I258" s="40" t="s">
        <v>188</v>
      </c>
      <c r="J258" s="73" t="s">
        <v>188</v>
      </c>
      <c r="K258" s="66" t="s">
        <v>188</v>
      </c>
      <c r="L258" s="29" t="s">
        <v>260</v>
      </c>
    </row>
    <row r="259">
      <c r="A259" s="25" t="s">
        <v>282</v>
      </c>
      <c r="B259" s="25" t="s">
        <v>284</v>
      </c>
      <c r="C259" s="11" t="s">
        <v>689</v>
      </c>
      <c r="D259" s="11" t="s">
        <v>690</v>
      </c>
      <c r="E259" s="11" t="s">
        <v>158</v>
      </c>
      <c r="F259" s="11">
        <v>1987.0</v>
      </c>
      <c r="G259" s="40">
        <v>3320.0</v>
      </c>
      <c r="H259" s="40">
        <f t="shared" ref="H259:I259" si="273">F259-F258</f>
        <v>1</v>
      </c>
      <c r="I259" s="40">
        <f t="shared" si="273"/>
        <v>-1694</v>
      </c>
      <c r="J259" s="73">
        <f t="shared" ref="J259:J289" si="275">I259/G258</f>
        <v>-0.3378540088</v>
      </c>
      <c r="K259" s="66">
        <f t="shared" ref="K259:K289" si="276">J259/H259</f>
        <v>-0.3378540088</v>
      </c>
      <c r="L259" s="29" t="s">
        <v>260</v>
      </c>
    </row>
    <row r="260">
      <c r="A260" s="25" t="s">
        <v>282</v>
      </c>
      <c r="B260" s="25" t="s">
        <v>284</v>
      </c>
      <c r="C260" s="11" t="s">
        <v>689</v>
      </c>
      <c r="D260" s="11" t="s">
        <v>690</v>
      </c>
      <c r="E260" s="11" t="s">
        <v>158</v>
      </c>
      <c r="F260" s="11">
        <v>1988.0</v>
      </c>
      <c r="G260" s="40">
        <v>3930.0</v>
      </c>
      <c r="H260" s="40">
        <f t="shared" ref="H260:I260" si="274">F260-F259</f>
        <v>1</v>
      </c>
      <c r="I260" s="40">
        <f t="shared" si="274"/>
        <v>610</v>
      </c>
      <c r="J260" s="73">
        <f t="shared" si="275"/>
        <v>0.1837349398</v>
      </c>
      <c r="K260" s="66">
        <f t="shared" si="276"/>
        <v>0.1837349398</v>
      </c>
      <c r="L260" s="29" t="s">
        <v>260</v>
      </c>
    </row>
    <row r="261">
      <c r="A261" s="25" t="s">
        <v>282</v>
      </c>
      <c r="B261" s="25" t="s">
        <v>284</v>
      </c>
      <c r="C261" s="11" t="s">
        <v>689</v>
      </c>
      <c r="D261" s="11" t="s">
        <v>690</v>
      </c>
      <c r="E261" s="11" t="s">
        <v>158</v>
      </c>
      <c r="F261" s="11">
        <v>1989.0</v>
      </c>
      <c r="G261" s="40">
        <v>3930.0</v>
      </c>
      <c r="H261" s="40">
        <f t="shared" ref="H261:I261" si="277">F261-F260</f>
        <v>1</v>
      </c>
      <c r="I261" s="40">
        <f t="shared" si="277"/>
        <v>0</v>
      </c>
      <c r="J261" s="73">
        <f t="shared" si="275"/>
        <v>0</v>
      </c>
      <c r="K261" s="66">
        <f t="shared" si="276"/>
        <v>0</v>
      </c>
      <c r="L261" s="29" t="s">
        <v>260</v>
      </c>
    </row>
    <row r="262">
      <c r="A262" s="25" t="s">
        <v>282</v>
      </c>
      <c r="B262" s="25" t="s">
        <v>284</v>
      </c>
      <c r="C262" s="11" t="s">
        <v>689</v>
      </c>
      <c r="D262" s="11" t="s">
        <v>690</v>
      </c>
      <c r="E262" s="11" t="s">
        <v>158</v>
      </c>
      <c r="F262" s="11">
        <v>1990.0</v>
      </c>
      <c r="G262" s="40">
        <v>3930.0</v>
      </c>
      <c r="H262" s="40">
        <f t="shared" ref="H262:I262" si="278">F262-F261</f>
        <v>1</v>
      </c>
      <c r="I262" s="40">
        <f t="shared" si="278"/>
        <v>0</v>
      </c>
      <c r="J262" s="73">
        <f t="shared" si="275"/>
        <v>0</v>
      </c>
      <c r="K262" s="66">
        <f t="shared" si="276"/>
        <v>0</v>
      </c>
      <c r="L262" s="29" t="s">
        <v>260</v>
      </c>
    </row>
    <row r="263">
      <c r="A263" s="25" t="s">
        <v>282</v>
      </c>
      <c r="B263" s="25" t="s">
        <v>284</v>
      </c>
      <c r="C263" s="11" t="s">
        <v>689</v>
      </c>
      <c r="D263" s="11" t="s">
        <v>690</v>
      </c>
      <c r="E263" s="11" t="s">
        <v>158</v>
      </c>
      <c r="F263" s="11">
        <v>1991.0</v>
      </c>
      <c r="G263" s="40">
        <v>3455.0</v>
      </c>
      <c r="H263" s="40">
        <f t="shared" ref="H263:I263" si="279">F263-F262</f>
        <v>1</v>
      </c>
      <c r="I263" s="40">
        <f t="shared" si="279"/>
        <v>-475</v>
      </c>
      <c r="J263" s="73">
        <f t="shared" si="275"/>
        <v>-0.1208651399</v>
      </c>
      <c r="K263" s="66">
        <f t="shared" si="276"/>
        <v>-0.1208651399</v>
      </c>
      <c r="L263" s="29" t="s">
        <v>260</v>
      </c>
    </row>
    <row r="264">
      <c r="A264" s="25" t="s">
        <v>282</v>
      </c>
      <c r="B264" s="25" t="s">
        <v>284</v>
      </c>
      <c r="C264" s="11" t="s">
        <v>689</v>
      </c>
      <c r="D264" s="11" t="s">
        <v>690</v>
      </c>
      <c r="E264" s="11" t="s">
        <v>158</v>
      </c>
      <c r="F264" s="11">
        <v>1992.0</v>
      </c>
      <c r="G264" s="40">
        <v>4065.0</v>
      </c>
      <c r="H264" s="40">
        <f t="shared" ref="H264:I264" si="280">F264-F263</f>
        <v>1</v>
      </c>
      <c r="I264" s="40">
        <f t="shared" si="280"/>
        <v>610</v>
      </c>
      <c r="J264" s="73">
        <f t="shared" si="275"/>
        <v>0.1765557164</v>
      </c>
      <c r="K264" s="66">
        <f t="shared" si="276"/>
        <v>0.1765557164</v>
      </c>
      <c r="L264" s="29" t="s">
        <v>260</v>
      </c>
    </row>
    <row r="265">
      <c r="A265" s="25" t="s">
        <v>282</v>
      </c>
      <c r="B265" s="25" t="s">
        <v>284</v>
      </c>
      <c r="C265" s="11" t="s">
        <v>689</v>
      </c>
      <c r="D265" s="11" t="s">
        <v>690</v>
      </c>
      <c r="E265" s="11" t="s">
        <v>158</v>
      </c>
      <c r="F265" s="11">
        <v>1993.0</v>
      </c>
      <c r="G265" s="40">
        <v>4201.0</v>
      </c>
      <c r="H265" s="40">
        <f t="shared" ref="H265:I265" si="281">F265-F264</f>
        <v>1</v>
      </c>
      <c r="I265" s="40">
        <f t="shared" si="281"/>
        <v>136</v>
      </c>
      <c r="J265" s="73">
        <f t="shared" si="275"/>
        <v>0.03345633456</v>
      </c>
      <c r="K265" s="66">
        <f t="shared" si="276"/>
        <v>0.03345633456</v>
      </c>
      <c r="L265" s="29" t="s">
        <v>260</v>
      </c>
    </row>
    <row r="266">
      <c r="A266" s="25" t="s">
        <v>282</v>
      </c>
      <c r="B266" s="25" t="s">
        <v>284</v>
      </c>
      <c r="C266" s="11" t="s">
        <v>689</v>
      </c>
      <c r="D266" s="11" t="s">
        <v>690</v>
      </c>
      <c r="E266" s="11" t="s">
        <v>158</v>
      </c>
      <c r="F266" s="11">
        <v>1994.0</v>
      </c>
      <c r="G266" s="40">
        <v>4743.0</v>
      </c>
      <c r="H266" s="40">
        <f t="shared" ref="H266:I266" si="282">F266-F265</f>
        <v>1</v>
      </c>
      <c r="I266" s="40">
        <f t="shared" si="282"/>
        <v>542</v>
      </c>
      <c r="J266" s="73">
        <f t="shared" si="275"/>
        <v>0.1290169007</v>
      </c>
      <c r="K266" s="66">
        <f t="shared" si="276"/>
        <v>0.1290169007</v>
      </c>
      <c r="L266" s="29" t="s">
        <v>260</v>
      </c>
    </row>
    <row r="267">
      <c r="A267" s="25" t="s">
        <v>282</v>
      </c>
      <c r="B267" s="25" t="s">
        <v>284</v>
      </c>
      <c r="C267" s="11" t="s">
        <v>689</v>
      </c>
      <c r="D267" s="11" t="s">
        <v>690</v>
      </c>
      <c r="E267" s="11" t="s">
        <v>158</v>
      </c>
      <c r="F267" s="11">
        <v>1995.0</v>
      </c>
      <c r="G267" s="40">
        <v>5149.0</v>
      </c>
      <c r="H267" s="40">
        <f t="shared" ref="H267:I267" si="283">F267-F266</f>
        <v>1</v>
      </c>
      <c r="I267" s="40">
        <f t="shared" si="283"/>
        <v>406</v>
      </c>
      <c r="J267" s="73">
        <f t="shared" si="275"/>
        <v>0.08559983133</v>
      </c>
      <c r="K267" s="66">
        <f t="shared" si="276"/>
        <v>0.08559983133</v>
      </c>
      <c r="L267" s="29" t="s">
        <v>260</v>
      </c>
    </row>
    <row r="268">
      <c r="A268" s="25" t="s">
        <v>282</v>
      </c>
      <c r="B268" s="25" t="s">
        <v>284</v>
      </c>
      <c r="C268" s="11" t="s">
        <v>689</v>
      </c>
      <c r="D268" s="11" t="s">
        <v>690</v>
      </c>
      <c r="E268" s="11" t="s">
        <v>158</v>
      </c>
      <c r="F268" s="11">
        <v>1996.0</v>
      </c>
      <c r="G268" s="40">
        <v>6233.0</v>
      </c>
      <c r="H268" s="40">
        <f t="shared" ref="H268:I268" si="284">F268-F267</f>
        <v>1</v>
      </c>
      <c r="I268" s="40">
        <f t="shared" si="284"/>
        <v>1084</v>
      </c>
      <c r="J268" s="73">
        <f t="shared" si="275"/>
        <v>0.2105263158</v>
      </c>
      <c r="K268" s="66">
        <f t="shared" si="276"/>
        <v>0.2105263158</v>
      </c>
      <c r="L268" s="29" t="s">
        <v>260</v>
      </c>
    </row>
    <row r="269">
      <c r="A269" s="25" t="s">
        <v>282</v>
      </c>
      <c r="B269" s="25" t="s">
        <v>284</v>
      </c>
      <c r="C269" s="11" t="s">
        <v>689</v>
      </c>
      <c r="D269" s="11" t="s">
        <v>690</v>
      </c>
      <c r="E269" s="11" t="s">
        <v>158</v>
      </c>
      <c r="F269" s="11">
        <v>1997.0</v>
      </c>
      <c r="G269" s="40">
        <v>7859.0</v>
      </c>
      <c r="H269" s="40">
        <f t="shared" ref="H269:I269" si="285">F269-F268</f>
        <v>1</v>
      </c>
      <c r="I269" s="40">
        <f t="shared" si="285"/>
        <v>1626</v>
      </c>
      <c r="J269" s="73">
        <f t="shared" si="275"/>
        <v>0.2608695652</v>
      </c>
      <c r="K269" s="66">
        <f t="shared" si="276"/>
        <v>0.2608695652</v>
      </c>
      <c r="L269" s="29" t="s">
        <v>260</v>
      </c>
    </row>
    <row r="270">
      <c r="A270" s="25" t="s">
        <v>282</v>
      </c>
      <c r="B270" s="25" t="s">
        <v>284</v>
      </c>
      <c r="C270" s="11" t="s">
        <v>689</v>
      </c>
      <c r="D270" s="11" t="s">
        <v>690</v>
      </c>
      <c r="E270" s="11" t="s">
        <v>158</v>
      </c>
      <c r="F270" s="11">
        <v>1998.0</v>
      </c>
      <c r="G270" s="40">
        <v>8333.0</v>
      </c>
      <c r="H270" s="40">
        <f t="shared" ref="H270:I270" si="286">F270-F269</f>
        <v>1</v>
      </c>
      <c r="I270" s="40">
        <f t="shared" si="286"/>
        <v>474</v>
      </c>
      <c r="J270" s="73">
        <f t="shared" si="275"/>
        <v>0.06031301692</v>
      </c>
      <c r="K270" s="66">
        <f t="shared" si="276"/>
        <v>0.06031301692</v>
      </c>
      <c r="L270" s="29" t="s">
        <v>260</v>
      </c>
    </row>
    <row r="271">
      <c r="A271" s="25" t="s">
        <v>282</v>
      </c>
      <c r="B271" s="25" t="s">
        <v>284</v>
      </c>
      <c r="C271" s="11" t="s">
        <v>689</v>
      </c>
      <c r="D271" s="11" t="s">
        <v>690</v>
      </c>
      <c r="E271" s="11" t="s">
        <v>158</v>
      </c>
      <c r="F271" s="11">
        <v>1999.0</v>
      </c>
      <c r="G271" s="40">
        <v>9011.0</v>
      </c>
      <c r="H271" s="40">
        <f t="shared" ref="H271:I271" si="287">F271-F270</f>
        <v>1</v>
      </c>
      <c r="I271" s="40">
        <f t="shared" si="287"/>
        <v>678</v>
      </c>
      <c r="J271" s="73">
        <f t="shared" si="275"/>
        <v>0.08136325453</v>
      </c>
      <c r="K271" s="66">
        <f t="shared" si="276"/>
        <v>0.08136325453</v>
      </c>
      <c r="L271" s="29" t="s">
        <v>260</v>
      </c>
    </row>
    <row r="272">
      <c r="A272" s="25" t="s">
        <v>282</v>
      </c>
      <c r="B272" s="25" t="s">
        <v>284</v>
      </c>
      <c r="C272" s="11" t="s">
        <v>689</v>
      </c>
      <c r="D272" s="11" t="s">
        <v>690</v>
      </c>
      <c r="E272" s="11" t="s">
        <v>158</v>
      </c>
      <c r="F272" s="11">
        <v>2000.0</v>
      </c>
      <c r="G272" s="40">
        <v>9146.0</v>
      </c>
      <c r="H272" s="40">
        <f t="shared" ref="H272:I272" si="288">F272-F271</f>
        <v>1</v>
      </c>
      <c r="I272" s="40">
        <f t="shared" si="288"/>
        <v>135</v>
      </c>
      <c r="J272" s="73">
        <f t="shared" si="275"/>
        <v>0.01498168905</v>
      </c>
      <c r="K272" s="66">
        <f t="shared" si="276"/>
        <v>0.01498168905</v>
      </c>
      <c r="L272" s="29" t="s">
        <v>260</v>
      </c>
    </row>
    <row r="273">
      <c r="A273" s="25" t="s">
        <v>282</v>
      </c>
      <c r="B273" s="25" t="s">
        <v>284</v>
      </c>
      <c r="C273" s="11" t="s">
        <v>689</v>
      </c>
      <c r="D273" s="11" t="s">
        <v>690</v>
      </c>
      <c r="E273" s="11" t="s">
        <v>158</v>
      </c>
      <c r="F273" s="11">
        <v>2001.0</v>
      </c>
      <c r="G273" s="40">
        <v>8672.0</v>
      </c>
      <c r="H273" s="40">
        <f t="shared" ref="H273:I273" si="289">F273-F272</f>
        <v>1</v>
      </c>
      <c r="I273" s="40">
        <f t="shared" si="289"/>
        <v>-474</v>
      </c>
      <c r="J273" s="73">
        <f t="shared" si="275"/>
        <v>-0.05182593483</v>
      </c>
      <c r="K273" s="66">
        <f t="shared" si="276"/>
        <v>-0.05182593483</v>
      </c>
      <c r="L273" s="29" t="s">
        <v>260</v>
      </c>
    </row>
    <row r="274">
      <c r="A274" s="25" t="s">
        <v>282</v>
      </c>
      <c r="B274" s="25" t="s">
        <v>284</v>
      </c>
      <c r="C274" s="11" t="s">
        <v>689</v>
      </c>
      <c r="D274" s="11" t="s">
        <v>690</v>
      </c>
      <c r="E274" s="11" t="s">
        <v>158</v>
      </c>
      <c r="F274" s="11">
        <v>2002.0</v>
      </c>
      <c r="G274" s="40">
        <v>11247.0</v>
      </c>
      <c r="H274" s="40">
        <f t="shared" ref="H274:I274" si="290">F274-F273</f>
        <v>1</v>
      </c>
      <c r="I274" s="40">
        <f t="shared" si="290"/>
        <v>2575</v>
      </c>
      <c r="J274" s="73">
        <f t="shared" si="275"/>
        <v>0.2969326568</v>
      </c>
      <c r="K274" s="66">
        <f t="shared" si="276"/>
        <v>0.2969326568</v>
      </c>
      <c r="L274" s="29" t="s">
        <v>260</v>
      </c>
    </row>
    <row r="275">
      <c r="A275" s="25" t="s">
        <v>282</v>
      </c>
      <c r="B275" s="25" t="s">
        <v>284</v>
      </c>
      <c r="C275" s="11" t="s">
        <v>689</v>
      </c>
      <c r="D275" s="11" t="s">
        <v>690</v>
      </c>
      <c r="E275" s="11" t="s">
        <v>158</v>
      </c>
      <c r="F275" s="11">
        <v>2003.0</v>
      </c>
      <c r="G275" s="40">
        <v>11721.0</v>
      </c>
      <c r="H275" s="40">
        <f t="shared" ref="H275:I275" si="291">F275-F274</f>
        <v>1</v>
      </c>
      <c r="I275" s="40">
        <f t="shared" si="291"/>
        <v>474</v>
      </c>
      <c r="J275" s="73">
        <f t="shared" si="275"/>
        <v>0.04214457189</v>
      </c>
      <c r="K275" s="66">
        <f t="shared" si="276"/>
        <v>0.04214457189</v>
      </c>
      <c r="L275" s="29" t="s">
        <v>260</v>
      </c>
    </row>
    <row r="276">
      <c r="A276" s="25" t="s">
        <v>282</v>
      </c>
      <c r="B276" s="25" t="s">
        <v>284</v>
      </c>
      <c r="C276" s="11" t="s">
        <v>689</v>
      </c>
      <c r="D276" s="11" t="s">
        <v>690</v>
      </c>
      <c r="E276" s="11" t="s">
        <v>158</v>
      </c>
      <c r="F276" s="11">
        <v>2004.0</v>
      </c>
      <c r="G276" s="40">
        <v>13076.0</v>
      </c>
      <c r="H276" s="40">
        <f t="shared" ref="H276:I276" si="292">F276-F275</f>
        <v>1</v>
      </c>
      <c r="I276" s="40">
        <f t="shared" si="292"/>
        <v>1355</v>
      </c>
      <c r="J276" s="73">
        <f t="shared" si="275"/>
        <v>0.1156044706</v>
      </c>
      <c r="K276" s="66">
        <f t="shared" si="276"/>
        <v>0.1156044706</v>
      </c>
      <c r="L276" s="29" t="s">
        <v>260</v>
      </c>
    </row>
    <row r="277">
      <c r="A277" s="25" t="s">
        <v>282</v>
      </c>
      <c r="B277" s="25" t="s">
        <v>284</v>
      </c>
      <c r="C277" s="11" t="s">
        <v>689</v>
      </c>
      <c r="D277" s="11" t="s">
        <v>690</v>
      </c>
      <c r="E277" s="11" t="s">
        <v>158</v>
      </c>
      <c r="F277" s="11">
        <v>2005.0</v>
      </c>
      <c r="G277" s="40">
        <v>14363.0</v>
      </c>
      <c r="H277" s="40">
        <f t="shared" ref="H277:I277" si="293">F277-F276</f>
        <v>1</v>
      </c>
      <c r="I277" s="40">
        <f t="shared" si="293"/>
        <v>1287</v>
      </c>
      <c r="J277" s="73">
        <f t="shared" si="275"/>
        <v>0.09842459468</v>
      </c>
      <c r="K277" s="66">
        <f t="shared" si="276"/>
        <v>0.09842459468</v>
      </c>
      <c r="L277" s="29" t="s">
        <v>260</v>
      </c>
    </row>
    <row r="278">
      <c r="A278" s="25" t="s">
        <v>282</v>
      </c>
      <c r="B278" s="25" t="s">
        <v>284</v>
      </c>
      <c r="C278" s="11" t="s">
        <v>689</v>
      </c>
      <c r="D278" s="11" t="s">
        <v>690</v>
      </c>
      <c r="E278" s="11" t="s">
        <v>158</v>
      </c>
      <c r="F278" s="11">
        <v>2006.0</v>
      </c>
      <c r="G278" s="40">
        <v>10434.0</v>
      </c>
      <c r="H278" s="40">
        <f t="shared" ref="H278:I278" si="294">F278-F277</f>
        <v>1</v>
      </c>
      <c r="I278" s="40">
        <f t="shared" si="294"/>
        <v>-3929</v>
      </c>
      <c r="J278" s="73">
        <f t="shared" si="275"/>
        <v>-0.273550094</v>
      </c>
      <c r="K278" s="66">
        <f t="shared" si="276"/>
        <v>-0.273550094</v>
      </c>
      <c r="L278" s="29" t="s">
        <v>260</v>
      </c>
    </row>
    <row r="279">
      <c r="A279" s="25" t="s">
        <v>282</v>
      </c>
      <c r="B279" s="25" t="s">
        <v>284</v>
      </c>
      <c r="C279" s="11" t="s">
        <v>689</v>
      </c>
      <c r="D279" s="11" t="s">
        <v>690</v>
      </c>
      <c r="E279" s="11" t="s">
        <v>158</v>
      </c>
      <c r="F279" s="11">
        <v>2007.0</v>
      </c>
      <c r="G279" s="40">
        <v>7995.0</v>
      </c>
      <c r="H279" s="40">
        <f t="shared" ref="H279:I279" si="295">F279-F278</f>
        <v>1</v>
      </c>
      <c r="I279" s="40">
        <f t="shared" si="295"/>
        <v>-2439</v>
      </c>
      <c r="J279" s="73">
        <f t="shared" si="275"/>
        <v>-0.2337550316</v>
      </c>
      <c r="K279" s="66">
        <f t="shared" si="276"/>
        <v>-0.2337550316</v>
      </c>
      <c r="L279" s="29" t="s">
        <v>260</v>
      </c>
    </row>
    <row r="280">
      <c r="A280" s="25" t="s">
        <v>282</v>
      </c>
      <c r="B280" s="25" t="s">
        <v>284</v>
      </c>
      <c r="C280" s="11" t="s">
        <v>689</v>
      </c>
      <c r="D280" s="11" t="s">
        <v>690</v>
      </c>
      <c r="E280" s="11" t="s">
        <v>158</v>
      </c>
      <c r="F280" s="11">
        <v>2008.0</v>
      </c>
      <c r="G280" s="40">
        <v>8875.0</v>
      </c>
      <c r="H280" s="40">
        <f t="shared" ref="H280:I280" si="296">F280-F279</f>
        <v>1</v>
      </c>
      <c r="I280" s="40">
        <f t="shared" si="296"/>
        <v>880</v>
      </c>
      <c r="J280" s="73">
        <f t="shared" si="275"/>
        <v>0.110068793</v>
      </c>
      <c r="K280" s="66">
        <f t="shared" si="276"/>
        <v>0.110068793</v>
      </c>
      <c r="L280" s="29" t="s">
        <v>260</v>
      </c>
    </row>
    <row r="281">
      <c r="A281" s="25" t="s">
        <v>282</v>
      </c>
      <c r="B281" s="25" t="s">
        <v>284</v>
      </c>
      <c r="C281" s="11" t="s">
        <v>689</v>
      </c>
      <c r="D281" s="11" t="s">
        <v>690</v>
      </c>
      <c r="E281" s="11" t="s">
        <v>158</v>
      </c>
      <c r="F281" s="11">
        <v>2009.0</v>
      </c>
      <c r="G281" s="40">
        <v>8875.0</v>
      </c>
      <c r="H281" s="40">
        <f t="shared" ref="H281:I281" si="297">F281-F280</f>
        <v>1</v>
      </c>
      <c r="I281" s="40">
        <f t="shared" si="297"/>
        <v>0</v>
      </c>
      <c r="J281" s="73">
        <f t="shared" si="275"/>
        <v>0</v>
      </c>
      <c r="K281" s="66">
        <f t="shared" si="276"/>
        <v>0</v>
      </c>
      <c r="L281" s="29" t="s">
        <v>260</v>
      </c>
    </row>
    <row r="282">
      <c r="A282" s="25" t="s">
        <v>282</v>
      </c>
      <c r="B282" s="25" t="s">
        <v>284</v>
      </c>
      <c r="C282" s="11" t="s">
        <v>689</v>
      </c>
      <c r="D282" s="11" t="s">
        <v>690</v>
      </c>
      <c r="E282" s="11" t="s">
        <v>158</v>
      </c>
      <c r="F282" s="11">
        <v>2010.0</v>
      </c>
      <c r="G282" s="40">
        <v>8333.0</v>
      </c>
      <c r="H282" s="40">
        <f t="shared" ref="H282:I282" si="298">F282-F281</f>
        <v>1</v>
      </c>
      <c r="I282" s="40">
        <f t="shared" si="298"/>
        <v>-542</v>
      </c>
      <c r="J282" s="73">
        <f t="shared" si="275"/>
        <v>-0.06107042254</v>
      </c>
      <c r="K282" s="66">
        <f t="shared" si="276"/>
        <v>-0.06107042254</v>
      </c>
      <c r="L282" s="29" t="s">
        <v>260</v>
      </c>
    </row>
    <row r="283">
      <c r="A283" s="25" t="s">
        <v>282</v>
      </c>
      <c r="B283" s="25" t="s">
        <v>284</v>
      </c>
      <c r="C283" s="11" t="s">
        <v>689</v>
      </c>
      <c r="D283" s="11" t="s">
        <v>690</v>
      </c>
      <c r="E283" s="11" t="s">
        <v>158</v>
      </c>
      <c r="F283" s="11">
        <v>2011.0</v>
      </c>
      <c r="G283" s="40">
        <v>8198.0</v>
      </c>
      <c r="H283" s="40">
        <f t="shared" ref="H283:I283" si="299">F283-F282</f>
        <v>1</v>
      </c>
      <c r="I283" s="40">
        <f t="shared" si="299"/>
        <v>-135</v>
      </c>
      <c r="J283" s="73">
        <f t="shared" si="275"/>
        <v>-0.01620064803</v>
      </c>
      <c r="K283" s="66">
        <f t="shared" si="276"/>
        <v>-0.01620064803</v>
      </c>
      <c r="L283" s="29" t="s">
        <v>260</v>
      </c>
    </row>
    <row r="284">
      <c r="A284" s="25" t="s">
        <v>282</v>
      </c>
      <c r="B284" s="25" t="s">
        <v>284</v>
      </c>
      <c r="C284" s="11" t="s">
        <v>689</v>
      </c>
      <c r="D284" s="11" t="s">
        <v>690</v>
      </c>
      <c r="E284" s="11" t="s">
        <v>158</v>
      </c>
      <c r="F284" s="11">
        <v>2012.0</v>
      </c>
      <c r="G284" s="40">
        <v>7249.0</v>
      </c>
      <c r="H284" s="40">
        <f t="shared" ref="H284:I284" si="300">F284-F283</f>
        <v>1</v>
      </c>
      <c r="I284" s="40">
        <f t="shared" si="300"/>
        <v>-949</v>
      </c>
      <c r="J284" s="73">
        <f t="shared" si="275"/>
        <v>-0.1157599414</v>
      </c>
      <c r="K284" s="66">
        <f t="shared" si="276"/>
        <v>-0.1157599414</v>
      </c>
      <c r="L284" s="29" t="s">
        <v>260</v>
      </c>
    </row>
    <row r="285">
      <c r="A285" s="25" t="s">
        <v>282</v>
      </c>
      <c r="B285" s="25" t="s">
        <v>284</v>
      </c>
      <c r="C285" s="11" t="s">
        <v>689</v>
      </c>
      <c r="D285" s="11" t="s">
        <v>690</v>
      </c>
      <c r="E285" s="11" t="s">
        <v>158</v>
      </c>
      <c r="F285" s="11">
        <v>2013.0</v>
      </c>
      <c r="G285" s="40">
        <v>6843.0</v>
      </c>
      <c r="H285" s="40">
        <f t="shared" ref="H285:I285" si="301">F285-F284</f>
        <v>1</v>
      </c>
      <c r="I285" s="40">
        <f t="shared" si="301"/>
        <v>-406</v>
      </c>
      <c r="J285" s="73">
        <f t="shared" si="275"/>
        <v>-0.0560077252</v>
      </c>
      <c r="K285" s="66">
        <f t="shared" si="276"/>
        <v>-0.0560077252</v>
      </c>
      <c r="L285" s="29" t="s">
        <v>260</v>
      </c>
    </row>
    <row r="286">
      <c r="A286" s="25" t="s">
        <v>282</v>
      </c>
      <c r="B286" s="25" t="s">
        <v>284</v>
      </c>
      <c r="C286" s="11" t="s">
        <v>689</v>
      </c>
      <c r="D286" s="11" t="s">
        <v>690</v>
      </c>
      <c r="E286" s="11" t="s">
        <v>158</v>
      </c>
      <c r="F286" s="11">
        <v>2014.0</v>
      </c>
      <c r="G286" s="40">
        <v>7859.0</v>
      </c>
      <c r="H286" s="40">
        <f t="shared" ref="H286:I286" si="302">F286-F285</f>
        <v>1</v>
      </c>
      <c r="I286" s="40">
        <f t="shared" si="302"/>
        <v>1016</v>
      </c>
      <c r="J286" s="73">
        <f t="shared" si="275"/>
        <v>0.148472892</v>
      </c>
      <c r="K286" s="66">
        <f t="shared" si="276"/>
        <v>0.148472892</v>
      </c>
      <c r="L286" s="29" t="s">
        <v>260</v>
      </c>
    </row>
    <row r="287">
      <c r="A287" s="25" t="s">
        <v>282</v>
      </c>
      <c r="B287" s="25" t="s">
        <v>284</v>
      </c>
      <c r="C287" s="11" t="s">
        <v>689</v>
      </c>
      <c r="D287" s="11" t="s">
        <v>690</v>
      </c>
      <c r="E287" s="11" t="s">
        <v>158</v>
      </c>
      <c r="F287" s="11">
        <v>2015.0</v>
      </c>
      <c r="G287" s="40">
        <v>7791.0</v>
      </c>
      <c r="H287" s="40">
        <f t="shared" ref="H287:I287" si="303">F287-F286</f>
        <v>1</v>
      </c>
      <c r="I287" s="40">
        <f t="shared" si="303"/>
        <v>-68</v>
      </c>
      <c r="J287" s="73">
        <f t="shared" si="275"/>
        <v>-0.008652500318</v>
      </c>
      <c r="K287" s="66">
        <f t="shared" si="276"/>
        <v>-0.008652500318</v>
      </c>
      <c r="L287" s="29" t="s">
        <v>260</v>
      </c>
    </row>
    <row r="288">
      <c r="A288" s="25" t="s">
        <v>282</v>
      </c>
      <c r="B288" s="25" t="s">
        <v>284</v>
      </c>
      <c r="C288" s="11" t="s">
        <v>689</v>
      </c>
      <c r="D288" s="11" t="s">
        <v>690</v>
      </c>
      <c r="E288" s="11" t="s">
        <v>158</v>
      </c>
      <c r="F288" s="11">
        <v>2016.0</v>
      </c>
      <c r="G288" s="40">
        <v>7791.0</v>
      </c>
      <c r="H288" s="40">
        <f t="shared" ref="H288:I288" si="304">F288-F287</f>
        <v>1</v>
      </c>
      <c r="I288" s="40">
        <f t="shared" si="304"/>
        <v>0</v>
      </c>
      <c r="J288" s="73">
        <f t="shared" si="275"/>
        <v>0</v>
      </c>
      <c r="K288" s="66">
        <f t="shared" si="276"/>
        <v>0</v>
      </c>
      <c r="L288" s="29" t="s">
        <v>260</v>
      </c>
    </row>
    <row r="289">
      <c r="A289" s="25" t="s">
        <v>282</v>
      </c>
      <c r="B289" s="25" t="s">
        <v>284</v>
      </c>
      <c r="C289" s="11" t="s">
        <v>689</v>
      </c>
      <c r="D289" s="11" t="s">
        <v>690</v>
      </c>
      <c r="E289" s="11" t="s">
        <v>158</v>
      </c>
      <c r="F289" s="11">
        <v>2017.0</v>
      </c>
      <c r="G289" s="40">
        <v>7995.0</v>
      </c>
      <c r="H289" s="40">
        <f t="shared" ref="H289:I289" si="305">F289-F288</f>
        <v>1</v>
      </c>
      <c r="I289" s="40">
        <f t="shared" si="305"/>
        <v>204</v>
      </c>
      <c r="J289" s="73">
        <f t="shared" si="275"/>
        <v>0.02618405853</v>
      </c>
      <c r="K289" s="66">
        <f t="shared" si="276"/>
        <v>0.02618405853</v>
      </c>
      <c r="L289" s="29" t="s">
        <v>260</v>
      </c>
    </row>
    <row r="290">
      <c r="A290" s="11" t="s">
        <v>701</v>
      </c>
      <c r="B290" s="11" t="s">
        <v>268</v>
      </c>
      <c r="C290" s="11" t="s">
        <v>702</v>
      </c>
      <c r="D290" s="11" t="s">
        <v>703</v>
      </c>
      <c r="E290" s="11" t="s">
        <v>74</v>
      </c>
      <c r="F290" s="11">
        <v>1986.0</v>
      </c>
      <c r="G290" s="40">
        <v>1980.0</v>
      </c>
      <c r="H290" s="40" t="s">
        <v>188</v>
      </c>
      <c r="I290" s="40" t="s">
        <v>188</v>
      </c>
      <c r="J290" s="73" t="s">
        <v>188</v>
      </c>
      <c r="K290" s="66" t="s">
        <v>188</v>
      </c>
      <c r="L290" s="29" t="s">
        <v>260</v>
      </c>
    </row>
    <row r="291">
      <c r="A291" s="11" t="s">
        <v>701</v>
      </c>
      <c r="B291" s="11" t="s">
        <v>268</v>
      </c>
      <c r="C291" s="11" t="s">
        <v>702</v>
      </c>
      <c r="D291" s="11" t="s">
        <v>703</v>
      </c>
      <c r="E291" s="11" t="s">
        <v>74</v>
      </c>
      <c r="F291" s="11">
        <v>1987.0</v>
      </c>
      <c r="G291" s="40">
        <v>1377.0</v>
      </c>
      <c r="H291" s="40">
        <f t="shared" ref="H291:I291" si="306">F291-F290</f>
        <v>1</v>
      </c>
      <c r="I291" s="40">
        <f t="shared" si="306"/>
        <v>-603</v>
      </c>
      <c r="J291" s="73">
        <f t="shared" ref="J291:J315" si="308">I291/G290</f>
        <v>-0.3045454545</v>
      </c>
      <c r="K291" s="66">
        <f t="shared" ref="K291:K315" si="309">J291/H291</f>
        <v>-0.3045454545</v>
      </c>
      <c r="L291" s="29" t="s">
        <v>260</v>
      </c>
    </row>
    <row r="292">
      <c r="A292" s="11" t="s">
        <v>701</v>
      </c>
      <c r="B292" s="11" t="s">
        <v>268</v>
      </c>
      <c r="C292" s="11" t="s">
        <v>702</v>
      </c>
      <c r="D292" s="11" t="s">
        <v>703</v>
      </c>
      <c r="E292" s="11" t="s">
        <v>74</v>
      </c>
      <c r="F292" s="11">
        <v>1988.0</v>
      </c>
      <c r="G292" s="40">
        <v>1025.0</v>
      </c>
      <c r="H292" s="40">
        <f t="shared" ref="H292:I292" si="307">F292-F291</f>
        <v>1</v>
      </c>
      <c r="I292" s="40">
        <f t="shared" si="307"/>
        <v>-352</v>
      </c>
      <c r="J292" s="73">
        <f t="shared" si="308"/>
        <v>-0.2556281772</v>
      </c>
      <c r="K292" s="66">
        <f t="shared" si="309"/>
        <v>-0.2556281772</v>
      </c>
      <c r="L292" s="29" t="s">
        <v>260</v>
      </c>
    </row>
    <row r="293">
      <c r="A293" s="11" t="s">
        <v>701</v>
      </c>
      <c r="B293" s="11" t="s">
        <v>268</v>
      </c>
      <c r="C293" s="11" t="s">
        <v>702</v>
      </c>
      <c r="D293" s="11" t="s">
        <v>703</v>
      </c>
      <c r="E293" s="11" t="s">
        <v>74</v>
      </c>
      <c r="F293" s="11">
        <v>1989.0</v>
      </c>
      <c r="G293" s="40">
        <v>748.0</v>
      </c>
      <c r="H293" s="40">
        <f t="shared" ref="H293:I293" si="310">F293-F292</f>
        <v>1</v>
      </c>
      <c r="I293" s="40">
        <f t="shared" si="310"/>
        <v>-277</v>
      </c>
      <c r="J293" s="73">
        <f t="shared" si="308"/>
        <v>-0.2702439024</v>
      </c>
      <c r="K293" s="66">
        <f t="shared" si="309"/>
        <v>-0.2702439024</v>
      </c>
      <c r="L293" s="29" t="s">
        <v>260</v>
      </c>
    </row>
    <row r="294">
      <c r="A294" s="11" t="s">
        <v>701</v>
      </c>
      <c r="B294" s="11" t="s">
        <v>268</v>
      </c>
      <c r="C294" s="11" t="s">
        <v>702</v>
      </c>
      <c r="D294" s="11" t="s">
        <v>703</v>
      </c>
      <c r="E294" s="11" t="s">
        <v>74</v>
      </c>
      <c r="F294" s="11">
        <v>1990.0</v>
      </c>
      <c r="G294" s="40">
        <v>547.0</v>
      </c>
      <c r="H294" s="40">
        <f t="shared" ref="H294:I294" si="311">F294-F293</f>
        <v>1</v>
      </c>
      <c r="I294" s="40">
        <f t="shared" si="311"/>
        <v>-201</v>
      </c>
      <c r="J294" s="73">
        <f t="shared" si="308"/>
        <v>-0.2687165775</v>
      </c>
      <c r="K294" s="66">
        <f t="shared" si="309"/>
        <v>-0.2687165775</v>
      </c>
      <c r="L294" s="29" t="s">
        <v>260</v>
      </c>
    </row>
    <row r="295">
      <c r="A295" s="11" t="s">
        <v>701</v>
      </c>
      <c r="B295" s="11" t="s">
        <v>268</v>
      </c>
      <c r="C295" s="11" t="s">
        <v>702</v>
      </c>
      <c r="D295" s="11" t="s">
        <v>703</v>
      </c>
      <c r="E295" s="11" t="s">
        <v>74</v>
      </c>
      <c r="F295" s="11">
        <v>1991.0</v>
      </c>
      <c r="G295" s="40">
        <v>571.0</v>
      </c>
      <c r="H295" s="40">
        <f t="shared" ref="H295:I295" si="312">F295-F294</f>
        <v>1</v>
      </c>
      <c r="I295" s="40">
        <f t="shared" si="312"/>
        <v>24</v>
      </c>
      <c r="J295" s="73">
        <f t="shared" si="308"/>
        <v>0.04387568556</v>
      </c>
      <c r="K295" s="66">
        <f t="shared" si="309"/>
        <v>0.04387568556</v>
      </c>
      <c r="L295" s="29" t="s">
        <v>260</v>
      </c>
    </row>
    <row r="296">
      <c r="A296" s="11" t="s">
        <v>701</v>
      </c>
      <c r="B296" s="11" t="s">
        <v>268</v>
      </c>
      <c r="C296" s="11" t="s">
        <v>702</v>
      </c>
      <c r="D296" s="11" t="s">
        <v>703</v>
      </c>
      <c r="E296" s="11" t="s">
        <v>74</v>
      </c>
      <c r="F296" s="11">
        <v>1992.0</v>
      </c>
      <c r="G296" s="40">
        <v>620.0</v>
      </c>
      <c r="H296" s="40">
        <f t="shared" ref="H296:I296" si="313">F296-F295</f>
        <v>1</v>
      </c>
      <c r="I296" s="40">
        <f t="shared" si="313"/>
        <v>49</v>
      </c>
      <c r="J296" s="73">
        <f t="shared" si="308"/>
        <v>0.08581436077</v>
      </c>
      <c r="K296" s="66">
        <f t="shared" si="309"/>
        <v>0.08581436077</v>
      </c>
      <c r="L296" s="29" t="s">
        <v>260</v>
      </c>
    </row>
    <row r="297">
      <c r="A297" s="11" t="s">
        <v>701</v>
      </c>
      <c r="B297" s="11" t="s">
        <v>268</v>
      </c>
      <c r="C297" s="11" t="s">
        <v>702</v>
      </c>
      <c r="D297" s="11" t="s">
        <v>703</v>
      </c>
      <c r="E297" s="11" t="s">
        <v>74</v>
      </c>
      <c r="F297" s="11">
        <v>1993.0</v>
      </c>
      <c r="G297" s="40">
        <v>669.0</v>
      </c>
      <c r="H297" s="40">
        <f t="shared" ref="H297:I297" si="314">F297-F296</f>
        <v>1</v>
      </c>
      <c r="I297" s="40">
        <f t="shared" si="314"/>
        <v>49</v>
      </c>
      <c r="J297" s="73">
        <f t="shared" si="308"/>
        <v>0.07903225806</v>
      </c>
      <c r="K297" s="66">
        <f t="shared" si="309"/>
        <v>0.07903225806</v>
      </c>
      <c r="L297" s="29" t="s">
        <v>260</v>
      </c>
    </row>
    <row r="298">
      <c r="A298" s="11" t="s">
        <v>701</v>
      </c>
      <c r="B298" s="11" t="s">
        <v>268</v>
      </c>
      <c r="C298" s="11" t="s">
        <v>702</v>
      </c>
      <c r="D298" s="11" t="s">
        <v>703</v>
      </c>
      <c r="E298" s="11" t="s">
        <v>74</v>
      </c>
      <c r="F298" s="11">
        <v>1994.0</v>
      </c>
      <c r="G298" s="40">
        <v>768.0</v>
      </c>
      <c r="H298" s="40">
        <f t="shared" ref="H298:I298" si="315">F298-F297</f>
        <v>1</v>
      </c>
      <c r="I298" s="40">
        <f t="shared" si="315"/>
        <v>99</v>
      </c>
      <c r="J298" s="73">
        <f t="shared" si="308"/>
        <v>0.1479820628</v>
      </c>
      <c r="K298" s="66">
        <f t="shared" si="309"/>
        <v>0.1479820628</v>
      </c>
      <c r="L298" s="29" t="s">
        <v>260</v>
      </c>
    </row>
    <row r="299">
      <c r="A299" s="11" t="s">
        <v>701</v>
      </c>
      <c r="B299" s="11" t="s">
        <v>268</v>
      </c>
      <c r="C299" s="11" t="s">
        <v>702</v>
      </c>
      <c r="D299" s="11" t="s">
        <v>703</v>
      </c>
      <c r="E299" s="11" t="s">
        <v>74</v>
      </c>
      <c r="F299" s="11">
        <v>1995.0</v>
      </c>
      <c r="G299" s="40">
        <v>893.0</v>
      </c>
      <c r="H299" s="40">
        <f t="shared" ref="H299:I299" si="316">F299-F298</f>
        <v>1</v>
      </c>
      <c r="I299" s="40">
        <f t="shared" si="316"/>
        <v>125</v>
      </c>
      <c r="J299" s="73">
        <f t="shared" si="308"/>
        <v>0.1627604167</v>
      </c>
      <c r="K299" s="66">
        <f t="shared" si="309"/>
        <v>0.1627604167</v>
      </c>
      <c r="L299" s="29" t="s">
        <v>260</v>
      </c>
    </row>
    <row r="300">
      <c r="A300" s="11" t="s">
        <v>701</v>
      </c>
      <c r="B300" s="11" t="s">
        <v>268</v>
      </c>
      <c r="C300" s="11" t="s">
        <v>702</v>
      </c>
      <c r="D300" s="11" t="s">
        <v>703</v>
      </c>
      <c r="E300" s="11" t="s">
        <v>74</v>
      </c>
      <c r="F300" s="11">
        <v>1996.0</v>
      </c>
      <c r="G300" s="40">
        <v>1017.0</v>
      </c>
      <c r="H300" s="40">
        <f t="shared" ref="H300:I300" si="317">F300-F299</f>
        <v>1</v>
      </c>
      <c r="I300" s="40">
        <f t="shared" si="317"/>
        <v>124</v>
      </c>
      <c r="J300" s="73">
        <f t="shared" si="308"/>
        <v>0.1388577828</v>
      </c>
      <c r="K300" s="66">
        <f t="shared" si="309"/>
        <v>0.1388577828</v>
      </c>
      <c r="L300" s="29" t="s">
        <v>260</v>
      </c>
    </row>
    <row r="301">
      <c r="A301" s="11" t="s">
        <v>701</v>
      </c>
      <c r="B301" s="11" t="s">
        <v>268</v>
      </c>
      <c r="C301" s="11" t="s">
        <v>702</v>
      </c>
      <c r="D301" s="11" t="s">
        <v>703</v>
      </c>
      <c r="E301" s="11" t="s">
        <v>74</v>
      </c>
      <c r="F301" s="11">
        <v>1997.0</v>
      </c>
      <c r="G301" s="40">
        <v>1167.0</v>
      </c>
      <c r="H301" s="40">
        <f t="shared" ref="H301:I301" si="318">F301-F300</f>
        <v>1</v>
      </c>
      <c r="I301" s="40">
        <f t="shared" si="318"/>
        <v>150</v>
      </c>
      <c r="J301" s="73">
        <f t="shared" si="308"/>
        <v>0.1474926254</v>
      </c>
      <c r="K301" s="66">
        <f t="shared" si="309"/>
        <v>0.1474926254</v>
      </c>
      <c r="L301" s="29" t="s">
        <v>260</v>
      </c>
    </row>
    <row r="302">
      <c r="A302" s="11" t="s">
        <v>701</v>
      </c>
      <c r="B302" s="11" t="s">
        <v>268</v>
      </c>
      <c r="C302" s="11" t="s">
        <v>702</v>
      </c>
      <c r="D302" s="11" t="s">
        <v>703</v>
      </c>
      <c r="E302" s="11" t="s">
        <v>74</v>
      </c>
      <c r="F302" s="11">
        <v>1998.0</v>
      </c>
      <c r="G302" s="40">
        <v>1266.0</v>
      </c>
      <c r="H302" s="40">
        <f t="shared" ref="H302:I302" si="319">F302-F301</f>
        <v>1</v>
      </c>
      <c r="I302" s="40">
        <f t="shared" si="319"/>
        <v>99</v>
      </c>
      <c r="J302" s="73">
        <f t="shared" si="308"/>
        <v>0.08483290488</v>
      </c>
      <c r="K302" s="66">
        <f t="shared" si="309"/>
        <v>0.08483290488</v>
      </c>
      <c r="L302" s="29" t="s">
        <v>260</v>
      </c>
    </row>
    <row r="303">
      <c r="A303" s="11" t="s">
        <v>701</v>
      </c>
      <c r="B303" s="11" t="s">
        <v>268</v>
      </c>
      <c r="C303" s="11" t="s">
        <v>702</v>
      </c>
      <c r="D303" s="11" t="s">
        <v>703</v>
      </c>
      <c r="E303" s="11" t="s">
        <v>74</v>
      </c>
      <c r="F303" s="11">
        <v>1999.0</v>
      </c>
      <c r="G303" s="40">
        <v>1441.0</v>
      </c>
      <c r="H303" s="40">
        <f t="shared" ref="H303:I303" si="320">F303-F302</f>
        <v>1</v>
      </c>
      <c r="I303" s="40">
        <f t="shared" si="320"/>
        <v>175</v>
      </c>
      <c r="J303" s="73">
        <f t="shared" si="308"/>
        <v>0.1382306477</v>
      </c>
      <c r="K303" s="66">
        <f t="shared" si="309"/>
        <v>0.1382306477</v>
      </c>
      <c r="L303" s="29" t="s">
        <v>260</v>
      </c>
    </row>
    <row r="304">
      <c r="A304" s="11" t="s">
        <v>701</v>
      </c>
      <c r="B304" s="11" t="s">
        <v>268</v>
      </c>
      <c r="C304" s="11" t="s">
        <v>702</v>
      </c>
      <c r="D304" s="11" t="s">
        <v>703</v>
      </c>
      <c r="E304" s="11" t="s">
        <v>74</v>
      </c>
      <c r="F304" s="11">
        <v>2000.0</v>
      </c>
      <c r="G304" s="40">
        <v>1590.0</v>
      </c>
      <c r="H304" s="40">
        <f t="shared" ref="H304:I304" si="321">F304-F303</f>
        <v>1</v>
      </c>
      <c r="I304" s="40">
        <f t="shared" si="321"/>
        <v>149</v>
      </c>
      <c r="J304" s="73">
        <f t="shared" si="308"/>
        <v>0.1034004164</v>
      </c>
      <c r="K304" s="66">
        <f t="shared" si="309"/>
        <v>0.1034004164</v>
      </c>
      <c r="L304" s="29" t="s">
        <v>260</v>
      </c>
    </row>
    <row r="305">
      <c r="A305" s="11" t="s">
        <v>701</v>
      </c>
      <c r="B305" s="11" t="s">
        <v>268</v>
      </c>
      <c r="C305" s="11" t="s">
        <v>702</v>
      </c>
      <c r="D305" s="11" t="s">
        <v>703</v>
      </c>
      <c r="E305" s="11" t="s">
        <v>74</v>
      </c>
      <c r="F305" s="11">
        <v>2001.0</v>
      </c>
      <c r="G305" s="40">
        <v>1765.0</v>
      </c>
      <c r="H305" s="40">
        <f t="shared" ref="H305:I305" si="322">F305-F304</f>
        <v>1</v>
      </c>
      <c r="I305" s="40">
        <f t="shared" si="322"/>
        <v>175</v>
      </c>
      <c r="J305" s="73">
        <f t="shared" si="308"/>
        <v>0.1100628931</v>
      </c>
      <c r="K305" s="66">
        <f t="shared" si="309"/>
        <v>0.1100628931</v>
      </c>
      <c r="L305" s="29" t="s">
        <v>260</v>
      </c>
    </row>
    <row r="306">
      <c r="A306" s="11" t="s">
        <v>701</v>
      </c>
      <c r="B306" s="11" t="s">
        <v>268</v>
      </c>
      <c r="C306" s="11" t="s">
        <v>702</v>
      </c>
      <c r="D306" s="11" t="s">
        <v>703</v>
      </c>
      <c r="E306" s="11" t="s">
        <v>74</v>
      </c>
      <c r="F306" s="11">
        <v>2002.0</v>
      </c>
      <c r="G306" s="40">
        <v>1964.0</v>
      </c>
      <c r="H306" s="40">
        <f t="shared" ref="H306:I306" si="323">F306-F305</f>
        <v>1</v>
      </c>
      <c r="I306" s="40">
        <f t="shared" si="323"/>
        <v>199</v>
      </c>
      <c r="J306" s="73">
        <f t="shared" si="308"/>
        <v>0.1127478754</v>
      </c>
      <c r="K306" s="66">
        <f t="shared" si="309"/>
        <v>0.1127478754</v>
      </c>
      <c r="L306" s="29" t="s">
        <v>260</v>
      </c>
    </row>
    <row r="307">
      <c r="A307" s="11" t="s">
        <v>701</v>
      </c>
      <c r="B307" s="11" t="s">
        <v>268</v>
      </c>
      <c r="C307" s="11" t="s">
        <v>702</v>
      </c>
      <c r="D307" s="11" t="s">
        <v>703</v>
      </c>
      <c r="E307" s="11" t="s">
        <v>74</v>
      </c>
      <c r="F307" s="11">
        <v>2003.0</v>
      </c>
      <c r="G307" s="40">
        <v>2089.0</v>
      </c>
      <c r="H307" s="40">
        <f t="shared" ref="H307:I307" si="324">F307-F306</f>
        <v>1</v>
      </c>
      <c r="I307" s="40">
        <f t="shared" si="324"/>
        <v>125</v>
      </c>
      <c r="J307" s="73">
        <f t="shared" si="308"/>
        <v>0.06364562118</v>
      </c>
      <c r="K307" s="66">
        <f t="shared" si="309"/>
        <v>0.06364562118</v>
      </c>
      <c r="L307" s="29" t="s">
        <v>260</v>
      </c>
    </row>
    <row r="308">
      <c r="A308" s="11" t="s">
        <v>701</v>
      </c>
      <c r="B308" s="11" t="s">
        <v>268</v>
      </c>
      <c r="C308" s="11" t="s">
        <v>702</v>
      </c>
      <c r="D308" s="11" t="s">
        <v>703</v>
      </c>
      <c r="E308" s="11" t="s">
        <v>74</v>
      </c>
      <c r="F308" s="11">
        <v>2004.0</v>
      </c>
      <c r="G308" s="40">
        <v>2238.0</v>
      </c>
      <c r="H308" s="40">
        <f t="shared" ref="H308:I308" si="325">F308-F307</f>
        <v>1</v>
      </c>
      <c r="I308" s="40">
        <f t="shared" si="325"/>
        <v>149</v>
      </c>
      <c r="J308" s="73">
        <f t="shared" si="308"/>
        <v>0.0713259933</v>
      </c>
      <c r="K308" s="66">
        <f t="shared" si="309"/>
        <v>0.0713259933</v>
      </c>
      <c r="L308" s="29" t="s">
        <v>260</v>
      </c>
    </row>
    <row r="309">
      <c r="A309" s="11" t="s">
        <v>701</v>
      </c>
      <c r="B309" s="11" t="s">
        <v>268</v>
      </c>
      <c r="C309" s="11" t="s">
        <v>702</v>
      </c>
      <c r="D309" s="11" t="s">
        <v>703</v>
      </c>
      <c r="E309" s="11" t="s">
        <v>74</v>
      </c>
      <c r="F309" s="11">
        <v>2005.0</v>
      </c>
      <c r="G309" s="40">
        <v>2413.0</v>
      </c>
      <c r="H309" s="40">
        <f t="shared" ref="H309:I309" si="326">F309-F308</f>
        <v>1</v>
      </c>
      <c r="I309" s="40">
        <f t="shared" si="326"/>
        <v>175</v>
      </c>
      <c r="J309" s="73">
        <f t="shared" si="308"/>
        <v>0.0781948168</v>
      </c>
      <c r="K309" s="66">
        <f t="shared" si="309"/>
        <v>0.0781948168</v>
      </c>
      <c r="L309" s="29" t="s">
        <v>260</v>
      </c>
    </row>
    <row r="310">
      <c r="A310" s="11" t="s">
        <v>701</v>
      </c>
      <c r="B310" s="11" t="s">
        <v>268</v>
      </c>
      <c r="C310" s="11" t="s">
        <v>702</v>
      </c>
      <c r="D310" s="11" t="s">
        <v>703</v>
      </c>
      <c r="E310" s="11" t="s">
        <v>74</v>
      </c>
      <c r="F310" s="11">
        <v>2006.0</v>
      </c>
      <c r="G310" s="40">
        <v>2587.0</v>
      </c>
      <c r="H310" s="40">
        <f t="shared" ref="H310:I310" si="327">F310-F309</f>
        <v>1</v>
      </c>
      <c r="I310" s="40">
        <f t="shared" si="327"/>
        <v>174</v>
      </c>
      <c r="J310" s="73">
        <f t="shared" si="308"/>
        <v>0.07210940738</v>
      </c>
      <c r="K310" s="66">
        <f t="shared" si="309"/>
        <v>0.07210940738</v>
      </c>
      <c r="L310" s="29" t="s">
        <v>260</v>
      </c>
    </row>
    <row r="311">
      <c r="A311" s="11" t="s">
        <v>701</v>
      </c>
      <c r="B311" s="11" t="s">
        <v>268</v>
      </c>
      <c r="C311" s="11" t="s">
        <v>702</v>
      </c>
      <c r="D311" s="11" t="s">
        <v>703</v>
      </c>
      <c r="E311" s="11" t="s">
        <v>74</v>
      </c>
      <c r="F311" s="11">
        <v>2007.0</v>
      </c>
      <c r="G311" s="40">
        <v>2837.0</v>
      </c>
      <c r="H311" s="40">
        <f t="shared" ref="H311:I311" si="328">F311-F310</f>
        <v>1</v>
      </c>
      <c r="I311" s="40">
        <f t="shared" si="328"/>
        <v>250</v>
      </c>
      <c r="J311" s="73">
        <f t="shared" si="308"/>
        <v>0.09663703131</v>
      </c>
      <c r="K311" s="66">
        <f t="shared" si="309"/>
        <v>0.09663703131</v>
      </c>
      <c r="L311" s="29" t="s">
        <v>260</v>
      </c>
    </row>
    <row r="312">
      <c r="A312" s="11" t="s">
        <v>701</v>
      </c>
      <c r="B312" s="11" t="s">
        <v>268</v>
      </c>
      <c r="C312" s="11" t="s">
        <v>702</v>
      </c>
      <c r="D312" s="11" t="s">
        <v>703</v>
      </c>
      <c r="E312" s="11" t="s">
        <v>74</v>
      </c>
      <c r="F312" s="11">
        <v>2008.0</v>
      </c>
      <c r="G312" s="40">
        <v>3087.0</v>
      </c>
      <c r="H312" s="40">
        <f t="shared" ref="H312:I312" si="329">F312-F311</f>
        <v>1</v>
      </c>
      <c r="I312" s="40">
        <f t="shared" si="329"/>
        <v>250</v>
      </c>
      <c r="J312" s="73">
        <f t="shared" si="308"/>
        <v>0.08812125485</v>
      </c>
      <c r="K312" s="66">
        <f t="shared" si="309"/>
        <v>0.08812125485</v>
      </c>
      <c r="L312" s="29" t="s">
        <v>260</v>
      </c>
    </row>
    <row r="313">
      <c r="A313" s="11" t="s">
        <v>701</v>
      </c>
      <c r="B313" s="11" t="s">
        <v>268</v>
      </c>
      <c r="C313" s="11" t="s">
        <v>702</v>
      </c>
      <c r="D313" s="11" t="s">
        <v>703</v>
      </c>
      <c r="E313" s="11" t="s">
        <v>74</v>
      </c>
      <c r="F313" s="11">
        <v>2009.0</v>
      </c>
      <c r="G313" s="40">
        <v>3437.0</v>
      </c>
      <c r="H313" s="40">
        <f t="shared" ref="H313:I313" si="330">F313-F312</f>
        <v>1</v>
      </c>
      <c r="I313" s="40">
        <f t="shared" si="330"/>
        <v>350</v>
      </c>
      <c r="J313" s="73">
        <f t="shared" si="308"/>
        <v>0.1133786848</v>
      </c>
      <c r="K313" s="66">
        <f t="shared" si="309"/>
        <v>0.1133786848</v>
      </c>
      <c r="L313" s="29" t="s">
        <v>260</v>
      </c>
    </row>
    <row r="314">
      <c r="A314" s="11" t="s">
        <v>701</v>
      </c>
      <c r="B314" s="11" t="s">
        <v>268</v>
      </c>
      <c r="C314" s="11" t="s">
        <v>702</v>
      </c>
      <c r="D314" s="11" t="s">
        <v>703</v>
      </c>
      <c r="E314" s="11" t="s">
        <v>74</v>
      </c>
      <c r="F314" s="11">
        <v>2010.0</v>
      </c>
      <c r="G314" s="40">
        <v>3737.0</v>
      </c>
      <c r="H314" s="40">
        <f t="shared" ref="H314:I314" si="331">F314-F313</f>
        <v>1</v>
      </c>
      <c r="I314" s="40">
        <f t="shared" si="331"/>
        <v>300</v>
      </c>
      <c r="J314" s="73">
        <f t="shared" si="308"/>
        <v>0.08728542333</v>
      </c>
      <c r="K314" s="66">
        <f t="shared" si="309"/>
        <v>0.08728542333</v>
      </c>
      <c r="L314" s="29" t="s">
        <v>260</v>
      </c>
    </row>
    <row r="315">
      <c r="A315" s="11" t="s">
        <v>701</v>
      </c>
      <c r="B315" s="11" t="s">
        <v>268</v>
      </c>
      <c r="C315" s="11" t="s">
        <v>702</v>
      </c>
      <c r="D315" s="11" t="s">
        <v>703</v>
      </c>
      <c r="E315" s="11" t="s">
        <v>74</v>
      </c>
      <c r="F315" s="11">
        <v>2011.0</v>
      </c>
      <c r="G315" s="40">
        <v>4087.0</v>
      </c>
      <c r="H315" s="40">
        <f t="shared" ref="H315:I315" si="332">F315-F314</f>
        <v>1</v>
      </c>
      <c r="I315" s="40">
        <f t="shared" si="332"/>
        <v>350</v>
      </c>
      <c r="J315" s="73">
        <f t="shared" si="308"/>
        <v>0.09365801445</v>
      </c>
      <c r="K315" s="66">
        <f t="shared" si="309"/>
        <v>0.09365801445</v>
      </c>
      <c r="L315" s="29" t="s">
        <v>260</v>
      </c>
    </row>
    <row r="316">
      <c r="A316" s="11" t="s">
        <v>278</v>
      </c>
      <c r="B316" s="11" t="s">
        <v>268</v>
      </c>
      <c r="C316" s="11" t="s">
        <v>710</v>
      </c>
      <c r="D316" s="11" t="s">
        <v>703</v>
      </c>
      <c r="E316" s="11" t="s">
        <v>158</v>
      </c>
      <c r="F316" s="11">
        <v>1986.0</v>
      </c>
      <c r="G316" s="40">
        <v>1573.0</v>
      </c>
      <c r="H316" s="40" t="s">
        <v>188</v>
      </c>
      <c r="I316" s="40" t="s">
        <v>188</v>
      </c>
      <c r="J316" s="73" t="s">
        <v>188</v>
      </c>
      <c r="K316" s="66" t="s">
        <v>188</v>
      </c>
      <c r="L316" s="29" t="s">
        <v>260</v>
      </c>
    </row>
    <row r="317">
      <c r="A317" s="11" t="s">
        <v>278</v>
      </c>
      <c r="B317" s="11" t="s">
        <v>268</v>
      </c>
      <c r="C317" s="11" t="s">
        <v>710</v>
      </c>
      <c r="D317" s="11" t="s">
        <v>703</v>
      </c>
      <c r="E317" s="11" t="s">
        <v>158</v>
      </c>
      <c r="F317" s="11">
        <v>1987.0</v>
      </c>
      <c r="G317" s="40">
        <v>1527.0</v>
      </c>
      <c r="H317" s="40">
        <f t="shared" ref="H317:I317" si="333">F317-F316</f>
        <v>1</v>
      </c>
      <c r="I317" s="40">
        <f t="shared" si="333"/>
        <v>-46</v>
      </c>
      <c r="J317" s="73">
        <f t="shared" ref="J317:J343" si="335">I317/G316</f>
        <v>-0.02924348379</v>
      </c>
      <c r="K317" s="66">
        <f t="shared" ref="K317:K343" si="336">J317/H317</f>
        <v>-0.02924348379</v>
      </c>
      <c r="L317" s="29" t="s">
        <v>260</v>
      </c>
    </row>
    <row r="318">
      <c r="A318" s="11" t="s">
        <v>278</v>
      </c>
      <c r="B318" s="11" t="s">
        <v>268</v>
      </c>
      <c r="C318" s="11" t="s">
        <v>710</v>
      </c>
      <c r="D318" s="11" t="s">
        <v>703</v>
      </c>
      <c r="E318" s="11" t="s">
        <v>158</v>
      </c>
      <c r="F318" s="11">
        <v>1988.0</v>
      </c>
      <c r="G318" s="40">
        <v>1548.0</v>
      </c>
      <c r="H318" s="40">
        <f t="shared" ref="H318:I318" si="334">F318-F317</f>
        <v>1</v>
      </c>
      <c r="I318" s="40">
        <f t="shared" si="334"/>
        <v>21</v>
      </c>
      <c r="J318" s="73">
        <f t="shared" si="335"/>
        <v>0.0137524558</v>
      </c>
      <c r="K318" s="66">
        <f t="shared" si="336"/>
        <v>0.0137524558</v>
      </c>
      <c r="L318" s="29" t="s">
        <v>260</v>
      </c>
    </row>
    <row r="319">
      <c r="A319" s="11" t="s">
        <v>278</v>
      </c>
      <c r="B319" s="11" t="s">
        <v>268</v>
      </c>
      <c r="C319" s="11" t="s">
        <v>710</v>
      </c>
      <c r="D319" s="11" t="s">
        <v>703</v>
      </c>
      <c r="E319" s="11" t="s">
        <v>158</v>
      </c>
      <c r="F319" s="11">
        <v>1989.0</v>
      </c>
      <c r="G319" s="40">
        <v>1662.0</v>
      </c>
      <c r="H319" s="40">
        <f t="shared" ref="H319:I319" si="337">F319-F318</f>
        <v>1</v>
      </c>
      <c r="I319" s="40">
        <f t="shared" si="337"/>
        <v>114</v>
      </c>
      <c r="J319" s="73">
        <f t="shared" si="335"/>
        <v>0.07364341085</v>
      </c>
      <c r="K319" s="66">
        <f t="shared" si="336"/>
        <v>0.07364341085</v>
      </c>
      <c r="L319" s="29" t="s">
        <v>260</v>
      </c>
    </row>
    <row r="320">
      <c r="A320" s="11" t="s">
        <v>278</v>
      </c>
      <c r="B320" s="11" t="s">
        <v>268</v>
      </c>
      <c r="C320" s="11" t="s">
        <v>710</v>
      </c>
      <c r="D320" s="11" t="s">
        <v>703</v>
      </c>
      <c r="E320" s="11" t="s">
        <v>158</v>
      </c>
      <c r="F320" s="11">
        <v>1990.0</v>
      </c>
      <c r="G320" s="40">
        <v>1729.0</v>
      </c>
      <c r="H320" s="40">
        <f t="shared" ref="H320:I320" si="338">F320-F319</f>
        <v>1</v>
      </c>
      <c r="I320" s="40">
        <f t="shared" si="338"/>
        <v>67</v>
      </c>
      <c r="J320" s="73">
        <f t="shared" si="335"/>
        <v>0.04031287605</v>
      </c>
      <c r="K320" s="66">
        <f t="shared" si="336"/>
        <v>0.04031287605</v>
      </c>
      <c r="L320" s="29" t="s">
        <v>260</v>
      </c>
    </row>
    <row r="321">
      <c r="A321" s="11" t="s">
        <v>278</v>
      </c>
      <c r="B321" s="11" t="s">
        <v>268</v>
      </c>
      <c r="C321" s="11" t="s">
        <v>710</v>
      </c>
      <c r="D321" s="11" t="s">
        <v>703</v>
      </c>
      <c r="E321" s="11" t="s">
        <v>158</v>
      </c>
      <c r="F321" s="11">
        <v>1991.0</v>
      </c>
      <c r="G321" s="40">
        <v>1751.0</v>
      </c>
      <c r="H321" s="40">
        <f t="shared" ref="H321:I321" si="339">F321-F320</f>
        <v>1</v>
      </c>
      <c r="I321" s="40">
        <f t="shared" si="339"/>
        <v>22</v>
      </c>
      <c r="J321" s="73">
        <f t="shared" si="335"/>
        <v>0.01272411799</v>
      </c>
      <c r="K321" s="66">
        <f t="shared" si="336"/>
        <v>0.01272411799</v>
      </c>
      <c r="L321" s="29" t="s">
        <v>260</v>
      </c>
    </row>
    <row r="322">
      <c r="A322" s="11" t="s">
        <v>278</v>
      </c>
      <c r="B322" s="11" t="s">
        <v>268</v>
      </c>
      <c r="C322" s="11" t="s">
        <v>710</v>
      </c>
      <c r="D322" s="11" t="s">
        <v>703</v>
      </c>
      <c r="E322" s="11" t="s">
        <v>158</v>
      </c>
      <c r="F322" s="11">
        <v>1992.0</v>
      </c>
      <c r="G322" s="40">
        <v>1727.0</v>
      </c>
      <c r="H322" s="40">
        <f t="shared" ref="H322:I322" si="340">F322-F321</f>
        <v>1</v>
      </c>
      <c r="I322" s="40">
        <f t="shared" si="340"/>
        <v>-24</v>
      </c>
      <c r="J322" s="73">
        <f t="shared" si="335"/>
        <v>-0.01370645346</v>
      </c>
      <c r="K322" s="66">
        <f t="shared" si="336"/>
        <v>-0.01370645346</v>
      </c>
      <c r="L322" s="29" t="s">
        <v>260</v>
      </c>
    </row>
    <row r="323">
      <c r="A323" s="11" t="s">
        <v>278</v>
      </c>
      <c r="B323" s="11" t="s">
        <v>268</v>
      </c>
      <c r="C323" s="11" t="s">
        <v>710</v>
      </c>
      <c r="D323" s="11" t="s">
        <v>703</v>
      </c>
      <c r="E323" s="11" t="s">
        <v>158</v>
      </c>
      <c r="F323" s="11">
        <v>1993.0</v>
      </c>
      <c r="G323" s="40">
        <v>1749.0</v>
      </c>
      <c r="H323" s="40">
        <f t="shared" ref="H323:I323" si="341">F323-F322</f>
        <v>1</v>
      </c>
      <c r="I323" s="40">
        <f t="shared" si="341"/>
        <v>22</v>
      </c>
      <c r="J323" s="73">
        <f t="shared" si="335"/>
        <v>0.0127388535</v>
      </c>
      <c r="K323" s="66">
        <f t="shared" si="336"/>
        <v>0.0127388535</v>
      </c>
      <c r="L323" s="29" t="s">
        <v>260</v>
      </c>
    </row>
    <row r="324">
      <c r="A324" s="11" t="s">
        <v>278</v>
      </c>
      <c r="B324" s="11" t="s">
        <v>268</v>
      </c>
      <c r="C324" s="11" t="s">
        <v>710</v>
      </c>
      <c r="D324" s="11" t="s">
        <v>703</v>
      </c>
      <c r="E324" s="11" t="s">
        <v>158</v>
      </c>
      <c r="F324" s="11">
        <v>1994.0</v>
      </c>
      <c r="G324" s="40">
        <v>1794.0</v>
      </c>
      <c r="H324" s="40">
        <f t="shared" ref="H324:I324" si="342">F324-F323</f>
        <v>1</v>
      </c>
      <c r="I324" s="40">
        <f t="shared" si="342"/>
        <v>45</v>
      </c>
      <c r="J324" s="73">
        <f t="shared" si="335"/>
        <v>0.02572898799</v>
      </c>
      <c r="K324" s="66">
        <f t="shared" si="336"/>
        <v>0.02572898799</v>
      </c>
      <c r="L324" s="29" t="s">
        <v>260</v>
      </c>
    </row>
    <row r="325">
      <c r="A325" s="11" t="s">
        <v>278</v>
      </c>
      <c r="B325" s="11" t="s">
        <v>268</v>
      </c>
      <c r="C325" s="11" t="s">
        <v>710</v>
      </c>
      <c r="D325" s="11" t="s">
        <v>703</v>
      </c>
      <c r="E325" s="11" t="s">
        <v>158</v>
      </c>
      <c r="F325" s="11">
        <v>1995.0</v>
      </c>
      <c r="G325" s="40">
        <v>1884.0</v>
      </c>
      <c r="H325" s="40">
        <f t="shared" ref="H325:I325" si="343">F325-F324</f>
        <v>1</v>
      </c>
      <c r="I325" s="40">
        <f t="shared" si="343"/>
        <v>90</v>
      </c>
      <c r="J325" s="73">
        <f t="shared" si="335"/>
        <v>0.05016722408</v>
      </c>
      <c r="K325" s="66">
        <f t="shared" si="336"/>
        <v>0.05016722408</v>
      </c>
      <c r="L325" s="29" t="s">
        <v>260</v>
      </c>
    </row>
    <row r="326">
      <c r="A326" s="11" t="s">
        <v>278</v>
      </c>
      <c r="B326" s="11" t="s">
        <v>268</v>
      </c>
      <c r="C326" s="11" t="s">
        <v>710</v>
      </c>
      <c r="D326" s="11" t="s">
        <v>703</v>
      </c>
      <c r="E326" s="11" t="s">
        <v>158</v>
      </c>
      <c r="F326" s="11">
        <v>1996.0</v>
      </c>
      <c r="G326" s="40">
        <v>1906.0</v>
      </c>
      <c r="H326" s="40">
        <f t="shared" ref="H326:I326" si="344">F326-F325</f>
        <v>1</v>
      </c>
      <c r="I326" s="40">
        <f t="shared" si="344"/>
        <v>22</v>
      </c>
      <c r="J326" s="73">
        <f t="shared" si="335"/>
        <v>0.01167728238</v>
      </c>
      <c r="K326" s="66">
        <f t="shared" si="336"/>
        <v>0.01167728238</v>
      </c>
      <c r="L326" s="29" t="s">
        <v>260</v>
      </c>
    </row>
    <row r="327">
      <c r="A327" s="11" t="s">
        <v>278</v>
      </c>
      <c r="B327" s="11" t="s">
        <v>268</v>
      </c>
      <c r="C327" s="11" t="s">
        <v>710</v>
      </c>
      <c r="D327" s="11" t="s">
        <v>703</v>
      </c>
      <c r="E327" s="11" t="s">
        <v>158</v>
      </c>
      <c r="F327" s="11">
        <v>1997.0</v>
      </c>
      <c r="G327" s="40">
        <v>1950.0</v>
      </c>
      <c r="H327" s="40">
        <f t="shared" ref="H327:I327" si="345">F327-F326</f>
        <v>1</v>
      </c>
      <c r="I327" s="40">
        <f t="shared" si="345"/>
        <v>44</v>
      </c>
      <c r="J327" s="73">
        <f t="shared" si="335"/>
        <v>0.02308499475</v>
      </c>
      <c r="K327" s="66">
        <f t="shared" si="336"/>
        <v>0.02308499475</v>
      </c>
      <c r="L327" s="29" t="s">
        <v>260</v>
      </c>
    </row>
    <row r="328">
      <c r="A328" s="11" t="s">
        <v>278</v>
      </c>
      <c r="B328" s="11" t="s">
        <v>268</v>
      </c>
      <c r="C328" s="11" t="s">
        <v>710</v>
      </c>
      <c r="D328" s="11" t="s">
        <v>703</v>
      </c>
      <c r="E328" s="11" t="s">
        <v>158</v>
      </c>
      <c r="F328" s="11">
        <v>1998.0</v>
      </c>
      <c r="G328" s="40">
        <v>1972.0</v>
      </c>
      <c r="H328" s="40">
        <f t="shared" ref="H328:I328" si="346">F328-F327</f>
        <v>1</v>
      </c>
      <c r="I328" s="40">
        <f t="shared" si="346"/>
        <v>22</v>
      </c>
      <c r="J328" s="73">
        <f t="shared" si="335"/>
        <v>0.01128205128</v>
      </c>
      <c r="K328" s="66">
        <f t="shared" si="336"/>
        <v>0.01128205128</v>
      </c>
      <c r="L328" s="29" t="s">
        <v>260</v>
      </c>
    </row>
    <row r="329">
      <c r="A329" s="11" t="s">
        <v>278</v>
      </c>
      <c r="B329" s="11" t="s">
        <v>268</v>
      </c>
      <c r="C329" s="11" t="s">
        <v>710</v>
      </c>
      <c r="D329" s="11" t="s">
        <v>703</v>
      </c>
      <c r="E329" s="11" t="s">
        <v>158</v>
      </c>
      <c r="F329" s="11">
        <v>1999.0</v>
      </c>
      <c r="G329" s="40">
        <v>1926.0</v>
      </c>
      <c r="H329" s="40">
        <f t="shared" ref="H329:I329" si="347">F329-F328</f>
        <v>1</v>
      </c>
      <c r="I329" s="40">
        <f t="shared" si="347"/>
        <v>-46</v>
      </c>
      <c r="J329" s="73">
        <f t="shared" si="335"/>
        <v>-0.02332657201</v>
      </c>
      <c r="K329" s="66">
        <f t="shared" si="336"/>
        <v>-0.02332657201</v>
      </c>
      <c r="L329" s="29" t="s">
        <v>260</v>
      </c>
    </row>
    <row r="330">
      <c r="A330" s="11" t="s">
        <v>278</v>
      </c>
      <c r="B330" s="11" t="s">
        <v>268</v>
      </c>
      <c r="C330" s="11" t="s">
        <v>710</v>
      </c>
      <c r="D330" s="11" t="s">
        <v>703</v>
      </c>
      <c r="E330" s="11" t="s">
        <v>158</v>
      </c>
      <c r="F330" s="11">
        <v>2000.0</v>
      </c>
      <c r="G330" s="40">
        <v>1948.0</v>
      </c>
      <c r="H330" s="40">
        <f t="shared" ref="H330:I330" si="348">F330-F329</f>
        <v>1</v>
      </c>
      <c r="I330" s="40">
        <f t="shared" si="348"/>
        <v>22</v>
      </c>
      <c r="J330" s="73">
        <f t="shared" si="335"/>
        <v>0.01142263759</v>
      </c>
      <c r="K330" s="66">
        <f t="shared" si="336"/>
        <v>0.01142263759</v>
      </c>
      <c r="L330" s="29" t="s">
        <v>260</v>
      </c>
    </row>
    <row r="331">
      <c r="A331" s="11" t="s">
        <v>278</v>
      </c>
      <c r="B331" s="11" t="s">
        <v>268</v>
      </c>
      <c r="C331" s="11" t="s">
        <v>710</v>
      </c>
      <c r="D331" s="11" t="s">
        <v>703</v>
      </c>
      <c r="E331" s="11" t="s">
        <v>158</v>
      </c>
      <c r="F331" s="11">
        <v>2001.0</v>
      </c>
      <c r="G331" s="40">
        <v>2061.0</v>
      </c>
      <c r="H331" s="40">
        <f t="shared" ref="H331:I331" si="349">F331-F330</f>
        <v>1</v>
      </c>
      <c r="I331" s="40">
        <f t="shared" si="349"/>
        <v>113</v>
      </c>
      <c r="J331" s="73">
        <f t="shared" si="335"/>
        <v>0.05800821355</v>
      </c>
      <c r="K331" s="66">
        <f t="shared" si="336"/>
        <v>0.05800821355</v>
      </c>
      <c r="L331" s="29" t="s">
        <v>260</v>
      </c>
    </row>
    <row r="332">
      <c r="A332" s="11" t="s">
        <v>278</v>
      </c>
      <c r="B332" s="11" t="s">
        <v>268</v>
      </c>
      <c r="C332" s="11" t="s">
        <v>710</v>
      </c>
      <c r="D332" s="11" t="s">
        <v>703</v>
      </c>
      <c r="E332" s="11" t="s">
        <v>158</v>
      </c>
      <c r="F332" s="11">
        <v>2002.0</v>
      </c>
      <c r="G332" s="40">
        <v>2151.0</v>
      </c>
      <c r="H332" s="40">
        <f t="shared" ref="H332:I332" si="350">F332-F331</f>
        <v>1</v>
      </c>
      <c r="I332" s="40">
        <f t="shared" si="350"/>
        <v>90</v>
      </c>
      <c r="J332" s="73">
        <f t="shared" si="335"/>
        <v>0.04366812227</v>
      </c>
      <c r="K332" s="66">
        <f t="shared" si="336"/>
        <v>0.04366812227</v>
      </c>
      <c r="L332" s="29" t="s">
        <v>260</v>
      </c>
    </row>
    <row r="333">
      <c r="A333" s="11" t="s">
        <v>278</v>
      </c>
      <c r="B333" s="11" t="s">
        <v>268</v>
      </c>
      <c r="C333" s="11" t="s">
        <v>710</v>
      </c>
      <c r="D333" s="11" t="s">
        <v>703</v>
      </c>
      <c r="E333" s="11" t="s">
        <v>158</v>
      </c>
      <c r="F333" s="11">
        <v>2003.0</v>
      </c>
      <c r="G333" s="40">
        <v>2241.0</v>
      </c>
      <c r="H333" s="40">
        <f t="shared" ref="H333:I333" si="351">F333-F332</f>
        <v>1</v>
      </c>
      <c r="I333" s="40">
        <f t="shared" si="351"/>
        <v>90</v>
      </c>
      <c r="J333" s="73">
        <f t="shared" si="335"/>
        <v>0.04184100418</v>
      </c>
      <c r="K333" s="66">
        <f t="shared" si="336"/>
        <v>0.04184100418</v>
      </c>
      <c r="L333" s="29" t="s">
        <v>260</v>
      </c>
    </row>
    <row r="334">
      <c r="A334" s="11" t="s">
        <v>278</v>
      </c>
      <c r="B334" s="11" t="s">
        <v>268</v>
      </c>
      <c r="C334" s="11" t="s">
        <v>710</v>
      </c>
      <c r="D334" s="11" t="s">
        <v>703</v>
      </c>
      <c r="E334" s="11" t="s">
        <v>158</v>
      </c>
      <c r="F334" s="11">
        <v>2004.0</v>
      </c>
      <c r="G334" s="40">
        <v>2355.0</v>
      </c>
      <c r="H334" s="40">
        <f t="shared" ref="H334:I334" si="352">F334-F333</f>
        <v>1</v>
      </c>
      <c r="I334" s="40">
        <f t="shared" si="352"/>
        <v>114</v>
      </c>
      <c r="J334" s="73">
        <f t="shared" si="335"/>
        <v>0.05087014726</v>
      </c>
      <c r="K334" s="66">
        <f t="shared" si="336"/>
        <v>0.05087014726</v>
      </c>
      <c r="L334" s="29" t="s">
        <v>260</v>
      </c>
    </row>
    <row r="335">
      <c r="A335" s="11" t="s">
        <v>278</v>
      </c>
      <c r="B335" s="11" t="s">
        <v>268</v>
      </c>
      <c r="C335" s="11" t="s">
        <v>710</v>
      </c>
      <c r="D335" s="11" t="s">
        <v>703</v>
      </c>
      <c r="E335" s="11" t="s">
        <v>158</v>
      </c>
      <c r="F335" s="11">
        <v>2005.0</v>
      </c>
      <c r="G335" s="40">
        <v>2422.0</v>
      </c>
      <c r="H335" s="40">
        <f t="shared" ref="H335:I335" si="353">F335-F334</f>
        <v>1</v>
      </c>
      <c r="I335" s="40">
        <f t="shared" si="353"/>
        <v>67</v>
      </c>
      <c r="J335" s="73">
        <f t="shared" si="335"/>
        <v>0.02845010616</v>
      </c>
      <c r="K335" s="66">
        <f t="shared" si="336"/>
        <v>0.02845010616</v>
      </c>
      <c r="L335" s="29" t="s">
        <v>260</v>
      </c>
    </row>
    <row r="336">
      <c r="A336" s="11" t="s">
        <v>278</v>
      </c>
      <c r="B336" s="11" t="s">
        <v>268</v>
      </c>
      <c r="C336" s="11" t="s">
        <v>710</v>
      </c>
      <c r="D336" s="11" t="s">
        <v>703</v>
      </c>
      <c r="E336" s="11" t="s">
        <v>158</v>
      </c>
      <c r="F336" s="11">
        <v>2006.0</v>
      </c>
      <c r="G336" s="40">
        <v>2489.0</v>
      </c>
      <c r="H336" s="40">
        <f t="shared" ref="H336:I336" si="354">F336-F335</f>
        <v>1</v>
      </c>
      <c r="I336" s="40">
        <f t="shared" si="354"/>
        <v>67</v>
      </c>
      <c r="J336" s="73">
        <f t="shared" si="335"/>
        <v>0.02766308836</v>
      </c>
      <c r="K336" s="66">
        <f t="shared" si="336"/>
        <v>0.02766308836</v>
      </c>
      <c r="L336" s="29" t="s">
        <v>260</v>
      </c>
    </row>
    <row r="337">
      <c r="A337" s="11" t="s">
        <v>278</v>
      </c>
      <c r="B337" s="11" t="s">
        <v>268</v>
      </c>
      <c r="C337" s="11" t="s">
        <v>710</v>
      </c>
      <c r="D337" s="11" t="s">
        <v>703</v>
      </c>
      <c r="E337" s="11" t="s">
        <v>158</v>
      </c>
      <c r="F337" s="11">
        <v>2007.0</v>
      </c>
      <c r="G337" s="40">
        <v>2739.0</v>
      </c>
      <c r="H337" s="40">
        <f t="shared" ref="H337:I337" si="355">F337-F336</f>
        <v>1</v>
      </c>
      <c r="I337" s="40">
        <f t="shared" si="355"/>
        <v>250</v>
      </c>
      <c r="J337" s="73">
        <f t="shared" si="335"/>
        <v>0.1004419446</v>
      </c>
      <c r="K337" s="66">
        <f t="shared" si="336"/>
        <v>0.1004419446</v>
      </c>
      <c r="L337" s="29" t="s">
        <v>260</v>
      </c>
    </row>
    <row r="338">
      <c r="A338" s="11" t="s">
        <v>278</v>
      </c>
      <c r="B338" s="11" t="s">
        <v>268</v>
      </c>
      <c r="C338" s="11" t="s">
        <v>710</v>
      </c>
      <c r="D338" s="11" t="s">
        <v>703</v>
      </c>
      <c r="E338" s="11" t="s">
        <v>158</v>
      </c>
      <c r="F338" s="11">
        <v>2008.0</v>
      </c>
      <c r="G338" s="40">
        <v>2716.0</v>
      </c>
      <c r="H338" s="40">
        <f t="shared" ref="H338:I338" si="356">F338-F337</f>
        <v>1</v>
      </c>
      <c r="I338" s="40">
        <f t="shared" si="356"/>
        <v>-23</v>
      </c>
      <c r="J338" s="73">
        <f t="shared" si="335"/>
        <v>-0.008397225265</v>
      </c>
      <c r="K338" s="66">
        <f t="shared" si="336"/>
        <v>-0.008397225265</v>
      </c>
      <c r="L338" s="29" t="s">
        <v>260</v>
      </c>
    </row>
    <row r="339">
      <c r="A339" s="11" t="s">
        <v>278</v>
      </c>
      <c r="B339" s="11" t="s">
        <v>268</v>
      </c>
      <c r="C339" s="11" t="s">
        <v>710</v>
      </c>
      <c r="D339" s="11" t="s">
        <v>703</v>
      </c>
      <c r="E339" s="11" t="s">
        <v>158</v>
      </c>
      <c r="F339" s="11">
        <v>2009.0</v>
      </c>
      <c r="G339" s="40">
        <v>2966.0</v>
      </c>
      <c r="H339" s="40">
        <f t="shared" ref="H339:I339" si="357">F339-F338</f>
        <v>1</v>
      </c>
      <c r="I339" s="40">
        <f t="shared" si="357"/>
        <v>250</v>
      </c>
      <c r="J339" s="73">
        <f t="shared" si="335"/>
        <v>0.09204712813</v>
      </c>
      <c r="K339" s="66">
        <f t="shared" si="336"/>
        <v>0.09204712813</v>
      </c>
      <c r="L339" s="29" t="s">
        <v>260</v>
      </c>
    </row>
    <row r="340">
      <c r="A340" s="11" t="s">
        <v>278</v>
      </c>
      <c r="B340" s="11" t="s">
        <v>268</v>
      </c>
      <c r="C340" s="11" t="s">
        <v>710</v>
      </c>
      <c r="D340" s="11" t="s">
        <v>703</v>
      </c>
      <c r="E340" s="11" t="s">
        <v>158</v>
      </c>
      <c r="F340" s="11">
        <v>2010.0</v>
      </c>
      <c r="G340" s="40">
        <v>3147.0</v>
      </c>
      <c r="H340" s="40">
        <f t="shared" ref="H340:I340" si="358">F340-F339</f>
        <v>1</v>
      </c>
      <c r="I340" s="40">
        <f t="shared" si="358"/>
        <v>181</v>
      </c>
      <c r="J340" s="73">
        <f t="shared" si="335"/>
        <v>0.06102494943</v>
      </c>
      <c r="K340" s="66">
        <f t="shared" si="336"/>
        <v>0.06102494943</v>
      </c>
      <c r="L340" s="29" t="s">
        <v>260</v>
      </c>
    </row>
    <row r="341">
      <c r="A341" s="11" t="s">
        <v>278</v>
      </c>
      <c r="B341" s="11" t="s">
        <v>268</v>
      </c>
      <c r="C341" s="11" t="s">
        <v>710</v>
      </c>
      <c r="D341" s="11" t="s">
        <v>703</v>
      </c>
      <c r="E341" s="11" t="s">
        <v>158</v>
      </c>
      <c r="F341" s="11">
        <v>2011.0</v>
      </c>
      <c r="G341" s="40">
        <v>3260.0</v>
      </c>
      <c r="H341" s="40">
        <f t="shared" ref="H341:I341" si="359">F341-F340</f>
        <v>1</v>
      </c>
      <c r="I341" s="40">
        <f t="shared" si="359"/>
        <v>113</v>
      </c>
      <c r="J341" s="73">
        <f t="shared" si="335"/>
        <v>0.03590721322</v>
      </c>
      <c r="K341" s="66">
        <f t="shared" si="336"/>
        <v>0.03590721322</v>
      </c>
      <c r="L341" s="29" t="s">
        <v>260</v>
      </c>
    </row>
    <row r="342">
      <c r="A342" s="11" t="s">
        <v>278</v>
      </c>
      <c r="B342" s="11" t="s">
        <v>268</v>
      </c>
      <c r="C342" s="11" t="s">
        <v>710</v>
      </c>
      <c r="D342" s="11" t="s">
        <v>703</v>
      </c>
      <c r="E342" s="11" t="s">
        <v>158</v>
      </c>
      <c r="F342" s="11">
        <v>2012.0</v>
      </c>
      <c r="G342" s="40">
        <v>3419.0</v>
      </c>
      <c r="H342" s="40">
        <f t="shared" ref="H342:I342" si="360">F342-F341</f>
        <v>1</v>
      </c>
      <c r="I342" s="40">
        <f t="shared" si="360"/>
        <v>159</v>
      </c>
      <c r="J342" s="73">
        <f t="shared" si="335"/>
        <v>0.04877300613</v>
      </c>
      <c r="K342" s="66">
        <f t="shared" si="336"/>
        <v>0.04877300613</v>
      </c>
      <c r="L342" s="29" t="s">
        <v>260</v>
      </c>
    </row>
    <row r="343">
      <c r="A343" s="11" t="s">
        <v>278</v>
      </c>
      <c r="B343" s="11" t="s">
        <v>268</v>
      </c>
      <c r="C343" s="11" t="s">
        <v>710</v>
      </c>
      <c r="D343" s="11" t="s">
        <v>703</v>
      </c>
      <c r="E343" s="11" t="s">
        <v>158</v>
      </c>
      <c r="F343" s="11">
        <v>2013.0</v>
      </c>
      <c r="G343" s="40">
        <v>3623.0</v>
      </c>
      <c r="H343" s="40">
        <f t="shared" ref="H343:I343" si="361">F343-F342</f>
        <v>1</v>
      </c>
      <c r="I343" s="40">
        <f t="shared" si="361"/>
        <v>204</v>
      </c>
      <c r="J343" s="73">
        <f t="shared" si="335"/>
        <v>0.05966656917</v>
      </c>
      <c r="K343" s="66">
        <f t="shared" si="336"/>
        <v>0.05966656917</v>
      </c>
      <c r="L343" s="29" t="s">
        <v>260</v>
      </c>
    </row>
    <row r="344">
      <c r="A344" s="54" t="s">
        <v>292</v>
      </c>
      <c r="B344" s="54" t="s">
        <v>268</v>
      </c>
      <c r="C344" s="11" t="s">
        <v>721</v>
      </c>
      <c r="D344" s="11" t="s">
        <v>703</v>
      </c>
      <c r="E344" s="11" t="s">
        <v>158</v>
      </c>
      <c r="F344" s="59">
        <v>1989.0</v>
      </c>
      <c r="G344" s="95">
        <v>7786.0</v>
      </c>
      <c r="H344" s="95" t="s">
        <v>188</v>
      </c>
      <c r="I344" s="95" t="s">
        <v>188</v>
      </c>
      <c r="J344" s="109" t="s">
        <v>188</v>
      </c>
      <c r="K344" s="66" t="s">
        <v>188</v>
      </c>
      <c r="L344" s="29" t="s">
        <v>260</v>
      </c>
      <c r="M344" s="54"/>
      <c r="N344" s="54"/>
      <c r="O344" s="54"/>
      <c r="P344" s="54"/>
      <c r="Q344" s="54"/>
      <c r="R344" s="54"/>
      <c r="S344" s="54"/>
      <c r="T344" s="54"/>
      <c r="U344" s="54"/>
      <c r="V344" s="54"/>
      <c r="W344" s="54"/>
      <c r="X344" s="54"/>
      <c r="Y344" s="54"/>
      <c r="Z344" s="54"/>
      <c r="AA344" s="54"/>
      <c r="AB344" s="54"/>
      <c r="AC344" s="54"/>
      <c r="AD344" s="54"/>
      <c r="AE344" s="54"/>
    </row>
    <row r="345">
      <c r="A345" s="54" t="s">
        <v>292</v>
      </c>
      <c r="B345" s="54" t="s">
        <v>268</v>
      </c>
      <c r="C345" s="11" t="s">
        <v>721</v>
      </c>
      <c r="D345" s="11" t="s">
        <v>703</v>
      </c>
      <c r="E345" s="11" t="s">
        <v>158</v>
      </c>
      <c r="F345" s="11">
        <v>1990.0</v>
      </c>
      <c r="G345" s="40">
        <v>13969.0</v>
      </c>
      <c r="H345" s="40">
        <f t="shared" ref="H345:I345" si="362">F345-F344</f>
        <v>1</v>
      </c>
      <c r="I345" s="40">
        <f t="shared" si="362"/>
        <v>6183</v>
      </c>
      <c r="J345" s="73">
        <f t="shared" ref="J345:J371" si="364">I345/G344</f>
        <v>0.7941176471</v>
      </c>
      <c r="K345" s="66">
        <f t="shared" ref="K345:K371" si="365">J345/H345</f>
        <v>0.7941176471</v>
      </c>
      <c r="L345" s="29" t="s">
        <v>260</v>
      </c>
    </row>
    <row r="346">
      <c r="A346" s="54" t="s">
        <v>292</v>
      </c>
      <c r="B346" s="54" t="s">
        <v>268</v>
      </c>
      <c r="C346" s="11" t="s">
        <v>721</v>
      </c>
      <c r="D346" s="11" t="s">
        <v>703</v>
      </c>
      <c r="E346" s="11" t="s">
        <v>158</v>
      </c>
      <c r="F346" s="11">
        <v>1991.0</v>
      </c>
      <c r="G346" s="40">
        <v>14656.0</v>
      </c>
      <c r="H346" s="40">
        <f t="shared" ref="H346:I346" si="363">F346-F345</f>
        <v>1</v>
      </c>
      <c r="I346" s="40">
        <f t="shared" si="363"/>
        <v>687</v>
      </c>
      <c r="J346" s="73">
        <f t="shared" si="364"/>
        <v>0.04918032787</v>
      </c>
      <c r="K346" s="66">
        <f t="shared" si="365"/>
        <v>0.04918032787</v>
      </c>
      <c r="L346" s="29" t="s">
        <v>260</v>
      </c>
    </row>
    <row r="347">
      <c r="A347" s="54" t="s">
        <v>292</v>
      </c>
      <c r="B347" s="54" t="s">
        <v>268</v>
      </c>
      <c r="C347" s="11" t="s">
        <v>721</v>
      </c>
      <c r="D347" s="11" t="s">
        <v>703</v>
      </c>
      <c r="E347" s="11" t="s">
        <v>158</v>
      </c>
      <c r="F347" s="11">
        <v>1992.0</v>
      </c>
      <c r="G347" s="40">
        <v>15802.0</v>
      </c>
      <c r="H347" s="40">
        <f t="shared" ref="H347:I347" si="366">F347-F346</f>
        <v>1</v>
      </c>
      <c r="I347" s="40">
        <f t="shared" si="366"/>
        <v>1146</v>
      </c>
      <c r="J347" s="73">
        <f t="shared" si="364"/>
        <v>0.07819323144</v>
      </c>
      <c r="K347" s="66">
        <f t="shared" si="365"/>
        <v>0.07819323144</v>
      </c>
      <c r="L347" s="29" t="s">
        <v>260</v>
      </c>
    </row>
    <row r="348">
      <c r="A348" s="54" t="s">
        <v>292</v>
      </c>
      <c r="B348" s="54" t="s">
        <v>268</v>
      </c>
      <c r="C348" s="11" t="s">
        <v>721</v>
      </c>
      <c r="D348" s="11" t="s">
        <v>703</v>
      </c>
      <c r="E348" s="11" t="s">
        <v>158</v>
      </c>
      <c r="F348" s="11">
        <v>1993.0</v>
      </c>
      <c r="G348" s="40">
        <v>16947.0</v>
      </c>
      <c r="H348" s="40">
        <f t="shared" ref="H348:I348" si="367">F348-F347</f>
        <v>1</v>
      </c>
      <c r="I348" s="40">
        <f t="shared" si="367"/>
        <v>1145</v>
      </c>
      <c r="J348" s="73">
        <f t="shared" si="364"/>
        <v>0.07245918238</v>
      </c>
      <c r="K348" s="66">
        <f t="shared" si="365"/>
        <v>0.07245918238</v>
      </c>
      <c r="L348" s="29" t="s">
        <v>260</v>
      </c>
    </row>
    <row r="349">
      <c r="A349" s="54" t="s">
        <v>292</v>
      </c>
      <c r="B349" s="54" t="s">
        <v>268</v>
      </c>
      <c r="C349" s="11" t="s">
        <v>721</v>
      </c>
      <c r="D349" s="11" t="s">
        <v>703</v>
      </c>
      <c r="E349" s="11" t="s">
        <v>158</v>
      </c>
      <c r="F349" s="11">
        <v>1994.0</v>
      </c>
      <c r="G349" s="40">
        <v>24275.0</v>
      </c>
      <c r="H349" s="40">
        <f t="shared" ref="H349:I349" si="368">F349-F348</f>
        <v>1</v>
      </c>
      <c r="I349" s="40">
        <f t="shared" si="368"/>
        <v>7328</v>
      </c>
      <c r="J349" s="73">
        <f t="shared" si="364"/>
        <v>0.4324069157</v>
      </c>
      <c r="K349" s="66">
        <f t="shared" si="365"/>
        <v>0.4324069157</v>
      </c>
      <c r="L349" s="29" t="s">
        <v>260</v>
      </c>
    </row>
    <row r="350">
      <c r="A350" s="54" t="s">
        <v>292</v>
      </c>
      <c r="B350" s="54" t="s">
        <v>268</v>
      </c>
      <c r="C350" s="11" t="s">
        <v>721</v>
      </c>
      <c r="D350" s="11" t="s">
        <v>703</v>
      </c>
      <c r="E350" s="11" t="s">
        <v>158</v>
      </c>
      <c r="F350" s="11">
        <v>1995.0</v>
      </c>
      <c r="G350" s="40">
        <v>26565.0</v>
      </c>
      <c r="H350" s="40">
        <f t="shared" ref="H350:I350" si="369">F350-F349</f>
        <v>1</v>
      </c>
      <c r="I350" s="40">
        <f t="shared" si="369"/>
        <v>2290</v>
      </c>
      <c r="J350" s="73">
        <f t="shared" si="364"/>
        <v>0.09433573635</v>
      </c>
      <c r="K350" s="66">
        <f t="shared" si="365"/>
        <v>0.09433573635</v>
      </c>
      <c r="L350" s="29" t="s">
        <v>260</v>
      </c>
    </row>
    <row r="351">
      <c r="A351" s="54" t="s">
        <v>292</v>
      </c>
      <c r="B351" s="54" t="s">
        <v>268</v>
      </c>
      <c r="C351" s="11" t="s">
        <v>721</v>
      </c>
      <c r="D351" s="11" t="s">
        <v>703</v>
      </c>
      <c r="E351" s="11" t="s">
        <v>158</v>
      </c>
      <c r="F351" s="11">
        <v>1996.0</v>
      </c>
      <c r="G351" s="40">
        <v>21756.0</v>
      </c>
      <c r="H351" s="40">
        <f t="shared" ref="H351:I351" si="370">F351-F350</f>
        <v>1</v>
      </c>
      <c r="I351" s="40">
        <f t="shared" si="370"/>
        <v>-4809</v>
      </c>
      <c r="J351" s="73">
        <f t="shared" si="364"/>
        <v>-0.181027668</v>
      </c>
      <c r="K351" s="66">
        <f t="shared" si="365"/>
        <v>-0.181027668</v>
      </c>
      <c r="L351" s="29" t="s">
        <v>260</v>
      </c>
    </row>
    <row r="352">
      <c r="A352" s="54" t="s">
        <v>292</v>
      </c>
      <c r="B352" s="54" t="s">
        <v>268</v>
      </c>
      <c r="C352" s="11" t="s">
        <v>721</v>
      </c>
      <c r="D352" s="11" t="s">
        <v>703</v>
      </c>
      <c r="E352" s="11" t="s">
        <v>158</v>
      </c>
      <c r="F352" s="11">
        <v>1997.0</v>
      </c>
      <c r="G352" s="40">
        <v>15802.0</v>
      </c>
      <c r="H352" s="40">
        <f t="shared" ref="H352:I352" si="371">F352-F351</f>
        <v>1</v>
      </c>
      <c r="I352" s="40">
        <f t="shared" si="371"/>
        <v>-5954</v>
      </c>
      <c r="J352" s="73">
        <f t="shared" si="364"/>
        <v>-0.2736716308</v>
      </c>
      <c r="K352" s="66">
        <f t="shared" si="365"/>
        <v>-0.2736716308</v>
      </c>
      <c r="L352" s="29" t="s">
        <v>260</v>
      </c>
    </row>
    <row r="353">
      <c r="A353" s="54" t="s">
        <v>292</v>
      </c>
      <c r="B353" s="54" t="s">
        <v>268</v>
      </c>
      <c r="C353" s="11" t="s">
        <v>721</v>
      </c>
      <c r="D353" s="11" t="s">
        <v>703</v>
      </c>
      <c r="E353" s="11" t="s">
        <v>158</v>
      </c>
      <c r="F353" s="11">
        <v>1998.0</v>
      </c>
      <c r="G353" s="40">
        <v>15802.0</v>
      </c>
      <c r="H353" s="40">
        <f t="shared" ref="H353:I353" si="372">F353-F352</f>
        <v>1</v>
      </c>
      <c r="I353" s="40">
        <f t="shared" si="372"/>
        <v>0</v>
      </c>
      <c r="J353" s="73">
        <f t="shared" si="364"/>
        <v>0</v>
      </c>
      <c r="K353" s="66">
        <f t="shared" si="365"/>
        <v>0</v>
      </c>
      <c r="L353" s="29" t="s">
        <v>260</v>
      </c>
    </row>
    <row r="354">
      <c r="A354" s="54" t="s">
        <v>292</v>
      </c>
      <c r="B354" s="54" t="s">
        <v>268</v>
      </c>
      <c r="C354" s="11" t="s">
        <v>721</v>
      </c>
      <c r="D354" s="11" t="s">
        <v>703</v>
      </c>
      <c r="E354" s="11" t="s">
        <v>158</v>
      </c>
      <c r="F354" s="11">
        <v>1999.0</v>
      </c>
      <c r="G354" s="40">
        <v>19466.0</v>
      </c>
      <c r="H354" s="40">
        <f t="shared" ref="H354:I354" si="373">F354-F353</f>
        <v>1</v>
      </c>
      <c r="I354" s="40">
        <f t="shared" si="373"/>
        <v>3664</v>
      </c>
      <c r="J354" s="73">
        <f t="shared" si="364"/>
        <v>0.2318693836</v>
      </c>
      <c r="K354" s="66">
        <f t="shared" si="365"/>
        <v>0.2318693836</v>
      </c>
      <c r="L354" s="29" t="s">
        <v>260</v>
      </c>
    </row>
    <row r="355">
      <c r="A355" s="54" t="s">
        <v>292</v>
      </c>
      <c r="B355" s="54" t="s">
        <v>268</v>
      </c>
      <c r="C355" s="11" t="s">
        <v>721</v>
      </c>
      <c r="D355" s="11" t="s">
        <v>703</v>
      </c>
      <c r="E355" s="11" t="s">
        <v>158</v>
      </c>
      <c r="F355" s="11">
        <v>2000.0</v>
      </c>
      <c r="G355" s="40">
        <v>19008.0</v>
      </c>
      <c r="H355" s="40">
        <f t="shared" ref="H355:I355" si="374">F355-F354</f>
        <v>1</v>
      </c>
      <c r="I355" s="40">
        <f t="shared" si="374"/>
        <v>-458</v>
      </c>
      <c r="J355" s="73">
        <f t="shared" si="364"/>
        <v>-0.02352820302</v>
      </c>
      <c r="K355" s="66">
        <f t="shared" si="365"/>
        <v>-0.02352820302</v>
      </c>
      <c r="L355" s="29" t="s">
        <v>260</v>
      </c>
    </row>
    <row r="356">
      <c r="A356" s="54" t="s">
        <v>292</v>
      </c>
      <c r="B356" s="54" t="s">
        <v>268</v>
      </c>
      <c r="C356" s="11" t="s">
        <v>721</v>
      </c>
      <c r="D356" s="11" t="s">
        <v>703</v>
      </c>
      <c r="E356" s="11" t="s">
        <v>158</v>
      </c>
      <c r="F356" s="11">
        <v>2001.0</v>
      </c>
      <c r="G356" s="40">
        <v>20611.0</v>
      </c>
      <c r="H356" s="40">
        <f t="shared" ref="H356:I356" si="375">F356-F355</f>
        <v>1</v>
      </c>
      <c r="I356" s="40">
        <f t="shared" si="375"/>
        <v>1603</v>
      </c>
      <c r="J356" s="73">
        <f t="shared" si="364"/>
        <v>0.08433291246</v>
      </c>
      <c r="K356" s="66">
        <f t="shared" si="365"/>
        <v>0.08433291246</v>
      </c>
      <c r="L356" s="29" t="s">
        <v>260</v>
      </c>
    </row>
    <row r="357">
      <c r="A357" s="54" t="s">
        <v>292</v>
      </c>
      <c r="B357" s="54" t="s">
        <v>268</v>
      </c>
      <c r="C357" s="11" t="s">
        <v>721</v>
      </c>
      <c r="D357" s="11" t="s">
        <v>703</v>
      </c>
      <c r="E357" s="11" t="s">
        <v>158</v>
      </c>
      <c r="F357" s="11">
        <v>2002.0</v>
      </c>
      <c r="G357" s="40">
        <v>18779.0</v>
      </c>
      <c r="H357" s="40">
        <f t="shared" ref="H357:I357" si="376">F357-F356</f>
        <v>1</v>
      </c>
      <c r="I357" s="40">
        <f t="shared" si="376"/>
        <v>-1832</v>
      </c>
      <c r="J357" s="73">
        <f t="shared" si="364"/>
        <v>-0.0888845762</v>
      </c>
      <c r="K357" s="66">
        <f t="shared" si="365"/>
        <v>-0.0888845762</v>
      </c>
      <c r="L357" s="29" t="s">
        <v>260</v>
      </c>
    </row>
    <row r="358">
      <c r="A358" s="54" t="s">
        <v>292</v>
      </c>
      <c r="B358" s="54" t="s">
        <v>268</v>
      </c>
      <c r="C358" s="11" t="s">
        <v>721</v>
      </c>
      <c r="D358" s="11" t="s">
        <v>703</v>
      </c>
      <c r="E358" s="11" t="s">
        <v>158</v>
      </c>
      <c r="F358" s="11">
        <v>2003.0</v>
      </c>
      <c r="G358" s="40">
        <v>19237.0</v>
      </c>
      <c r="H358" s="40">
        <f t="shared" ref="H358:I358" si="377">F358-F357</f>
        <v>1</v>
      </c>
      <c r="I358" s="40">
        <f t="shared" si="377"/>
        <v>458</v>
      </c>
      <c r="J358" s="73">
        <f t="shared" si="364"/>
        <v>0.0243889451</v>
      </c>
      <c r="K358" s="66">
        <f t="shared" si="365"/>
        <v>0.0243889451</v>
      </c>
      <c r="L358" s="29" t="s">
        <v>260</v>
      </c>
    </row>
    <row r="359">
      <c r="A359" s="54" t="s">
        <v>292</v>
      </c>
      <c r="B359" s="54" t="s">
        <v>268</v>
      </c>
      <c r="C359" s="11" t="s">
        <v>721</v>
      </c>
      <c r="D359" s="11" t="s">
        <v>703</v>
      </c>
      <c r="E359" s="11" t="s">
        <v>158</v>
      </c>
      <c r="F359" s="11">
        <v>2004.0</v>
      </c>
      <c r="G359" s="40">
        <v>19466.0</v>
      </c>
      <c r="H359" s="40">
        <f t="shared" ref="H359:I359" si="378">F359-F358</f>
        <v>1</v>
      </c>
      <c r="I359" s="40">
        <f t="shared" si="378"/>
        <v>229</v>
      </c>
      <c r="J359" s="73">
        <f t="shared" si="364"/>
        <v>0.01190414306</v>
      </c>
      <c r="K359" s="66">
        <f t="shared" si="365"/>
        <v>0.01190414306</v>
      </c>
      <c r="L359" s="29" t="s">
        <v>260</v>
      </c>
    </row>
    <row r="360">
      <c r="A360" s="54" t="s">
        <v>292</v>
      </c>
      <c r="B360" s="54" t="s">
        <v>268</v>
      </c>
      <c r="C360" s="11" t="s">
        <v>721</v>
      </c>
      <c r="D360" s="11" t="s">
        <v>703</v>
      </c>
      <c r="E360" s="11" t="s">
        <v>158</v>
      </c>
      <c r="F360" s="11">
        <v>2005.0</v>
      </c>
      <c r="G360" s="40">
        <v>19466.0</v>
      </c>
      <c r="H360" s="40">
        <f t="shared" ref="H360:I360" si="379">F360-F359</f>
        <v>1</v>
      </c>
      <c r="I360" s="40">
        <f t="shared" si="379"/>
        <v>0</v>
      </c>
      <c r="J360" s="73">
        <f t="shared" si="364"/>
        <v>0</v>
      </c>
      <c r="K360" s="66">
        <f t="shared" si="365"/>
        <v>0</v>
      </c>
      <c r="L360" s="29" t="s">
        <v>260</v>
      </c>
    </row>
    <row r="361">
      <c r="A361" s="54" t="s">
        <v>292</v>
      </c>
      <c r="B361" s="54" t="s">
        <v>268</v>
      </c>
      <c r="C361" s="11" t="s">
        <v>721</v>
      </c>
      <c r="D361" s="11" t="s">
        <v>703</v>
      </c>
      <c r="E361" s="11" t="s">
        <v>158</v>
      </c>
      <c r="F361" s="11">
        <v>2006.0</v>
      </c>
      <c r="G361" s="40">
        <v>21527.0</v>
      </c>
      <c r="H361" s="40">
        <f t="shared" ref="H361:I361" si="380">F361-F360</f>
        <v>1</v>
      </c>
      <c r="I361" s="40">
        <f t="shared" si="380"/>
        <v>2061</v>
      </c>
      <c r="J361" s="73">
        <f t="shared" si="364"/>
        <v>0.1058769136</v>
      </c>
      <c r="K361" s="66">
        <f t="shared" si="365"/>
        <v>0.1058769136</v>
      </c>
      <c r="L361" s="29" t="s">
        <v>260</v>
      </c>
    </row>
    <row r="362">
      <c r="A362" s="54" t="s">
        <v>292</v>
      </c>
      <c r="B362" s="54" t="s">
        <v>268</v>
      </c>
      <c r="C362" s="11" t="s">
        <v>721</v>
      </c>
      <c r="D362" s="11" t="s">
        <v>703</v>
      </c>
      <c r="E362" s="11" t="s">
        <v>158</v>
      </c>
      <c r="F362" s="11">
        <v>2007.0</v>
      </c>
      <c r="G362" s="40">
        <v>20153.0</v>
      </c>
      <c r="H362" s="40">
        <f t="shared" ref="H362:I362" si="381">F362-F361</f>
        <v>1</v>
      </c>
      <c r="I362" s="40">
        <f t="shared" si="381"/>
        <v>-1374</v>
      </c>
      <c r="J362" s="73">
        <f t="shared" si="364"/>
        <v>-0.06382682213</v>
      </c>
      <c r="K362" s="66">
        <f t="shared" si="365"/>
        <v>-0.06382682213</v>
      </c>
      <c r="L362" s="29" t="s">
        <v>260</v>
      </c>
    </row>
    <row r="363">
      <c r="A363" s="54" t="s">
        <v>292</v>
      </c>
      <c r="B363" s="54" t="s">
        <v>268</v>
      </c>
      <c r="C363" s="11" t="s">
        <v>721</v>
      </c>
      <c r="D363" s="11" t="s">
        <v>703</v>
      </c>
      <c r="E363" s="11" t="s">
        <v>158</v>
      </c>
      <c r="F363" s="11">
        <v>2008.0</v>
      </c>
      <c r="G363" s="40">
        <v>14885.0</v>
      </c>
      <c r="H363" s="40">
        <f t="shared" ref="H363:I363" si="382">F363-F362</f>
        <v>1</v>
      </c>
      <c r="I363" s="40">
        <f t="shared" si="382"/>
        <v>-5268</v>
      </c>
      <c r="J363" s="73">
        <f t="shared" si="364"/>
        <v>-0.2614002878</v>
      </c>
      <c r="K363" s="66">
        <f t="shared" si="365"/>
        <v>-0.2614002878</v>
      </c>
      <c r="L363" s="29" t="s">
        <v>260</v>
      </c>
    </row>
    <row r="364">
      <c r="A364" s="54" t="s">
        <v>292</v>
      </c>
      <c r="B364" s="54" t="s">
        <v>268</v>
      </c>
      <c r="C364" s="11" t="s">
        <v>721</v>
      </c>
      <c r="D364" s="11" t="s">
        <v>703</v>
      </c>
      <c r="E364" s="11" t="s">
        <v>158</v>
      </c>
      <c r="F364" s="11">
        <v>2009.0</v>
      </c>
      <c r="G364" s="40">
        <v>18550.0</v>
      </c>
      <c r="H364" s="40">
        <f t="shared" ref="H364:I364" si="383">F364-F363</f>
        <v>1</v>
      </c>
      <c r="I364" s="40">
        <f t="shared" si="383"/>
        <v>3665</v>
      </c>
      <c r="J364" s="73">
        <f t="shared" si="364"/>
        <v>0.2462210279</v>
      </c>
      <c r="K364" s="66">
        <f t="shared" si="365"/>
        <v>0.2462210279</v>
      </c>
      <c r="L364" s="29" t="s">
        <v>260</v>
      </c>
    </row>
    <row r="365">
      <c r="A365" s="54" t="s">
        <v>292</v>
      </c>
      <c r="B365" s="54" t="s">
        <v>268</v>
      </c>
      <c r="C365" s="11" t="s">
        <v>721</v>
      </c>
      <c r="D365" s="11" t="s">
        <v>703</v>
      </c>
      <c r="E365" s="11" t="s">
        <v>158</v>
      </c>
      <c r="F365" s="11">
        <v>2010.0</v>
      </c>
      <c r="G365" s="40">
        <v>19237.0</v>
      </c>
      <c r="H365" s="40">
        <f t="shared" ref="H365:I365" si="384">F365-F364</f>
        <v>1</v>
      </c>
      <c r="I365" s="40">
        <f t="shared" si="384"/>
        <v>687</v>
      </c>
      <c r="J365" s="73">
        <f t="shared" si="364"/>
        <v>0.03703504043</v>
      </c>
      <c r="K365" s="66">
        <f t="shared" si="365"/>
        <v>0.03703504043</v>
      </c>
      <c r="L365" s="29" t="s">
        <v>260</v>
      </c>
    </row>
    <row r="366">
      <c r="A366" s="54" t="s">
        <v>292</v>
      </c>
      <c r="B366" s="54" t="s">
        <v>268</v>
      </c>
      <c r="C366" s="11" t="s">
        <v>721</v>
      </c>
      <c r="D366" s="11" t="s">
        <v>703</v>
      </c>
      <c r="E366" s="11" t="s">
        <v>158</v>
      </c>
      <c r="F366" s="11">
        <v>2011.0</v>
      </c>
      <c r="G366" s="40">
        <v>22672.0</v>
      </c>
      <c r="H366" s="40">
        <f t="shared" ref="H366:I366" si="385">F366-F365</f>
        <v>1</v>
      </c>
      <c r="I366" s="40">
        <f t="shared" si="385"/>
        <v>3435</v>
      </c>
      <c r="J366" s="73">
        <f t="shared" si="364"/>
        <v>0.1785621459</v>
      </c>
      <c r="K366" s="66">
        <f t="shared" si="365"/>
        <v>0.1785621459</v>
      </c>
      <c r="L366" s="29" t="s">
        <v>260</v>
      </c>
    </row>
    <row r="367">
      <c r="A367" s="54" t="s">
        <v>292</v>
      </c>
      <c r="B367" s="54" t="s">
        <v>268</v>
      </c>
      <c r="C367" s="11" t="s">
        <v>721</v>
      </c>
      <c r="D367" s="11" t="s">
        <v>703</v>
      </c>
      <c r="E367" s="11" t="s">
        <v>158</v>
      </c>
      <c r="F367" s="11">
        <v>2012.0</v>
      </c>
      <c r="G367" s="40">
        <v>18779.0</v>
      </c>
      <c r="H367" s="40">
        <f t="shared" ref="H367:I367" si="386">F367-F366</f>
        <v>1</v>
      </c>
      <c r="I367" s="40">
        <f t="shared" si="386"/>
        <v>-3893</v>
      </c>
      <c r="J367" s="73">
        <f t="shared" si="364"/>
        <v>-0.1717095977</v>
      </c>
      <c r="K367" s="66">
        <f t="shared" si="365"/>
        <v>-0.1717095977</v>
      </c>
      <c r="L367" s="29" t="s">
        <v>260</v>
      </c>
    </row>
    <row r="368">
      <c r="A368" s="54" t="s">
        <v>292</v>
      </c>
      <c r="B368" s="54" t="s">
        <v>268</v>
      </c>
      <c r="C368" s="11" t="s">
        <v>721</v>
      </c>
      <c r="D368" s="11" t="s">
        <v>703</v>
      </c>
      <c r="E368" s="11" t="s">
        <v>158</v>
      </c>
      <c r="F368" s="11">
        <v>2013.0</v>
      </c>
      <c r="G368" s="40">
        <v>15802.0</v>
      </c>
      <c r="H368" s="40">
        <f t="shared" ref="H368:I368" si="387">F368-F367</f>
        <v>1</v>
      </c>
      <c r="I368" s="40">
        <f t="shared" si="387"/>
        <v>-2977</v>
      </c>
      <c r="J368" s="73">
        <f t="shared" si="364"/>
        <v>-0.1585281431</v>
      </c>
      <c r="K368" s="66">
        <f t="shared" si="365"/>
        <v>-0.1585281431</v>
      </c>
      <c r="L368" s="29" t="s">
        <v>260</v>
      </c>
    </row>
    <row r="369">
      <c r="A369" s="54" t="s">
        <v>292</v>
      </c>
      <c r="B369" s="54" t="s">
        <v>268</v>
      </c>
      <c r="C369" s="11" t="s">
        <v>721</v>
      </c>
      <c r="D369" s="11" t="s">
        <v>703</v>
      </c>
      <c r="E369" s="11" t="s">
        <v>158</v>
      </c>
      <c r="F369" s="11">
        <v>2014.0</v>
      </c>
      <c r="G369" s="40">
        <v>13511.0</v>
      </c>
      <c r="H369" s="40">
        <f t="shared" ref="H369:I369" si="388">F369-F368</f>
        <v>1</v>
      </c>
      <c r="I369" s="40">
        <f t="shared" si="388"/>
        <v>-2291</v>
      </c>
      <c r="J369" s="73">
        <f t="shared" si="364"/>
        <v>-0.1449816479</v>
      </c>
      <c r="K369" s="66">
        <f t="shared" si="365"/>
        <v>-0.1449816479</v>
      </c>
      <c r="L369" s="29" t="s">
        <v>260</v>
      </c>
    </row>
    <row r="370">
      <c r="A370" s="54" t="s">
        <v>292</v>
      </c>
      <c r="B370" s="54" t="s">
        <v>268</v>
      </c>
      <c r="C370" s="11" t="s">
        <v>721</v>
      </c>
      <c r="D370" s="11" t="s">
        <v>703</v>
      </c>
      <c r="E370" s="11" t="s">
        <v>158</v>
      </c>
      <c r="F370" s="11">
        <v>2015.0</v>
      </c>
      <c r="G370" s="40">
        <v>12824.0</v>
      </c>
      <c r="H370" s="40">
        <f t="shared" ref="H370:I370" si="389">F370-F369</f>
        <v>1</v>
      </c>
      <c r="I370" s="40">
        <f t="shared" si="389"/>
        <v>-687</v>
      </c>
      <c r="J370" s="73">
        <f t="shared" si="364"/>
        <v>-0.05084745763</v>
      </c>
      <c r="K370" s="66">
        <f t="shared" si="365"/>
        <v>-0.05084745763</v>
      </c>
      <c r="L370" s="29" t="s">
        <v>260</v>
      </c>
    </row>
    <row r="371">
      <c r="A371" s="54" t="s">
        <v>292</v>
      </c>
      <c r="B371" s="54" t="s">
        <v>268</v>
      </c>
      <c r="C371" s="11" t="s">
        <v>721</v>
      </c>
      <c r="D371" s="11" t="s">
        <v>703</v>
      </c>
      <c r="E371" s="11" t="s">
        <v>158</v>
      </c>
      <c r="F371" s="11">
        <v>2016.0</v>
      </c>
      <c r="G371" s="40">
        <v>12137.0</v>
      </c>
      <c r="H371" s="40">
        <f t="shared" ref="H371:I371" si="390">F371-F370</f>
        <v>1</v>
      </c>
      <c r="I371" s="40">
        <f t="shared" si="390"/>
        <v>-687</v>
      </c>
      <c r="J371" s="73">
        <f t="shared" si="364"/>
        <v>-0.05357142857</v>
      </c>
      <c r="K371" s="66">
        <f t="shared" si="365"/>
        <v>-0.05357142857</v>
      </c>
      <c r="L371" s="29" t="s">
        <v>260</v>
      </c>
    </row>
    <row r="372">
      <c r="A372" s="11" t="s">
        <v>316</v>
      </c>
      <c r="B372" s="11" t="s">
        <v>317</v>
      </c>
      <c r="C372" s="11" t="s">
        <v>727</v>
      </c>
      <c r="D372" s="74" t="s">
        <v>313</v>
      </c>
      <c r="E372" s="11" t="s">
        <v>74</v>
      </c>
      <c r="F372" s="11">
        <v>1996.0</v>
      </c>
      <c r="G372" s="40">
        <v>6048.0</v>
      </c>
      <c r="H372" s="40" t="s">
        <v>188</v>
      </c>
      <c r="I372" s="40" t="s">
        <v>188</v>
      </c>
      <c r="J372" s="73" t="s">
        <v>188</v>
      </c>
      <c r="K372" s="66" t="s">
        <v>188</v>
      </c>
      <c r="L372" s="29" t="s">
        <v>260</v>
      </c>
    </row>
    <row r="373">
      <c r="A373" s="11" t="s">
        <v>316</v>
      </c>
      <c r="B373" s="11" t="s">
        <v>317</v>
      </c>
      <c r="C373" s="11" t="s">
        <v>727</v>
      </c>
      <c r="D373" s="74" t="s">
        <v>313</v>
      </c>
      <c r="E373" s="11" t="s">
        <v>74</v>
      </c>
      <c r="F373" s="11">
        <v>1997.0</v>
      </c>
      <c r="G373" s="40">
        <v>5892.0</v>
      </c>
      <c r="H373" s="40">
        <f t="shared" ref="H373:I373" si="391">F373-F372</f>
        <v>1</v>
      </c>
      <c r="I373" s="40">
        <f t="shared" si="391"/>
        <v>-156</v>
      </c>
      <c r="J373" s="73">
        <f t="shared" ref="J373:J394" si="393">I373/G372</f>
        <v>-0.02579365079</v>
      </c>
      <c r="K373" s="66">
        <f t="shared" ref="K373:K394" si="394">J373/H373</f>
        <v>-0.02579365079</v>
      </c>
      <c r="L373" s="29" t="s">
        <v>260</v>
      </c>
    </row>
    <row r="374">
      <c r="A374" s="11" t="s">
        <v>316</v>
      </c>
      <c r="B374" s="11" t="s">
        <v>317</v>
      </c>
      <c r="C374" s="11" t="s">
        <v>727</v>
      </c>
      <c r="D374" s="74" t="s">
        <v>313</v>
      </c>
      <c r="E374" s="11" t="s">
        <v>74</v>
      </c>
      <c r="F374" s="11">
        <v>1998.0</v>
      </c>
      <c r="G374" s="40">
        <v>5581.0</v>
      </c>
      <c r="H374" s="40">
        <f t="shared" ref="H374:I374" si="392">F374-F373</f>
        <v>1</v>
      </c>
      <c r="I374" s="40">
        <f t="shared" si="392"/>
        <v>-311</v>
      </c>
      <c r="J374" s="73">
        <f t="shared" si="393"/>
        <v>-0.05278343517</v>
      </c>
      <c r="K374" s="66">
        <f t="shared" si="394"/>
        <v>-0.05278343517</v>
      </c>
      <c r="L374" s="29" t="s">
        <v>260</v>
      </c>
    </row>
    <row r="375">
      <c r="A375" s="11" t="s">
        <v>316</v>
      </c>
      <c r="B375" s="11" t="s">
        <v>317</v>
      </c>
      <c r="C375" s="11" t="s">
        <v>727</v>
      </c>
      <c r="D375" s="74" t="s">
        <v>313</v>
      </c>
      <c r="E375" s="11" t="s">
        <v>74</v>
      </c>
      <c r="F375" s="11">
        <v>1999.0</v>
      </c>
      <c r="G375" s="40">
        <v>5318.0</v>
      </c>
      <c r="H375" s="40">
        <f t="shared" ref="H375:I375" si="395">F375-F374</f>
        <v>1</v>
      </c>
      <c r="I375" s="40">
        <f t="shared" si="395"/>
        <v>-263</v>
      </c>
      <c r="J375" s="73">
        <f t="shared" si="393"/>
        <v>-0.0471241713</v>
      </c>
      <c r="K375" s="66">
        <f t="shared" si="394"/>
        <v>-0.0471241713</v>
      </c>
      <c r="L375" s="29" t="s">
        <v>260</v>
      </c>
    </row>
    <row r="376">
      <c r="A376" s="11" t="s">
        <v>316</v>
      </c>
      <c r="B376" s="11" t="s">
        <v>317</v>
      </c>
      <c r="C376" s="11" t="s">
        <v>727</v>
      </c>
      <c r="D376" s="74" t="s">
        <v>313</v>
      </c>
      <c r="E376" s="11" t="s">
        <v>74</v>
      </c>
      <c r="F376" s="11">
        <v>2000.0</v>
      </c>
      <c r="G376" s="40">
        <v>5502.0</v>
      </c>
      <c r="H376" s="40">
        <f t="shared" ref="H376:I376" si="396">F376-F375</f>
        <v>1</v>
      </c>
      <c r="I376" s="40">
        <f t="shared" si="396"/>
        <v>184</v>
      </c>
      <c r="J376" s="73">
        <f t="shared" si="393"/>
        <v>0.03459947349</v>
      </c>
      <c r="K376" s="66">
        <f t="shared" si="394"/>
        <v>0.03459947349</v>
      </c>
      <c r="L376" s="29" t="s">
        <v>260</v>
      </c>
    </row>
    <row r="377">
      <c r="A377" s="11" t="s">
        <v>316</v>
      </c>
      <c r="B377" s="11" t="s">
        <v>317</v>
      </c>
      <c r="C377" s="11" t="s">
        <v>727</v>
      </c>
      <c r="D377" s="74" t="s">
        <v>313</v>
      </c>
      <c r="E377" s="11" t="s">
        <v>74</v>
      </c>
      <c r="F377" s="11">
        <v>2001.0</v>
      </c>
      <c r="G377" s="40">
        <v>5618.0</v>
      </c>
      <c r="H377" s="40">
        <f t="shared" ref="H377:I377" si="397">F377-F376</f>
        <v>1</v>
      </c>
      <c r="I377" s="40">
        <f t="shared" si="397"/>
        <v>116</v>
      </c>
      <c r="J377" s="73">
        <f t="shared" si="393"/>
        <v>0.02108324246</v>
      </c>
      <c r="K377" s="66">
        <f t="shared" si="394"/>
        <v>0.02108324246</v>
      </c>
      <c r="L377" s="29" t="s">
        <v>260</v>
      </c>
    </row>
    <row r="378">
      <c r="A378" s="11" t="s">
        <v>316</v>
      </c>
      <c r="B378" s="11" t="s">
        <v>317</v>
      </c>
      <c r="C378" s="11" t="s">
        <v>727</v>
      </c>
      <c r="D378" s="74" t="s">
        <v>313</v>
      </c>
      <c r="E378" s="11" t="s">
        <v>74</v>
      </c>
      <c r="F378" s="11">
        <v>2002.0</v>
      </c>
      <c r="G378" s="40">
        <v>5627.0</v>
      </c>
      <c r="H378" s="40">
        <f t="shared" ref="H378:I378" si="398">F378-F377</f>
        <v>1</v>
      </c>
      <c r="I378" s="40">
        <f t="shared" si="398"/>
        <v>9</v>
      </c>
      <c r="J378" s="73">
        <f t="shared" si="393"/>
        <v>0.001601993592</v>
      </c>
      <c r="K378" s="66">
        <f t="shared" si="394"/>
        <v>0.001601993592</v>
      </c>
      <c r="L378" s="29" t="s">
        <v>260</v>
      </c>
    </row>
    <row r="379">
      <c r="A379" s="11" t="s">
        <v>316</v>
      </c>
      <c r="B379" s="11" t="s">
        <v>317</v>
      </c>
      <c r="C379" s="11" t="s">
        <v>727</v>
      </c>
      <c r="D379" s="74" t="s">
        <v>313</v>
      </c>
      <c r="E379" s="11" t="s">
        <v>74</v>
      </c>
      <c r="F379" s="11">
        <v>2003.0</v>
      </c>
      <c r="G379" s="40">
        <v>5500.0</v>
      </c>
      <c r="H379" s="40">
        <f t="shared" ref="H379:I379" si="399">F379-F378</f>
        <v>1</v>
      </c>
      <c r="I379" s="40">
        <f t="shared" si="399"/>
        <v>-127</v>
      </c>
      <c r="J379" s="73">
        <f t="shared" si="393"/>
        <v>-0.02256975298</v>
      </c>
      <c r="K379" s="66">
        <f t="shared" si="394"/>
        <v>-0.02256975298</v>
      </c>
      <c r="L379" s="29" t="s">
        <v>260</v>
      </c>
    </row>
    <row r="380">
      <c r="A380" s="11" t="s">
        <v>316</v>
      </c>
      <c r="B380" s="11" t="s">
        <v>317</v>
      </c>
      <c r="C380" s="11" t="s">
        <v>727</v>
      </c>
      <c r="D380" s="74" t="s">
        <v>313</v>
      </c>
      <c r="E380" s="11" t="s">
        <v>74</v>
      </c>
      <c r="F380" s="11">
        <v>2004.0</v>
      </c>
      <c r="G380" s="40">
        <v>5033.0</v>
      </c>
      <c r="H380" s="40">
        <f t="shared" ref="H380:I380" si="400">F380-F379</f>
        <v>1</v>
      </c>
      <c r="I380" s="40">
        <f t="shared" si="400"/>
        <v>-467</v>
      </c>
      <c r="J380" s="73">
        <f t="shared" si="393"/>
        <v>-0.08490909091</v>
      </c>
      <c r="K380" s="66">
        <f t="shared" si="394"/>
        <v>-0.08490909091</v>
      </c>
      <c r="L380" s="29" t="s">
        <v>260</v>
      </c>
    </row>
    <row r="381">
      <c r="A381" s="11" t="s">
        <v>316</v>
      </c>
      <c r="B381" s="11" t="s">
        <v>317</v>
      </c>
      <c r="C381" s="11" t="s">
        <v>727</v>
      </c>
      <c r="D381" s="74" t="s">
        <v>313</v>
      </c>
      <c r="E381" s="11" t="s">
        <v>74</v>
      </c>
      <c r="F381" s="11">
        <v>2005.0</v>
      </c>
      <c r="G381" s="40">
        <v>5557.0</v>
      </c>
      <c r="H381" s="40">
        <f t="shared" ref="H381:I381" si="401">F381-F380</f>
        <v>1</v>
      </c>
      <c r="I381" s="40">
        <f t="shared" si="401"/>
        <v>524</v>
      </c>
      <c r="J381" s="73">
        <f t="shared" si="393"/>
        <v>0.1041128552</v>
      </c>
      <c r="K381" s="66">
        <f t="shared" si="394"/>
        <v>0.1041128552</v>
      </c>
      <c r="L381" s="29" t="s">
        <v>260</v>
      </c>
    </row>
    <row r="382">
      <c r="A382" s="11" t="s">
        <v>316</v>
      </c>
      <c r="B382" s="11" t="s">
        <v>317</v>
      </c>
      <c r="C382" s="11" t="s">
        <v>727</v>
      </c>
      <c r="D382" s="74" t="s">
        <v>313</v>
      </c>
      <c r="E382" s="11" t="s">
        <v>74</v>
      </c>
      <c r="F382" s="11">
        <v>2006.0</v>
      </c>
      <c r="G382" s="40">
        <v>5876.0</v>
      </c>
      <c r="H382" s="40">
        <f t="shared" ref="H382:I382" si="402">F382-F381</f>
        <v>1</v>
      </c>
      <c r="I382" s="40">
        <f t="shared" si="402"/>
        <v>319</v>
      </c>
      <c r="J382" s="73">
        <f t="shared" si="393"/>
        <v>0.05740507468</v>
      </c>
      <c r="K382" s="66">
        <f t="shared" si="394"/>
        <v>0.05740507468</v>
      </c>
      <c r="L382" s="29" t="s">
        <v>260</v>
      </c>
    </row>
    <row r="383">
      <c r="A383" s="11" t="s">
        <v>316</v>
      </c>
      <c r="B383" s="11" t="s">
        <v>317</v>
      </c>
      <c r="C383" s="11" t="s">
        <v>727</v>
      </c>
      <c r="D383" s="74" t="s">
        <v>313</v>
      </c>
      <c r="E383" s="11" t="s">
        <v>74</v>
      </c>
      <c r="F383" s="11">
        <v>2007.0</v>
      </c>
      <c r="G383" s="40">
        <v>6094.0</v>
      </c>
      <c r="H383" s="40">
        <f t="shared" ref="H383:I383" si="403">F383-F382</f>
        <v>1</v>
      </c>
      <c r="I383" s="40">
        <f t="shared" si="403"/>
        <v>218</v>
      </c>
      <c r="J383" s="73">
        <f t="shared" si="393"/>
        <v>0.03710006807</v>
      </c>
      <c r="K383" s="66">
        <f t="shared" si="394"/>
        <v>0.03710006807</v>
      </c>
      <c r="L383" s="29" t="s">
        <v>260</v>
      </c>
    </row>
    <row r="384">
      <c r="A384" s="11" t="s">
        <v>316</v>
      </c>
      <c r="B384" s="11" t="s">
        <v>317</v>
      </c>
      <c r="C384" s="11" t="s">
        <v>727</v>
      </c>
      <c r="D384" s="74" t="s">
        <v>313</v>
      </c>
      <c r="E384" s="11" t="s">
        <v>74</v>
      </c>
      <c r="F384" s="11">
        <v>2008.0</v>
      </c>
      <c r="G384" s="40">
        <v>6196.0</v>
      </c>
      <c r="H384" s="40">
        <f t="shared" ref="H384:I384" si="404">F384-F383</f>
        <v>1</v>
      </c>
      <c r="I384" s="40">
        <f t="shared" si="404"/>
        <v>102</v>
      </c>
      <c r="J384" s="73">
        <f t="shared" si="393"/>
        <v>0.01673777486</v>
      </c>
      <c r="K384" s="66">
        <f t="shared" si="394"/>
        <v>0.01673777486</v>
      </c>
      <c r="L384" s="29" t="s">
        <v>260</v>
      </c>
    </row>
    <row r="385">
      <c r="A385" s="11" t="s">
        <v>316</v>
      </c>
      <c r="B385" s="11" t="s">
        <v>317</v>
      </c>
      <c r="C385" s="11" t="s">
        <v>727</v>
      </c>
      <c r="D385" s="74" t="s">
        <v>313</v>
      </c>
      <c r="E385" s="11" t="s">
        <v>74</v>
      </c>
      <c r="F385" s="11">
        <v>2009.0</v>
      </c>
      <c r="G385" s="40">
        <v>6273.0</v>
      </c>
      <c r="H385" s="40">
        <f t="shared" ref="H385:I385" si="405">F385-F384</f>
        <v>1</v>
      </c>
      <c r="I385" s="40">
        <f t="shared" si="405"/>
        <v>77</v>
      </c>
      <c r="J385" s="73">
        <f t="shared" si="393"/>
        <v>0.0124273725</v>
      </c>
      <c r="K385" s="66">
        <f t="shared" si="394"/>
        <v>0.0124273725</v>
      </c>
      <c r="L385" s="29" t="s">
        <v>260</v>
      </c>
    </row>
    <row r="386">
      <c r="A386" s="11" t="s">
        <v>316</v>
      </c>
      <c r="B386" s="11" t="s">
        <v>317</v>
      </c>
      <c r="C386" s="11" t="s">
        <v>727</v>
      </c>
      <c r="D386" s="74" t="s">
        <v>313</v>
      </c>
      <c r="E386" s="11" t="s">
        <v>74</v>
      </c>
      <c r="F386" s="11">
        <v>2010.0</v>
      </c>
      <c r="G386" s="40">
        <v>6233.0</v>
      </c>
      <c r="H386" s="40">
        <f t="shared" ref="H386:I386" si="406">F386-F385</f>
        <v>1</v>
      </c>
      <c r="I386" s="40">
        <f t="shared" si="406"/>
        <v>-40</v>
      </c>
      <c r="J386" s="73">
        <f t="shared" si="393"/>
        <v>-0.006376534354</v>
      </c>
      <c r="K386" s="66">
        <f t="shared" si="394"/>
        <v>-0.006376534354</v>
      </c>
      <c r="L386" s="29" t="s">
        <v>260</v>
      </c>
    </row>
    <row r="387">
      <c r="A387" s="11" t="s">
        <v>316</v>
      </c>
      <c r="B387" s="11" t="s">
        <v>317</v>
      </c>
      <c r="C387" s="11" t="s">
        <v>727</v>
      </c>
      <c r="D387" s="74" t="s">
        <v>313</v>
      </c>
      <c r="E387" s="11" t="s">
        <v>74</v>
      </c>
      <c r="F387" s="11">
        <v>2011.0</v>
      </c>
      <c r="G387" s="40">
        <v>6281.0</v>
      </c>
      <c r="H387" s="40">
        <f t="shared" ref="H387:I387" si="407">F387-F386</f>
        <v>1</v>
      </c>
      <c r="I387" s="40">
        <f t="shared" si="407"/>
        <v>48</v>
      </c>
      <c r="J387" s="73">
        <f t="shared" si="393"/>
        <v>0.007700946575</v>
      </c>
      <c r="K387" s="66">
        <f t="shared" si="394"/>
        <v>0.007700946575</v>
      </c>
      <c r="L387" s="29" t="s">
        <v>260</v>
      </c>
    </row>
    <row r="388">
      <c r="A388" s="11" t="s">
        <v>316</v>
      </c>
      <c r="B388" s="11" t="s">
        <v>317</v>
      </c>
      <c r="C388" s="11" t="s">
        <v>727</v>
      </c>
      <c r="D388" s="74" t="s">
        <v>313</v>
      </c>
      <c r="E388" s="11" t="s">
        <v>74</v>
      </c>
      <c r="F388" s="11">
        <v>2012.0</v>
      </c>
      <c r="G388" s="40">
        <v>6290.0</v>
      </c>
      <c r="H388" s="40">
        <f t="shared" ref="H388:I388" si="408">F388-F387</f>
        <v>1</v>
      </c>
      <c r="I388" s="40">
        <f t="shared" si="408"/>
        <v>9</v>
      </c>
      <c r="J388" s="73">
        <f t="shared" si="393"/>
        <v>0.001432892851</v>
      </c>
      <c r="K388" s="66">
        <f t="shared" si="394"/>
        <v>0.001432892851</v>
      </c>
      <c r="L388" s="29" t="s">
        <v>260</v>
      </c>
    </row>
    <row r="389">
      <c r="A389" s="11" t="s">
        <v>316</v>
      </c>
      <c r="B389" s="11" t="s">
        <v>317</v>
      </c>
      <c r="C389" s="11" t="s">
        <v>727</v>
      </c>
      <c r="D389" s="74" t="s">
        <v>313</v>
      </c>
      <c r="E389" s="11" t="s">
        <v>74</v>
      </c>
      <c r="F389" s="11">
        <v>2013.0</v>
      </c>
      <c r="G389" s="40">
        <v>6270.0</v>
      </c>
      <c r="H389" s="40">
        <f t="shared" ref="H389:I389" si="409">F389-F388</f>
        <v>1</v>
      </c>
      <c r="I389" s="40">
        <f t="shared" si="409"/>
        <v>-20</v>
      </c>
      <c r="J389" s="73">
        <f t="shared" si="393"/>
        <v>-0.003179650238</v>
      </c>
      <c r="K389" s="66">
        <f t="shared" si="394"/>
        <v>-0.003179650238</v>
      </c>
      <c r="L389" s="29" t="s">
        <v>260</v>
      </c>
    </row>
    <row r="390">
      <c r="A390" s="11" t="s">
        <v>316</v>
      </c>
      <c r="B390" s="11" t="s">
        <v>317</v>
      </c>
      <c r="C390" s="11" t="s">
        <v>727</v>
      </c>
      <c r="D390" s="74" t="s">
        <v>313</v>
      </c>
      <c r="E390" s="11" t="s">
        <v>74</v>
      </c>
      <c r="F390" s="11">
        <v>2014.0</v>
      </c>
      <c r="G390" s="40">
        <v>6182.0</v>
      </c>
      <c r="H390" s="40">
        <f t="shared" ref="H390:I390" si="410">F390-F389</f>
        <v>1</v>
      </c>
      <c r="I390" s="40">
        <f t="shared" si="410"/>
        <v>-88</v>
      </c>
      <c r="J390" s="73">
        <f t="shared" si="393"/>
        <v>-0.01403508772</v>
      </c>
      <c r="K390" s="66">
        <f t="shared" si="394"/>
        <v>-0.01403508772</v>
      </c>
      <c r="L390" s="29" t="s">
        <v>260</v>
      </c>
    </row>
    <row r="391">
      <c r="A391" s="11" t="s">
        <v>316</v>
      </c>
      <c r="B391" s="11" t="s">
        <v>317</v>
      </c>
      <c r="C391" s="11" t="s">
        <v>727</v>
      </c>
      <c r="D391" s="74" t="s">
        <v>313</v>
      </c>
      <c r="E391" s="11" t="s">
        <v>74</v>
      </c>
      <c r="F391" s="11">
        <v>2015.0</v>
      </c>
      <c r="G391" s="40">
        <v>5939.0</v>
      </c>
      <c r="H391" s="40">
        <f t="shared" ref="H391:I391" si="411">F391-F390</f>
        <v>1</v>
      </c>
      <c r="I391" s="40">
        <f t="shared" si="411"/>
        <v>-243</v>
      </c>
      <c r="J391" s="73">
        <f t="shared" si="393"/>
        <v>-0.03930766742</v>
      </c>
      <c r="K391" s="66">
        <f t="shared" si="394"/>
        <v>-0.03930766742</v>
      </c>
      <c r="L391" s="29" t="s">
        <v>260</v>
      </c>
    </row>
    <row r="392">
      <c r="A392" s="11" t="s">
        <v>316</v>
      </c>
      <c r="B392" s="11" t="s">
        <v>317</v>
      </c>
      <c r="C392" s="11" t="s">
        <v>727</v>
      </c>
      <c r="D392" s="74" t="s">
        <v>313</v>
      </c>
      <c r="E392" s="11" t="s">
        <v>74</v>
      </c>
      <c r="F392" s="11">
        <v>2016.0</v>
      </c>
      <c r="G392" s="40">
        <v>5744.0</v>
      </c>
      <c r="H392" s="40">
        <f t="shared" ref="H392:I392" si="412">F392-F391</f>
        <v>1</v>
      </c>
      <c r="I392" s="40">
        <f t="shared" si="412"/>
        <v>-195</v>
      </c>
      <c r="J392" s="73">
        <f t="shared" si="393"/>
        <v>-0.03283381041</v>
      </c>
      <c r="K392" s="66">
        <f t="shared" si="394"/>
        <v>-0.03283381041</v>
      </c>
      <c r="L392" s="29" t="s">
        <v>260</v>
      </c>
    </row>
    <row r="393">
      <c r="A393" s="11" t="s">
        <v>316</v>
      </c>
      <c r="B393" s="11" t="s">
        <v>317</v>
      </c>
      <c r="C393" s="11" t="s">
        <v>727</v>
      </c>
      <c r="D393" s="74" t="s">
        <v>313</v>
      </c>
      <c r="E393" s="11" t="s">
        <v>74</v>
      </c>
      <c r="F393" s="11">
        <v>2017.0</v>
      </c>
      <c r="G393" s="40">
        <v>5442.0</v>
      </c>
      <c r="H393" s="40">
        <f t="shared" ref="H393:I393" si="413">F393-F392</f>
        <v>1</v>
      </c>
      <c r="I393" s="40">
        <f t="shared" si="413"/>
        <v>-302</v>
      </c>
      <c r="J393" s="73">
        <f t="shared" si="393"/>
        <v>-0.05257660167</v>
      </c>
      <c r="K393" s="66">
        <f t="shared" si="394"/>
        <v>-0.05257660167</v>
      </c>
      <c r="L393" s="29" t="s">
        <v>260</v>
      </c>
    </row>
    <row r="394">
      <c r="A394" s="11" t="s">
        <v>316</v>
      </c>
      <c r="B394" s="11" t="s">
        <v>317</v>
      </c>
      <c r="C394" s="11" t="s">
        <v>727</v>
      </c>
      <c r="D394" s="74" t="s">
        <v>313</v>
      </c>
      <c r="E394" s="11" t="s">
        <v>74</v>
      </c>
      <c r="F394" s="11">
        <v>2018.0</v>
      </c>
      <c r="G394" s="40">
        <v>5570.0</v>
      </c>
      <c r="H394" s="40">
        <f t="shared" ref="H394:I394" si="414">F394-F393</f>
        <v>1</v>
      </c>
      <c r="I394" s="40">
        <f t="shared" si="414"/>
        <v>128</v>
      </c>
      <c r="J394" s="73">
        <f t="shared" si="393"/>
        <v>0.02352076442</v>
      </c>
      <c r="K394" s="66">
        <f t="shared" si="394"/>
        <v>0.02352076442</v>
      </c>
      <c r="L394" s="29" t="s">
        <v>260</v>
      </c>
    </row>
    <row r="395">
      <c r="A395" s="11" t="s">
        <v>323</v>
      </c>
      <c r="B395" s="11" t="s">
        <v>317</v>
      </c>
      <c r="C395" s="11" t="s">
        <v>753</v>
      </c>
      <c r="D395" s="74" t="s">
        <v>313</v>
      </c>
      <c r="E395" s="11" t="s">
        <v>74</v>
      </c>
      <c r="F395" s="11">
        <v>1996.0</v>
      </c>
      <c r="G395" s="40">
        <v>36369.0</v>
      </c>
      <c r="H395" s="40" t="s">
        <v>188</v>
      </c>
      <c r="I395" s="40" t="s">
        <v>188</v>
      </c>
      <c r="J395" s="73" t="s">
        <v>188</v>
      </c>
      <c r="K395" s="66" t="s">
        <v>188</v>
      </c>
      <c r="L395" s="29" t="s">
        <v>260</v>
      </c>
    </row>
    <row r="396">
      <c r="A396" s="11" t="s">
        <v>323</v>
      </c>
      <c r="B396" s="11" t="s">
        <v>317</v>
      </c>
      <c r="C396" s="11" t="s">
        <v>753</v>
      </c>
      <c r="D396" s="74" t="s">
        <v>313</v>
      </c>
      <c r="E396" s="11" t="s">
        <v>74</v>
      </c>
      <c r="F396" s="11">
        <v>1997.0</v>
      </c>
      <c r="G396" s="40">
        <v>33462.0</v>
      </c>
      <c r="H396" s="40">
        <f t="shared" ref="H396:I396" si="415">F396-F395</f>
        <v>1</v>
      </c>
      <c r="I396" s="40">
        <f t="shared" si="415"/>
        <v>-2907</v>
      </c>
      <c r="J396" s="73">
        <f t="shared" ref="J396:J417" si="417">I396/G395</f>
        <v>-0.07993071022</v>
      </c>
      <c r="K396" s="66">
        <f t="shared" ref="K396:K417" si="418">J396/H396</f>
        <v>-0.07993071022</v>
      </c>
      <c r="L396" s="29" t="s">
        <v>260</v>
      </c>
    </row>
    <row r="397">
      <c r="A397" s="11" t="s">
        <v>323</v>
      </c>
      <c r="B397" s="11" t="s">
        <v>317</v>
      </c>
      <c r="C397" s="11" t="s">
        <v>753</v>
      </c>
      <c r="D397" s="74" t="s">
        <v>313</v>
      </c>
      <c r="E397" s="11" t="s">
        <v>74</v>
      </c>
      <c r="F397" s="11">
        <v>1998.0</v>
      </c>
      <c r="G397" s="40">
        <v>30889.0</v>
      </c>
      <c r="H397" s="40">
        <f t="shared" ref="H397:I397" si="416">F397-F396</f>
        <v>1</v>
      </c>
      <c r="I397" s="40">
        <f t="shared" si="416"/>
        <v>-2573</v>
      </c>
      <c r="J397" s="73">
        <f t="shared" si="417"/>
        <v>-0.07689319228</v>
      </c>
      <c r="K397" s="66">
        <f t="shared" si="418"/>
        <v>-0.07689319228</v>
      </c>
      <c r="L397" s="29" t="s">
        <v>260</v>
      </c>
    </row>
    <row r="398">
      <c r="A398" s="11" t="s">
        <v>323</v>
      </c>
      <c r="B398" s="11" t="s">
        <v>317</v>
      </c>
      <c r="C398" s="11" t="s">
        <v>753</v>
      </c>
      <c r="D398" s="74" t="s">
        <v>313</v>
      </c>
      <c r="E398" s="11" t="s">
        <v>74</v>
      </c>
      <c r="F398" s="11">
        <v>1999.0</v>
      </c>
      <c r="G398" s="40">
        <v>29990.0</v>
      </c>
      <c r="H398" s="40">
        <f t="shared" ref="H398:I398" si="419">F398-F397</f>
        <v>1</v>
      </c>
      <c r="I398" s="40">
        <f t="shared" si="419"/>
        <v>-899</v>
      </c>
      <c r="J398" s="73">
        <f t="shared" si="417"/>
        <v>-0.02910421186</v>
      </c>
      <c r="K398" s="66">
        <f t="shared" si="418"/>
        <v>-0.02910421186</v>
      </c>
      <c r="L398" s="29" t="s">
        <v>260</v>
      </c>
    </row>
    <row r="399">
      <c r="A399" s="11" t="s">
        <v>323</v>
      </c>
      <c r="B399" s="11" t="s">
        <v>317</v>
      </c>
      <c r="C399" s="11" t="s">
        <v>753</v>
      </c>
      <c r="D399" s="74" t="s">
        <v>313</v>
      </c>
      <c r="E399" s="11" t="s">
        <v>74</v>
      </c>
      <c r="F399" s="11">
        <v>2000.0</v>
      </c>
      <c r="G399" s="40">
        <v>29090.0</v>
      </c>
      <c r="H399" s="40">
        <f t="shared" ref="H399:I399" si="420">F399-F398</f>
        <v>1</v>
      </c>
      <c r="I399" s="40">
        <f t="shared" si="420"/>
        <v>-900</v>
      </c>
      <c r="J399" s="73">
        <f t="shared" si="417"/>
        <v>-0.03001000333</v>
      </c>
      <c r="K399" s="66">
        <f t="shared" si="418"/>
        <v>-0.03001000333</v>
      </c>
      <c r="L399" s="29" t="s">
        <v>260</v>
      </c>
    </row>
    <row r="400">
      <c r="A400" s="11" t="s">
        <v>323</v>
      </c>
      <c r="B400" s="11" t="s">
        <v>317</v>
      </c>
      <c r="C400" s="11" t="s">
        <v>753</v>
      </c>
      <c r="D400" s="74" t="s">
        <v>313</v>
      </c>
      <c r="E400" s="11" t="s">
        <v>74</v>
      </c>
      <c r="F400" s="11">
        <v>2001.0</v>
      </c>
      <c r="G400" s="40">
        <v>31425.0</v>
      </c>
      <c r="H400" s="40">
        <f t="shared" ref="H400:I400" si="421">F400-F399</f>
        <v>1</v>
      </c>
      <c r="I400" s="40">
        <f t="shared" si="421"/>
        <v>2335</v>
      </c>
      <c r="J400" s="73">
        <f t="shared" si="417"/>
        <v>0.08026813338</v>
      </c>
      <c r="K400" s="66">
        <f t="shared" si="418"/>
        <v>0.08026813338</v>
      </c>
      <c r="L400" s="29" t="s">
        <v>260</v>
      </c>
    </row>
    <row r="401">
      <c r="A401" s="11" t="s">
        <v>323</v>
      </c>
      <c r="B401" s="11" t="s">
        <v>317</v>
      </c>
      <c r="C401" s="11" t="s">
        <v>753</v>
      </c>
      <c r="D401" s="74" t="s">
        <v>313</v>
      </c>
      <c r="E401" s="11" t="s">
        <v>74</v>
      </c>
      <c r="F401" s="11">
        <v>2002.0</v>
      </c>
      <c r="G401" s="40">
        <v>32644.0</v>
      </c>
      <c r="H401" s="40">
        <f t="shared" ref="H401:I401" si="422">F401-F400</f>
        <v>1</v>
      </c>
      <c r="I401" s="40">
        <f t="shared" si="422"/>
        <v>1219</v>
      </c>
      <c r="J401" s="73">
        <f t="shared" si="417"/>
        <v>0.03879077168</v>
      </c>
      <c r="K401" s="66">
        <f t="shared" si="418"/>
        <v>0.03879077168</v>
      </c>
      <c r="L401" s="29" t="s">
        <v>260</v>
      </c>
    </row>
    <row r="402">
      <c r="A402" s="11" t="s">
        <v>323</v>
      </c>
      <c r="B402" s="11" t="s">
        <v>317</v>
      </c>
      <c r="C402" s="11" t="s">
        <v>753</v>
      </c>
      <c r="D402" s="74" t="s">
        <v>313</v>
      </c>
      <c r="E402" s="11" t="s">
        <v>74</v>
      </c>
      <c r="F402" s="11">
        <v>2003.0</v>
      </c>
      <c r="G402" s="40">
        <v>32414.0</v>
      </c>
      <c r="H402" s="40">
        <f t="shared" ref="H402:I402" si="423">F402-F401</f>
        <v>1</v>
      </c>
      <c r="I402" s="40">
        <f t="shared" si="423"/>
        <v>-230</v>
      </c>
      <c r="J402" s="73">
        <f t="shared" si="417"/>
        <v>-0.007045705183</v>
      </c>
      <c r="K402" s="66">
        <f t="shared" si="418"/>
        <v>-0.007045705183</v>
      </c>
      <c r="L402" s="29" t="s">
        <v>260</v>
      </c>
    </row>
    <row r="403">
      <c r="A403" s="11" t="s">
        <v>323</v>
      </c>
      <c r="B403" s="11" t="s">
        <v>317</v>
      </c>
      <c r="C403" s="11" t="s">
        <v>753</v>
      </c>
      <c r="D403" s="74" t="s">
        <v>313</v>
      </c>
      <c r="E403" s="11" t="s">
        <v>74</v>
      </c>
      <c r="F403" s="11">
        <v>2004.0</v>
      </c>
      <c r="G403" s="40">
        <v>37425.0</v>
      </c>
      <c r="H403" s="40">
        <f t="shared" ref="H403:I403" si="424">F403-F402</f>
        <v>1</v>
      </c>
      <c r="I403" s="40">
        <f t="shared" si="424"/>
        <v>5011</v>
      </c>
      <c r="J403" s="73">
        <f t="shared" si="417"/>
        <v>0.1545936941</v>
      </c>
      <c r="K403" s="66">
        <f t="shared" si="418"/>
        <v>0.1545936941</v>
      </c>
      <c r="L403" s="29" t="s">
        <v>260</v>
      </c>
    </row>
    <row r="404">
      <c r="A404" s="11" t="s">
        <v>323</v>
      </c>
      <c r="B404" s="11" t="s">
        <v>317</v>
      </c>
      <c r="C404" s="11" t="s">
        <v>753</v>
      </c>
      <c r="D404" s="74" t="s">
        <v>313</v>
      </c>
      <c r="E404" s="11" t="s">
        <v>74</v>
      </c>
      <c r="F404" s="11">
        <v>2005.0</v>
      </c>
      <c r="G404" s="40">
        <v>37418.0</v>
      </c>
      <c r="H404" s="40">
        <f t="shared" ref="H404:I404" si="425">F404-F403</f>
        <v>1</v>
      </c>
      <c r="I404" s="40">
        <f t="shared" si="425"/>
        <v>-7</v>
      </c>
      <c r="J404" s="73">
        <f t="shared" si="417"/>
        <v>-0.0001870407482</v>
      </c>
      <c r="K404" s="66">
        <f t="shared" si="418"/>
        <v>-0.0001870407482</v>
      </c>
      <c r="L404" s="29" t="s">
        <v>260</v>
      </c>
    </row>
    <row r="405">
      <c r="A405" s="11" t="s">
        <v>323</v>
      </c>
      <c r="B405" s="11" t="s">
        <v>317</v>
      </c>
      <c r="C405" s="11" t="s">
        <v>753</v>
      </c>
      <c r="D405" s="74" t="s">
        <v>313</v>
      </c>
      <c r="E405" s="11" t="s">
        <v>74</v>
      </c>
      <c r="F405" s="11">
        <v>2006.0</v>
      </c>
      <c r="G405" s="40">
        <v>34510.0</v>
      </c>
      <c r="H405" s="40">
        <f t="shared" ref="H405:I405" si="426">F405-F404</f>
        <v>1</v>
      </c>
      <c r="I405" s="40">
        <f t="shared" si="426"/>
        <v>-2908</v>
      </c>
      <c r="J405" s="73">
        <f t="shared" si="417"/>
        <v>-0.07771660698</v>
      </c>
      <c r="K405" s="66">
        <f t="shared" si="418"/>
        <v>-0.07771660698</v>
      </c>
      <c r="L405" s="29" t="s">
        <v>260</v>
      </c>
    </row>
    <row r="406">
      <c r="A406" s="11" t="s">
        <v>323</v>
      </c>
      <c r="B406" s="11" t="s">
        <v>317</v>
      </c>
      <c r="C406" s="11" t="s">
        <v>753</v>
      </c>
      <c r="D406" s="74" t="s">
        <v>313</v>
      </c>
      <c r="E406" s="11" t="s">
        <v>74</v>
      </c>
      <c r="F406" s="11">
        <v>2007.0</v>
      </c>
      <c r="G406" s="40">
        <v>32829.0</v>
      </c>
      <c r="H406" s="40">
        <f t="shared" ref="H406:I406" si="427">F406-F405</f>
        <v>1</v>
      </c>
      <c r="I406" s="40">
        <f t="shared" si="427"/>
        <v>-1681</v>
      </c>
      <c r="J406" s="73">
        <f t="shared" si="417"/>
        <v>-0.04871051869</v>
      </c>
      <c r="K406" s="66">
        <f t="shared" si="418"/>
        <v>-0.04871051869</v>
      </c>
      <c r="L406" s="29" t="s">
        <v>260</v>
      </c>
    </row>
    <row r="407">
      <c r="A407" s="11" t="s">
        <v>323</v>
      </c>
      <c r="B407" s="11" t="s">
        <v>317</v>
      </c>
      <c r="C407" s="11" t="s">
        <v>753</v>
      </c>
      <c r="D407" s="74" t="s">
        <v>313</v>
      </c>
      <c r="E407" s="11" t="s">
        <v>74</v>
      </c>
      <c r="F407" s="11">
        <v>2008.0</v>
      </c>
      <c r="G407" s="40">
        <v>29031.0</v>
      </c>
      <c r="H407" s="40">
        <f t="shared" ref="H407:I407" si="428">F407-F406</f>
        <v>1</v>
      </c>
      <c r="I407" s="40">
        <f t="shared" si="428"/>
        <v>-3798</v>
      </c>
      <c r="J407" s="73">
        <f t="shared" si="417"/>
        <v>-0.1156903957</v>
      </c>
      <c r="K407" s="66">
        <f t="shared" si="418"/>
        <v>-0.1156903957</v>
      </c>
      <c r="L407" s="29" t="s">
        <v>260</v>
      </c>
    </row>
    <row r="408">
      <c r="A408" s="11" t="s">
        <v>323</v>
      </c>
      <c r="B408" s="11" t="s">
        <v>317</v>
      </c>
      <c r="C408" s="11" t="s">
        <v>753</v>
      </c>
      <c r="D408" s="74" t="s">
        <v>313</v>
      </c>
      <c r="E408" s="11" t="s">
        <v>74</v>
      </c>
      <c r="F408" s="11">
        <v>2009.0</v>
      </c>
      <c r="G408" s="40">
        <v>33372.0</v>
      </c>
      <c r="H408" s="40">
        <f t="shared" ref="H408:I408" si="429">F408-F407</f>
        <v>1</v>
      </c>
      <c r="I408" s="40">
        <f t="shared" si="429"/>
        <v>4341</v>
      </c>
      <c r="J408" s="73">
        <f t="shared" si="417"/>
        <v>0.149529813</v>
      </c>
      <c r="K408" s="66">
        <f t="shared" si="418"/>
        <v>0.149529813</v>
      </c>
      <c r="L408" s="29" t="s">
        <v>260</v>
      </c>
    </row>
    <row r="409">
      <c r="A409" s="11" t="s">
        <v>323</v>
      </c>
      <c r="B409" s="11" t="s">
        <v>317</v>
      </c>
      <c r="C409" s="11" t="s">
        <v>753</v>
      </c>
      <c r="D409" s="74" t="s">
        <v>313</v>
      </c>
      <c r="E409" s="11" t="s">
        <v>74</v>
      </c>
      <c r="F409" s="11">
        <v>2010.0</v>
      </c>
      <c r="G409" s="40">
        <v>33812.0</v>
      </c>
      <c r="H409" s="40">
        <f t="shared" ref="H409:I409" si="430">F409-F408</f>
        <v>1</v>
      </c>
      <c r="I409" s="40">
        <f t="shared" si="430"/>
        <v>440</v>
      </c>
      <c r="J409" s="73">
        <f t="shared" si="417"/>
        <v>0.01318470574</v>
      </c>
      <c r="K409" s="66">
        <f t="shared" si="418"/>
        <v>0.01318470574</v>
      </c>
      <c r="L409" s="29" t="s">
        <v>260</v>
      </c>
    </row>
    <row r="410">
      <c r="A410" s="11" t="s">
        <v>323</v>
      </c>
      <c r="B410" s="11" t="s">
        <v>317</v>
      </c>
      <c r="C410" s="11" t="s">
        <v>753</v>
      </c>
      <c r="D410" s="74" t="s">
        <v>313</v>
      </c>
      <c r="E410" s="11" t="s">
        <v>74</v>
      </c>
      <c r="F410" s="11">
        <v>2011.0</v>
      </c>
      <c r="G410" s="40">
        <v>36146.0</v>
      </c>
      <c r="H410" s="40">
        <f t="shared" ref="H410:I410" si="431">F410-F409</f>
        <v>1</v>
      </c>
      <c r="I410" s="40">
        <f t="shared" si="431"/>
        <v>2334</v>
      </c>
      <c r="J410" s="73">
        <f t="shared" si="417"/>
        <v>0.06902874719</v>
      </c>
      <c r="K410" s="66">
        <f t="shared" si="418"/>
        <v>0.06902874719</v>
      </c>
      <c r="L410" s="29" t="s">
        <v>260</v>
      </c>
    </row>
    <row r="411">
      <c r="A411" s="11" t="s">
        <v>323</v>
      </c>
      <c r="B411" s="11" t="s">
        <v>317</v>
      </c>
      <c r="C411" s="11" t="s">
        <v>753</v>
      </c>
      <c r="D411" s="74" t="s">
        <v>313</v>
      </c>
      <c r="E411" s="11" t="s">
        <v>74</v>
      </c>
      <c r="F411" s="11">
        <v>2012.0</v>
      </c>
      <c r="G411" s="40">
        <v>37253.0</v>
      </c>
      <c r="H411" s="40">
        <f t="shared" ref="H411:I411" si="432">F411-F410</f>
        <v>1</v>
      </c>
      <c r="I411" s="40">
        <f t="shared" si="432"/>
        <v>1107</v>
      </c>
      <c r="J411" s="73">
        <f t="shared" si="417"/>
        <v>0.03062579539</v>
      </c>
      <c r="K411" s="66">
        <f t="shared" si="418"/>
        <v>0.03062579539</v>
      </c>
      <c r="L411" s="29" t="s">
        <v>260</v>
      </c>
    </row>
    <row r="412">
      <c r="A412" s="11" t="s">
        <v>323</v>
      </c>
      <c r="B412" s="11" t="s">
        <v>317</v>
      </c>
      <c r="C412" s="11" t="s">
        <v>753</v>
      </c>
      <c r="D412" s="74" t="s">
        <v>313</v>
      </c>
      <c r="E412" s="11" t="s">
        <v>74</v>
      </c>
      <c r="F412" s="11">
        <v>2013.0</v>
      </c>
      <c r="G412" s="40">
        <v>38584.0</v>
      </c>
      <c r="H412" s="40">
        <f t="shared" ref="H412:I412" si="433">F412-F411</f>
        <v>1</v>
      </c>
      <c r="I412" s="40">
        <f t="shared" si="433"/>
        <v>1331</v>
      </c>
      <c r="J412" s="73">
        <f t="shared" si="417"/>
        <v>0.03572866615</v>
      </c>
      <c r="K412" s="66">
        <f t="shared" si="418"/>
        <v>0.03572866615</v>
      </c>
      <c r="L412" s="29" t="s">
        <v>260</v>
      </c>
    </row>
    <row r="413">
      <c r="A413" s="11" t="s">
        <v>323</v>
      </c>
      <c r="B413" s="11" t="s">
        <v>317</v>
      </c>
      <c r="C413" s="11" t="s">
        <v>753</v>
      </c>
      <c r="D413" s="74" t="s">
        <v>313</v>
      </c>
      <c r="E413" s="11" t="s">
        <v>74</v>
      </c>
      <c r="F413" s="11">
        <v>2014.0</v>
      </c>
      <c r="G413" s="40">
        <v>40027.0</v>
      </c>
      <c r="H413" s="40">
        <f t="shared" ref="H413:I413" si="434">F413-F412</f>
        <v>1</v>
      </c>
      <c r="I413" s="40">
        <f t="shared" si="434"/>
        <v>1443</v>
      </c>
      <c r="J413" s="73">
        <f t="shared" si="417"/>
        <v>0.03739892183</v>
      </c>
      <c r="K413" s="66">
        <f t="shared" si="418"/>
        <v>0.03739892183</v>
      </c>
      <c r="L413" s="29" t="s">
        <v>260</v>
      </c>
    </row>
    <row r="414">
      <c r="A414" s="11" t="s">
        <v>323</v>
      </c>
      <c r="B414" s="11" t="s">
        <v>317</v>
      </c>
      <c r="C414" s="11" t="s">
        <v>753</v>
      </c>
      <c r="D414" s="74" t="s">
        <v>313</v>
      </c>
      <c r="E414" s="11" t="s">
        <v>74</v>
      </c>
      <c r="F414" s="11">
        <v>2015.0</v>
      </c>
      <c r="G414" s="40">
        <v>43700.0</v>
      </c>
      <c r="H414" s="40">
        <f t="shared" ref="H414:I414" si="435">F414-F413</f>
        <v>1</v>
      </c>
      <c r="I414" s="40">
        <f t="shared" si="435"/>
        <v>3673</v>
      </c>
      <c r="J414" s="73">
        <f t="shared" si="417"/>
        <v>0.09176305993</v>
      </c>
      <c r="K414" s="66">
        <f t="shared" si="418"/>
        <v>0.09176305993</v>
      </c>
      <c r="L414" s="29" t="s">
        <v>260</v>
      </c>
    </row>
    <row r="415">
      <c r="A415" s="11" t="s">
        <v>323</v>
      </c>
      <c r="B415" s="11" t="s">
        <v>317</v>
      </c>
      <c r="C415" s="11" t="s">
        <v>753</v>
      </c>
      <c r="D415" s="74" t="s">
        <v>313</v>
      </c>
      <c r="E415" s="11" t="s">
        <v>74</v>
      </c>
      <c r="F415" s="11">
        <v>2016.0</v>
      </c>
      <c r="G415" s="40">
        <v>40235.0</v>
      </c>
      <c r="H415" s="40">
        <f t="shared" ref="H415:I415" si="436">F415-F414</f>
        <v>1</v>
      </c>
      <c r="I415" s="40">
        <f t="shared" si="436"/>
        <v>-3465</v>
      </c>
      <c r="J415" s="73">
        <f t="shared" si="417"/>
        <v>-0.07929061785</v>
      </c>
      <c r="K415" s="66">
        <f t="shared" si="418"/>
        <v>-0.07929061785</v>
      </c>
      <c r="L415" s="29" t="s">
        <v>260</v>
      </c>
    </row>
    <row r="416">
      <c r="A416" s="11" t="s">
        <v>323</v>
      </c>
      <c r="B416" s="11" t="s">
        <v>317</v>
      </c>
      <c r="C416" s="11" t="s">
        <v>753</v>
      </c>
      <c r="D416" s="74" t="s">
        <v>313</v>
      </c>
      <c r="E416" s="11" t="s">
        <v>74</v>
      </c>
      <c r="F416" s="11">
        <v>2017.0</v>
      </c>
      <c r="G416" s="40">
        <v>42569.0</v>
      </c>
      <c r="H416" s="40">
        <f t="shared" ref="H416:I416" si="437">F416-F415</f>
        <v>1</v>
      </c>
      <c r="I416" s="40">
        <f t="shared" si="437"/>
        <v>2334</v>
      </c>
      <c r="J416" s="73">
        <f t="shared" si="417"/>
        <v>0.05800919597</v>
      </c>
      <c r="K416" s="66">
        <f t="shared" si="418"/>
        <v>0.05800919597</v>
      </c>
      <c r="L416" s="29" t="s">
        <v>260</v>
      </c>
    </row>
    <row r="417">
      <c r="A417" s="11" t="s">
        <v>323</v>
      </c>
      <c r="B417" s="11" t="s">
        <v>317</v>
      </c>
      <c r="C417" s="11" t="s">
        <v>753</v>
      </c>
      <c r="D417" s="74" t="s">
        <v>313</v>
      </c>
      <c r="E417" s="11" t="s">
        <v>74</v>
      </c>
      <c r="F417" s="11">
        <v>2018.0</v>
      </c>
      <c r="G417" s="40">
        <v>44458.0</v>
      </c>
      <c r="H417" s="40">
        <f t="shared" ref="H417:I417" si="438">F417-F416</f>
        <v>1</v>
      </c>
      <c r="I417" s="40">
        <f t="shared" si="438"/>
        <v>1889</v>
      </c>
      <c r="J417" s="73">
        <f t="shared" si="417"/>
        <v>0.04437501468</v>
      </c>
      <c r="K417" s="66">
        <f t="shared" si="418"/>
        <v>0.04437501468</v>
      </c>
      <c r="L417" s="29" t="s">
        <v>260</v>
      </c>
    </row>
    <row r="418">
      <c r="A418" s="11" t="s">
        <v>324</v>
      </c>
      <c r="B418" s="11" t="s">
        <v>317</v>
      </c>
      <c r="C418" s="11" t="s">
        <v>784</v>
      </c>
      <c r="D418" s="74" t="s">
        <v>313</v>
      </c>
      <c r="E418" s="11" t="s">
        <v>74</v>
      </c>
      <c r="F418" s="11">
        <v>1996.0</v>
      </c>
      <c r="G418" s="40">
        <v>6375.0</v>
      </c>
      <c r="H418" s="40" t="s">
        <v>188</v>
      </c>
      <c r="I418" s="40" t="s">
        <v>188</v>
      </c>
      <c r="J418" s="73" t="s">
        <v>188</v>
      </c>
      <c r="K418" s="66" t="s">
        <v>188</v>
      </c>
      <c r="L418" s="29" t="s">
        <v>260</v>
      </c>
    </row>
    <row r="419">
      <c r="A419" s="11" t="s">
        <v>324</v>
      </c>
      <c r="B419" s="11" t="s">
        <v>317</v>
      </c>
      <c r="C419" s="11" t="s">
        <v>784</v>
      </c>
      <c r="D419" s="74" t="s">
        <v>313</v>
      </c>
      <c r="E419" s="11" t="s">
        <v>74</v>
      </c>
      <c r="F419" s="11">
        <v>1997.0</v>
      </c>
      <c r="G419" s="40">
        <v>6844.0</v>
      </c>
      <c r="H419" s="112">
        <f t="shared" ref="H419:I419" si="439">F419-F418</f>
        <v>1</v>
      </c>
      <c r="I419" s="114">
        <f t="shared" si="439"/>
        <v>469</v>
      </c>
      <c r="J419" s="115">
        <f t="shared" ref="J419:J440" si="441">I419/G418</f>
        <v>0.07356862745</v>
      </c>
      <c r="K419" s="66">
        <f t="shared" ref="K419:K440" si="442">J419/H419</f>
        <v>0.07356862745</v>
      </c>
      <c r="L419" s="29" t="s">
        <v>260</v>
      </c>
    </row>
    <row r="420">
      <c r="A420" s="11" t="s">
        <v>324</v>
      </c>
      <c r="B420" s="11" t="s">
        <v>317</v>
      </c>
      <c r="C420" s="11" t="s">
        <v>784</v>
      </c>
      <c r="D420" s="74" t="s">
        <v>313</v>
      </c>
      <c r="E420" s="11" t="s">
        <v>74</v>
      </c>
      <c r="F420" s="11">
        <v>1998.0</v>
      </c>
      <c r="G420" s="40">
        <v>6890.0</v>
      </c>
      <c r="H420" s="112">
        <f t="shared" ref="H420:I420" si="440">F420-F419</f>
        <v>1</v>
      </c>
      <c r="I420" s="114">
        <f t="shared" si="440"/>
        <v>46</v>
      </c>
      <c r="J420" s="115">
        <f t="shared" si="441"/>
        <v>0.006721215663</v>
      </c>
      <c r="K420" s="66">
        <f t="shared" si="442"/>
        <v>0.006721215663</v>
      </c>
      <c r="L420" s="29" t="s">
        <v>260</v>
      </c>
    </row>
    <row r="421">
      <c r="A421" s="11" t="s">
        <v>324</v>
      </c>
      <c r="B421" s="11" t="s">
        <v>317</v>
      </c>
      <c r="C421" s="11" t="s">
        <v>784</v>
      </c>
      <c r="D421" s="74" t="s">
        <v>313</v>
      </c>
      <c r="E421" s="11" t="s">
        <v>74</v>
      </c>
      <c r="F421" s="11">
        <v>1999.0</v>
      </c>
      <c r="G421" s="40">
        <v>6606.0</v>
      </c>
      <c r="H421" s="112">
        <f t="shared" ref="H421:I421" si="443">F421-F420</f>
        <v>1</v>
      </c>
      <c r="I421" s="114">
        <f t="shared" si="443"/>
        <v>-284</v>
      </c>
      <c r="J421" s="115">
        <f t="shared" si="441"/>
        <v>-0.0412191582</v>
      </c>
      <c r="K421" s="66">
        <f t="shared" si="442"/>
        <v>-0.0412191582</v>
      </c>
      <c r="L421" s="29" t="s">
        <v>260</v>
      </c>
    </row>
    <row r="422">
      <c r="A422" s="11" t="s">
        <v>324</v>
      </c>
      <c r="B422" s="11" t="s">
        <v>317</v>
      </c>
      <c r="C422" s="11" t="s">
        <v>784</v>
      </c>
      <c r="D422" s="74" t="s">
        <v>313</v>
      </c>
      <c r="E422" s="11" t="s">
        <v>74</v>
      </c>
      <c r="F422" s="11">
        <v>2000.0</v>
      </c>
      <c r="G422" s="40">
        <v>6322.0</v>
      </c>
      <c r="H422" s="112">
        <f t="shared" ref="H422:I422" si="444">F422-F421</f>
        <v>1</v>
      </c>
      <c r="I422" s="114">
        <f t="shared" si="444"/>
        <v>-284</v>
      </c>
      <c r="J422" s="115">
        <f t="shared" si="441"/>
        <v>-0.0429912201</v>
      </c>
      <c r="K422" s="66">
        <f t="shared" si="442"/>
        <v>-0.0429912201</v>
      </c>
      <c r="L422" s="29" t="s">
        <v>260</v>
      </c>
    </row>
    <row r="423">
      <c r="A423" s="11" t="s">
        <v>324</v>
      </c>
      <c r="B423" s="11" t="s">
        <v>317</v>
      </c>
      <c r="C423" s="11" t="s">
        <v>784</v>
      </c>
      <c r="D423" s="74" t="s">
        <v>313</v>
      </c>
      <c r="E423" s="11" t="s">
        <v>74</v>
      </c>
      <c r="F423" s="11">
        <v>2001.0</v>
      </c>
      <c r="G423" s="40">
        <v>5779.0</v>
      </c>
      <c r="H423" s="112">
        <f t="shared" ref="H423:I423" si="445">F423-F422</f>
        <v>1</v>
      </c>
      <c r="I423" s="114">
        <f t="shared" si="445"/>
        <v>-543</v>
      </c>
      <c r="J423" s="115">
        <f t="shared" si="441"/>
        <v>-0.08589054097</v>
      </c>
      <c r="K423" s="66">
        <f t="shared" si="442"/>
        <v>-0.08589054097</v>
      </c>
      <c r="L423" s="29" t="s">
        <v>260</v>
      </c>
    </row>
    <row r="424">
      <c r="A424" s="11" t="s">
        <v>324</v>
      </c>
      <c r="B424" s="11" t="s">
        <v>317</v>
      </c>
      <c r="C424" s="11" t="s">
        <v>784</v>
      </c>
      <c r="D424" s="74" t="s">
        <v>313</v>
      </c>
      <c r="E424" s="11" t="s">
        <v>74</v>
      </c>
      <c r="F424" s="11">
        <v>2002.0</v>
      </c>
      <c r="G424" s="40">
        <v>6483.0</v>
      </c>
      <c r="H424" s="112">
        <f t="shared" ref="H424:I424" si="446">F424-F423</f>
        <v>1</v>
      </c>
      <c r="I424" s="114">
        <f t="shared" si="446"/>
        <v>704</v>
      </c>
      <c r="J424" s="115">
        <f t="shared" si="441"/>
        <v>0.1218203841</v>
      </c>
      <c r="K424" s="66">
        <f t="shared" si="442"/>
        <v>0.1218203841</v>
      </c>
      <c r="L424" s="29" t="s">
        <v>260</v>
      </c>
    </row>
    <row r="425">
      <c r="A425" s="11" t="s">
        <v>324</v>
      </c>
      <c r="B425" s="11" t="s">
        <v>317</v>
      </c>
      <c r="C425" s="11" t="s">
        <v>784</v>
      </c>
      <c r="D425" s="74" t="s">
        <v>313</v>
      </c>
      <c r="E425" s="11" t="s">
        <v>74</v>
      </c>
      <c r="F425" s="11">
        <v>2003.0</v>
      </c>
      <c r="G425" s="40">
        <v>6764.0</v>
      </c>
      <c r="H425" s="112">
        <f t="shared" ref="H425:I425" si="447">F425-F424</f>
        <v>1</v>
      </c>
      <c r="I425" s="114">
        <f t="shared" si="447"/>
        <v>281</v>
      </c>
      <c r="J425" s="115">
        <f t="shared" si="441"/>
        <v>0.0433441308</v>
      </c>
      <c r="K425" s="66">
        <f t="shared" si="442"/>
        <v>0.0433441308</v>
      </c>
      <c r="L425" s="29" t="s">
        <v>260</v>
      </c>
    </row>
    <row r="426">
      <c r="A426" s="11" t="s">
        <v>324</v>
      </c>
      <c r="B426" s="11" t="s">
        <v>317</v>
      </c>
      <c r="C426" s="11" t="s">
        <v>784</v>
      </c>
      <c r="D426" s="74" t="s">
        <v>313</v>
      </c>
      <c r="E426" s="11" t="s">
        <v>74</v>
      </c>
      <c r="F426" s="11">
        <v>2004.0</v>
      </c>
      <c r="G426" s="40">
        <v>7139.0</v>
      </c>
      <c r="H426" s="112">
        <f t="shared" ref="H426:I426" si="448">F426-F425</f>
        <v>1</v>
      </c>
      <c r="I426" s="114">
        <f t="shared" si="448"/>
        <v>375</v>
      </c>
      <c r="J426" s="115">
        <f t="shared" si="441"/>
        <v>0.05544056771</v>
      </c>
      <c r="K426" s="66">
        <f t="shared" si="442"/>
        <v>0.05544056771</v>
      </c>
      <c r="L426" s="29" t="s">
        <v>260</v>
      </c>
    </row>
    <row r="427">
      <c r="A427" s="11" t="s">
        <v>324</v>
      </c>
      <c r="B427" s="11" t="s">
        <v>317</v>
      </c>
      <c r="C427" s="11" t="s">
        <v>784</v>
      </c>
      <c r="D427" s="74" t="s">
        <v>313</v>
      </c>
      <c r="E427" s="11" t="s">
        <v>74</v>
      </c>
      <c r="F427" s="11">
        <v>2005.0</v>
      </c>
      <c r="G427" s="40">
        <v>7349.0</v>
      </c>
      <c r="H427" s="112">
        <f t="shared" ref="H427:I427" si="449">F427-F426</f>
        <v>1</v>
      </c>
      <c r="I427" s="114">
        <f t="shared" si="449"/>
        <v>210</v>
      </c>
      <c r="J427" s="115">
        <f t="shared" si="441"/>
        <v>0.02941588458</v>
      </c>
      <c r="K427" s="66">
        <f t="shared" si="442"/>
        <v>0.02941588458</v>
      </c>
      <c r="L427" s="29" t="s">
        <v>260</v>
      </c>
    </row>
    <row r="428">
      <c r="A428" s="11" t="s">
        <v>324</v>
      </c>
      <c r="B428" s="11" t="s">
        <v>317</v>
      </c>
      <c r="C428" s="11" t="s">
        <v>784</v>
      </c>
      <c r="D428" s="74" t="s">
        <v>313</v>
      </c>
      <c r="E428" s="11" t="s">
        <v>74</v>
      </c>
      <c r="F428" s="11">
        <v>2006.0</v>
      </c>
      <c r="G428" s="40">
        <v>7442.0</v>
      </c>
      <c r="H428" s="112">
        <f t="shared" ref="H428:I428" si="450">F428-F427</f>
        <v>1</v>
      </c>
      <c r="I428" s="114">
        <f t="shared" si="450"/>
        <v>93</v>
      </c>
      <c r="J428" s="115">
        <f t="shared" si="441"/>
        <v>0.01265478296</v>
      </c>
      <c r="K428" s="66">
        <f t="shared" si="442"/>
        <v>0.01265478296</v>
      </c>
      <c r="L428" s="29" t="s">
        <v>260</v>
      </c>
    </row>
    <row r="429">
      <c r="A429" s="11" t="s">
        <v>324</v>
      </c>
      <c r="B429" s="11" t="s">
        <v>317</v>
      </c>
      <c r="C429" s="11" t="s">
        <v>784</v>
      </c>
      <c r="D429" s="74" t="s">
        <v>313</v>
      </c>
      <c r="E429" s="11" t="s">
        <v>74</v>
      </c>
      <c r="F429" s="11">
        <v>2007.0</v>
      </c>
      <c r="G429" s="40">
        <v>7652.0</v>
      </c>
      <c r="H429" s="112">
        <f t="shared" ref="H429:I429" si="451">F429-F428</f>
        <v>1</v>
      </c>
      <c r="I429" s="114">
        <f t="shared" si="451"/>
        <v>210</v>
      </c>
      <c r="J429" s="115">
        <f t="shared" si="441"/>
        <v>0.02821822091</v>
      </c>
      <c r="K429" s="66">
        <f t="shared" si="442"/>
        <v>0.02821822091</v>
      </c>
      <c r="L429" s="29" t="s">
        <v>260</v>
      </c>
    </row>
    <row r="430">
      <c r="A430" s="11" t="s">
        <v>324</v>
      </c>
      <c r="B430" s="11" t="s">
        <v>317</v>
      </c>
      <c r="C430" s="11" t="s">
        <v>784</v>
      </c>
      <c r="D430" s="74" t="s">
        <v>313</v>
      </c>
      <c r="E430" s="11" t="s">
        <v>74</v>
      </c>
      <c r="F430" s="11">
        <v>2008.0</v>
      </c>
      <c r="G430" s="40">
        <v>7627.0</v>
      </c>
      <c r="H430" s="112">
        <f t="shared" ref="H430:I430" si="452">F430-F429</f>
        <v>1</v>
      </c>
      <c r="I430" s="114">
        <f t="shared" si="452"/>
        <v>-25</v>
      </c>
      <c r="J430" s="115">
        <f t="shared" si="441"/>
        <v>-0.003267119707</v>
      </c>
      <c r="K430" s="66">
        <f t="shared" si="442"/>
        <v>-0.003267119707</v>
      </c>
      <c r="L430" s="29" t="s">
        <v>260</v>
      </c>
    </row>
    <row r="431">
      <c r="A431" s="11" t="s">
        <v>324</v>
      </c>
      <c r="B431" s="11" t="s">
        <v>317</v>
      </c>
      <c r="C431" s="11" t="s">
        <v>784</v>
      </c>
      <c r="D431" s="74" t="s">
        <v>313</v>
      </c>
      <c r="E431" s="11" t="s">
        <v>74</v>
      </c>
      <c r="F431" s="11">
        <v>2009.0</v>
      </c>
      <c r="G431" s="40">
        <v>8331.0</v>
      </c>
      <c r="H431" s="112">
        <f t="shared" ref="H431:I431" si="453">F431-F430</f>
        <v>1</v>
      </c>
      <c r="I431" s="114">
        <f t="shared" si="453"/>
        <v>704</v>
      </c>
      <c r="J431" s="115">
        <f t="shared" si="441"/>
        <v>0.09230365806</v>
      </c>
      <c r="K431" s="66">
        <f t="shared" si="442"/>
        <v>0.09230365806</v>
      </c>
      <c r="L431" s="29" t="s">
        <v>260</v>
      </c>
    </row>
    <row r="432">
      <c r="A432" s="11" t="s">
        <v>324</v>
      </c>
      <c r="B432" s="11" t="s">
        <v>317</v>
      </c>
      <c r="C432" s="11" t="s">
        <v>784</v>
      </c>
      <c r="D432" s="74" t="s">
        <v>313</v>
      </c>
      <c r="E432" s="11" t="s">
        <v>74</v>
      </c>
      <c r="F432" s="11">
        <v>2010.0</v>
      </c>
      <c r="G432" s="40">
        <v>8212.0</v>
      </c>
      <c r="H432" s="112">
        <f t="shared" ref="H432:I432" si="454">F432-F431</f>
        <v>1</v>
      </c>
      <c r="I432" s="114">
        <f t="shared" si="454"/>
        <v>-119</v>
      </c>
      <c r="J432" s="115">
        <f t="shared" si="441"/>
        <v>-0.01428399952</v>
      </c>
      <c r="K432" s="66">
        <f t="shared" si="442"/>
        <v>-0.01428399952</v>
      </c>
      <c r="L432" s="29" t="s">
        <v>260</v>
      </c>
    </row>
    <row r="433">
      <c r="A433" s="11" t="s">
        <v>324</v>
      </c>
      <c r="B433" s="11" t="s">
        <v>317</v>
      </c>
      <c r="C433" s="11" t="s">
        <v>784</v>
      </c>
      <c r="D433" s="74" t="s">
        <v>313</v>
      </c>
      <c r="E433" s="11" t="s">
        <v>74</v>
      </c>
      <c r="F433" s="11">
        <v>2011.0</v>
      </c>
      <c r="G433" s="40">
        <v>8305.0</v>
      </c>
      <c r="H433" s="112">
        <f t="shared" ref="H433:I433" si="455">F433-F432</f>
        <v>1</v>
      </c>
      <c r="I433" s="114">
        <f t="shared" si="455"/>
        <v>93</v>
      </c>
      <c r="J433" s="115">
        <f t="shared" si="441"/>
        <v>0.0113248904</v>
      </c>
      <c r="K433" s="66">
        <f t="shared" si="442"/>
        <v>0.0113248904</v>
      </c>
      <c r="L433" s="29" t="s">
        <v>260</v>
      </c>
    </row>
    <row r="434">
      <c r="A434" s="11" t="s">
        <v>324</v>
      </c>
      <c r="B434" s="11" t="s">
        <v>317</v>
      </c>
      <c r="C434" s="11" t="s">
        <v>784</v>
      </c>
      <c r="D434" s="74" t="s">
        <v>313</v>
      </c>
      <c r="E434" s="11" t="s">
        <v>74</v>
      </c>
      <c r="F434" s="11">
        <v>2012.0</v>
      </c>
      <c r="G434" s="40">
        <v>8138.0</v>
      </c>
      <c r="H434" s="112">
        <f t="shared" ref="H434:I434" si="456">F434-F433</f>
        <v>1</v>
      </c>
      <c r="I434" s="114">
        <f t="shared" si="456"/>
        <v>-167</v>
      </c>
      <c r="J434" s="115">
        <f t="shared" si="441"/>
        <v>-0.02010836845</v>
      </c>
      <c r="K434" s="66">
        <f t="shared" si="442"/>
        <v>-0.02010836845</v>
      </c>
      <c r="L434" s="29" t="s">
        <v>260</v>
      </c>
    </row>
    <row r="435">
      <c r="A435" s="11" t="s">
        <v>324</v>
      </c>
      <c r="B435" s="11" t="s">
        <v>317</v>
      </c>
      <c r="C435" s="11" t="s">
        <v>784</v>
      </c>
      <c r="D435" s="74" t="s">
        <v>313</v>
      </c>
      <c r="E435" s="11" t="s">
        <v>74</v>
      </c>
      <c r="F435" s="11">
        <v>2013.0</v>
      </c>
      <c r="G435" s="40">
        <v>8160.0</v>
      </c>
      <c r="H435" s="112">
        <f t="shared" ref="H435:I435" si="457">F435-F434</f>
        <v>1</v>
      </c>
      <c r="I435" s="114">
        <f t="shared" si="457"/>
        <v>22</v>
      </c>
      <c r="J435" s="115">
        <f t="shared" si="441"/>
        <v>0.002703366921</v>
      </c>
      <c r="K435" s="66">
        <f t="shared" si="442"/>
        <v>0.002703366921</v>
      </c>
      <c r="L435" s="29" t="s">
        <v>260</v>
      </c>
    </row>
    <row r="436">
      <c r="A436" s="11" t="s">
        <v>324</v>
      </c>
      <c r="B436" s="11" t="s">
        <v>317</v>
      </c>
      <c r="C436" s="11" t="s">
        <v>784</v>
      </c>
      <c r="D436" s="74" t="s">
        <v>313</v>
      </c>
      <c r="E436" s="11" t="s">
        <v>74</v>
      </c>
      <c r="F436" s="11">
        <v>2014.0</v>
      </c>
      <c r="G436" s="40">
        <v>7971.0</v>
      </c>
      <c r="H436" s="112">
        <f t="shared" ref="H436:I436" si="458">F436-F435</f>
        <v>1</v>
      </c>
      <c r="I436" s="114">
        <f t="shared" si="458"/>
        <v>-189</v>
      </c>
      <c r="J436" s="115">
        <f t="shared" si="441"/>
        <v>-0.02316176471</v>
      </c>
      <c r="K436" s="66">
        <f t="shared" si="442"/>
        <v>-0.02316176471</v>
      </c>
      <c r="L436" s="29" t="s">
        <v>260</v>
      </c>
    </row>
    <row r="437">
      <c r="A437" s="11" t="s">
        <v>324</v>
      </c>
      <c r="B437" s="11" t="s">
        <v>317</v>
      </c>
      <c r="C437" s="11" t="s">
        <v>784</v>
      </c>
      <c r="D437" s="74" t="s">
        <v>313</v>
      </c>
      <c r="E437" s="11" t="s">
        <v>74</v>
      </c>
      <c r="F437" s="11">
        <v>2015.0</v>
      </c>
      <c r="G437" s="40">
        <v>7969.0</v>
      </c>
      <c r="H437" s="112">
        <f t="shared" ref="H437:I437" si="459">F437-F436</f>
        <v>1</v>
      </c>
      <c r="I437" s="114">
        <f t="shared" si="459"/>
        <v>-2</v>
      </c>
      <c r="J437" s="115">
        <f t="shared" si="441"/>
        <v>-0.0002509095471</v>
      </c>
      <c r="K437" s="66">
        <f t="shared" si="442"/>
        <v>-0.0002509095471</v>
      </c>
      <c r="L437" s="29" t="s">
        <v>260</v>
      </c>
    </row>
    <row r="438">
      <c r="A438" s="11" t="s">
        <v>324</v>
      </c>
      <c r="B438" s="11" t="s">
        <v>317</v>
      </c>
      <c r="C438" s="11" t="s">
        <v>784</v>
      </c>
      <c r="D438" s="74" t="s">
        <v>313</v>
      </c>
      <c r="E438" s="11" t="s">
        <v>74</v>
      </c>
      <c r="F438" s="11">
        <v>2016.0</v>
      </c>
      <c r="G438" s="40">
        <v>8391.0</v>
      </c>
      <c r="H438" s="112">
        <f t="shared" ref="H438:I438" si="460">F438-F437</f>
        <v>1</v>
      </c>
      <c r="I438" s="114">
        <f t="shared" si="460"/>
        <v>422</v>
      </c>
      <c r="J438" s="115">
        <f t="shared" si="441"/>
        <v>0.05295520141</v>
      </c>
      <c r="K438" s="66">
        <f t="shared" si="442"/>
        <v>0.05295520141</v>
      </c>
      <c r="L438" s="29" t="s">
        <v>260</v>
      </c>
    </row>
    <row r="439">
      <c r="A439" s="11" t="s">
        <v>324</v>
      </c>
      <c r="B439" s="11" t="s">
        <v>317</v>
      </c>
      <c r="C439" s="11" t="s">
        <v>784</v>
      </c>
      <c r="D439" s="74" t="s">
        <v>313</v>
      </c>
      <c r="E439" s="11" t="s">
        <v>74</v>
      </c>
      <c r="F439" s="11">
        <v>2017.0</v>
      </c>
      <c r="G439" s="40">
        <v>8436.0</v>
      </c>
      <c r="H439" s="112">
        <f t="shared" ref="H439:I439" si="461">F439-F438</f>
        <v>1</v>
      </c>
      <c r="I439" s="114">
        <f t="shared" si="461"/>
        <v>45</v>
      </c>
      <c r="J439" s="115">
        <f t="shared" si="441"/>
        <v>0.005362888809</v>
      </c>
      <c r="K439" s="66">
        <f t="shared" si="442"/>
        <v>0.005362888809</v>
      </c>
      <c r="L439" s="29" t="s">
        <v>260</v>
      </c>
    </row>
    <row r="440">
      <c r="A440" s="11" t="s">
        <v>324</v>
      </c>
      <c r="B440" s="11" t="s">
        <v>317</v>
      </c>
      <c r="C440" s="11" t="s">
        <v>784</v>
      </c>
      <c r="D440" s="74" t="s">
        <v>313</v>
      </c>
      <c r="E440" s="11" t="s">
        <v>74</v>
      </c>
      <c r="F440" s="11">
        <v>2018.0</v>
      </c>
      <c r="G440" s="40">
        <v>8623.0</v>
      </c>
      <c r="H440" s="112">
        <f t="shared" ref="H440:I440" si="462">F440-F439</f>
        <v>1</v>
      </c>
      <c r="I440" s="114">
        <f t="shared" si="462"/>
        <v>187</v>
      </c>
      <c r="J440" s="115">
        <f t="shared" si="441"/>
        <v>0.02216690375</v>
      </c>
      <c r="K440" s="66">
        <f t="shared" si="442"/>
        <v>0.02216690375</v>
      </c>
      <c r="L440" s="29" t="s">
        <v>260</v>
      </c>
    </row>
    <row r="441">
      <c r="A441" s="11" t="s">
        <v>325</v>
      </c>
      <c r="B441" s="11" t="s">
        <v>317</v>
      </c>
      <c r="C441" s="11" t="s">
        <v>817</v>
      </c>
      <c r="D441" s="74" t="s">
        <v>313</v>
      </c>
      <c r="E441" s="11" t="s">
        <v>74</v>
      </c>
      <c r="F441" s="11">
        <v>1996.0</v>
      </c>
      <c r="G441" s="40">
        <v>12981.0</v>
      </c>
      <c r="H441" s="11" t="s">
        <v>188</v>
      </c>
      <c r="I441" s="11" t="s">
        <v>188</v>
      </c>
      <c r="J441" s="73" t="s">
        <v>188</v>
      </c>
      <c r="K441" s="66" t="s">
        <v>188</v>
      </c>
      <c r="L441" s="29" t="s">
        <v>260</v>
      </c>
    </row>
    <row r="442">
      <c r="A442" s="11" t="s">
        <v>325</v>
      </c>
      <c r="B442" s="11" t="s">
        <v>317</v>
      </c>
      <c r="C442" s="11" t="s">
        <v>817</v>
      </c>
      <c r="D442" s="74" t="s">
        <v>313</v>
      </c>
      <c r="E442" s="11" t="s">
        <v>74</v>
      </c>
      <c r="F442" s="11">
        <v>1997.0</v>
      </c>
      <c r="G442" s="40">
        <v>13097.0</v>
      </c>
      <c r="H442" s="40">
        <f t="shared" ref="H442:I442" si="463">F442-F441</f>
        <v>1</v>
      </c>
      <c r="I442" s="40">
        <f t="shared" si="463"/>
        <v>116</v>
      </c>
      <c r="J442" s="73">
        <f t="shared" ref="J442:J463" si="465">I442/G441</f>
        <v>0.008936137432</v>
      </c>
      <c r="K442" s="66">
        <f t="shared" ref="K442:K463" si="466">J442/H442</f>
        <v>0.008936137432</v>
      </c>
      <c r="L442" s="29" t="s">
        <v>260</v>
      </c>
    </row>
    <row r="443">
      <c r="A443" s="11" t="s">
        <v>325</v>
      </c>
      <c r="B443" s="11" t="s">
        <v>317</v>
      </c>
      <c r="C443" s="11" t="s">
        <v>817</v>
      </c>
      <c r="D443" s="74" t="s">
        <v>313</v>
      </c>
      <c r="E443" s="11" t="s">
        <v>74</v>
      </c>
      <c r="F443" s="11">
        <v>1998.0</v>
      </c>
      <c r="G443" s="40">
        <v>14032.0</v>
      </c>
      <c r="H443" s="40">
        <f t="shared" ref="H443:I443" si="464">F443-F442</f>
        <v>1</v>
      </c>
      <c r="I443" s="40">
        <f t="shared" si="464"/>
        <v>935</v>
      </c>
      <c r="J443" s="73">
        <f t="shared" si="465"/>
        <v>0.07139039475</v>
      </c>
      <c r="K443" s="66">
        <f t="shared" si="466"/>
        <v>0.07139039475</v>
      </c>
      <c r="L443" s="29" t="s">
        <v>260</v>
      </c>
    </row>
    <row r="444">
      <c r="A444" s="11" t="s">
        <v>325</v>
      </c>
      <c r="B444" s="11" t="s">
        <v>317</v>
      </c>
      <c r="C444" s="11" t="s">
        <v>817</v>
      </c>
      <c r="D444" s="74" t="s">
        <v>313</v>
      </c>
      <c r="E444" s="11" t="s">
        <v>74</v>
      </c>
      <c r="F444" s="11">
        <v>1999.0</v>
      </c>
      <c r="G444" s="40">
        <v>14046.0</v>
      </c>
      <c r="H444" s="40">
        <f t="shared" ref="H444:I444" si="467">F444-F443</f>
        <v>1</v>
      </c>
      <c r="I444" s="40">
        <f t="shared" si="467"/>
        <v>14</v>
      </c>
      <c r="J444" s="73">
        <f t="shared" si="465"/>
        <v>0.0009977194983</v>
      </c>
      <c r="K444" s="66">
        <f t="shared" si="466"/>
        <v>0.0009977194983</v>
      </c>
      <c r="L444" s="29" t="s">
        <v>260</v>
      </c>
    </row>
    <row r="445">
      <c r="A445" s="11" t="s">
        <v>325</v>
      </c>
      <c r="B445" s="11" t="s">
        <v>317</v>
      </c>
      <c r="C445" s="11" t="s">
        <v>817</v>
      </c>
      <c r="D445" s="74" t="s">
        <v>313</v>
      </c>
      <c r="E445" s="11" t="s">
        <v>74</v>
      </c>
      <c r="F445" s="11">
        <v>2000.0</v>
      </c>
      <c r="G445" s="40">
        <v>14366.0</v>
      </c>
      <c r="H445" s="40">
        <f t="shared" ref="H445:I445" si="468">F445-F444</f>
        <v>1</v>
      </c>
      <c r="I445" s="40">
        <f t="shared" si="468"/>
        <v>320</v>
      </c>
      <c r="J445" s="73">
        <f t="shared" si="465"/>
        <v>0.02278228677</v>
      </c>
      <c r="K445" s="66">
        <f t="shared" si="466"/>
        <v>0.02278228677</v>
      </c>
      <c r="L445" s="29" t="s">
        <v>260</v>
      </c>
    </row>
    <row r="446">
      <c r="A446" s="11" t="s">
        <v>325</v>
      </c>
      <c r="B446" s="11" t="s">
        <v>317</v>
      </c>
      <c r="C446" s="11" t="s">
        <v>817</v>
      </c>
      <c r="D446" s="74" t="s">
        <v>313</v>
      </c>
      <c r="E446" s="11" t="s">
        <v>74</v>
      </c>
      <c r="F446" s="11">
        <v>2001.0</v>
      </c>
      <c r="G446" s="40">
        <v>14687.0</v>
      </c>
      <c r="H446" s="40">
        <f t="shared" ref="H446:I446" si="469">F446-F445</f>
        <v>1</v>
      </c>
      <c r="I446" s="40">
        <f t="shared" si="469"/>
        <v>321</v>
      </c>
      <c r="J446" s="73">
        <f t="shared" si="465"/>
        <v>0.02234442434</v>
      </c>
      <c r="K446" s="66">
        <f t="shared" si="466"/>
        <v>0.02234442434</v>
      </c>
      <c r="L446" s="29" t="s">
        <v>260</v>
      </c>
    </row>
    <row r="447">
      <c r="A447" s="11" t="s">
        <v>325</v>
      </c>
      <c r="B447" s="11" t="s">
        <v>317</v>
      </c>
      <c r="C447" s="11" t="s">
        <v>817</v>
      </c>
      <c r="D447" s="74" t="s">
        <v>313</v>
      </c>
      <c r="E447" s="11" t="s">
        <v>74</v>
      </c>
      <c r="F447" s="11">
        <v>2002.0</v>
      </c>
      <c r="G447" s="40">
        <v>15520.0</v>
      </c>
      <c r="H447" s="40">
        <f t="shared" ref="H447:I447" si="470">F447-F446</f>
        <v>1</v>
      </c>
      <c r="I447" s="40">
        <f t="shared" si="470"/>
        <v>833</v>
      </c>
      <c r="J447" s="73">
        <f t="shared" si="465"/>
        <v>0.0567168244</v>
      </c>
      <c r="K447" s="66">
        <f t="shared" si="466"/>
        <v>0.0567168244</v>
      </c>
      <c r="L447" s="29" t="s">
        <v>260</v>
      </c>
    </row>
    <row r="448">
      <c r="A448" s="11" t="s">
        <v>325</v>
      </c>
      <c r="B448" s="11" t="s">
        <v>317</v>
      </c>
      <c r="C448" s="11" t="s">
        <v>817</v>
      </c>
      <c r="D448" s="74" t="s">
        <v>313</v>
      </c>
      <c r="E448" s="11" t="s">
        <v>74</v>
      </c>
      <c r="F448" s="11">
        <v>2003.0</v>
      </c>
      <c r="G448" s="40">
        <v>16660.0</v>
      </c>
      <c r="H448" s="40">
        <f t="shared" ref="H448:I448" si="471">F448-F447</f>
        <v>1</v>
      </c>
      <c r="I448" s="40">
        <f t="shared" si="471"/>
        <v>1140</v>
      </c>
      <c r="J448" s="73">
        <f t="shared" si="465"/>
        <v>0.07345360825</v>
      </c>
      <c r="K448" s="66">
        <f t="shared" si="466"/>
        <v>0.07345360825</v>
      </c>
      <c r="L448" s="29" t="s">
        <v>260</v>
      </c>
    </row>
    <row r="449">
      <c r="A449" s="11" t="s">
        <v>325</v>
      </c>
      <c r="B449" s="11" t="s">
        <v>317</v>
      </c>
      <c r="C449" s="11" t="s">
        <v>817</v>
      </c>
      <c r="D449" s="74" t="s">
        <v>313</v>
      </c>
      <c r="E449" s="11" t="s">
        <v>74</v>
      </c>
      <c r="F449" s="11">
        <v>2004.0</v>
      </c>
      <c r="G449" s="40">
        <v>15855.0</v>
      </c>
      <c r="H449" s="40">
        <f t="shared" ref="H449:I449" si="472">F449-F448</f>
        <v>1</v>
      </c>
      <c r="I449" s="40">
        <f t="shared" si="472"/>
        <v>-805</v>
      </c>
      <c r="J449" s="73">
        <f t="shared" si="465"/>
        <v>-0.04831932773</v>
      </c>
      <c r="K449" s="66">
        <f t="shared" si="466"/>
        <v>-0.04831932773</v>
      </c>
      <c r="L449" s="29" t="s">
        <v>260</v>
      </c>
    </row>
    <row r="450">
      <c r="A450" s="11" t="s">
        <v>325</v>
      </c>
      <c r="B450" s="11" t="s">
        <v>317</v>
      </c>
      <c r="C450" s="11" t="s">
        <v>817</v>
      </c>
      <c r="D450" s="74" t="s">
        <v>313</v>
      </c>
      <c r="E450" s="11" t="s">
        <v>74</v>
      </c>
      <c r="F450" s="11">
        <v>2005.0</v>
      </c>
      <c r="G450" s="40">
        <v>16893.0</v>
      </c>
      <c r="H450" s="40">
        <f t="shared" ref="H450:I450" si="473">F450-F449</f>
        <v>1</v>
      </c>
      <c r="I450" s="40">
        <f t="shared" si="473"/>
        <v>1038</v>
      </c>
      <c r="J450" s="73">
        <f t="shared" si="465"/>
        <v>0.06546830653</v>
      </c>
      <c r="K450" s="66">
        <f t="shared" si="466"/>
        <v>0.06546830653</v>
      </c>
      <c r="L450" s="29" t="s">
        <v>260</v>
      </c>
    </row>
    <row r="451">
      <c r="A451" s="11" t="s">
        <v>325</v>
      </c>
      <c r="B451" s="11" t="s">
        <v>317</v>
      </c>
      <c r="C451" s="11" t="s">
        <v>817</v>
      </c>
      <c r="D451" s="74" t="s">
        <v>313</v>
      </c>
      <c r="E451" s="11" t="s">
        <v>74</v>
      </c>
      <c r="F451" s="11">
        <v>2006.0</v>
      </c>
      <c r="G451" s="40">
        <v>16905.0</v>
      </c>
      <c r="H451" s="40">
        <f t="shared" ref="H451:I451" si="474">F451-F450</f>
        <v>1</v>
      </c>
      <c r="I451" s="40">
        <f t="shared" si="474"/>
        <v>12</v>
      </c>
      <c r="J451" s="73">
        <f t="shared" si="465"/>
        <v>0.0007103534008</v>
      </c>
      <c r="K451" s="66">
        <f t="shared" si="466"/>
        <v>0.0007103534008</v>
      </c>
      <c r="L451" s="29" t="s">
        <v>260</v>
      </c>
    </row>
    <row r="452">
      <c r="A452" s="11" t="s">
        <v>325</v>
      </c>
      <c r="B452" s="11" t="s">
        <v>317</v>
      </c>
      <c r="C452" s="11" t="s">
        <v>817</v>
      </c>
      <c r="D452" s="74" t="s">
        <v>313</v>
      </c>
      <c r="E452" s="11" t="s">
        <v>74</v>
      </c>
      <c r="F452" s="11">
        <v>2007.0</v>
      </c>
      <c r="G452" s="40">
        <v>17738.0</v>
      </c>
      <c r="H452" s="40">
        <f t="shared" ref="H452:I452" si="475">F452-F451</f>
        <v>1</v>
      </c>
      <c r="I452" s="40">
        <f t="shared" si="475"/>
        <v>833</v>
      </c>
      <c r="J452" s="73">
        <f t="shared" si="465"/>
        <v>0.04927536232</v>
      </c>
      <c r="K452" s="66">
        <f t="shared" si="466"/>
        <v>0.04927536232</v>
      </c>
      <c r="L452" s="29" t="s">
        <v>260</v>
      </c>
    </row>
    <row r="453">
      <c r="A453" s="11" t="s">
        <v>325</v>
      </c>
      <c r="B453" s="11" t="s">
        <v>317</v>
      </c>
      <c r="C453" s="11" t="s">
        <v>817</v>
      </c>
      <c r="D453" s="74" t="s">
        <v>313</v>
      </c>
      <c r="E453" s="11" t="s">
        <v>74</v>
      </c>
      <c r="F453" s="11">
        <v>2008.0</v>
      </c>
      <c r="G453" s="40">
        <v>17855.0</v>
      </c>
      <c r="H453" s="40">
        <f t="shared" ref="H453:I453" si="476">F453-F452</f>
        <v>1</v>
      </c>
      <c r="I453" s="40">
        <f t="shared" si="476"/>
        <v>117</v>
      </c>
      <c r="J453" s="73">
        <f t="shared" si="465"/>
        <v>0.006596008569</v>
      </c>
      <c r="K453" s="66">
        <f t="shared" si="466"/>
        <v>0.006596008569</v>
      </c>
      <c r="L453" s="29" t="s">
        <v>260</v>
      </c>
    </row>
    <row r="454">
      <c r="A454" s="11" t="s">
        <v>325</v>
      </c>
      <c r="B454" s="11" t="s">
        <v>317</v>
      </c>
      <c r="C454" s="11" t="s">
        <v>817</v>
      </c>
      <c r="D454" s="74" t="s">
        <v>313</v>
      </c>
      <c r="E454" s="11" t="s">
        <v>74</v>
      </c>
      <c r="F454" s="11">
        <v>2009.0</v>
      </c>
      <c r="G454" s="40">
        <v>19403.0</v>
      </c>
      <c r="H454" s="40">
        <f t="shared" ref="H454:I454" si="477">F454-F453</f>
        <v>1</v>
      </c>
      <c r="I454" s="40">
        <f t="shared" si="477"/>
        <v>1548</v>
      </c>
      <c r="J454" s="73">
        <f t="shared" si="465"/>
        <v>0.08669840381</v>
      </c>
      <c r="K454" s="66">
        <f t="shared" si="466"/>
        <v>0.08669840381</v>
      </c>
      <c r="L454" s="29" t="s">
        <v>260</v>
      </c>
    </row>
    <row r="455">
      <c r="A455" s="11" t="s">
        <v>325</v>
      </c>
      <c r="B455" s="11" t="s">
        <v>317</v>
      </c>
      <c r="C455" s="11" t="s">
        <v>817</v>
      </c>
      <c r="D455" s="74" t="s">
        <v>313</v>
      </c>
      <c r="E455" s="11" t="s">
        <v>74</v>
      </c>
      <c r="F455" s="11">
        <v>2010.0</v>
      </c>
      <c r="G455" s="40">
        <v>19725.0</v>
      </c>
      <c r="H455" s="40">
        <f t="shared" ref="H455:I455" si="478">F455-F454</f>
        <v>1</v>
      </c>
      <c r="I455" s="40">
        <f t="shared" si="478"/>
        <v>322</v>
      </c>
      <c r="J455" s="73">
        <f t="shared" si="465"/>
        <v>0.01659537185</v>
      </c>
      <c r="K455" s="66">
        <f t="shared" si="466"/>
        <v>0.01659537185</v>
      </c>
      <c r="L455" s="29" t="s">
        <v>260</v>
      </c>
    </row>
    <row r="456">
      <c r="A456" s="11" t="s">
        <v>325</v>
      </c>
      <c r="B456" s="11" t="s">
        <v>317</v>
      </c>
      <c r="C456" s="11" t="s">
        <v>817</v>
      </c>
      <c r="D456" s="74" t="s">
        <v>313</v>
      </c>
      <c r="E456" s="11" t="s">
        <v>74</v>
      </c>
      <c r="F456" s="11">
        <v>2011.0</v>
      </c>
      <c r="G456" s="40">
        <v>19227.0</v>
      </c>
      <c r="H456" s="40">
        <f t="shared" ref="H456:I456" si="479">F456-F455</f>
        <v>1</v>
      </c>
      <c r="I456" s="40">
        <f t="shared" si="479"/>
        <v>-498</v>
      </c>
      <c r="J456" s="73">
        <f t="shared" si="465"/>
        <v>-0.02524714829</v>
      </c>
      <c r="K456" s="66">
        <f t="shared" si="466"/>
        <v>-0.02524714829</v>
      </c>
      <c r="L456" s="29" t="s">
        <v>260</v>
      </c>
    </row>
    <row r="457">
      <c r="A457" s="11" t="s">
        <v>325</v>
      </c>
      <c r="B457" s="11" t="s">
        <v>317</v>
      </c>
      <c r="C457" s="11" t="s">
        <v>817</v>
      </c>
      <c r="D457" s="74" t="s">
        <v>313</v>
      </c>
      <c r="E457" s="11" t="s">
        <v>74</v>
      </c>
      <c r="F457" s="11">
        <v>2012.0</v>
      </c>
      <c r="G457" s="40">
        <v>19445.0</v>
      </c>
      <c r="H457" s="40">
        <f t="shared" ref="H457:I457" si="480">F457-F456</f>
        <v>1</v>
      </c>
      <c r="I457" s="40">
        <f t="shared" si="480"/>
        <v>218</v>
      </c>
      <c r="J457" s="73">
        <f t="shared" si="465"/>
        <v>0.01133822229</v>
      </c>
      <c r="K457" s="66">
        <f t="shared" si="466"/>
        <v>0.01133822229</v>
      </c>
      <c r="L457" s="29" t="s">
        <v>260</v>
      </c>
    </row>
    <row r="458">
      <c r="A458" s="11" t="s">
        <v>325</v>
      </c>
      <c r="B458" s="11" t="s">
        <v>317</v>
      </c>
      <c r="C458" s="11" t="s">
        <v>817</v>
      </c>
      <c r="D458" s="74" t="s">
        <v>313</v>
      </c>
      <c r="E458" s="11" t="s">
        <v>74</v>
      </c>
      <c r="F458" s="11">
        <v>2013.0</v>
      </c>
      <c r="G458" s="40">
        <v>19460.0</v>
      </c>
      <c r="H458" s="40">
        <f t="shared" ref="H458:I458" si="481">F458-F457</f>
        <v>1</v>
      </c>
      <c r="I458" s="40">
        <f t="shared" si="481"/>
        <v>15</v>
      </c>
      <c r="J458" s="73">
        <f t="shared" si="465"/>
        <v>0.0007714065312</v>
      </c>
      <c r="K458" s="66">
        <f t="shared" si="466"/>
        <v>0.0007714065312</v>
      </c>
      <c r="L458" s="29" t="s">
        <v>260</v>
      </c>
    </row>
    <row r="459">
      <c r="A459" s="11" t="s">
        <v>325</v>
      </c>
      <c r="B459" s="11" t="s">
        <v>317</v>
      </c>
      <c r="C459" s="11" t="s">
        <v>817</v>
      </c>
      <c r="D459" s="74" t="s">
        <v>313</v>
      </c>
      <c r="E459" s="11" t="s">
        <v>74</v>
      </c>
      <c r="F459" s="11">
        <v>2014.0</v>
      </c>
      <c r="G459" s="40">
        <v>19371.0</v>
      </c>
      <c r="H459" s="40">
        <f t="shared" ref="H459:I459" si="482">F459-F458</f>
        <v>1</v>
      </c>
      <c r="I459" s="40">
        <f t="shared" si="482"/>
        <v>-89</v>
      </c>
      <c r="J459" s="73">
        <f t="shared" si="465"/>
        <v>-0.00457348407</v>
      </c>
      <c r="K459" s="66">
        <f t="shared" si="466"/>
        <v>-0.00457348407</v>
      </c>
      <c r="L459" s="29" t="s">
        <v>260</v>
      </c>
    </row>
    <row r="460">
      <c r="A460" s="11" t="s">
        <v>325</v>
      </c>
      <c r="B460" s="11" t="s">
        <v>317</v>
      </c>
      <c r="C460" s="11" t="s">
        <v>817</v>
      </c>
      <c r="D460" s="74" t="s">
        <v>313</v>
      </c>
      <c r="E460" s="11" t="s">
        <v>74</v>
      </c>
      <c r="F460" s="11">
        <v>2015.0</v>
      </c>
      <c r="G460" s="40">
        <v>20921.0</v>
      </c>
      <c r="H460" s="40">
        <f t="shared" ref="H460:I460" si="483">F460-F459</f>
        <v>1</v>
      </c>
      <c r="I460" s="40">
        <f t="shared" si="483"/>
        <v>1550</v>
      </c>
      <c r="J460" s="73">
        <f t="shared" si="465"/>
        <v>0.08001651954</v>
      </c>
      <c r="K460" s="66">
        <f t="shared" si="466"/>
        <v>0.08001651954</v>
      </c>
      <c r="L460" s="29" t="s">
        <v>260</v>
      </c>
    </row>
    <row r="461">
      <c r="A461" s="11" t="s">
        <v>325</v>
      </c>
      <c r="B461" s="11" t="s">
        <v>317</v>
      </c>
      <c r="C461" s="11" t="s">
        <v>817</v>
      </c>
      <c r="D461" s="74" t="s">
        <v>313</v>
      </c>
      <c r="E461" s="11" t="s">
        <v>74</v>
      </c>
      <c r="F461" s="11">
        <v>2016.0</v>
      </c>
      <c r="G461" s="40">
        <v>23186.0</v>
      </c>
      <c r="H461" s="40">
        <f t="shared" ref="H461:I461" si="484">F461-F460</f>
        <v>1</v>
      </c>
      <c r="I461" s="40">
        <f t="shared" si="484"/>
        <v>2265</v>
      </c>
      <c r="J461" s="73">
        <f t="shared" si="465"/>
        <v>0.1082644233</v>
      </c>
      <c r="K461" s="66">
        <f t="shared" si="466"/>
        <v>0.1082644233</v>
      </c>
      <c r="L461" s="29" t="s">
        <v>260</v>
      </c>
    </row>
    <row r="462">
      <c r="A462" s="11" t="s">
        <v>325</v>
      </c>
      <c r="B462" s="11" t="s">
        <v>317</v>
      </c>
      <c r="C462" s="11" t="s">
        <v>817</v>
      </c>
      <c r="D462" s="74" t="s">
        <v>313</v>
      </c>
      <c r="E462" s="11" t="s">
        <v>74</v>
      </c>
      <c r="F462" s="11">
        <v>2017.0</v>
      </c>
      <c r="G462" s="40">
        <v>26988.0</v>
      </c>
      <c r="H462" s="40">
        <f t="shared" ref="H462:I462" si="485">F462-F461</f>
        <v>1</v>
      </c>
      <c r="I462" s="40">
        <f t="shared" si="485"/>
        <v>3802</v>
      </c>
      <c r="J462" s="73">
        <f t="shared" si="465"/>
        <v>0.1639782627</v>
      </c>
      <c r="K462" s="66">
        <f t="shared" si="466"/>
        <v>0.1639782627</v>
      </c>
      <c r="L462" s="29" t="s">
        <v>260</v>
      </c>
    </row>
    <row r="463">
      <c r="A463" s="11" t="s">
        <v>325</v>
      </c>
      <c r="B463" s="11" t="s">
        <v>317</v>
      </c>
      <c r="C463" s="11" t="s">
        <v>817</v>
      </c>
      <c r="D463" s="74" t="s">
        <v>313</v>
      </c>
      <c r="E463" s="11" t="s">
        <v>74</v>
      </c>
      <c r="F463" s="11">
        <v>2018.0</v>
      </c>
      <c r="G463" s="40">
        <v>26797.0</v>
      </c>
      <c r="H463" s="40">
        <f t="shared" ref="H463:I463" si="486">F463-F462</f>
        <v>1</v>
      </c>
      <c r="I463" s="40">
        <f t="shared" si="486"/>
        <v>-191</v>
      </c>
      <c r="J463" s="73">
        <f t="shared" si="465"/>
        <v>-0.007077219505</v>
      </c>
      <c r="K463" s="66">
        <f t="shared" si="466"/>
        <v>-0.007077219505</v>
      </c>
      <c r="L463" s="29" t="s">
        <v>260</v>
      </c>
    </row>
    <row r="464">
      <c r="A464" s="11" t="s">
        <v>326</v>
      </c>
      <c r="B464" s="11" t="s">
        <v>317</v>
      </c>
      <c r="C464" s="11" t="s">
        <v>847</v>
      </c>
      <c r="D464" s="74" t="s">
        <v>313</v>
      </c>
      <c r="E464" s="11" t="s">
        <v>74</v>
      </c>
      <c r="F464" s="11">
        <v>1996.0</v>
      </c>
      <c r="G464" s="40">
        <v>37751.0</v>
      </c>
      <c r="H464" s="40" t="s">
        <v>188</v>
      </c>
      <c r="I464" s="40" t="s">
        <v>188</v>
      </c>
      <c r="J464" s="73" t="s">
        <v>188</v>
      </c>
      <c r="K464" s="66" t="s">
        <v>188</v>
      </c>
      <c r="L464" s="29" t="s">
        <v>260</v>
      </c>
    </row>
    <row r="465">
      <c r="A465" s="11" t="s">
        <v>326</v>
      </c>
      <c r="B465" s="11" t="s">
        <v>317</v>
      </c>
      <c r="C465" s="11" t="s">
        <v>847</v>
      </c>
      <c r="D465" s="74" t="s">
        <v>313</v>
      </c>
      <c r="E465" s="11" t="s">
        <v>74</v>
      </c>
      <c r="F465" s="11">
        <v>1997.0</v>
      </c>
      <c r="G465" s="40">
        <v>38065.0</v>
      </c>
      <c r="H465" s="40">
        <f t="shared" ref="H465:I465" si="487">F465-F464</f>
        <v>1</v>
      </c>
      <c r="I465" s="40">
        <f t="shared" si="487"/>
        <v>314</v>
      </c>
      <c r="J465" s="73">
        <f t="shared" ref="J465:J486" si="489">I465/G464</f>
        <v>0.008317660459</v>
      </c>
      <c r="K465" s="66">
        <f t="shared" ref="K465:K486" si="490">J465/H465</f>
        <v>0.008317660459</v>
      </c>
      <c r="L465" s="29" t="s">
        <v>260</v>
      </c>
    </row>
    <row r="466">
      <c r="A466" s="11" t="s">
        <v>326</v>
      </c>
      <c r="B466" s="11" t="s">
        <v>317</v>
      </c>
      <c r="C466" s="11" t="s">
        <v>847</v>
      </c>
      <c r="D466" s="74" t="s">
        <v>313</v>
      </c>
      <c r="E466" s="11" t="s">
        <v>74</v>
      </c>
      <c r="F466" s="11">
        <v>1998.0</v>
      </c>
      <c r="G466" s="40">
        <v>38280.0</v>
      </c>
      <c r="H466" s="40">
        <f t="shared" ref="H466:I466" si="488">F466-F465</f>
        <v>1</v>
      </c>
      <c r="I466" s="40">
        <f t="shared" si="488"/>
        <v>215</v>
      </c>
      <c r="J466" s="73">
        <f t="shared" si="489"/>
        <v>0.005648233285</v>
      </c>
      <c r="K466" s="66">
        <f t="shared" si="490"/>
        <v>0.005648233285</v>
      </c>
      <c r="L466" s="29" t="s">
        <v>260</v>
      </c>
    </row>
    <row r="467">
      <c r="A467" s="11" t="s">
        <v>326</v>
      </c>
      <c r="B467" s="11" t="s">
        <v>317</v>
      </c>
      <c r="C467" s="11" t="s">
        <v>847</v>
      </c>
      <c r="D467" s="74" t="s">
        <v>313</v>
      </c>
      <c r="E467" s="11" t="s">
        <v>74</v>
      </c>
      <c r="F467" s="11">
        <v>1999.0</v>
      </c>
      <c r="G467" s="40">
        <v>37389.0</v>
      </c>
      <c r="H467" s="40">
        <f t="shared" ref="H467:I467" si="491">F467-F466</f>
        <v>1</v>
      </c>
      <c r="I467" s="40">
        <f t="shared" si="491"/>
        <v>-891</v>
      </c>
      <c r="J467" s="73">
        <f t="shared" si="489"/>
        <v>-0.02327586207</v>
      </c>
      <c r="K467" s="66">
        <f t="shared" si="490"/>
        <v>-0.02327586207</v>
      </c>
      <c r="L467" s="29" t="s">
        <v>260</v>
      </c>
    </row>
    <row r="468">
      <c r="A468" s="11" t="s">
        <v>326</v>
      </c>
      <c r="B468" s="11" t="s">
        <v>317</v>
      </c>
      <c r="C468" s="11" t="s">
        <v>847</v>
      </c>
      <c r="D468" s="74" t="s">
        <v>313</v>
      </c>
      <c r="E468" s="11" t="s">
        <v>74</v>
      </c>
      <c r="F468" s="11">
        <v>2000.0</v>
      </c>
      <c r="G468" s="40">
        <v>36195.0</v>
      </c>
      <c r="H468" s="40">
        <f t="shared" ref="H468:I468" si="492">F468-F467</f>
        <v>1</v>
      </c>
      <c r="I468" s="40">
        <f t="shared" si="492"/>
        <v>-1194</v>
      </c>
      <c r="J468" s="73">
        <f t="shared" si="489"/>
        <v>-0.0319345262</v>
      </c>
      <c r="K468" s="66">
        <f t="shared" si="490"/>
        <v>-0.0319345262</v>
      </c>
      <c r="L468" s="29" t="s">
        <v>260</v>
      </c>
    </row>
    <row r="469">
      <c r="A469" s="11" t="s">
        <v>326</v>
      </c>
      <c r="B469" s="11" t="s">
        <v>317</v>
      </c>
      <c r="C469" s="11" t="s">
        <v>847</v>
      </c>
      <c r="D469" s="74" t="s">
        <v>313</v>
      </c>
      <c r="E469" s="11" t="s">
        <v>74</v>
      </c>
      <c r="F469" s="11">
        <v>2001.0</v>
      </c>
      <c r="G469" s="40">
        <v>31085.0</v>
      </c>
      <c r="H469" s="40">
        <f t="shared" ref="H469:I469" si="493">F469-F468</f>
        <v>1</v>
      </c>
      <c r="I469" s="40">
        <f t="shared" si="493"/>
        <v>-5110</v>
      </c>
      <c r="J469" s="73">
        <f t="shared" si="489"/>
        <v>-0.141179721</v>
      </c>
      <c r="K469" s="66">
        <f t="shared" si="490"/>
        <v>-0.141179721</v>
      </c>
      <c r="L469" s="29" t="s">
        <v>260</v>
      </c>
    </row>
    <row r="470">
      <c r="A470" s="11" t="s">
        <v>326</v>
      </c>
      <c r="B470" s="11" t="s">
        <v>317</v>
      </c>
      <c r="C470" s="11" t="s">
        <v>847</v>
      </c>
      <c r="D470" s="74" t="s">
        <v>313</v>
      </c>
      <c r="E470" s="11" t="s">
        <v>74</v>
      </c>
      <c r="F470" s="11">
        <v>2002.0</v>
      </c>
      <c r="G470" s="40">
        <v>35419.0</v>
      </c>
      <c r="H470" s="40">
        <f t="shared" ref="H470:I470" si="494">F470-F469</f>
        <v>1</v>
      </c>
      <c r="I470" s="40">
        <f t="shared" si="494"/>
        <v>4334</v>
      </c>
      <c r="J470" s="73">
        <f t="shared" si="489"/>
        <v>0.1394241596</v>
      </c>
      <c r="K470" s="66">
        <f t="shared" si="490"/>
        <v>0.1394241596</v>
      </c>
      <c r="L470" s="29" t="s">
        <v>260</v>
      </c>
    </row>
    <row r="471">
      <c r="A471" s="11" t="s">
        <v>326</v>
      </c>
      <c r="B471" s="11" t="s">
        <v>317</v>
      </c>
      <c r="C471" s="11" t="s">
        <v>847</v>
      </c>
      <c r="D471" s="74" t="s">
        <v>313</v>
      </c>
      <c r="E471" s="11" t="s">
        <v>74</v>
      </c>
      <c r="F471" s="11">
        <v>2003.0</v>
      </c>
      <c r="G471" s="40">
        <v>34527.0</v>
      </c>
      <c r="H471" s="40">
        <f t="shared" ref="H471:I471" si="495">F471-F470</f>
        <v>1</v>
      </c>
      <c r="I471" s="40">
        <f t="shared" si="495"/>
        <v>-892</v>
      </c>
      <c r="J471" s="73">
        <f t="shared" si="489"/>
        <v>-0.02518422316</v>
      </c>
      <c r="K471" s="66">
        <f t="shared" si="490"/>
        <v>-0.02518422316</v>
      </c>
      <c r="L471" s="29" t="s">
        <v>260</v>
      </c>
    </row>
    <row r="472">
      <c r="A472" s="11" t="s">
        <v>326</v>
      </c>
      <c r="B472" s="11" t="s">
        <v>317</v>
      </c>
      <c r="C472" s="11" t="s">
        <v>847</v>
      </c>
      <c r="D472" s="74" t="s">
        <v>313</v>
      </c>
      <c r="E472" s="11" t="s">
        <v>74</v>
      </c>
      <c r="F472" s="11">
        <v>2004.0</v>
      </c>
      <c r="G472" s="40">
        <v>32331.0</v>
      </c>
      <c r="H472" s="40">
        <f t="shared" ref="H472:I472" si="496">F472-F471</f>
        <v>1</v>
      </c>
      <c r="I472" s="40">
        <f t="shared" si="496"/>
        <v>-2196</v>
      </c>
      <c r="J472" s="73">
        <f t="shared" si="489"/>
        <v>-0.06360239812</v>
      </c>
      <c r="K472" s="66">
        <f t="shared" si="490"/>
        <v>-0.06360239812</v>
      </c>
      <c r="L472" s="29" t="s">
        <v>260</v>
      </c>
    </row>
    <row r="473">
      <c r="A473" s="11" t="s">
        <v>326</v>
      </c>
      <c r="B473" s="11" t="s">
        <v>317</v>
      </c>
      <c r="C473" s="11" t="s">
        <v>847</v>
      </c>
      <c r="D473" s="74" t="s">
        <v>313</v>
      </c>
      <c r="E473" s="11" t="s">
        <v>74</v>
      </c>
      <c r="F473" s="11">
        <v>2005.0</v>
      </c>
      <c r="G473" s="40">
        <v>35258.0</v>
      </c>
      <c r="H473" s="40">
        <f t="shared" ref="H473:I473" si="497">F473-F472</f>
        <v>1</v>
      </c>
      <c r="I473" s="40">
        <f t="shared" si="497"/>
        <v>2927</v>
      </c>
      <c r="J473" s="73">
        <f t="shared" si="489"/>
        <v>0.09053230646</v>
      </c>
      <c r="K473" s="66">
        <f t="shared" si="490"/>
        <v>0.09053230646</v>
      </c>
      <c r="L473" s="29" t="s">
        <v>260</v>
      </c>
    </row>
    <row r="474">
      <c r="A474" s="11" t="s">
        <v>326</v>
      </c>
      <c r="B474" s="11" t="s">
        <v>317</v>
      </c>
      <c r="C474" s="11" t="s">
        <v>847</v>
      </c>
      <c r="D474" s="74" t="s">
        <v>313</v>
      </c>
      <c r="E474" s="11" t="s">
        <v>74</v>
      </c>
      <c r="F474" s="11">
        <v>2006.0</v>
      </c>
      <c r="G474" s="40">
        <v>36779.0</v>
      </c>
      <c r="H474" s="40">
        <f t="shared" ref="H474:I474" si="498">F474-F473</f>
        <v>1</v>
      </c>
      <c r="I474" s="40">
        <f t="shared" si="498"/>
        <v>1521</v>
      </c>
      <c r="J474" s="73">
        <f t="shared" si="489"/>
        <v>0.04313914573</v>
      </c>
      <c r="K474" s="66">
        <f t="shared" si="490"/>
        <v>0.04313914573</v>
      </c>
      <c r="L474" s="29" t="s">
        <v>260</v>
      </c>
    </row>
    <row r="475">
      <c r="A475" s="11" t="s">
        <v>326</v>
      </c>
      <c r="B475" s="11" t="s">
        <v>317</v>
      </c>
      <c r="C475" s="11" t="s">
        <v>847</v>
      </c>
      <c r="D475" s="74" t="s">
        <v>313</v>
      </c>
      <c r="E475" s="11" t="s">
        <v>74</v>
      </c>
      <c r="F475" s="11">
        <v>2007.0</v>
      </c>
      <c r="G475" s="40">
        <v>37697.0</v>
      </c>
      <c r="H475" s="40">
        <f t="shared" ref="H475:I475" si="499">F475-F474</f>
        <v>1</v>
      </c>
      <c r="I475" s="40">
        <f t="shared" si="499"/>
        <v>918</v>
      </c>
      <c r="J475" s="73">
        <f t="shared" si="489"/>
        <v>0.02495989559</v>
      </c>
      <c r="K475" s="66">
        <f t="shared" si="490"/>
        <v>0.02495989559</v>
      </c>
      <c r="L475" s="29" t="s">
        <v>260</v>
      </c>
    </row>
    <row r="476">
      <c r="A476" s="11" t="s">
        <v>326</v>
      </c>
      <c r="B476" s="11" t="s">
        <v>317</v>
      </c>
      <c r="C476" s="11" t="s">
        <v>847</v>
      </c>
      <c r="D476" s="74" t="s">
        <v>313</v>
      </c>
      <c r="E476" s="11" t="s">
        <v>74</v>
      </c>
      <c r="F476" s="11">
        <v>2008.0</v>
      </c>
      <c r="G476" s="40">
        <v>42434.0</v>
      </c>
      <c r="H476" s="40">
        <f t="shared" ref="H476:I476" si="500">F476-F475</f>
        <v>1</v>
      </c>
      <c r="I476" s="40">
        <f t="shared" si="500"/>
        <v>4737</v>
      </c>
      <c r="J476" s="73">
        <f t="shared" si="489"/>
        <v>0.1256598668</v>
      </c>
      <c r="K476" s="66">
        <f t="shared" si="490"/>
        <v>0.1256598668</v>
      </c>
      <c r="L476" s="29" t="s">
        <v>260</v>
      </c>
    </row>
    <row r="477">
      <c r="A477" s="11" t="s">
        <v>326</v>
      </c>
      <c r="B477" s="11" t="s">
        <v>317</v>
      </c>
      <c r="C477" s="11" t="s">
        <v>847</v>
      </c>
      <c r="D477" s="74" t="s">
        <v>313</v>
      </c>
      <c r="E477" s="11" t="s">
        <v>74</v>
      </c>
      <c r="F477" s="11">
        <v>2009.0</v>
      </c>
      <c r="G477" s="40">
        <v>41744.0</v>
      </c>
      <c r="H477" s="40">
        <f t="shared" ref="H477:I477" si="501">F477-F476</f>
        <v>1</v>
      </c>
      <c r="I477" s="40">
        <f t="shared" si="501"/>
        <v>-690</v>
      </c>
      <c r="J477" s="73">
        <f t="shared" si="489"/>
        <v>-0.01626054579</v>
      </c>
      <c r="K477" s="66">
        <f t="shared" si="490"/>
        <v>-0.01626054579</v>
      </c>
      <c r="L477" s="29" t="s">
        <v>260</v>
      </c>
    </row>
    <row r="478">
      <c r="A478" s="11" t="s">
        <v>326</v>
      </c>
      <c r="B478" s="11" t="s">
        <v>317</v>
      </c>
      <c r="C478" s="11" t="s">
        <v>847</v>
      </c>
      <c r="D478" s="74" t="s">
        <v>313</v>
      </c>
      <c r="E478" s="11" t="s">
        <v>74</v>
      </c>
      <c r="F478" s="11">
        <v>2010.0</v>
      </c>
      <c r="G478" s="40">
        <v>39924.0</v>
      </c>
      <c r="H478" s="40">
        <f t="shared" ref="H478:I478" si="502">F478-F477</f>
        <v>1</v>
      </c>
      <c r="I478" s="40">
        <f t="shared" si="502"/>
        <v>-1820</v>
      </c>
      <c r="J478" s="73">
        <f t="shared" si="489"/>
        <v>-0.04359908011</v>
      </c>
      <c r="K478" s="66">
        <f t="shared" si="490"/>
        <v>-0.04359908011</v>
      </c>
      <c r="L478" s="29" t="s">
        <v>260</v>
      </c>
    </row>
    <row r="479">
      <c r="A479" s="11" t="s">
        <v>326</v>
      </c>
      <c r="B479" s="11" t="s">
        <v>317</v>
      </c>
      <c r="C479" s="11" t="s">
        <v>847</v>
      </c>
      <c r="D479" s="74" t="s">
        <v>313</v>
      </c>
      <c r="E479" s="11" t="s">
        <v>74</v>
      </c>
      <c r="F479" s="11">
        <v>2011.0</v>
      </c>
      <c r="G479" s="40">
        <v>46595.0</v>
      </c>
      <c r="H479" s="40">
        <f t="shared" ref="H479:I479" si="503">F479-F478</f>
        <v>1</v>
      </c>
      <c r="I479" s="40">
        <f t="shared" si="503"/>
        <v>6671</v>
      </c>
      <c r="J479" s="73">
        <f t="shared" si="489"/>
        <v>0.1670924757</v>
      </c>
      <c r="K479" s="66">
        <f t="shared" si="490"/>
        <v>0.1670924757</v>
      </c>
      <c r="L479" s="29" t="s">
        <v>260</v>
      </c>
    </row>
    <row r="480">
      <c r="A480" s="11" t="s">
        <v>326</v>
      </c>
      <c r="B480" s="11" t="s">
        <v>317</v>
      </c>
      <c r="C480" s="11" t="s">
        <v>847</v>
      </c>
      <c r="D480" s="74" t="s">
        <v>313</v>
      </c>
      <c r="E480" s="11" t="s">
        <v>74</v>
      </c>
      <c r="F480" s="11">
        <v>2012.0</v>
      </c>
      <c r="G480" s="40">
        <v>45603.0</v>
      </c>
      <c r="H480" s="40">
        <f t="shared" ref="H480:I480" si="504">F480-F479</f>
        <v>1</v>
      </c>
      <c r="I480" s="40">
        <f t="shared" si="504"/>
        <v>-992</v>
      </c>
      <c r="J480" s="73">
        <f t="shared" si="489"/>
        <v>-0.02128983797</v>
      </c>
      <c r="K480" s="66">
        <f t="shared" si="490"/>
        <v>-0.02128983797</v>
      </c>
      <c r="L480" s="29" t="s">
        <v>260</v>
      </c>
    </row>
    <row r="481">
      <c r="A481" s="11" t="s">
        <v>326</v>
      </c>
      <c r="B481" s="11" t="s">
        <v>317</v>
      </c>
      <c r="C481" s="11" t="s">
        <v>847</v>
      </c>
      <c r="D481" s="74" t="s">
        <v>313</v>
      </c>
      <c r="E481" s="11" t="s">
        <v>74</v>
      </c>
      <c r="F481" s="11">
        <v>2013.0</v>
      </c>
      <c r="G481" s="40">
        <v>49436.0</v>
      </c>
      <c r="H481" s="40">
        <f t="shared" ref="H481:I481" si="505">F481-F480</f>
        <v>1</v>
      </c>
      <c r="I481" s="40">
        <f t="shared" si="505"/>
        <v>3833</v>
      </c>
      <c r="J481" s="73">
        <f t="shared" si="489"/>
        <v>0.08405148784</v>
      </c>
      <c r="K481" s="66">
        <f t="shared" si="490"/>
        <v>0.08405148784</v>
      </c>
      <c r="L481" s="29" t="s">
        <v>260</v>
      </c>
    </row>
    <row r="482">
      <c r="A482" s="11" t="s">
        <v>326</v>
      </c>
      <c r="B482" s="11" t="s">
        <v>317</v>
      </c>
      <c r="C482" s="11" t="s">
        <v>847</v>
      </c>
      <c r="D482" s="74" t="s">
        <v>313</v>
      </c>
      <c r="E482" s="11" t="s">
        <v>74</v>
      </c>
      <c r="F482" s="11">
        <v>2014.0</v>
      </c>
      <c r="G482" s="40">
        <v>46435.0</v>
      </c>
      <c r="H482" s="40">
        <f t="shared" ref="H482:I482" si="506">F482-F481</f>
        <v>1</v>
      </c>
      <c r="I482" s="40">
        <f t="shared" si="506"/>
        <v>-3001</v>
      </c>
      <c r="J482" s="73">
        <f t="shared" si="489"/>
        <v>-0.06070474958</v>
      </c>
      <c r="K482" s="66">
        <f t="shared" si="490"/>
        <v>-0.06070474958</v>
      </c>
      <c r="L482" s="29" t="s">
        <v>260</v>
      </c>
    </row>
    <row r="483">
      <c r="A483" s="11" t="s">
        <v>326</v>
      </c>
      <c r="B483" s="11" t="s">
        <v>317</v>
      </c>
      <c r="C483" s="11" t="s">
        <v>847</v>
      </c>
      <c r="D483" s="74" t="s">
        <v>313</v>
      </c>
      <c r="E483" s="11" t="s">
        <v>74</v>
      </c>
      <c r="F483" s="11">
        <v>2015.0</v>
      </c>
      <c r="G483" s="40">
        <v>52578.0</v>
      </c>
      <c r="H483" s="40">
        <f t="shared" ref="H483:I483" si="507">F483-F482</f>
        <v>1</v>
      </c>
      <c r="I483" s="40">
        <f t="shared" si="507"/>
        <v>6143</v>
      </c>
      <c r="J483" s="73">
        <f t="shared" si="489"/>
        <v>0.1322924518</v>
      </c>
      <c r="K483" s="66">
        <f t="shared" si="490"/>
        <v>0.1322924518</v>
      </c>
      <c r="L483" s="29" t="s">
        <v>260</v>
      </c>
    </row>
    <row r="484">
      <c r="A484" s="11" t="s">
        <v>326</v>
      </c>
      <c r="B484" s="11" t="s">
        <v>317</v>
      </c>
      <c r="C484" s="11" t="s">
        <v>847</v>
      </c>
      <c r="D484" s="74" t="s">
        <v>313</v>
      </c>
      <c r="E484" s="11" t="s">
        <v>74</v>
      </c>
      <c r="F484" s="11">
        <v>2016.0</v>
      </c>
      <c r="G484" s="40">
        <v>47468.0</v>
      </c>
      <c r="H484" s="40">
        <f t="shared" ref="H484:I484" si="508">F484-F483</f>
        <v>1</v>
      </c>
      <c r="I484" s="40">
        <f t="shared" si="508"/>
        <v>-5110</v>
      </c>
      <c r="J484" s="73">
        <f t="shared" si="489"/>
        <v>-0.09718893834</v>
      </c>
      <c r="K484" s="66">
        <f t="shared" si="490"/>
        <v>-0.09718893834</v>
      </c>
      <c r="L484" s="29" t="s">
        <v>260</v>
      </c>
    </row>
    <row r="485">
      <c r="A485" s="11" t="s">
        <v>326</v>
      </c>
      <c r="B485" s="11" t="s">
        <v>317</v>
      </c>
      <c r="C485" s="11" t="s">
        <v>847</v>
      </c>
      <c r="D485" s="74" t="s">
        <v>313</v>
      </c>
      <c r="E485" s="11" t="s">
        <v>74</v>
      </c>
      <c r="F485" s="11">
        <v>2017.0</v>
      </c>
      <c r="G485" s="40">
        <v>44665.0</v>
      </c>
      <c r="H485" s="40">
        <f t="shared" ref="H485:I485" si="509">F485-F484</f>
        <v>1</v>
      </c>
      <c r="I485" s="40">
        <f t="shared" si="509"/>
        <v>-2803</v>
      </c>
      <c r="J485" s="73">
        <f t="shared" si="489"/>
        <v>-0.05905030758</v>
      </c>
      <c r="K485" s="66">
        <f t="shared" si="490"/>
        <v>-0.05905030758</v>
      </c>
      <c r="L485" s="29" t="s">
        <v>260</v>
      </c>
    </row>
    <row r="486">
      <c r="A486" s="11" t="s">
        <v>326</v>
      </c>
      <c r="B486" s="11" t="s">
        <v>317</v>
      </c>
      <c r="C486" s="11" t="s">
        <v>847</v>
      </c>
      <c r="D486" s="74" t="s">
        <v>313</v>
      </c>
      <c r="E486" s="11" t="s">
        <v>74</v>
      </c>
      <c r="F486" s="11">
        <v>2018.0</v>
      </c>
      <c r="G486" s="40">
        <v>45081.0</v>
      </c>
      <c r="H486" s="40">
        <f t="shared" ref="H486:I486" si="510">F486-F485</f>
        <v>1</v>
      </c>
      <c r="I486" s="40">
        <f t="shared" si="510"/>
        <v>416</v>
      </c>
      <c r="J486" s="73">
        <f t="shared" si="489"/>
        <v>0.009313780365</v>
      </c>
      <c r="K486" s="66">
        <f t="shared" si="490"/>
        <v>0.009313780365</v>
      </c>
      <c r="L486" s="29" t="s">
        <v>260</v>
      </c>
    </row>
    <row r="487">
      <c r="A487" s="11" t="s">
        <v>331</v>
      </c>
      <c r="B487" s="11" t="s">
        <v>317</v>
      </c>
      <c r="C487" s="11" t="s">
        <v>866</v>
      </c>
      <c r="D487" s="74" t="s">
        <v>313</v>
      </c>
      <c r="E487" s="11" t="s">
        <v>74</v>
      </c>
      <c r="F487" s="11">
        <v>1996.0</v>
      </c>
      <c r="G487" s="40">
        <v>25190.0</v>
      </c>
      <c r="H487" s="40" t="s">
        <v>188</v>
      </c>
      <c r="I487" s="40" t="s">
        <v>188</v>
      </c>
      <c r="J487" s="73" t="s">
        <v>188</v>
      </c>
      <c r="K487" s="66" t="s">
        <v>188</v>
      </c>
      <c r="L487" s="29" t="s">
        <v>260</v>
      </c>
    </row>
    <row r="488">
      <c r="A488" s="11" t="s">
        <v>331</v>
      </c>
      <c r="B488" s="11" t="s">
        <v>317</v>
      </c>
      <c r="C488" s="11" t="s">
        <v>866</v>
      </c>
      <c r="D488" s="74" t="s">
        <v>313</v>
      </c>
      <c r="E488" s="11" t="s">
        <v>74</v>
      </c>
      <c r="F488" s="11">
        <v>1997.0</v>
      </c>
      <c r="G488" s="40">
        <v>26388.0</v>
      </c>
      <c r="H488" s="40">
        <f t="shared" ref="H488:I488" si="511">F488-F487</f>
        <v>1</v>
      </c>
      <c r="I488" s="40">
        <f t="shared" si="511"/>
        <v>1198</v>
      </c>
      <c r="J488" s="73">
        <f t="shared" ref="J488:J509" si="513">I488/G487</f>
        <v>0.04755855498</v>
      </c>
      <c r="K488" s="66">
        <f t="shared" ref="K488:K509" si="514">J488/H488</f>
        <v>0.04755855498</v>
      </c>
      <c r="L488" s="29" t="s">
        <v>260</v>
      </c>
    </row>
    <row r="489">
      <c r="A489" s="11" t="s">
        <v>331</v>
      </c>
      <c r="B489" s="11" t="s">
        <v>317</v>
      </c>
      <c r="C489" s="11" t="s">
        <v>866</v>
      </c>
      <c r="D489" s="74" t="s">
        <v>313</v>
      </c>
      <c r="E489" s="11" t="s">
        <v>74</v>
      </c>
      <c r="F489" s="11">
        <v>1998.0</v>
      </c>
      <c r="G489" s="40">
        <v>26481.0</v>
      </c>
      <c r="H489" s="40">
        <f t="shared" ref="H489:I489" si="512">F489-F488</f>
        <v>1</v>
      </c>
      <c r="I489" s="40">
        <f t="shared" si="512"/>
        <v>93</v>
      </c>
      <c r="J489" s="73">
        <f t="shared" si="513"/>
        <v>0.003524329241</v>
      </c>
      <c r="K489" s="66">
        <f t="shared" si="514"/>
        <v>0.003524329241</v>
      </c>
      <c r="L489" s="29" t="s">
        <v>260</v>
      </c>
    </row>
    <row r="490">
      <c r="A490" s="11" t="s">
        <v>331</v>
      </c>
      <c r="B490" s="11" t="s">
        <v>317</v>
      </c>
      <c r="C490" s="11" t="s">
        <v>866</v>
      </c>
      <c r="D490" s="74" t="s">
        <v>313</v>
      </c>
      <c r="E490" s="11" t="s">
        <v>74</v>
      </c>
      <c r="F490" s="11">
        <v>1999.0</v>
      </c>
      <c r="G490" s="40">
        <v>25901.0</v>
      </c>
      <c r="H490" s="40">
        <f t="shared" ref="H490:I490" si="515">F490-F489</f>
        <v>1</v>
      </c>
      <c r="I490" s="40">
        <f t="shared" si="515"/>
        <v>-580</v>
      </c>
      <c r="J490" s="73">
        <f t="shared" si="513"/>
        <v>-0.02190249613</v>
      </c>
      <c r="K490" s="66">
        <f t="shared" si="514"/>
        <v>-0.02190249613</v>
      </c>
      <c r="L490" s="29" t="s">
        <v>260</v>
      </c>
    </row>
    <row r="491">
      <c r="A491" s="11" t="s">
        <v>331</v>
      </c>
      <c r="B491" s="11" t="s">
        <v>317</v>
      </c>
      <c r="C491" s="11" t="s">
        <v>866</v>
      </c>
      <c r="D491" s="74" t="s">
        <v>313</v>
      </c>
      <c r="E491" s="11" t="s">
        <v>74</v>
      </c>
      <c r="F491" s="11">
        <v>2000.0</v>
      </c>
      <c r="G491" s="40">
        <v>24840.0</v>
      </c>
      <c r="H491" s="40">
        <f t="shared" ref="H491:I491" si="516">F491-F490</f>
        <v>1</v>
      </c>
      <c r="I491" s="40">
        <f t="shared" si="516"/>
        <v>-1061</v>
      </c>
      <c r="J491" s="73">
        <f t="shared" si="513"/>
        <v>-0.04096366936</v>
      </c>
      <c r="K491" s="66">
        <f t="shared" si="514"/>
        <v>-0.04096366936</v>
      </c>
      <c r="L491" s="29" t="s">
        <v>260</v>
      </c>
    </row>
    <row r="492">
      <c r="A492" s="11" t="s">
        <v>331</v>
      </c>
      <c r="B492" s="11" t="s">
        <v>317</v>
      </c>
      <c r="C492" s="11" t="s">
        <v>866</v>
      </c>
      <c r="D492" s="74" t="s">
        <v>313</v>
      </c>
      <c r="E492" s="11" t="s">
        <v>74</v>
      </c>
      <c r="F492" s="11">
        <v>2001.0</v>
      </c>
      <c r="G492" s="40">
        <v>23635.0</v>
      </c>
      <c r="H492" s="40">
        <f t="shared" ref="H492:I492" si="517">F492-F491</f>
        <v>1</v>
      </c>
      <c r="I492" s="40">
        <f t="shared" si="517"/>
        <v>-1205</v>
      </c>
      <c r="J492" s="73">
        <f t="shared" si="513"/>
        <v>-0.04851046699</v>
      </c>
      <c r="K492" s="66">
        <f t="shared" si="514"/>
        <v>-0.04851046699</v>
      </c>
      <c r="L492" s="29" t="s">
        <v>260</v>
      </c>
    </row>
    <row r="493">
      <c r="A493" s="11" t="s">
        <v>331</v>
      </c>
      <c r="B493" s="11" t="s">
        <v>317</v>
      </c>
      <c r="C493" s="11" t="s">
        <v>866</v>
      </c>
      <c r="D493" s="74" t="s">
        <v>313</v>
      </c>
      <c r="E493" s="11" t="s">
        <v>74</v>
      </c>
      <c r="F493" s="11">
        <v>2002.0</v>
      </c>
      <c r="G493" s="40">
        <v>26468.0</v>
      </c>
      <c r="H493" s="40">
        <f t="shared" ref="H493:I493" si="518">F493-F492</f>
        <v>1</v>
      </c>
      <c r="I493" s="40">
        <f t="shared" si="518"/>
        <v>2833</v>
      </c>
      <c r="J493" s="73">
        <f t="shared" si="513"/>
        <v>0.1198646076</v>
      </c>
      <c r="K493" s="66">
        <f t="shared" si="514"/>
        <v>0.1198646076</v>
      </c>
      <c r="L493" s="29" t="s">
        <v>260</v>
      </c>
    </row>
    <row r="494">
      <c r="A494" s="11" t="s">
        <v>331</v>
      </c>
      <c r="B494" s="11" t="s">
        <v>317</v>
      </c>
      <c r="C494" s="11" t="s">
        <v>866</v>
      </c>
      <c r="D494" s="74" t="s">
        <v>313</v>
      </c>
      <c r="E494" s="11" t="s">
        <v>74</v>
      </c>
      <c r="F494" s="11">
        <v>2003.0</v>
      </c>
      <c r="G494" s="40">
        <v>28244.0</v>
      </c>
      <c r="H494" s="40">
        <f t="shared" ref="H494:I494" si="519">F494-F493</f>
        <v>1</v>
      </c>
      <c r="I494" s="40">
        <f t="shared" si="519"/>
        <v>1776</v>
      </c>
      <c r="J494" s="73">
        <f t="shared" si="513"/>
        <v>0.06709989421</v>
      </c>
      <c r="K494" s="66">
        <f t="shared" si="514"/>
        <v>0.06709989421</v>
      </c>
      <c r="L494" s="29" t="s">
        <v>260</v>
      </c>
    </row>
    <row r="495">
      <c r="A495" s="11" t="s">
        <v>331</v>
      </c>
      <c r="B495" s="11" t="s">
        <v>317</v>
      </c>
      <c r="C495" s="11" t="s">
        <v>866</v>
      </c>
      <c r="D495" s="74" t="s">
        <v>313</v>
      </c>
      <c r="E495" s="11" t="s">
        <v>74</v>
      </c>
      <c r="F495" s="11">
        <v>2004.0</v>
      </c>
      <c r="G495" s="40">
        <v>29491.0</v>
      </c>
      <c r="H495" s="40">
        <f t="shared" ref="H495:I495" si="520">F495-F494</f>
        <v>1</v>
      </c>
      <c r="I495" s="40">
        <f t="shared" si="520"/>
        <v>1247</v>
      </c>
      <c r="J495" s="73">
        <f t="shared" si="513"/>
        <v>0.04415097012</v>
      </c>
      <c r="K495" s="66">
        <f t="shared" si="514"/>
        <v>0.04415097012</v>
      </c>
      <c r="L495" s="29" t="s">
        <v>260</v>
      </c>
    </row>
    <row r="496">
      <c r="A496" s="11" t="s">
        <v>331</v>
      </c>
      <c r="B496" s="11" t="s">
        <v>317</v>
      </c>
      <c r="C496" s="11" t="s">
        <v>866</v>
      </c>
      <c r="D496" s="74" t="s">
        <v>313</v>
      </c>
      <c r="E496" s="11" t="s">
        <v>74</v>
      </c>
      <c r="F496" s="11">
        <v>2005.0</v>
      </c>
      <c r="G496" s="40">
        <v>30401.0</v>
      </c>
      <c r="H496" s="40">
        <f t="shared" ref="H496:I496" si="521">F496-F495</f>
        <v>1</v>
      </c>
      <c r="I496" s="40">
        <f t="shared" si="521"/>
        <v>910</v>
      </c>
      <c r="J496" s="73">
        <f t="shared" si="513"/>
        <v>0.03085687159</v>
      </c>
      <c r="K496" s="66">
        <f t="shared" si="514"/>
        <v>0.03085687159</v>
      </c>
      <c r="L496" s="29" t="s">
        <v>260</v>
      </c>
    </row>
    <row r="497">
      <c r="A497" s="11" t="s">
        <v>331</v>
      </c>
      <c r="B497" s="11" t="s">
        <v>317</v>
      </c>
      <c r="C497" s="11" t="s">
        <v>866</v>
      </c>
      <c r="D497" s="74" t="s">
        <v>313</v>
      </c>
      <c r="E497" s="11" t="s">
        <v>74</v>
      </c>
      <c r="F497" s="11">
        <v>2006.0</v>
      </c>
      <c r="G497" s="40">
        <v>31311.0</v>
      </c>
      <c r="H497" s="40">
        <f t="shared" ref="H497:I497" si="522">F497-F496</f>
        <v>1</v>
      </c>
      <c r="I497" s="40">
        <f t="shared" si="522"/>
        <v>910</v>
      </c>
      <c r="J497" s="73">
        <f t="shared" si="513"/>
        <v>0.02993322588</v>
      </c>
      <c r="K497" s="66">
        <f t="shared" si="514"/>
        <v>0.02993322588</v>
      </c>
      <c r="L497" s="29" t="s">
        <v>260</v>
      </c>
    </row>
    <row r="498">
      <c r="A498" s="11" t="s">
        <v>331</v>
      </c>
      <c r="B498" s="11" t="s">
        <v>317</v>
      </c>
      <c r="C498" s="11" t="s">
        <v>866</v>
      </c>
      <c r="D498" s="74" t="s">
        <v>313</v>
      </c>
      <c r="E498" s="11" t="s">
        <v>74</v>
      </c>
      <c r="F498" s="11">
        <v>2007.0</v>
      </c>
      <c r="G498" s="40">
        <v>30779.0</v>
      </c>
      <c r="H498" s="40">
        <f t="shared" ref="H498:I498" si="523">F498-F497</f>
        <v>1</v>
      </c>
      <c r="I498" s="40">
        <f t="shared" si="523"/>
        <v>-532</v>
      </c>
      <c r="J498" s="73">
        <f t="shared" si="513"/>
        <v>-0.01699083389</v>
      </c>
      <c r="K498" s="66">
        <f t="shared" si="514"/>
        <v>-0.01699083389</v>
      </c>
      <c r="L498" s="29" t="s">
        <v>260</v>
      </c>
    </row>
    <row r="499">
      <c r="A499" s="11" t="s">
        <v>331</v>
      </c>
      <c r="B499" s="11" t="s">
        <v>317</v>
      </c>
      <c r="C499" s="11" t="s">
        <v>866</v>
      </c>
      <c r="D499" s="74" t="s">
        <v>313</v>
      </c>
      <c r="E499" s="11" t="s">
        <v>74</v>
      </c>
      <c r="F499" s="11">
        <v>2008.0</v>
      </c>
      <c r="G499" s="40">
        <v>30776.0</v>
      </c>
      <c r="H499" s="40">
        <f t="shared" ref="H499:I499" si="524">F499-F498</f>
        <v>1</v>
      </c>
      <c r="I499" s="40">
        <f t="shared" si="524"/>
        <v>-3</v>
      </c>
      <c r="J499" s="73">
        <f t="shared" si="513"/>
        <v>-0.00009746905358</v>
      </c>
      <c r="K499" s="66">
        <f t="shared" si="514"/>
        <v>-0.00009746905358</v>
      </c>
      <c r="L499" s="29" t="s">
        <v>260</v>
      </c>
    </row>
    <row r="500">
      <c r="A500" s="11" t="s">
        <v>331</v>
      </c>
      <c r="B500" s="11" t="s">
        <v>317</v>
      </c>
      <c r="C500" s="11" t="s">
        <v>866</v>
      </c>
      <c r="D500" s="74" t="s">
        <v>313</v>
      </c>
      <c r="E500" s="11" t="s">
        <v>74</v>
      </c>
      <c r="F500" s="11">
        <v>2009.0</v>
      </c>
      <c r="G500" s="40">
        <v>30388.0</v>
      </c>
      <c r="H500" s="40">
        <f t="shared" ref="H500:I500" si="525">F500-F499</f>
        <v>1</v>
      </c>
      <c r="I500" s="40">
        <f t="shared" si="525"/>
        <v>-388</v>
      </c>
      <c r="J500" s="73">
        <f t="shared" si="513"/>
        <v>-0.01260722641</v>
      </c>
      <c r="K500" s="66">
        <f t="shared" si="514"/>
        <v>-0.01260722641</v>
      </c>
      <c r="L500" s="29" t="s">
        <v>260</v>
      </c>
    </row>
    <row r="501">
      <c r="A501" s="11" t="s">
        <v>331</v>
      </c>
      <c r="B501" s="11" t="s">
        <v>317</v>
      </c>
      <c r="C501" s="11" t="s">
        <v>866</v>
      </c>
      <c r="D501" s="74" t="s">
        <v>313</v>
      </c>
      <c r="E501" s="11" t="s">
        <v>74</v>
      </c>
      <c r="F501" s="11">
        <v>2010.0</v>
      </c>
      <c r="G501" s="40">
        <v>30385.0</v>
      </c>
      <c r="H501" s="40">
        <f t="shared" ref="H501:I501" si="526">F501-F500</f>
        <v>1</v>
      </c>
      <c r="I501" s="40">
        <f t="shared" si="526"/>
        <v>-3</v>
      </c>
      <c r="J501" s="73">
        <f t="shared" si="513"/>
        <v>-0.0000987231802</v>
      </c>
      <c r="K501" s="66">
        <f t="shared" si="514"/>
        <v>-0.0000987231802</v>
      </c>
      <c r="L501" s="29" t="s">
        <v>260</v>
      </c>
    </row>
    <row r="502">
      <c r="A502" s="11" t="s">
        <v>331</v>
      </c>
      <c r="B502" s="11" t="s">
        <v>317</v>
      </c>
      <c r="C502" s="11" t="s">
        <v>866</v>
      </c>
      <c r="D502" s="74" t="s">
        <v>313</v>
      </c>
      <c r="E502" s="11" t="s">
        <v>74</v>
      </c>
      <c r="F502" s="11">
        <v>2011.0</v>
      </c>
      <c r="G502" s="40">
        <v>29709.0</v>
      </c>
      <c r="H502" s="40">
        <f t="shared" ref="H502:I502" si="527">F502-F501</f>
        <v>1</v>
      </c>
      <c r="I502" s="40">
        <f t="shared" si="527"/>
        <v>-676</v>
      </c>
      <c r="J502" s="73">
        <f t="shared" si="513"/>
        <v>-0.02224781965</v>
      </c>
      <c r="K502" s="66">
        <f t="shared" si="514"/>
        <v>-0.02224781965</v>
      </c>
      <c r="L502" s="29" t="s">
        <v>260</v>
      </c>
    </row>
    <row r="503">
      <c r="A503" s="11" t="s">
        <v>331</v>
      </c>
      <c r="B503" s="11" t="s">
        <v>317</v>
      </c>
      <c r="C503" s="11" t="s">
        <v>866</v>
      </c>
      <c r="D503" s="74" t="s">
        <v>313</v>
      </c>
      <c r="E503" s="11" t="s">
        <v>74</v>
      </c>
      <c r="F503" s="11">
        <v>2012.0</v>
      </c>
      <c r="G503" s="40">
        <v>29417.0</v>
      </c>
      <c r="H503" s="40">
        <f t="shared" ref="H503:I503" si="528">F503-F502</f>
        <v>1</v>
      </c>
      <c r="I503" s="40">
        <f t="shared" si="528"/>
        <v>-292</v>
      </c>
      <c r="J503" s="73">
        <f t="shared" si="513"/>
        <v>-0.009828671446</v>
      </c>
      <c r="K503" s="66">
        <f t="shared" si="514"/>
        <v>-0.009828671446</v>
      </c>
      <c r="L503" s="29" t="s">
        <v>260</v>
      </c>
    </row>
    <row r="504">
      <c r="A504" s="11" t="s">
        <v>331</v>
      </c>
      <c r="B504" s="11" t="s">
        <v>317</v>
      </c>
      <c r="C504" s="11" t="s">
        <v>866</v>
      </c>
      <c r="D504" s="74" t="s">
        <v>313</v>
      </c>
      <c r="E504" s="11" t="s">
        <v>74</v>
      </c>
      <c r="F504" s="11">
        <v>2013.0</v>
      </c>
      <c r="G504" s="40">
        <v>30135.0</v>
      </c>
      <c r="H504" s="40">
        <f t="shared" ref="H504:I504" si="529">F504-F503</f>
        <v>1</v>
      </c>
      <c r="I504" s="40">
        <f t="shared" si="529"/>
        <v>718</v>
      </c>
      <c r="J504" s="73">
        <f t="shared" si="513"/>
        <v>0.02440765544</v>
      </c>
      <c r="K504" s="66">
        <f t="shared" si="514"/>
        <v>0.02440765544</v>
      </c>
      <c r="L504" s="29" t="s">
        <v>260</v>
      </c>
    </row>
    <row r="505">
      <c r="A505" s="11" t="s">
        <v>331</v>
      </c>
      <c r="B505" s="11" t="s">
        <v>317</v>
      </c>
      <c r="C505" s="11" t="s">
        <v>866</v>
      </c>
      <c r="D505" s="74" t="s">
        <v>313</v>
      </c>
      <c r="E505" s="11" t="s">
        <v>74</v>
      </c>
      <c r="F505" s="11">
        <v>2014.0</v>
      </c>
      <c r="G505" s="40">
        <v>30805.0</v>
      </c>
      <c r="H505" s="40">
        <f t="shared" ref="H505:I505" si="530">F505-F504</f>
        <v>1</v>
      </c>
      <c r="I505" s="40">
        <f t="shared" si="530"/>
        <v>670</v>
      </c>
      <c r="J505" s="73">
        <f t="shared" si="513"/>
        <v>0.02223328356</v>
      </c>
      <c r="K505" s="66">
        <f t="shared" si="514"/>
        <v>0.02223328356</v>
      </c>
      <c r="L505" s="29" t="s">
        <v>260</v>
      </c>
    </row>
    <row r="506">
      <c r="A506" s="11" t="s">
        <v>331</v>
      </c>
      <c r="B506" s="11" t="s">
        <v>317</v>
      </c>
      <c r="C506" s="11" t="s">
        <v>866</v>
      </c>
      <c r="D506" s="74" t="s">
        <v>313</v>
      </c>
      <c r="E506" s="11" t="s">
        <v>74</v>
      </c>
      <c r="F506" s="11">
        <v>2015.0</v>
      </c>
      <c r="G506" s="40">
        <v>31090.0</v>
      </c>
      <c r="H506" s="40">
        <f t="shared" ref="H506:I506" si="531">F506-F505</f>
        <v>1</v>
      </c>
      <c r="I506" s="40">
        <f t="shared" si="531"/>
        <v>285</v>
      </c>
      <c r="J506" s="73">
        <f t="shared" si="513"/>
        <v>0.009251744847</v>
      </c>
      <c r="K506" s="66">
        <f t="shared" si="514"/>
        <v>0.009251744847</v>
      </c>
      <c r="L506" s="29" t="s">
        <v>260</v>
      </c>
    </row>
    <row r="507">
      <c r="A507" s="11" t="s">
        <v>331</v>
      </c>
      <c r="B507" s="11" t="s">
        <v>317</v>
      </c>
      <c r="C507" s="11" t="s">
        <v>866</v>
      </c>
      <c r="D507" s="74" t="s">
        <v>313</v>
      </c>
      <c r="E507" s="11" t="s">
        <v>74</v>
      </c>
      <c r="F507" s="11">
        <v>2016.0</v>
      </c>
      <c r="G507" s="40">
        <v>29957.0</v>
      </c>
      <c r="H507" s="40">
        <f t="shared" ref="H507:I507" si="532">F507-F506</f>
        <v>1</v>
      </c>
      <c r="I507" s="40">
        <f t="shared" si="532"/>
        <v>-1133</v>
      </c>
      <c r="J507" s="73">
        <f t="shared" si="513"/>
        <v>-0.03644258604</v>
      </c>
      <c r="K507" s="66">
        <f t="shared" si="514"/>
        <v>-0.03644258604</v>
      </c>
      <c r="L507" s="29" t="s">
        <v>260</v>
      </c>
    </row>
    <row r="508">
      <c r="A508" s="11" t="s">
        <v>331</v>
      </c>
      <c r="B508" s="11" t="s">
        <v>317</v>
      </c>
      <c r="C508" s="11" t="s">
        <v>866</v>
      </c>
      <c r="D508" s="74" t="s">
        <v>313</v>
      </c>
      <c r="E508" s="11" t="s">
        <v>74</v>
      </c>
      <c r="F508" s="11">
        <v>2017.0</v>
      </c>
      <c r="G508" s="40">
        <v>29545.0</v>
      </c>
      <c r="H508" s="40">
        <f t="shared" ref="H508:I508" si="533">F508-F507</f>
        <v>1</v>
      </c>
      <c r="I508" s="40">
        <f t="shared" si="533"/>
        <v>-412</v>
      </c>
      <c r="J508" s="73">
        <f t="shared" si="513"/>
        <v>-0.01375304603</v>
      </c>
      <c r="K508" s="66">
        <f t="shared" si="514"/>
        <v>-0.01375304603</v>
      </c>
      <c r="L508" s="29" t="s">
        <v>260</v>
      </c>
    </row>
    <row r="509">
      <c r="A509" s="11" t="s">
        <v>331</v>
      </c>
      <c r="B509" s="11" t="s">
        <v>317</v>
      </c>
      <c r="C509" s="11" t="s">
        <v>866</v>
      </c>
      <c r="D509" s="74" t="s">
        <v>313</v>
      </c>
      <c r="E509" s="11" t="s">
        <v>74</v>
      </c>
      <c r="F509" s="11">
        <v>2018.0</v>
      </c>
      <c r="G509" s="40">
        <v>28340.0</v>
      </c>
      <c r="H509" s="40">
        <f t="shared" ref="H509:I509" si="534">F509-F508</f>
        <v>1</v>
      </c>
      <c r="I509" s="40">
        <f t="shared" si="534"/>
        <v>-1205</v>
      </c>
      <c r="J509" s="73">
        <f t="shared" si="513"/>
        <v>-0.04078524285</v>
      </c>
      <c r="K509" s="66">
        <f t="shared" si="514"/>
        <v>-0.04078524285</v>
      </c>
      <c r="L509" s="29" t="s">
        <v>260</v>
      </c>
    </row>
    <row r="510">
      <c r="A510" s="11" t="s">
        <v>334</v>
      </c>
      <c r="B510" s="11" t="s">
        <v>317</v>
      </c>
      <c r="C510" s="74" t="s">
        <v>893</v>
      </c>
      <c r="D510" s="74" t="s">
        <v>313</v>
      </c>
      <c r="E510" s="11" t="s">
        <v>74</v>
      </c>
      <c r="F510" s="11">
        <v>1996.0</v>
      </c>
      <c r="G510" s="40">
        <v>10777.0</v>
      </c>
      <c r="H510" s="40" t="s">
        <v>188</v>
      </c>
      <c r="I510" s="40" t="s">
        <v>188</v>
      </c>
      <c r="J510" s="73" t="s">
        <v>188</v>
      </c>
      <c r="K510" s="66" t="s">
        <v>188</v>
      </c>
      <c r="L510" s="29" t="s">
        <v>260</v>
      </c>
    </row>
    <row r="511">
      <c r="A511" s="11" t="s">
        <v>334</v>
      </c>
      <c r="B511" s="11" t="s">
        <v>317</v>
      </c>
      <c r="C511" s="74" t="s">
        <v>893</v>
      </c>
      <c r="D511" s="74" t="s">
        <v>313</v>
      </c>
      <c r="E511" s="11" t="s">
        <v>74</v>
      </c>
      <c r="F511" s="11">
        <v>1997.0</v>
      </c>
      <c r="G511" s="40">
        <v>9851.0</v>
      </c>
      <c r="H511" s="40">
        <f t="shared" ref="H511:I511" si="535">F511-F510</f>
        <v>1</v>
      </c>
      <c r="I511" s="40">
        <f t="shared" si="535"/>
        <v>-926</v>
      </c>
      <c r="J511" s="73">
        <f t="shared" ref="J511:J532" si="537">I511/G510</f>
        <v>-0.08592372645</v>
      </c>
      <c r="K511" s="66">
        <f t="shared" ref="K511:K532" si="538">J511/H511</f>
        <v>-0.08592372645</v>
      </c>
      <c r="L511" s="29" t="s">
        <v>260</v>
      </c>
    </row>
    <row r="512">
      <c r="A512" s="11" t="s">
        <v>334</v>
      </c>
      <c r="B512" s="11" t="s">
        <v>317</v>
      </c>
      <c r="C512" s="74" t="s">
        <v>893</v>
      </c>
      <c r="D512" s="74" t="s">
        <v>313</v>
      </c>
      <c r="E512" s="11" t="s">
        <v>74</v>
      </c>
      <c r="F512" s="11">
        <v>1998.0</v>
      </c>
      <c r="G512" s="40">
        <v>9167.0</v>
      </c>
      <c r="H512" s="40">
        <f t="shared" ref="H512:I512" si="536">F512-F511</f>
        <v>1</v>
      </c>
      <c r="I512" s="40">
        <f t="shared" si="536"/>
        <v>-684</v>
      </c>
      <c r="J512" s="73">
        <f t="shared" si="537"/>
        <v>-0.06943457517</v>
      </c>
      <c r="K512" s="66">
        <f t="shared" si="538"/>
        <v>-0.06943457517</v>
      </c>
      <c r="L512" s="29" t="s">
        <v>260</v>
      </c>
    </row>
    <row r="513">
      <c r="A513" s="11" t="s">
        <v>334</v>
      </c>
      <c r="B513" s="11" t="s">
        <v>317</v>
      </c>
      <c r="C513" s="74" t="s">
        <v>893</v>
      </c>
      <c r="D513" s="74" t="s">
        <v>313</v>
      </c>
      <c r="E513" s="11" t="s">
        <v>74</v>
      </c>
      <c r="F513" s="11">
        <v>1999.0</v>
      </c>
      <c r="G513" s="40">
        <v>9492.0</v>
      </c>
      <c r="H513" s="40">
        <f t="shared" ref="H513:I513" si="539">F513-F512</f>
        <v>1</v>
      </c>
      <c r="I513" s="40">
        <f t="shared" si="539"/>
        <v>325</v>
      </c>
      <c r="J513" s="73">
        <f t="shared" si="537"/>
        <v>0.03545325625</v>
      </c>
      <c r="K513" s="66">
        <f t="shared" si="538"/>
        <v>0.03545325625</v>
      </c>
      <c r="L513" s="29" t="s">
        <v>260</v>
      </c>
    </row>
    <row r="514">
      <c r="A514" s="11" t="s">
        <v>334</v>
      </c>
      <c r="B514" s="11" t="s">
        <v>317</v>
      </c>
      <c r="C514" s="74" t="s">
        <v>893</v>
      </c>
      <c r="D514" s="74" t="s">
        <v>313</v>
      </c>
      <c r="E514" s="11" t="s">
        <v>74</v>
      </c>
      <c r="F514" s="11">
        <v>2000.0</v>
      </c>
      <c r="G514" s="40">
        <v>8961.0</v>
      </c>
      <c r="H514" s="40">
        <f t="shared" ref="H514:I514" si="540">F514-F513</f>
        <v>1</v>
      </c>
      <c r="I514" s="40">
        <f t="shared" si="540"/>
        <v>-531</v>
      </c>
      <c r="J514" s="73">
        <f t="shared" si="537"/>
        <v>-0.05594184576</v>
      </c>
      <c r="K514" s="66">
        <f t="shared" si="538"/>
        <v>-0.05594184576</v>
      </c>
      <c r="L514" s="29" t="s">
        <v>260</v>
      </c>
    </row>
    <row r="515">
      <c r="A515" s="11" t="s">
        <v>334</v>
      </c>
      <c r="B515" s="11" t="s">
        <v>317</v>
      </c>
      <c r="C515" s="74" t="s">
        <v>893</v>
      </c>
      <c r="D515" s="74" t="s">
        <v>313</v>
      </c>
      <c r="E515" s="11" t="s">
        <v>74</v>
      </c>
      <c r="F515" s="11">
        <v>2001.0</v>
      </c>
      <c r="G515" s="40">
        <v>8606.0</v>
      </c>
      <c r="H515" s="40">
        <f t="shared" ref="H515:I515" si="541">F515-F514</f>
        <v>1</v>
      </c>
      <c r="I515" s="40">
        <f t="shared" si="541"/>
        <v>-355</v>
      </c>
      <c r="J515" s="73">
        <f t="shared" si="537"/>
        <v>-0.03961611427</v>
      </c>
      <c r="K515" s="66">
        <f t="shared" si="538"/>
        <v>-0.03961611427</v>
      </c>
      <c r="L515" s="29" t="s">
        <v>260</v>
      </c>
    </row>
    <row r="516">
      <c r="A516" s="11" t="s">
        <v>334</v>
      </c>
      <c r="B516" s="11" t="s">
        <v>317</v>
      </c>
      <c r="C516" s="74" t="s">
        <v>893</v>
      </c>
      <c r="D516" s="74" t="s">
        <v>313</v>
      </c>
      <c r="E516" s="11" t="s">
        <v>74</v>
      </c>
      <c r="F516" s="11">
        <v>2002.0</v>
      </c>
      <c r="G516" s="40">
        <v>7746.0</v>
      </c>
      <c r="H516" s="40">
        <f t="shared" ref="H516:I516" si="542">F516-F515</f>
        <v>1</v>
      </c>
      <c r="I516" s="40">
        <f t="shared" si="542"/>
        <v>-860</v>
      </c>
      <c r="J516" s="73">
        <f t="shared" si="537"/>
        <v>-0.0999302812</v>
      </c>
      <c r="K516" s="66">
        <f t="shared" si="538"/>
        <v>-0.0999302812</v>
      </c>
      <c r="L516" s="29" t="s">
        <v>260</v>
      </c>
    </row>
    <row r="517">
      <c r="A517" s="11" t="s">
        <v>334</v>
      </c>
      <c r="B517" s="11" t="s">
        <v>317</v>
      </c>
      <c r="C517" s="74" t="s">
        <v>893</v>
      </c>
      <c r="D517" s="74" t="s">
        <v>313</v>
      </c>
      <c r="E517" s="11" t="s">
        <v>74</v>
      </c>
      <c r="F517" s="11">
        <v>2003.0</v>
      </c>
      <c r="G517" s="40">
        <v>7698.0</v>
      </c>
      <c r="H517" s="40">
        <f t="shared" ref="H517:I517" si="543">F517-F516</f>
        <v>1</v>
      </c>
      <c r="I517" s="40">
        <f t="shared" si="543"/>
        <v>-48</v>
      </c>
      <c r="J517" s="73">
        <f t="shared" si="537"/>
        <v>-0.006196746708</v>
      </c>
      <c r="K517" s="66">
        <f t="shared" si="538"/>
        <v>-0.006196746708</v>
      </c>
      <c r="L517" s="29" t="s">
        <v>260</v>
      </c>
    </row>
    <row r="518">
      <c r="A518" s="11" t="s">
        <v>334</v>
      </c>
      <c r="B518" s="11" t="s">
        <v>317</v>
      </c>
      <c r="C518" s="74" t="s">
        <v>893</v>
      </c>
      <c r="D518" s="74" t="s">
        <v>313</v>
      </c>
      <c r="E518" s="11" t="s">
        <v>74</v>
      </c>
      <c r="F518" s="11">
        <v>2004.0</v>
      </c>
      <c r="G518" s="40">
        <v>7211.0</v>
      </c>
      <c r="H518" s="40">
        <f t="shared" ref="H518:I518" si="544">F518-F517</f>
        <v>1</v>
      </c>
      <c r="I518" s="40">
        <f t="shared" si="544"/>
        <v>-487</v>
      </c>
      <c r="J518" s="73">
        <f t="shared" si="537"/>
        <v>-0.06326318524</v>
      </c>
      <c r="K518" s="66">
        <f t="shared" si="538"/>
        <v>-0.06326318524</v>
      </c>
      <c r="L518" s="29" t="s">
        <v>260</v>
      </c>
    </row>
    <row r="519">
      <c r="A519" s="11" t="s">
        <v>334</v>
      </c>
      <c r="B519" s="11" t="s">
        <v>317</v>
      </c>
      <c r="C519" s="74" t="s">
        <v>893</v>
      </c>
      <c r="D519" s="74" t="s">
        <v>313</v>
      </c>
      <c r="E519" s="11" t="s">
        <v>74</v>
      </c>
      <c r="F519" s="11">
        <v>2005.0</v>
      </c>
      <c r="G519" s="40">
        <v>7140.0</v>
      </c>
      <c r="H519" s="40">
        <f t="shared" ref="H519:I519" si="545">F519-F518</f>
        <v>1</v>
      </c>
      <c r="I519" s="40">
        <f t="shared" si="545"/>
        <v>-71</v>
      </c>
      <c r="J519" s="73">
        <f t="shared" si="537"/>
        <v>-0.009846068506</v>
      </c>
      <c r="K519" s="66">
        <f t="shared" si="538"/>
        <v>-0.009846068506</v>
      </c>
      <c r="L519" s="29" t="s">
        <v>260</v>
      </c>
    </row>
    <row r="520">
      <c r="A520" s="11" t="s">
        <v>334</v>
      </c>
      <c r="B520" s="11" t="s">
        <v>317</v>
      </c>
      <c r="C520" s="74" t="s">
        <v>893</v>
      </c>
      <c r="D520" s="74" t="s">
        <v>313</v>
      </c>
      <c r="E520" s="11" t="s">
        <v>74</v>
      </c>
      <c r="F520" s="11">
        <v>2006.0</v>
      </c>
      <c r="G520" s="40">
        <v>6808.0</v>
      </c>
      <c r="H520" s="40">
        <f t="shared" ref="H520:I520" si="546">F520-F519</f>
        <v>1</v>
      </c>
      <c r="I520" s="40">
        <f t="shared" si="546"/>
        <v>-332</v>
      </c>
      <c r="J520" s="73">
        <f t="shared" si="537"/>
        <v>-0.04649859944</v>
      </c>
      <c r="K520" s="66">
        <f t="shared" si="538"/>
        <v>-0.04649859944</v>
      </c>
      <c r="L520" s="29" t="s">
        <v>260</v>
      </c>
    </row>
    <row r="521">
      <c r="A521" s="11" t="s">
        <v>334</v>
      </c>
      <c r="B521" s="11" t="s">
        <v>317</v>
      </c>
      <c r="C521" s="74" t="s">
        <v>893</v>
      </c>
      <c r="D521" s="74" t="s">
        <v>313</v>
      </c>
      <c r="E521" s="11" t="s">
        <v>74</v>
      </c>
      <c r="F521" s="11">
        <v>2007.0</v>
      </c>
      <c r="G521" s="40">
        <v>6540.0</v>
      </c>
      <c r="H521" s="40">
        <f t="shared" ref="H521:I521" si="547">F521-F520</f>
        <v>1</v>
      </c>
      <c r="I521" s="40">
        <f t="shared" si="547"/>
        <v>-268</v>
      </c>
      <c r="J521" s="73">
        <f t="shared" si="537"/>
        <v>-0.03936545241</v>
      </c>
      <c r="K521" s="66">
        <f t="shared" si="538"/>
        <v>-0.03936545241</v>
      </c>
      <c r="L521" s="29" t="s">
        <v>260</v>
      </c>
    </row>
    <row r="522">
      <c r="A522" s="11" t="s">
        <v>334</v>
      </c>
      <c r="B522" s="11" t="s">
        <v>317</v>
      </c>
      <c r="C522" s="74" t="s">
        <v>893</v>
      </c>
      <c r="D522" s="74" t="s">
        <v>313</v>
      </c>
      <c r="E522" s="11" t="s">
        <v>74</v>
      </c>
      <c r="F522" s="11">
        <v>2008.0</v>
      </c>
      <c r="G522" s="40">
        <v>7456.0</v>
      </c>
      <c r="H522" s="40">
        <f t="shared" ref="H522:I522" si="548">F522-F521</f>
        <v>1</v>
      </c>
      <c r="I522" s="40">
        <f t="shared" si="548"/>
        <v>916</v>
      </c>
      <c r="J522" s="73">
        <f t="shared" si="537"/>
        <v>0.1400611621</v>
      </c>
      <c r="K522" s="66">
        <f t="shared" si="538"/>
        <v>0.1400611621</v>
      </c>
      <c r="L522" s="29" t="s">
        <v>260</v>
      </c>
    </row>
    <row r="523">
      <c r="A523" s="11" t="s">
        <v>334</v>
      </c>
      <c r="B523" s="11" t="s">
        <v>317</v>
      </c>
      <c r="C523" s="74" t="s">
        <v>893</v>
      </c>
      <c r="D523" s="74" t="s">
        <v>313</v>
      </c>
      <c r="E523" s="11" t="s">
        <v>74</v>
      </c>
      <c r="F523" s="11">
        <v>2009.0</v>
      </c>
      <c r="G523" s="40">
        <v>6794.0</v>
      </c>
      <c r="H523" s="40">
        <f t="shared" ref="H523:I523" si="549">F523-F522</f>
        <v>1</v>
      </c>
      <c r="I523" s="40">
        <f t="shared" si="549"/>
        <v>-662</v>
      </c>
      <c r="J523" s="73">
        <f t="shared" si="537"/>
        <v>-0.08878755365</v>
      </c>
      <c r="K523" s="66">
        <f t="shared" si="538"/>
        <v>-0.08878755365</v>
      </c>
      <c r="L523" s="29" t="s">
        <v>260</v>
      </c>
    </row>
    <row r="524">
      <c r="A524" s="11" t="s">
        <v>334</v>
      </c>
      <c r="B524" s="11" t="s">
        <v>317</v>
      </c>
      <c r="C524" s="74" t="s">
        <v>893</v>
      </c>
      <c r="D524" s="74" t="s">
        <v>313</v>
      </c>
      <c r="E524" s="11" t="s">
        <v>74</v>
      </c>
      <c r="F524" s="11">
        <v>2010.0</v>
      </c>
      <c r="G524" s="40">
        <v>7338.0</v>
      </c>
      <c r="H524" s="40">
        <f t="shared" ref="H524:I524" si="550">F524-F523</f>
        <v>1</v>
      </c>
      <c r="I524" s="40">
        <f t="shared" si="550"/>
        <v>544</v>
      </c>
      <c r="J524" s="73">
        <f t="shared" si="537"/>
        <v>0.08007065057</v>
      </c>
      <c r="K524" s="66">
        <f t="shared" si="538"/>
        <v>0.08007065057</v>
      </c>
      <c r="L524" s="29" t="s">
        <v>260</v>
      </c>
    </row>
    <row r="525">
      <c r="A525" s="11" t="s">
        <v>334</v>
      </c>
      <c r="B525" s="11" t="s">
        <v>317</v>
      </c>
      <c r="C525" s="74" t="s">
        <v>893</v>
      </c>
      <c r="D525" s="74" t="s">
        <v>313</v>
      </c>
      <c r="E525" s="11" t="s">
        <v>74</v>
      </c>
      <c r="F525" s="11">
        <v>2011.0</v>
      </c>
      <c r="G525" s="40">
        <v>7597.0</v>
      </c>
      <c r="H525" s="40">
        <f t="shared" ref="H525:I525" si="551">F525-F524</f>
        <v>1</v>
      </c>
      <c r="I525" s="40">
        <f t="shared" si="551"/>
        <v>259</v>
      </c>
      <c r="J525" s="73">
        <f t="shared" si="537"/>
        <v>0.0352957209</v>
      </c>
      <c r="K525" s="66">
        <f t="shared" si="538"/>
        <v>0.0352957209</v>
      </c>
      <c r="L525" s="29" t="s">
        <v>260</v>
      </c>
    </row>
    <row r="526">
      <c r="A526" s="11" t="s">
        <v>334</v>
      </c>
      <c r="B526" s="11" t="s">
        <v>317</v>
      </c>
      <c r="C526" s="74" t="s">
        <v>893</v>
      </c>
      <c r="D526" s="74" t="s">
        <v>313</v>
      </c>
      <c r="E526" s="11" t="s">
        <v>74</v>
      </c>
      <c r="F526" s="11">
        <v>2012.0</v>
      </c>
      <c r="G526" s="40">
        <v>8925.0</v>
      </c>
      <c r="H526" s="40">
        <f t="shared" ref="H526:I526" si="552">F526-F525</f>
        <v>1</v>
      </c>
      <c r="I526" s="40">
        <f t="shared" si="552"/>
        <v>1328</v>
      </c>
      <c r="J526" s="73">
        <f t="shared" si="537"/>
        <v>0.1748058444</v>
      </c>
      <c r="K526" s="66">
        <f t="shared" si="538"/>
        <v>0.1748058444</v>
      </c>
      <c r="L526" s="29" t="s">
        <v>260</v>
      </c>
    </row>
    <row r="527">
      <c r="A527" s="11" t="s">
        <v>334</v>
      </c>
      <c r="B527" s="11" t="s">
        <v>317</v>
      </c>
      <c r="C527" s="74" t="s">
        <v>893</v>
      </c>
      <c r="D527" s="74" t="s">
        <v>313</v>
      </c>
      <c r="E527" s="11" t="s">
        <v>74</v>
      </c>
      <c r="F527" s="11">
        <v>2013.0</v>
      </c>
      <c r="G527" s="40">
        <v>8553.0</v>
      </c>
      <c r="H527" s="40">
        <f t="shared" ref="H527:I527" si="553">F527-F526</f>
        <v>1</v>
      </c>
      <c r="I527" s="40">
        <f t="shared" si="553"/>
        <v>-372</v>
      </c>
      <c r="J527" s="73">
        <f t="shared" si="537"/>
        <v>-0.04168067227</v>
      </c>
      <c r="K527" s="66">
        <f t="shared" si="538"/>
        <v>-0.04168067227</v>
      </c>
      <c r="L527" s="29" t="s">
        <v>260</v>
      </c>
    </row>
    <row r="528">
      <c r="A528" s="11" t="s">
        <v>334</v>
      </c>
      <c r="B528" s="11" t="s">
        <v>317</v>
      </c>
      <c r="C528" s="74" t="s">
        <v>893</v>
      </c>
      <c r="D528" s="74" t="s">
        <v>313</v>
      </c>
      <c r="E528" s="11" t="s">
        <v>74</v>
      </c>
      <c r="F528" s="11">
        <v>2014.0</v>
      </c>
      <c r="G528" s="40">
        <v>8659.0</v>
      </c>
      <c r="H528" s="40">
        <f t="shared" ref="H528:I528" si="554">F528-F527</f>
        <v>1</v>
      </c>
      <c r="I528" s="40">
        <f t="shared" si="554"/>
        <v>106</v>
      </c>
      <c r="J528" s="73">
        <f t="shared" si="537"/>
        <v>0.01239331229</v>
      </c>
      <c r="K528" s="66">
        <f t="shared" si="538"/>
        <v>0.01239331229</v>
      </c>
      <c r="L528" s="29" t="s">
        <v>260</v>
      </c>
    </row>
    <row r="529">
      <c r="A529" s="11" t="s">
        <v>334</v>
      </c>
      <c r="B529" s="11" t="s">
        <v>317</v>
      </c>
      <c r="C529" s="74" t="s">
        <v>893</v>
      </c>
      <c r="D529" s="74" t="s">
        <v>313</v>
      </c>
      <c r="E529" s="11" t="s">
        <v>74</v>
      </c>
      <c r="F529" s="11">
        <v>2015.0</v>
      </c>
      <c r="G529" s="40">
        <v>7645.0</v>
      </c>
      <c r="H529" s="40">
        <f t="shared" ref="H529:I529" si="555">F529-F528</f>
        <v>1</v>
      </c>
      <c r="I529" s="40">
        <f t="shared" si="555"/>
        <v>-1014</v>
      </c>
      <c r="J529" s="73">
        <f t="shared" si="537"/>
        <v>-0.1171035916</v>
      </c>
      <c r="K529" s="66">
        <f t="shared" si="538"/>
        <v>-0.1171035916</v>
      </c>
      <c r="L529" s="29" t="s">
        <v>260</v>
      </c>
    </row>
    <row r="530">
      <c r="A530" s="11" t="s">
        <v>334</v>
      </c>
      <c r="B530" s="11" t="s">
        <v>317</v>
      </c>
      <c r="C530" s="74" t="s">
        <v>893</v>
      </c>
      <c r="D530" s="74" t="s">
        <v>313</v>
      </c>
      <c r="E530" s="11" t="s">
        <v>74</v>
      </c>
      <c r="F530" s="11">
        <v>2016.0</v>
      </c>
      <c r="G530" s="40">
        <v>7180.0</v>
      </c>
      <c r="H530" s="40">
        <f t="shared" ref="H530:I530" si="556">F530-F529</f>
        <v>1</v>
      </c>
      <c r="I530" s="40">
        <f t="shared" si="556"/>
        <v>-465</v>
      </c>
      <c r="J530" s="73">
        <f t="shared" si="537"/>
        <v>-0.06082406802</v>
      </c>
      <c r="K530" s="66">
        <f t="shared" si="538"/>
        <v>-0.06082406802</v>
      </c>
      <c r="L530" s="29" t="s">
        <v>260</v>
      </c>
    </row>
    <row r="531">
      <c r="A531" s="11" t="s">
        <v>334</v>
      </c>
      <c r="B531" s="11" t="s">
        <v>317</v>
      </c>
      <c r="C531" s="74" t="s">
        <v>893</v>
      </c>
      <c r="D531" s="74" t="s">
        <v>313</v>
      </c>
      <c r="E531" s="11" t="s">
        <v>74</v>
      </c>
      <c r="F531" s="11">
        <v>2017.0</v>
      </c>
      <c r="G531" s="40">
        <v>6605.0</v>
      </c>
      <c r="H531" s="40">
        <f t="shared" ref="H531:I531" si="557">F531-F530</f>
        <v>1</v>
      </c>
      <c r="I531" s="40">
        <f t="shared" si="557"/>
        <v>-575</v>
      </c>
      <c r="J531" s="73">
        <f t="shared" si="537"/>
        <v>-0.08008356546</v>
      </c>
      <c r="K531" s="66">
        <f t="shared" si="538"/>
        <v>-0.08008356546</v>
      </c>
      <c r="L531" s="29" t="s">
        <v>260</v>
      </c>
    </row>
    <row r="532">
      <c r="A532" s="11" t="s">
        <v>334</v>
      </c>
      <c r="B532" s="11" t="s">
        <v>317</v>
      </c>
      <c r="C532" s="74" t="s">
        <v>893</v>
      </c>
      <c r="D532" s="74" t="s">
        <v>313</v>
      </c>
      <c r="E532" s="11" t="s">
        <v>74</v>
      </c>
      <c r="F532" s="11">
        <v>2018.0</v>
      </c>
      <c r="G532" s="40">
        <v>7369.0</v>
      </c>
      <c r="H532" s="40">
        <f t="shared" ref="H532:I532" si="558">F532-F531</f>
        <v>1</v>
      </c>
      <c r="I532" s="40">
        <f t="shared" si="558"/>
        <v>764</v>
      </c>
      <c r="J532" s="73">
        <f t="shared" si="537"/>
        <v>0.115669947</v>
      </c>
      <c r="K532" s="66">
        <f t="shared" si="538"/>
        <v>0.115669947</v>
      </c>
      <c r="L532" s="29" t="s">
        <v>260</v>
      </c>
    </row>
    <row r="533">
      <c r="A533" s="11" t="s">
        <v>335</v>
      </c>
      <c r="B533" s="11" t="s">
        <v>317</v>
      </c>
      <c r="C533" s="74" t="s">
        <v>905</v>
      </c>
      <c r="D533" s="74" t="s">
        <v>313</v>
      </c>
      <c r="E533" s="11" t="s">
        <v>74</v>
      </c>
      <c r="F533" s="11">
        <v>1996.0</v>
      </c>
      <c r="G533" s="40">
        <v>14220.0</v>
      </c>
      <c r="H533" s="40" t="s">
        <v>188</v>
      </c>
      <c r="I533" s="40" t="s">
        <v>188</v>
      </c>
      <c r="J533" s="73" t="s">
        <v>188</v>
      </c>
      <c r="K533" s="66" t="s">
        <v>188</v>
      </c>
      <c r="L533" s="29" t="s">
        <v>260</v>
      </c>
    </row>
    <row r="534">
      <c r="A534" s="11" t="s">
        <v>335</v>
      </c>
      <c r="B534" s="11" t="s">
        <v>317</v>
      </c>
      <c r="C534" s="74" t="s">
        <v>905</v>
      </c>
      <c r="D534" s="74" t="s">
        <v>313</v>
      </c>
      <c r="E534" s="11" t="s">
        <v>74</v>
      </c>
      <c r="F534" s="11">
        <v>1997.0</v>
      </c>
      <c r="G534" s="40">
        <v>13698.0</v>
      </c>
      <c r="H534" s="40">
        <f t="shared" ref="H534:I534" si="559">F534-F533</f>
        <v>1</v>
      </c>
      <c r="I534" s="40">
        <f t="shared" si="559"/>
        <v>-522</v>
      </c>
      <c r="J534" s="73">
        <f t="shared" ref="J534:J555" si="561">I534/G533</f>
        <v>-0.03670886076</v>
      </c>
      <c r="K534" s="66">
        <f t="shared" ref="K534:K555" si="562">J534/H534</f>
        <v>-0.03670886076</v>
      </c>
      <c r="L534" s="29" t="s">
        <v>260</v>
      </c>
    </row>
    <row r="535">
      <c r="A535" s="11" t="s">
        <v>335</v>
      </c>
      <c r="B535" s="11" t="s">
        <v>317</v>
      </c>
      <c r="C535" s="74" t="s">
        <v>905</v>
      </c>
      <c r="D535" s="74" t="s">
        <v>313</v>
      </c>
      <c r="E535" s="11" t="s">
        <v>74</v>
      </c>
      <c r="F535" s="11">
        <v>1998.0</v>
      </c>
      <c r="G535" s="40">
        <v>13904.0</v>
      </c>
      <c r="H535" s="40">
        <f t="shared" ref="H535:I535" si="560">F535-F534</f>
        <v>1</v>
      </c>
      <c r="I535" s="40">
        <f t="shared" si="560"/>
        <v>206</v>
      </c>
      <c r="J535" s="73">
        <f t="shared" si="561"/>
        <v>0.01503869178</v>
      </c>
      <c r="K535" s="66">
        <f t="shared" si="562"/>
        <v>0.01503869178</v>
      </c>
      <c r="L535" s="29" t="s">
        <v>260</v>
      </c>
    </row>
    <row r="536">
      <c r="A536" s="11" t="s">
        <v>335</v>
      </c>
      <c r="B536" s="11" t="s">
        <v>317</v>
      </c>
      <c r="C536" s="74" t="s">
        <v>905</v>
      </c>
      <c r="D536" s="74" t="s">
        <v>313</v>
      </c>
      <c r="E536" s="11" t="s">
        <v>74</v>
      </c>
      <c r="F536" s="11">
        <v>1999.0</v>
      </c>
      <c r="G536" s="40">
        <v>13702.0</v>
      </c>
      <c r="H536" s="40">
        <f t="shared" ref="H536:I536" si="563">F536-F535</f>
        <v>1</v>
      </c>
      <c r="I536" s="40">
        <f t="shared" si="563"/>
        <v>-202</v>
      </c>
      <c r="J536" s="73">
        <f t="shared" si="561"/>
        <v>-0.01452819333</v>
      </c>
      <c r="K536" s="66">
        <f t="shared" si="562"/>
        <v>-0.01452819333</v>
      </c>
      <c r="L536" s="29" t="s">
        <v>260</v>
      </c>
    </row>
    <row r="537">
      <c r="A537" s="11" t="s">
        <v>335</v>
      </c>
      <c r="B537" s="11" t="s">
        <v>317</v>
      </c>
      <c r="C537" s="74" t="s">
        <v>905</v>
      </c>
      <c r="D537" s="74" t="s">
        <v>313</v>
      </c>
      <c r="E537" s="11" t="s">
        <v>74</v>
      </c>
      <c r="F537" s="11">
        <v>2000.0</v>
      </c>
      <c r="G537" s="40">
        <v>13529.0</v>
      </c>
      <c r="H537" s="40">
        <f t="shared" ref="H537:I537" si="564">F537-F536</f>
        <v>1</v>
      </c>
      <c r="I537" s="40">
        <f t="shared" si="564"/>
        <v>-173</v>
      </c>
      <c r="J537" s="73">
        <f t="shared" si="561"/>
        <v>-0.01262589403</v>
      </c>
      <c r="K537" s="66">
        <f t="shared" si="562"/>
        <v>-0.01262589403</v>
      </c>
      <c r="L537" s="29" t="s">
        <v>260</v>
      </c>
    </row>
    <row r="538">
      <c r="A538" s="11" t="s">
        <v>335</v>
      </c>
      <c r="B538" s="11" t="s">
        <v>317</v>
      </c>
      <c r="C538" s="74" t="s">
        <v>905</v>
      </c>
      <c r="D538" s="74" t="s">
        <v>313</v>
      </c>
      <c r="E538" s="11" t="s">
        <v>74</v>
      </c>
      <c r="F538" s="11">
        <v>2001.0</v>
      </c>
      <c r="G538" s="40">
        <v>13531.0</v>
      </c>
      <c r="H538" s="40">
        <f t="shared" ref="H538:I538" si="565">F538-F537</f>
        <v>1</v>
      </c>
      <c r="I538" s="40">
        <f t="shared" si="565"/>
        <v>2</v>
      </c>
      <c r="J538" s="73">
        <f t="shared" si="561"/>
        <v>0.0001478305861</v>
      </c>
      <c r="K538" s="66">
        <f t="shared" si="562"/>
        <v>0.0001478305861</v>
      </c>
      <c r="L538" s="29" t="s">
        <v>260</v>
      </c>
    </row>
    <row r="539">
      <c r="A539" s="11" t="s">
        <v>335</v>
      </c>
      <c r="B539" s="11" t="s">
        <v>317</v>
      </c>
      <c r="C539" s="74" t="s">
        <v>905</v>
      </c>
      <c r="D539" s="74" t="s">
        <v>313</v>
      </c>
      <c r="E539" s="11" t="s">
        <v>74</v>
      </c>
      <c r="F539" s="11">
        <v>2002.0</v>
      </c>
      <c r="G539" s="40">
        <v>13068.0</v>
      </c>
      <c r="H539" s="40">
        <f t="shared" ref="H539:I539" si="566">F539-F538</f>
        <v>1</v>
      </c>
      <c r="I539" s="40">
        <f t="shared" si="566"/>
        <v>-463</v>
      </c>
      <c r="J539" s="73">
        <f t="shared" si="561"/>
        <v>-0.03421772227</v>
      </c>
      <c r="K539" s="66">
        <f t="shared" si="562"/>
        <v>-0.03421772227</v>
      </c>
      <c r="L539" s="29" t="s">
        <v>260</v>
      </c>
    </row>
    <row r="540">
      <c r="A540" s="11" t="s">
        <v>335</v>
      </c>
      <c r="B540" s="11" t="s">
        <v>317</v>
      </c>
      <c r="C540" s="74" t="s">
        <v>905</v>
      </c>
      <c r="D540" s="74" t="s">
        <v>313</v>
      </c>
      <c r="E540" s="11" t="s">
        <v>74</v>
      </c>
      <c r="F540" s="11">
        <v>2003.0</v>
      </c>
      <c r="G540" s="40">
        <v>13244.0</v>
      </c>
      <c r="H540" s="40">
        <f t="shared" ref="H540:I540" si="567">F540-F539</f>
        <v>1</v>
      </c>
      <c r="I540" s="40">
        <f t="shared" si="567"/>
        <v>176</v>
      </c>
      <c r="J540" s="73">
        <f t="shared" si="561"/>
        <v>0.01346801347</v>
      </c>
      <c r="K540" s="66">
        <f t="shared" si="562"/>
        <v>0.01346801347</v>
      </c>
      <c r="L540" s="29" t="s">
        <v>260</v>
      </c>
    </row>
    <row r="541">
      <c r="A541" s="11" t="s">
        <v>335</v>
      </c>
      <c r="B541" s="11" t="s">
        <v>317</v>
      </c>
      <c r="C541" s="74" t="s">
        <v>905</v>
      </c>
      <c r="D541" s="74" t="s">
        <v>313</v>
      </c>
      <c r="E541" s="11" t="s">
        <v>74</v>
      </c>
      <c r="F541" s="11">
        <v>2004.0</v>
      </c>
      <c r="G541" s="40">
        <v>13566.0</v>
      </c>
      <c r="H541" s="40">
        <f t="shared" ref="H541:I541" si="568">F541-F540</f>
        <v>1</v>
      </c>
      <c r="I541" s="40">
        <f t="shared" si="568"/>
        <v>322</v>
      </c>
      <c r="J541" s="73">
        <f t="shared" si="561"/>
        <v>0.02431289641</v>
      </c>
      <c r="K541" s="66">
        <f t="shared" si="562"/>
        <v>0.02431289641</v>
      </c>
      <c r="L541" s="29" t="s">
        <v>260</v>
      </c>
    </row>
    <row r="542">
      <c r="A542" s="11" t="s">
        <v>335</v>
      </c>
      <c r="B542" s="11" t="s">
        <v>317</v>
      </c>
      <c r="C542" s="74" t="s">
        <v>905</v>
      </c>
      <c r="D542" s="74" t="s">
        <v>313</v>
      </c>
      <c r="E542" s="11" t="s">
        <v>74</v>
      </c>
      <c r="F542" s="11">
        <v>2005.0</v>
      </c>
      <c r="G542" s="40">
        <v>13365.0</v>
      </c>
      <c r="H542" s="40">
        <f t="shared" ref="H542:I542" si="569">F542-F541</f>
        <v>1</v>
      </c>
      <c r="I542" s="40">
        <f t="shared" si="569"/>
        <v>-201</v>
      </c>
      <c r="J542" s="73">
        <f t="shared" si="561"/>
        <v>-0.0148164529</v>
      </c>
      <c r="K542" s="66">
        <f t="shared" si="562"/>
        <v>-0.0148164529</v>
      </c>
      <c r="L542" s="29" t="s">
        <v>260</v>
      </c>
    </row>
    <row r="543">
      <c r="A543" s="11" t="s">
        <v>335</v>
      </c>
      <c r="B543" s="11" t="s">
        <v>317</v>
      </c>
      <c r="C543" s="74" t="s">
        <v>905</v>
      </c>
      <c r="D543" s="74" t="s">
        <v>313</v>
      </c>
      <c r="E543" s="11" t="s">
        <v>74</v>
      </c>
      <c r="F543" s="11">
        <v>2006.0</v>
      </c>
      <c r="G543" s="40">
        <v>12930.0</v>
      </c>
      <c r="H543" s="40">
        <f t="shared" ref="H543:I543" si="570">F543-F542</f>
        <v>1</v>
      </c>
      <c r="I543" s="40">
        <f t="shared" si="570"/>
        <v>-435</v>
      </c>
      <c r="J543" s="73">
        <f t="shared" si="561"/>
        <v>-0.03254769921</v>
      </c>
      <c r="K543" s="66">
        <f t="shared" si="562"/>
        <v>-0.03254769921</v>
      </c>
      <c r="L543" s="29" t="s">
        <v>260</v>
      </c>
    </row>
    <row r="544">
      <c r="A544" s="11" t="s">
        <v>335</v>
      </c>
      <c r="B544" s="11" t="s">
        <v>317</v>
      </c>
      <c r="C544" s="74" t="s">
        <v>905</v>
      </c>
      <c r="D544" s="74" t="s">
        <v>313</v>
      </c>
      <c r="E544" s="11" t="s">
        <v>74</v>
      </c>
      <c r="F544" s="11">
        <v>2007.0</v>
      </c>
      <c r="G544" s="40">
        <v>12321.0</v>
      </c>
      <c r="H544" s="40">
        <f t="shared" ref="H544:I544" si="571">F544-F543</f>
        <v>1</v>
      </c>
      <c r="I544" s="40">
        <f t="shared" si="571"/>
        <v>-609</v>
      </c>
      <c r="J544" s="73">
        <f t="shared" si="561"/>
        <v>-0.04709976798</v>
      </c>
      <c r="K544" s="66">
        <f t="shared" si="562"/>
        <v>-0.04709976798</v>
      </c>
      <c r="L544" s="29" t="s">
        <v>260</v>
      </c>
    </row>
    <row r="545">
      <c r="A545" s="11" t="s">
        <v>335</v>
      </c>
      <c r="B545" s="11" t="s">
        <v>317</v>
      </c>
      <c r="C545" s="74" t="s">
        <v>905</v>
      </c>
      <c r="D545" s="74" t="s">
        <v>313</v>
      </c>
      <c r="E545" s="11" t="s">
        <v>74</v>
      </c>
      <c r="F545" s="11">
        <v>2008.0</v>
      </c>
      <c r="G545" s="40">
        <v>11538.0</v>
      </c>
      <c r="H545" s="40">
        <f t="shared" ref="H545:I545" si="572">F545-F544</f>
        <v>1</v>
      </c>
      <c r="I545" s="40">
        <f t="shared" si="572"/>
        <v>-783</v>
      </c>
      <c r="J545" s="73">
        <f t="shared" si="561"/>
        <v>-0.06355003652</v>
      </c>
      <c r="K545" s="66">
        <f t="shared" si="562"/>
        <v>-0.06355003652</v>
      </c>
      <c r="L545" s="29" t="s">
        <v>260</v>
      </c>
    </row>
    <row r="546">
      <c r="A546" s="11" t="s">
        <v>335</v>
      </c>
      <c r="B546" s="11" t="s">
        <v>317</v>
      </c>
      <c r="C546" s="74" t="s">
        <v>905</v>
      </c>
      <c r="D546" s="74" t="s">
        <v>313</v>
      </c>
      <c r="E546" s="11" t="s">
        <v>74</v>
      </c>
      <c r="F546" s="11">
        <v>2009.0</v>
      </c>
      <c r="G546" s="40">
        <v>11685.0</v>
      </c>
      <c r="H546" s="40">
        <f t="shared" ref="H546:I546" si="573">F546-F545</f>
        <v>1</v>
      </c>
      <c r="I546" s="40">
        <f t="shared" si="573"/>
        <v>147</v>
      </c>
      <c r="J546" s="73">
        <f t="shared" si="561"/>
        <v>0.01274050962</v>
      </c>
      <c r="K546" s="66">
        <f t="shared" si="562"/>
        <v>0.01274050962</v>
      </c>
      <c r="L546" s="29" t="s">
        <v>260</v>
      </c>
    </row>
    <row r="547">
      <c r="A547" s="11" t="s">
        <v>335</v>
      </c>
      <c r="B547" s="11" t="s">
        <v>317</v>
      </c>
      <c r="C547" s="74" t="s">
        <v>905</v>
      </c>
      <c r="D547" s="74" t="s">
        <v>313</v>
      </c>
      <c r="E547" s="11" t="s">
        <v>74</v>
      </c>
      <c r="F547" s="11">
        <v>2010.0</v>
      </c>
      <c r="G547" s="40">
        <v>13607.0</v>
      </c>
      <c r="H547" s="40">
        <f t="shared" ref="H547:I547" si="574">F547-F546</f>
        <v>1</v>
      </c>
      <c r="I547" s="40">
        <f t="shared" si="574"/>
        <v>1922</v>
      </c>
      <c r="J547" s="73">
        <f t="shared" si="561"/>
        <v>0.1644843817</v>
      </c>
      <c r="K547" s="66">
        <f t="shared" si="562"/>
        <v>0.1644843817</v>
      </c>
      <c r="L547" s="29" t="s">
        <v>260</v>
      </c>
    </row>
    <row r="548">
      <c r="A548" s="11" t="s">
        <v>335</v>
      </c>
      <c r="B548" s="11" t="s">
        <v>317</v>
      </c>
      <c r="C548" s="74" t="s">
        <v>905</v>
      </c>
      <c r="D548" s="74" t="s">
        <v>313</v>
      </c>
      <c r="E548" s="11" t="s">
        <v>74</v>
      </c>
      <c r="F548" s="11">
        <v>2011.0</v>
      </c>
      <c r="G548" s="40">
        <v>13929.0</v>
      </c>
      <c r="H548" s="40">
        <f t="shared" ref="H548:I548" si="575">F548-F547</f>
        <v>1</v>
      </c>
      <c r="I548" s="40">
        <f t="shared" si="575"/>
        <v>322</v>
      </c>
      <c r="J548" s="73">
        <f t="shared" si="561"/>
        <v>0.02366429044</v>
      </c>
      <c r="K548" s="66">
        <f t="shared" si="562"/>
        <v>0.02366429044</v>
      </c>
      <c r="L548" s="29" t="s">
        <v>260</v>
      </c>
    </row>
    <row r="549">
      <c r="A549" s="11" t="s">
        <v>335</v>
      </c>
      <c r="B549" s="11" t="s">
        <v>317</v>
      </c>
      <c r="C549" s="74" t="s">
        <v>905</v>
      </c>
      <c r="D549" s="74" t="s">
        <v>313</v>
      </c>
      <c r="E549" s="11" t="s">
        <v>74</v>
      </c>
      <c r="F549" s="11">
        <v>2012.0</v>
      </c>
      <c r="G549" s="40">
        <v>13815.0</v>
      </c>
      <c r="H549" s="40">
        <f t="shared" ref="H549:I549" si="576">F549-F548</f>
        <v>1</v>
      </c>
      <c r="I549" s="40">
        <f t="shared" si="576"/>
        <v>-114</v>
      </c>
      <c r="J549" s="73">
        <f t="shared" si="561"/>
        <v>-0.008184363558</v>
      </c>
      <c r="K549" s="66">
        <f t="shared" si="562"/>
        <v>-0.008184363558</v>
      </c>
      <c r="L549" s="29" t="s">
        <v>260</v>
      </c>
    </row>
    <row r="550">
      <c r="A550" s="11" t="s">
        <v>335</v>
      </c>
      <c r="B550" s="11" t="s">
        <v>317</v>
      </c>
      <c r="C550" s="74" t="s">
        <v>905</v>
      </c>
      <c r="D550" s="74" t="s">
        <v>313</v>
      </c>
      <c r="E550" s="11" t="s">
        <v>74</v>
      </c>
      <c r="F550" s="11">
        <v>2013.0</v>
      </c>
      <c r="G550" s="40">
        <v>13497.0</v>
      </c>
      <c r="H550" s="40">
        <f t="shared" ref="H550:I550" si="577">F550-F549</f>
        <v>1</v>
      </c>
      <c r="I550" s="40">
        <f t="shared" si="577"/>
        <v>-318</v>
      </c>
      <c r="J550" s="73">
        <f t="shared" si="561"/>
        <v>-0.0230184582</v>
      </c>
      <c r="K550" s="66">
        <f t="shared" si="562"/>
        <v>-0.0230184582</v>
      </c>
      <c r="L550" s="29" t="s">
        <v>260</v>
      </c>
    </row>
    <row r="551">
      <c r="A551" s="11" t="s">
        <v>335</v>
      </c>
      <c r="B551" s="11" t="s">
        <v>317</v>
      </c>
      <c r="C551" s="74" t="s">
        <v>905</v>
      </c>
      <c r="D551" s="74" t="s">
        <v>313</v>
      </c>
      <c r="E551" s="11" t="s">
        <v>74</v>
      </c>
      <c r="F551" s="11">
        <v>2014.0</v>
      </c>
      <c r="G551" s="40">
        <v>13266.0</v>
      </c>
      <c r="H551" s="40">
        <f t="shared" ref="H551:I551" si="578">F551-F550</f>
        <v>1</v>
      </c>
      <c r="I551" s="40">
        <f t="shared" si="578"/>
        <v>-231</v>
      </c>
      <c r="J551" s="73">
        <f t="shared" si="561"/>
        <v>-0.01711491443</v>
      </c>
      <c r="K551" s="66">
        <f t="shared" si="562"/>
        <v>-0.01711491443</v>
      </c>
      <c r="L551" s="29" t="s">
        <v>260</v>
      </c>
    </row>
    <row r="552">
      <c r="A552" s="11" t="s">
        <v>335</v>
      </c>
      <c r="B552" s="11" t="s">
        <v>317</v>
      </c>
      <c r="C552" s="74" t="s">
        <v>905</v>
      </c>
      <c r="D552" s="74" t="s">
        <v>313</v>
      </c>
      <c r="E552" s="11" t="s">
        <v>74</v>
      </c>
      <c r="F552" s="11">
        <v>2015.0</v>
      </c>
      <c r="G552" s="40">
        <v>13180.0</v>
      </c>
      <c r="H552" s="40">
        <f t="shared" ref="H552:I552" si="579">F552-F551</f>
        <v>1</v>
      </c>
      <c r="I552" s="40">
        <f t="shared" si="579"/>
        <v>-86</v>
      </c>
      <c r="J552" s="73">
        <f t="shared" si="561"/>
        <v>-0.006482737826</v>
      </c>
      <c r="K552" s="66">
        <f t="shared" si="562"/>
        <v>-0.006482737826</v>
      </c>
      <c r="L552" s="29" t="s">
        <v>260</v>
      </c>
    </row>
    <row r="553">
      <c r="A553" s="11" t="s">
        <v>335</v>
      </c>
      <c r="B553" s="11" t="s">
        <v>317</v>
      </c>
      <c r="C553" s="74" t="s">
        <v>905</v>
      </c>
      <c r="D553" s="74" t="s">
        <v>313</v>
      </c>
      <c r="E553" s="11" t="s">
        <v>74</v>
      </c>
      <c r="F553" s="11">
        <v>2016.0</v>
      </c>
      <c r="G553" s="40">
        <v>12891.0</v>
      </c>
      <c r="H553" s="40">
        <f t="shared" ref="H553:I553" si="580">F553-F552</f>
        <v>1</v>
      </c>
      <c r="I553" s="40">
        <f t="shared" si="580"/>
        <v>-289</v>
      </c>
      <c r="J553" s="73">
        <f t="shared" si="561"/>
        <v>-0.02192716237</v>
      </c>
      <c r="K553" s="66">
        <f t="shared" si="562"/>
        <v>-0.02192716237</v>
      </c>
      <c r="L553" s="29" t="s">
        <v>260</v>
      </c>
    </row>
    <row r="554">
      <c r="A554" s="11" t="s">
        <v>335</v>
      </c>
      <c r="B554" s="11" t="s">
        <v>317</v>
      </c>
      <c r="C554" s="74" t="s">
        <v>905</v>
      </c>
      <c r="D554" s="74" t="s">
        <v>313</v>
      </c>
      <c r="E554" s="11" t="s">
        <v>74</v>
      </c>
      <c r="F554" s="11">
        <v>2017.0</v>
      </c>
      <c r="G554" s="40">
        <v>12981.0</v>
      </c>
      <c r="H554" s="40">
        <f t="shared" ref="H554:I554" si="581">F554-F553</f>
        <v>1</v>
      </c>
      <c r="I554" s="40">
        <f t="shared" si="581"/>
        <v>90</v>
      </c>
      <c r="J554" s="73">
        <f t="shared" si="561"/>
        <v>0.00698161508</v>
      </c>
      <c r="K554" s="66">
        <f t="shared" si="562"/>
        <v>0.00698161508</v>
      </c>
      <c r="L554" s="29" t="s">
        <v>260</v>
      </c>
    </row>
    <row r="555">
      <c r="A555" s="11" t="s">
        <v>335</v>
      </c>
      <c r="B555" s="11" t="s">
        <v>317</v>
      </c>
      <c r="C555" s="74" t="s">
        <v>905</v>
      </c>
      <c r="D555" s="74" t="s">
        <v>313</v>
      </c>
      <c r="E555" s="11" t="s">
        <v>74</v>
      </c>
      <c r="F555" s="11">
        <v>2018.0</v>
      </c>
      <c r="G555" s="40">
        <v>13448.0</v>
      </c>
      <c r="H555" s="40">
        <f t="shared" ref="H555:I555" si="582">F555-F554</f>
        <v>1</v>
      </c>
      <c r="I555" s="40">
        <f t="shared" si="582"/>
        <v>467</v>
      </c>
      <c r="J555" s="73">
        <f t="shared" si="561"/>
        <v>0.03597565673</v>
      </c>
      <c r="K555" s="66">
        <f t="shared" si="562"/>
        <v>0.03597565673</v>
      </c>
      <c r="L555" s="29" t="s">
        <v>260</v>
      </c>
    </row>
    <row r="556">
      <c r="A556" s="11" t="s">
        <v>336</v>
      </c>
      <c r="B556" s="11" t="s">
        <v>317</v>
      </c>
      <c r="C556" s="74" t="s">
        <v>910</v>
      </c>
      <c r="D556" s="74" t="s">
        <v>313</v>
      </c>
      <c r="E556" s="11" t="s">
        <v>74</v>
      </c>
      <c r="F556" s="11">
        <v>1996.0</v>
      </c>
      <c r="G556" s="40">
        <v>11962.0</v>
      </c>
      <c r="H556" s="40" t="s">
        <v>188</v>
      </c>
      <c r="I556" s="40" t="s">
        <v>188</v>
      </c>
      <c r="J556" s="73" t="s">
        <v>188</v>
      </c>
      <c r="K556" s="66" t="s">
        <v>188</v>
      </c>
      <c r="L556" s="29" t="s">
        <v>260</v>
      </c>
    </row>
    <row r="557">
      <c r="A557" s="11" t="s">
        <v>336</v>
      </c>
      <c r="B557" s="11" t="s">
        <v>317</v>
      </c>
      <c r="C557" s="74" t="s">
        <v>910</v>
      </c>
      <c r="D557" s="74" t="s">
        <v>313</v>
      </c>
      <c r="E557" s="11" t="s">
        <v>74</v>
      </c>
      <c r="F557" s="11">
        <v>1997.0</v>
      </c>
      <c r="G557" s="40">
        <v>11962.0</v>
      </c>
      <c r="H557" s="40">
        <f t="shared" ref="H557:I557" si="583">F557-F556</f>
        <v>1</v>
      </c>
      <c r="I557" s="40">
        <f t="shared" si="583"/>
        <v>0</v>
      </c>
      <c r="J557" s="73">
        <f t="shared" ref="J557:J578" si="585">I557/G556</f>
        <v>0</v>
      </c>
      <c r="K557" s="66">
        <f t="shared" ref="K557:K578" si="586">J557/H557</f>
        <v>0</v>
      </c>
      <c r="L557" s="29" t="s">
        <v>260</v>
      </c>
    </row>
    <row r="558">
      <c r="A558" s="11" t="s">
        <v>336</v>
      </c>
      <c r="B558" s="11" t="s">
        <v>317</v>
      </c>
      <c r="C558" s="74" t="s">
        <v>910</v>
      </c>
      <c r="D558" s="74" t="s">
        <v>313</v>
      </c>
      <c r="E558" s="11" t="s">
        <v>74</v>
      </c>
      <c r="F558" s="11">
        <v>1998.0</v>
      </c>
      <c r="G558" s="40">
        <v>11509.0</v>
      </c>
      <c r="H558" s="40">
        <f t="shared" ref="H558:I558" si="584">F558-F557</f>
        <v>1</v>
      </c>
      <c r="I558" s="40">
        <f t="shared" si="584"/>
        <v>-453</v>
      </c>
      <c r="J558" s="73">
        <f t="shared" si="585"/>
        <v>-0.03786992142</v>
      </c>
      <c r="K558" s="66">
        <f t="shared" si="586"/>
        <v>-0.03786992142</v>
      </c>
      <c r="L558" s="29" t="s">
        <v>260</v>
      </c>
    </row>
    <row r="559">
      <c r="A559" s="11" t="s">
        <v>336</v>
      </c>
      <c r="B559" s="11" t="s">
        <v>317</v>
      </c>
      <c r="C559" s="74" t="s">
        <v>910</v>
      </c>
      <c r="D559" s="74" t="s">
        <v>313</v>
      </c>
      <c r="E559" s="11" t="s">
        <v>74</v>
      </c>
      <c r="F559" s="11">
        <v>1999.0</v>
      </c>
      <c r="G559" s="40">
        <v>12365.0</v>
      </c>
      <c r="H559" s="40">
        <f t="shared" ref="H559:I559" si="587">F559-F558</f>
        <v>1</v>
      </c>
      <c r="I559" s="40">
        <f t="shared" si="587"/>
        <v>856</v>
      </c>
      <c r="J559" s="73">
        <f t="shared" si="585"/>
        <v>0.07437657485</v>
      </c>
      <c r="K559" s="66">
        <f t="shared" si="586"/>
        <v>0.07437657485</v>
      </c>
      <c r="L559" s="29" t="s">
        <v>260</v>
      </c>
    </row>
    <row r="560">
      <c r="A560" s="11" t="s">
        <v>336</v>
      </c>
      <c r="B560" s="11" t="s">
        <v>317</v>
      </c>
      <c r="C560" s="74" t="s">
        <v>910</v>
      </c>
      <c r="D560" s="74" t="s">
        <v>313</v>
      </c>
      <c r="E560" s="11" t="s">
        <v>74</v>
      </c>
      <c r="F560" s="11">
        <v>2000.0</v>
      </c>
      <c r="G560" s="40">
        <v>12113.0</v>
      </c>
      <c r="H560" s="40">
        <f t="shared" ref="H560:I560" si="588">F560-F559</f>
        <v>1</v>
      </c>
      <c r="I560" s="40">
        <f t="shared" si="588"/>
        <v>-252</v>
      </c>
      <c r="J560" s="73">
        <f t="shared" si="585"/>
        <v>-0.02038010514</v>
      </c>
      <c r="K560" s="66">
        <f t="shared" si="586"/>
        <v>-0.02038010514</v>
      </c>
      <c r="L560" s="29" t="s">
        <v>260</v>
      </c>
    </row>
    <row r="561">
      <c r="A561" s="11" t="s">
        <v>336</v>
      </c>
      <c r="B561" s="11" t="s">
        <v>317</v>
      </c>
      <c r="C561" s="74" t="s">
        <v>910</v>
      </c>
      <c r="D561" s="74" t="s">
        <v>313</v>
      </c>
      <c r="E561" s="11" t="s">
        <v>74</v>
      </c>
      <c r="F561" s="11">
        <v>2001.0</v>
      </c>
      <c r="G561" s="40">
        <v>12440.0</v>
      </c>
      <c r="H561" s="40">
        <f t="shared" ref="H561:I561" si="589">F561-F560</f>
        <v>1</v>
      </c>
      <c r="I561" s="40">
        <f t="shared" si="589"/>
        <v>327</v>
      </c>
      <c r="J561" s="73">
        <f t="shared" si="585"/>
        <v>0.02699578965</v>
      </c>
      <c r="K561" s="66">
        <f t="shared" si="586"/>
        <v>0.02699578965</v>
      </c>
      <c r="L561" s="29" t="s">
        <v>260</v>
      </c>
    </row>
    <row r="562">
      <c r="A562" s="11" t="s">
        <v>336</v>
      </c>
      <c r="B562" s="11" t="s">
        <v>317</v>
      </c>
      <c r="C562" s="74" t="s">
        <v>910</v>
      </c>
      <c r="D562" s="74" t="s">
        <v>313</v>
      </c>
      <c r="E562" s="11" t="s">
        <v>74</v>
      </c>
      <c r="F562" s="11">
        <v>2002.0</v>
      </c>
      <c r="G562" s="40">
        <v>12365.0</v>
      </c>
      <c r="H562" s="40">
        <f t="shared" ref="H562:I562" si="590">F562-F561</f>
        <v>1</v>
      </c>
      <c r="I562" s="40">
        <f t="shared" si="590"/>
        <v>-75</v>
      </c>
      <c r="J562" s="73">
        <f t="shared" si="585"/>
        <v>-0.006028938907</v>
      </c>
      <c r="K562" s="66">
        <f t="shared" si="586"/>
        <v>-0.006028938907</v>
      </c>
      <c r="L562" s="29" t="s">
        <v>260</v>
      </c>
    </row>
    <row r="563">
      <c r="A563" s="11" t="s">
        <v>336</v>
      </c>
      <c r="B563" s="11" t="s">
        <v>317</v>
      </c>
      <c r="C563" s="74" t="s">
        <v>910</v>
      </c>
      <c r="D563" s="74" t="s">
        <v>313</v>
      </c>
      <c r="E563" s="11" t="s">
        <v>74</v>
      </c>
      <c r="F563" s="11">
        <v>2003.0</v>
      </c>
      <c r="G563" s="40">
        <v>12440.0</v>
      </c>
      <c r="H563" s="40">
        <f t="shared" ref="H563:I563" si="591">F563-F562</f>
        <v>1</v>
      </c>
      <c r="I563" s="40">
        <f t="shared" si="591"/>
        <v>75</v>
      </c>
      <c r="J563" s="73">
        <f t="shared" si="585"/>
        <v>0.006065507481</v>
      </c>
      <c r="K563" s="66">
        <f t="shared" si="586"/>
        <v>0.006065507481</v>
      </c>
      <c r="L563" s="29" t="s">
        <v>260</v>
      </c>
    </row>
    <row r="564">
      <c r="A564" s="11" t="s">
        <v>336</v>
      </c>
      <c r="B564" s="11" t="s">
        <v>317</v>
      </c>
      <c r="C564" s="74" t="s">
        <v>910</v>
      </c>
      <c r="D564" s="74" t="s">
        <v>313</v>
      </c>
      <c r="E564" s="11" t="s">
        <v>74</v>
      </c>
      <c r="F564" s="11">
        <v>2004.0</v>
      </c>
      <c r="G564" s="40">
        <v>12642.0</v>
      </c>
      <c r="H564" s="40">
        <f t="shared" ref="H564:I564" si="592">F564-F563</f>
        <v>1</v>
      </c>
      <c r="I564" s="40">
        <f t="shared" si="592"/>
        <v>202</v>
      </c>
      <c r="J564" s="73">
        <f t="shared" si="585"/>
        <v>0.01623794212</v>
      </c>
      <c r="K564" s="66">
        <f t="shared" si="586"/>
        <v>0.01623794212</v>
      </c>
      <c r="L564" s="29" t="s">
        <v>260</v>
      </c>
    </row>
    <row r="565">
      <c r="A565" s="11" t="s">
        <v>336</v>
      </c>
      <c r="B565" s="11" t="s">
        <v>317</v>
      </c>
      <c r="C565" s="74" t="s">
        <v>910</v>
      </c>
      <c r="D565" s="74" t="s">
        <v>313</v>
      </c>
      <c r="E565" s="11" t="s">
        <v>74</v>
      </c>
      <c r="F565" s="11">
        <v>2005.0</v>
      </c>
      <c r="G565" s="40">
        <v>12465.0</v>
      </c>
      <c r="H565" s="40">
        <f t="shared" ref="H565:I565" si="593">F565-F564</f>
        <v>1</v>
      </c>
      <c r="I565" s="40">
        <f t="shared" si="593"/>
        <v>-177</v>
      </c>
      <c r="J565" s="73">
        <f t="shared" si="585"/>
        <v>-0.01400094922</v>
      </c>
      <c r="K565" s="66">
        <f t="shared" si="586"/>
        <v>-0.01400094922</v>
      </c>
      <c r="L565" s="29" t="s">
        <v>260</v>
      </c>
    </row>
    <row r="566">
      <c r="A566" s="11" t="s">
        <v>336</v>
      </c>
      <c r="B566" s="11" t="s">
        <v>317</v>
      </c>
      <c r="C566" s="74" t="s">
        <v>910</v>
      </c>
      <c r="D566" s="74" t="s">
        <v>313</v>
      </c>
      <c r="E566" s="11" t="s">
        <v>74</v>
      </c>
      <c r="F566" s="11">
        <v>2006.0</v>
      </c>
      <c r="G566" s="40">
        <v>11836.0</v>
      </c>
      <c r="H566" s="40">
        <f t="shared" ref="H566:I566" si="594">F566-F565</f>
        <v>1</v>
      </c>
      <c r="I566" s="40">
        <f t="shared" si="594"/>
        <v>-629</v>
      </c>
      <c r="J566" s="73">
        <f t="shared" si="585"/>
        <v>-0.05046129162</v>
      </c>
      <c r="K566" s="66">
        <f t="shared" si="586"/>
        <v>-0.05046129162</v>
      </c>
      <c r="L566" s="29" t="s">
        <v>260</v>
      </c>
    </row>
    <row r="567">
      <c r="A567" s="11" t="s">
        <v>336</v>
      </c>
      <c r="B567" s="11" t="s">
        <v>317</v>
      </c>
      <c r="C567" s="74" t="s">
        <v>910</v>
      </c>
      <c r="D567" s="74" t="s">
        <v>313</v>
      </c>
      <c r="E567" s="11" t="s">
        <v>74</v>
      </c>
      <c r="F567" s="11">
        <v>2007.0</v>
      </c>
      <c r="G567" s="40">
        <v>11107.0</v>
      </c>
      <c r="H567" s="40">
        <f t="shared" ref="H567:I567" si="595">F567-F566</f>
        <v>1</v>
      </c>
      <c r="I567" s="40">
        <f t="shared" si="595"/>
        <v>-729</v>
      </c>
      <c r="J567" s="73">
        <f t="shared" si="585"/>
        <v>-0.06159175397</v>
      </c>
      <c r="K567" s="66">
        <f t="shared" si="586"/>
        <v>-0.06159175397</v>
      </c>
      <c r="L567" s="29" t="s">
        <v>260</v>
      </c>
    </row>
    <row r="568">
      <c r="A568" s="11" t="s">
        <v>336</v>
      </c>
      <c r="B568" s="11" t="s">
        <v>317</v>
      </c>
      <c r="C568" s="74" t="s">
        <v>910</v>
      </c>
      <c r="D568" s="74" t="s">
        <v>313</v>
      </c>
      <c r="E568" s="11" t="s">
        <v>74</v>
      </c>
      <c r="F568" s="11">
        <v>2008.0</v>
      </c>
      <c r="G568" s="40">
        <v>10830.0</v>
      </c>
      <c r="H568" s="40">
        <f t="shared" ref="H568:I568" si="596">F568-F567</f>
        <v>1</v>
      </c>
      <c r="I568" s="40">
        <f t="shared" si="596"/>
        <v>-277</v>
      </c>
      <c r="J568" s="73">
        <f t="shared" si="585"/>
        <v>-0.02493922751</v>
      </c>
      <c r="K568" s="66">
        <f t="shared" si="586"/>
        <v>-0.02493922751</v>
      </c>
      <c r="L568" s="29" t="s">
        <v>260</v>
      </c>
    </row>
    <row r="569">
      <c r="A569" s="11" t="s">
        <v>336</v>
      </c>
      <c r="B569" s="11" t="s">
        <v>317</v>
      </c>
      <c r="C569" s="74" t="s">
        <v>910</v>
      </c>
      <c r="D569" s="74" t="s">
        <v>313</v>
      </c>
      <c r="E569" s="11" t="s">
        <v>74</v>
      </c>
      <c r="F569" s="11">
        <v>2009.0</v>
      </c>
      <c r="G569" s="40">
        <v>11208.0</v>
      </c>
      <c r="H569" s="40">
        <f t="shared" ref="H569:I569" si="597">F569-F568</f>
        <v>1</v>
      </c>
      <c r="I569" s="40">
        <f t="shared" si="597"/>
        <v>378</v>
      </c>
      <c r="J569" s="73">
        <f t="shared" si="585"/>
        <v>0.03490304709</v>
      </c>
      <c r="K569" s="66">
        <f t="shared" si="586"/>
        <v>0.03490304709</v>
      </c>
      <c r="L569" s="29" t="s">
        <v>260</v>
      </c>
    </row>
    <row r="570">
      <c r="A570" s="11" t="s">
        <v>336</v>
      </c>
      <c r="B570" s="11" t="s">
        <v>317</v>
      </c>
      <c r="C570" s="74" t="s">
        <v>910</v>
      </c>
      <c r="D570" s="74" t="s">
        <v>313</v>
      </c>
      <c r="E570" s="11" t="s">
        <v>74</v>
      </c>
      <c r="F570" s="11">
        <v>2010.0</v>
      </c>
      <c r="G570" s="40">
        <v>12340.0</v>
      </c>
      <c r="H570" s="40">
        <f t="shared" ref="H570:I570" si="598">F570-F569</f>
        <v>1</v>
      </c>
      <c r="I570" s="40">
        <f t="shared" si="598"/>
        <v>1132</v>
      </c>
      <c r="J570" s="73">
        <f t="shared" si="585"/>
        <v>0.1009992862</v>
      </c>
      <c r="K570" s="66">
        <f t="shared" si="586"/>
        <v>0.1009992862</v>
      </c>
      <c r="L570" s="29" t="s">
        <v>260</v>
      </c>
    </row>
    <row r="571">
      <c r="A571" s="11" t="s">
        <v>336</v>
      </c>
      <c r="B571" s="11" t="s">
        <v>317</v>
      </c>
      <c r="C571" s="74" t="s">
        <v>910</v>
      </c>
      <c r="D571" s="74" t="s">
        <v>313</v>
      </c>
      <c r="E571" s="11" t="s">
        <v>74</v>
      </c>
      <c r="F571" s="11">
        <v>2011.0</v>
      </c>
      <c r="G571" s="40">
        <v>12818.0</v>
      </c>
      <c r="H571" s="40">
        <f t="shared" ref="H571:I571" si="599">F571-F570</f>
        <v>1</v>
      </c>
      <c r="I571" s="40">
        <f t="shared" si="599"/>
        <v>478</v>
      </c>
      <c r="J571" s="73">
        <f t="shared" si="585"/>
        <v>0.03873581848</v>
      </c>
      <c r="K571" s="66">
        <f t="shared" si="586"/>
        <v>0.03873581848</v>
      </c>
      <c r="L571" s="29" t="s">
        <v>260</v>
      </c>
    </row>
    <row r="572">
      <c r="A572" s="11" t="s">
        <v>336</v>
      </c>
      <c r="B572" s="11" t="s">
        <v>317</v>
      </c>
      <c r="C572" s="74" t="s">
        <v>910</v>
      </c>
      <c r="D572" s="74" t="s">
        <v>313</v>
      </c>
      <c r="E572" s="11" t="s">
        <v>74</v>
      </c>
      <c r="F572" s="11">
        <v>2012.0</v>
      </c>
      <c r="G572" s="40">
        <v>12610.0</v>
      </c>
      <c r="H572" s="40">
        <f t="shared" ref="H572:I572" si="600">F572-F571</f>
        <v>1</v>
      </c>
      <c r="I572" s="40">
        <f t="shared" si="600"/>
        <v>-208</v>
      </c>
      <c r="J572" s="73">
        <f t="shared" si="585"/>
        <v>-0.01622718053</v>
      </c>
      <c r="K572" s="66">
        <f t="shared" si="586"/>
        <v>-0.01622718053</v>
      </c>
      <c r="L572" s="29" t="s">
        <v>260</v>
      </c>
    </row>
    <row r="573">
      <c r="A573" s="11" t="s">
        <v>336</v>
      </c>
      <c r="B573" s="11" t="s">
        <v>317</v>
      </c>
      <c r="C573" s="74" t="s">
        <v>910</v>
      </c>
      <c r="D573" s="74" t="s">
        <v>313</v>
      </c>
      <c r="E573" s="11" t="s">
        <v>74</v>
      </c>
      <c r="F573" s="11">
        <v>2013.0</v>
      </c>
      <c r="G573" s="40">
        <v>12541.0</v>
      </c>
      <c r="H573" s="40">
        <f t="shared" ref="H573:I573" si="601">F573-F572</f>
        <v>1</v>
      </c>
      <c r="I573" s="40">
        <f t="shared" si="601"/>
        <v>-69</v>
      </c>
      <c r="J573" s="73">
        <f t="shared" si="585"/>
        <v>-0.00547184774</v>
      </c>
      <c r="K573" s="66">
        <f t="shared" si="586"/>
        <v>-0.00547184774</v>
      </c>
      <c r="L573" s="29" t="s">
        <v>260</v>
      </c>
    </row>
    <row r="574">
      <c r="A574" s="11" t="s">
        <v>336</v>
      </c>
      <c r="B574" s="11" t="s">
        <v>317</v>
      </c>
      <c r="C574" s="74" t="s">
        <v>910</v>
      </c>
      <c r="D574" s="74" t="s">
        <v>313</v>
      </c>
      <c r="E574" s="11" t="s">
        <v>74</v>
      </c>
      <c r="F574" s="11">
        <v>2014.0</v>
      </c>
      <c r="G574" s="40">
        <v>12340.0</v>
      </c>
      <c r="H574" s="40">
        <f t="shared" ref="H574:I574" si="602">F574-F573</f>
        <v>1</v>
      </c>
      <c r="I574" s="40">
        <f t="shared" si="602"/>
        <v>-201</v>
      </c>
      <c r="J574" s="73">
        <f t="shared" si="585"/>
        <v>-0.01602743003</v>
      </c>
      <c r="K574" s="66">
        <f t="shared" si="586"/>
        <v>-0.01602743003</v>
      </c>
      <c r="L574" s="29" t="s">
        <v>260</v>
      </c>
    </row>
    <row r="575">
      <c r="A575" s="11" t="s">
        <v>336</v>
      </c>
      <c r="B575" s="11" t="s">
        <v>317</v>
      </c>
      <c r="C575" s="74" t="s">
        <v>910</v>
      </c>
      <c r="D575" s="74" t="s">
        <v>313</v>
      </c>
      <c r="E575" s="11" t="s">
        <v>74</v>
      </c>
      <c r="F575" s="11">
        <v>2015.0</v>
      </c>
      <c r="G575" s="40">
        <v>12390.0</v>
      </c>
      <c r="H575" s="40">
        <f t="shared" ref="H575:I575" si="603">F575-F574</f>
        <v>1</v>
      </c>
      <c r="I575" s="40">
        <f t="shared" si="603"/>
        <v>50</v>
      </c>
      <c r="J575" s="73">
        <f t="shared" si="585"/>
        <v>0.004051863857</v>
      </c>
      <c r="K575" s="66">
        <f t="shared" si="586"/>
        <v>0.004051863857</v>
      </c>
      <c r="L575" s="29" t="s">
        <v>260</v>
      </c>
    </row>
    <row r="576">
      <c r="A576" s="11" t="s">
        <v>336</v>
      </c>
      <c r="B576" s="11" t="s">
        <v>317</v>
      </c>
      <c r="C576" s="74" t="s">
        <v>910</v>
      </c>
      <c r="D576" s="74" t="s">
        <v>313</v>
      </c>
      <c r="E576" s="11" t="s">
        <v>74</v>
      </c>
      <c r="F576" s="11">
        <v>2016.0</v>
      </c>
      <c r="G576" s="40">
        <v>12767.0</v>
      </c>
      <c r="H576" s="40">
        <f t="shared" ref="H576:I576" si="604">F576-F575</f>
        <v>1</v>
      </c>
      <c r="I576" s="40">
        <f t="shared" si="604"/>
        <v>377</v>
      </c>
      <c r="J576" s="73">
        <f t="shared" si="585"/>
        <v>0.03042776433</v>
      </c>
      <c r="K576" s="66">
        <f t="shared" si="586"/>
        <v>0.03042776433</v>
      </c>
      <c r="L576" s="29" t="s">
        <v>260</v>
      </c>
    </row>
    <row r="577">
      <c r="A577" s="11" t="s">
        <v>336</v>
      </c>
      <c r="B577" s="11" t="s">
        <v>317</v>
      </c>
      <c r="C577" s="74" t="s">
        <v>910</v>
      </c>
      <c r="D577" s="74" t="s">
        <v>313</v>
      </c>
      <c r="E577" s="11" t="s">
        <v>74</v>
      </c>
      <c r="F577" s="11">
        <v>2017.0</v>
      </c>
      <c r="G577" s="40">
        <v>12969.0</v>
      </c>
      <c r="H577" s="40">
        <f t="shared" ref="H577:I577" si="605">F577-F576</f>
        <v>1</v>
      </c>
      <c r="I577" s="40">
        <f t="shared" si="605"/>
        <v>202</v>
      </c>
      <c r="J577" s="73">
        <f t="shared" si="585"/>
        <v>0.0158220412</v>
      </c>
      <c r="K577" s="66">
        <f t="shared" si="586"/>
        <v>0.0158220412</v>
      </c>
      <c r="L577" s="29" t="s">
        <v>260</v>
      </c>
    </row>
    <row r="578">
      <c r="A578" s="11" t="s">
        <v>336</v>
      </c>
      <c r="B578" s="11" t="s">
        <v>317</v>
      </c>
      <c r="C578" s="74" t="s">
        <v>910</v>
      </c>
      <c r="D578" s="74" t="s">
        <v>313</v>
      </c>
      <c r="E578" s="11" t="s">
        <v>74</v>
      </c>
      <c r="F578" s="11">
        <v>2018.0</v>
      </c>
      <c r="G578" s="40">
        <v>13270.0</v>
      </c>
      <c r="H578" s="40">
        <f t="shared" ref="H578:I578" si="606">F578-F577</f>
        <v>1</v>
      </c>
      <c r="I578" s="40">
        <f t="shared" si="606"/>
        <v>301</v>
      </c>
      <c r="J578" s="73">
        <f t="shared" si="585"/>
        <v>0.02320919115</v>
      </c>
      <c r="K578" s="66">
        <f t="shared" si="586"/>
        <v>0.02320919115</v>
      </c>
      <c r="L578" s="29" t="s">
        <v>260</v>
      </c>
    </row>
    <row r="579">
      <c r="A579" s="11" t="s">
        <v>337</v>
      </c>
      <c r="B579" s="11" t="s">
        <v>317</v>
      </c>
      <c r="C579" s="74" t="s">
        <v>917</v>
      </c>
      <c r="D579" s="74" t="s">
        <v>313</v>
      </c>
      <c r="E579" s="11" t="s">
        <v>74</v>
      </c>
      <c r="F579" s="11">
        <v>1996.0</v>
      </c>
      <c r="G579" s="40">
        <v>19375.0</v>
      </c>
      <c r="H579" s="40" t="s">
        <v>188</v>
      </c>
      <c r="I579" s="40" t="s">
        <v>188</v>
      </c>
      <c r="J579" s="73" t="s">
        <v>188</v>
      </c>
      <c r="K579" s="66" t="s">
        <v>188</v>
      </c>
      <c r="L579" s="29" t="s">
        <v>260</v>
      </c>
    </row>
    <row r="580">
      <c r="A580" s="11" t="s">
        <v>337</v>
      </c>
      <c r="B580" s="11" t="s">
        <v>317</v>
      </c>
      <c r="C580" s="74" t="s">
        <v>917</v>
      </c>
      <c r="D580" s="74" t="s">
        <v>313</v>
      </c>
      <c r="E580" s="11" t="s">
        <v>74</v>
      </c>
      <c r="F580" s="11">
        <v>1997.0</v>
      </c>
      <c r="G580" s="40">
        <v>18450.0</v>
      </c>
      <c r="H580" s="40">
        <f t="shared" ref="H580:I580" si="607">F580-F579</f>
        <v>1</v>
      </c>
      <c r="I580" s="40">
        <f t="shared" si="607"/>
        <v>-925</v>
      </c>
      <c r="J580" s="73">
        <f t="shared" ref="J580:J601" si="609">I580/G579</f>
        <v>-0.04774193548</v>
      </c>
      <c r="K580" s="66">
        <f t="shared" ref="K580:K601" si="610">J580/H580</f>
        <v>-0.04774193548</v>
      </c>
      <c r="L580" s="29" t="s">
        <v>260</v>
      </c>
    </row>
    <row r="581">
      <c r="A581" s="11" t="s">
        <v>337</v>
      </c>
      <c r="B581" s="11" t="s">
        <v>317</v>
      </c>
      <c r="C581" s="74" t="s">
        <v>917</v>
      </c>
      <c r="D581" s="74" t="s">
        <v>313</v>
      </c>
      <c r="E581" s="11" t="s">
        <v>74</v>
      </c>
      <c r="F581" s="11">
        <v>1998.0</v>
      </c>
      <c r="G581" s="40">
        <v>16541.0</v>
      </c>
      <c r="H581" s="40">
        <f t="shared" ref="H581:I581" si="608">F581-F580</f>
        <v>1</v>
      </c>
      <c r="I581" s="40">
        <f t="shared" si="608"/>
        <v>-1909</v>
      </c>
      <c r="J581" s="73">
        <f t="shared" si="609"/>
        <v>-0.1034688347</v>
      </c>
      <c r="K581" s="66">
        <f t="shared" si="610"/>
        <v>-0.1034688347</v>
      </c>
      <c r="L581" s="29" t="s">
        <v>260</v>
      </c>
    </row>
    <row r="582">
      <c r="A582" s="11" t="s">
        <v>337</v>
      </c>
      <c r="B582" s="11" t="s">
        <v>317</v>
      </c>
      <c r="C582" s="74" t="s">
        <v>917</v>
      </c>
      <c r="D582" s="74" t="s">
        <v>313</v>
      </c>
      <c r="E582" s="11" t="s">
        <v>74</v>
      </c>
      <c r="F582" s="11">
        <v>1999.0</v>
      </c>
      <c r="G582" s="40">
        <v>18183.0</v>
      </c>
      <c r="H582" s="40">
        <f t="shared" ref="H582:I582" si="611">F582-F581</f>
        <v>1</v>
      </c>
      <c r="I582" s="40">
        <f t="shared" si="611"/>
        <v>1642</v>
      </c>
      <c r="J582" s="73">
        <f t="shared" si="609"/>
        <v>0.09926848437</v>
      </c>
      <c r="K582" s="66">
        <f t="shared" si="610"/>
        <v>0.09926848437</v>
      </c>
      <c r="L582" s="29" t="s">
        <v>260</v>
      </c>
    </row>
    <row r="583">
      <c r="A583" s="11" t="s">
        <v>337</v>
      </c>
      <c r="B583" s="11" t="s">
        <v>317</v>
      </c>
      <c r="C583" s="74" t="s">
        <v>917</v>
      </c>
      <c r="D583" s="74" t="s">
        <v>313</v>
      </c>
      <c r="E583" s="11" t="s">
        <v>74</v>
      </c>
      <c r="F583" s="11">
        <v>2000.0</v>
      </c>
      <c r="G583" s="40">
        <v>18679.0</v>
      </c>
      <c r="H583" s="40">
        <f t="shared" ref="H583:I583" si="612">F583-F582</f>
        <v>1</v>
      </c>
      <c r="I583" s="40">
        <f t="shared" si="612"/>
        <v>496</v>
      </c>
      <c r="J583" s="73">
        <f t="shared" si="609"/>
        <v>0.02727822692</v>
      </c>
      <c r="K583" s="66">
        <f t="shared" si="610"/>
        <v>0.02727822692</v>
      </c>
      <c r="L583" s="29" t="s">
        <v>260</v>
      </c>
    </row>
    <row r="584">
      <c r="A584" s="11" t="s">
        <v>337</v>
      </c>
      <c r="B584" s="11" t="s">
        <v>317</v>
      </c>
      <c r="C584" s="74" t="s">
        <v>917</v>
      </c>
      <c r="D584" s="74" t="s">
        <v>313</v>
      </c>
      <c r="E584" s="11" t="s">
        <v>74</v>
      </c>
      <c r="F584" s="11">
        <v>2001.0</v>
      </c>
      <c r="G584" s="40">
        <v>18683.0</v>
      </c>
      <c r="H584" s="40">
        <f t="shared" ref="H584:I584" si="613">F584-F583</f>
        <v>1</v>
      </c>
      <c r="I584" s="40">
        <f t="shared" si="613"/>
        <v>4</v>
      </c>
      <c r="J584" s="73">
        <f t="shared" si="609"/>
        <v>0.0002141442261</v>
      </c>
      <c r="K584" s="66">
        <f t="shared" si="610"/>
        <v>0.0002141442261</v>
      </c>
      <c r="L584" s="29" t="s">
        <v>260</v>
      </c>
    </row>
    <row r="585">
      <c r="A585" s="11" t="s">
        <v>337</v>
      </c>
      <c r="B585" s="11" t="s">
        <v>317</v>
      </c>
      <c r="C585" s="74" t="s">
        <v>917</v>
      </c>
      <c r="D585" s="74" t="s">
        <v>313</v>
      </c>
      <c r="E585" s="11" t="s">
        <v>74</v>
      </c>
      <c r="F585" s="11">
        <v>2002.0</v>
      </c>
      <c r="G585" s="40">
        <v>18577.0</v>
      </c>
      <c r="H585" s="40">
        <f t="shared" ref="H585:I585" si="614">F585-F584</f>
        <v>1</v>
      </c>
      <c r="I585" s="40">
        <f t="shared" si="614"/>
        <v>-106</v>
      </c>
      <c r="J585" s="73">
        <f t="shared" si="609"/>
        <v>-0.005673607022</v>
      </c>
      <c r="K585" s="66">
        <f t="shared" si="610"/>
        <v>-0.005673607022</v>
      </c>
      <c r="L585" s="29" t="s">
        <v>260</v>
      </c>
    </row>
    <row r="586">
      <c r="A586" s="11" t="s">
        <v>337</v>
      </c>
      <c r="B586" s="11" t="s">
        <v>317</v>
      </c>
      <c r="C586" s="74" t="s">
        <v>917</v>
      </c>
      <c r="D586" s="74" t="s">
        <v>313</v>
      </c>
      <c r="E586" s="11" t="s">
        <v>74</v>
      </c>
      <c r="F586" s="11">
        <v>2003.0</v>
      </c>
      <c r="G586" s="40">
        <v>17433.0</v>
      </c>
      <c r="H586" s="40">
        <f t="shared" ref="H586:I586" si="615">F586-F585</f>
        <v>1</v>
      </c>
      <c r="I586" s="40">
        <f t="shared" si="615"/>
        <v>-1144</v>
      </c>
      <c r="J586" s="73">
        <f t="shared" si="609"/>
        <v>-0.06158152554</v>
      </c>
      <c r="K586" s="66">
        <f t="shared" si="610"/>
        <v>-0.06158152554</v>
      </c>
      <c r="L586" s="29" t="s">
        <v>260</v>
      </c>
    </row>
    <row r="587">
      <c r="A587" s="11" t="s">
        <v>337</v>
      </c>
      <c r="B587" s="11" t="s">
        <v>317</v>
      </c>
      <c r="C587" s="74" t="s">
        <v>917</v>
      </c>
      <c r="D587" s="74" t="s">
        <v>313</v>
      </c>
      <c r="E587" s="11" t="s">
        <v>74</v>
      </c>
      <c r="F587" s="11">
        <v>2004.0</v>
      </c>
      <c r="G587" s="40">
        <v>19021.0</v>
      </c>
      <c r="H587" s="40">
        <f t="shared" ref="H587:I587" si="616">F587-F586</f>
        <v>1</v>
      </c>
      <c r="I587" s="40">
        <f t="shared" si="616"/>
        <v>1588</v>
      </c>
      <c r="J587" s="73">
        <f t="shared" si="609"/>
        <v>0.09109160787</v>
      </c>
      <c r="K587" s="66">
        <f t="shared" si="610"/>
        <v>0.09109160787</v>
      </c>
      <c r="L587" s="29" t="s">
        <v>260</v>
      </c>
    </row>
    <row r="588">
      <c r="A588" s="11" t="s">
        <v>337</v>
      </c>
      <c r="B588" s="11" t="s">
        <v>317</v>
      </c>
      <c r="C588" s="74" t="s">
        <v>917</v>
      </c>
      <c r="D588" s="74" t="s">
        <v>313</v>
      </c>
      <c r="E588" s="11" t="s">
        <v>74</v>
      </c>
      <c r="F588" s="11">
        <v>2005.0</v>
      </c>
      <c r="G588" s="40">
        <v>19954.0</v>
      </c>
      <c r="H588" s="40">
        <f t="shared" ref="H588:I588" si="617">F588-F587</f>
        <v>1</v>
      </c>
      <c r="I588" s="40">
        <f t="shared" si="617"/>
        <v>933</v>
      </c>
      <c r="J588" s="73">
        <f t="shared" si="609"/>
        <v>0.04905104884</v>
      </c>
      <c r="K588" s="66">
        <f t="shared" si="610"/>
        <v>0.04905104884</v>
      </c>
      <c r="L588" s="29" t="s">
        <v>260</v>
      </c>
    </row>
    <row r="589">
      <c r="A589" s="11" t="s">
        <v>337</v>
      </c>
      <c r="B589" s="11" t="s">
        <v>317</v>
      </c>
      <c r="C589" s="74" t="s">
        <v>917</v>
      </c>
      <c r="D589" s="74" t="s">
        <v>313</v>
      </c>
      <c r="E589" s="11" t="s">
        <v>74</v>
      </c>
      <c r="F589" s="11">
        <v>2006.0</v>
      </c>
      <c r="G589" s="40">
        <v>20012.0</v>
      </c>
      <c r="H589" s="40">
        <f t="shared" ref="H589:I589" si="618">F589-F588</f>
        <v>1</v>
      </c>
      <c r="I589" s="40">
        <f t="shared" si="618"/>
        <v>58</v>
      </c>
      <c r="J589" s="73">
        <f t="shared" si="609"/>
        <v>0.002906685376</v>
      </c>
      <c r="K589" s="66">
        <f t="shared" si="610"/>
        <v>0.002906685376</v>
      </c>
      <c r="L589" s="29" t="s">
        <v>260</v>
      </c>
    </row>
    <row r="590">
      <c r="A590" s="11" t="s">
        <v>337</v>
      </c>
      <c r="B590" s="11" t="s">
        <v>317</v>
      </c>
      <c r="C590" s="74" t="s">
        <v>917</v>
      </c>
      <c r="D590" s="74" t="s">
        <v>313</v>
      </c>
      <c r="E590" s="11" t="s">
        <v>74</v>
      </c>
      <c r="F590" s="11">
        <v>2007.0</v>
      </c>
      <c r="G590" s="40">
        <v>20289.0</v>
      </c>
      <c r="H590" s="40">
        <f t="shared" ref="H590:I590" si="619">F590-F589</f>
        <v>1</v>
      </c>
      <c r="I590" s="40">
        <f t="shared" si="619"/>
        <v>277</v>
      </c>
      <c r="J590" s="73">
        <f t="shared" si="609"/>
        <v>0.01384169498</v>
      </c>
      <c r="K590" s="66">
        <f t="shared" si="610"/>
        <v>0.01384169498</v>
      </c>
      <c r="L590" s="29" t="s">
        <v>260</v>
      </c>
    </row>
    <row r="591">
      <c r="A591" s="11" t="s">
        <v>337</v>
      </c>
      <c r="B591" s="11" t="s">
        <v>317</v>
      </c>
      <c r="C591" s="74" t="s">
        <v>917</v>
      </c>
      <c r="D591" s="74" t="s">
        <v>313</v>
      </c>
      <c r="E591" s="11" t="s">
        <v>74</v>
      </c>
      <c r="F591" s="11">
        <v>2008.0</v>
      </c>
      <c r="G591" s="40">
        <v>20129.0</v>
      </c>
      <c r="H591" s="40">
        <f t="shared" ref="H591:I591" si="620">F591-F590</f>
        <v>1</v>
      </c>
      <c r="I591" s="40">
        <f t="shared" si="620"/>
        <v>-160</v>
      </c>
      <c r="J591" s="73">
        <f t="shared" si="609"/>
        <v>-0.007886046626</v>
      </c>
      <c r="K591" s="66">
        <f t="shared" si="610"/>
        <v>-0.007886046626</v>
      </c>
      <c r="L591" s="29" t="s">
        <v>260</v>
      </c>
    </row>
    <row r="592">
      <c r="A592" s="11" t="s">
        <v>337</v>
      </c>
      <c r="B592" s="11" t="s">
        <v>317</v>
      </c>
      <c r="C592" s="74" t="s">
        <v>917</v>
      </c>
      <c r="D592" s="74" t="s">
        <v>313</v>
      </c>
      <c r="E592" s="11" t="s">
        <v>74</v>
      </c>
      <c r="F592" s="11">
        <v>2009.0</v>
      </c>
      <c r="G592" s="40">
        <v>21717.0</v>
      </c>
      <c r="H592" s="40">
        <f t="shared" ref="H592:I592" si="621">F592-F591</f>
        <v>1</v>
      </c>
      <c r="I592" s="40">
        <f t="shared" si="621"/>
        <v>1588</v>
      </c>
      <c r="J592" s="73">
        <f t="shared" si="609"/>
        <v>0.07889115207</v>
      </c>
      <c r="K592" s="66">
        <f t="shared" si="610"/>
        <v>0.07889115207</v>
      </c>
      <c r="L592" s="29" t="s">
        <v>260</v>
      </c>
    </row>
    <row r="593">
      <c r="A593" s="11" t="s">
        <v>337</v>
      </c>
      <c r="B593" s="11" t="s">
        <v>317</v>
      </c>
      <c r="C593" s="74" t="s">
        <v>917</v>
      </c>
      <c r="D593" s="74" t="s">
        <v>313</v>
      </c>
      <c r="E593" s="11" t="s">
        <v>74</v>
      </c>
      <c r="F593" s="11">
        <v>2010.0</v>
      </c>
      <c r="G593" s="40">
        <v>20682.0</v>
      </c>
      <c r="H593" s="40">
        <f t="shared" ref="H593:I593" si="622">F593-F592</f>
        <v>1</v>
      </c>
      <c r="I593" s="40">
        <f t="shared" si="622"/>
        <v>-1035</v>
      </c>
      <c r="J593" s="73">
        <f t="shared" si="609"/>
        <v>-0.04765851637</v>
      </c>
      <c r="K593" s="66">
        <f t="shared" si="610"/>
        <v>-0.04765851637</v>
      </c>
      <c r="L593" s="29" t="s">
        <v>260</v>
      </c>
    </row>
    <row r="594">
      <c r="A594" s="11" t="s">
        <v>337</v>
      </c>
      <c r="B594" s="11" t="s">
        <v>317</v>
      </c>
      <c r="C594" s="74" t="s">
        <v>917</v>
      </c>
      <c r="D594" s="74" t="s">
        <v>313</v>
      </c>
      <c r="E594" s="11" t="s">
        <v>74</v>
      </c>
      <c r="F594" s="11">
        <v>2011.0</v>
      </c>
      <c r="G594" s="40">
        <v>22380.0</v>
      </c>
      <c r="H594" s="40">
        <f t="shared" ref="H594:I594" si="623">F594-F593</f>
        <v>1</v>
      </c>
      <c r="I594" s="40">
        <f t="shared" si="623"/>
        <v>1698</v>
      </c>
      <c r="J594" s="73">
        <f t="shared" si="609"/>
        <v>0.08210037714</v>
      </c>
      <c r="K594" s="66">
        <f t="shared" si="610"/>
        <v>0.08210037714</v>
      </c>
      <c r="L594" s="29" t="s">
        <v>260</v>
      </c>
    </row>
    <row r="595">
      <c r="A595" s="11" t="s">
        <v>337</v>
      </c>
      <c r="B595" s="11" t="s">
        <v>317</v>
      </c>
      <c r="C595" s="74" t="s">
        <v>917</v>
      </c>
      <c r="D595" s="74" t="s">
        <v>313</v>
      </c>
      <c r="E595" s="11" t="s">
        <v>74</v>
      </c>
      <c r="F595" s="11">
        <v>2012.0</v>
      </c>
      <c r="G595" s="40">
        <v>22384.0</v>
      </c>
      <c r="H595" s="40">
        <f t="shared" ref="H595:I595" si="624">F595-F594</f>
        <v>1</v>
      </c>
      <c r="I595" s="40">
        <f t="shared" si="624"/>
        <v>4</v>
      </c>
      <c r="J595" s="73">
        <f t="shared" si="609"/>
        <v>0.0001787310098</v>
      </c>
      <c r="K595" s="66">
        <f t="shared" si="610"/>
        <v>0.0001787310098</v>
      </c>
      <c r="L595" s="29" t="s">
        <v>260</v>
      </c>
    </row>
    <row r="596">
      <c r="A596" s="11" t="s">
        <v>337</v>
      </c>
      <c r="B596" s="11" t="s">
        <v>317</v>
      </c>
      <c r="C596" s="74" t="s">
        <v>917</v>
      </c>
      <c r="D596" s="74" t="s">
        <v>313</v>
      </c>
      <c r="E596" s="11" t="s">
        <v>74</v>
      </c>
      <c r="F596" s="11">
        <v>2013.0</v>
      </c>
      <c r="G596" s="40">
        <v>22060.0</v>
      </c>
      <c r="H596" s="40">
        <f t="shared" ref="H596:I596" si="625">F596-F595</f>
        <v>1</v>
      </c>
      <c r="I596" s="40">
        <f t="shared" si="625"/>
        <v>-324</v>
      </c>
      <c r="J596" s="73">
        <f t="shared" si="609"/>
        <v>-0.01447462473</v>
      </c>
      <c r="K596" s="66">
        <f t="shared" si="610"/>
        <v>-0.01447462473</v>
      </c>
      <c r="L596" s="29" t="s">
        <v>260</v>
      </c>
    </row>
    <row r="597">
      <c r="A597" s="11" t="s">
        <v>337</v>
      </c>
      <c r="B597" s="11" t="s">
        <v>317</v>
      </c>
      <c r="C597" s="74" t="s">
        <v>917</v>
      </c>
      <c r="D597" s="74" t="s">
        <v>313</v>
      </c>
      <c r="E597" s="11" t="s">
        <v>74</v>
      </c>
      <c r="F597" s="11">
        <v>2014.0</v>
      </c>
      <c r="G597" s="40">
        <v>22118.0</v>
      </c>
      <c r="H597" s="40">
        <f t="shared" ref="H597:I597" si="626">F597-F596</f>
        <v>1</v>
      </c>
      <c r="I597" s="40">
        <f t="shared" si="626"/>
        <v>58</v>
      </c>
      <c r="J597" s="73">
        <f t="shared" si="609"/>
        <v>0.00262919311</v>
      </c>
      <c r="K597" s="66">
        <f t="shared" si="610"/>
        <v>0.00262919311</v>
      </c>
      <c r="L597" s="29" t="s">
        <v>260</v>
      </c>
    </row>
    <row r="598">
      <c r="A598" s="11" t="s">
        <v>337</v>
      </c>
      <c r="B598" s="11" t="s">
        <v>317</v>
      </c>
      <c r="C598" s="74" t="s">
        <v>917</v>
      </c>
      <c r="D598" s="74" t="s">
        <v>313</v>
      </c>
      <c r="E598" s="11" t="s">
        <v>74</v>
      </c>
      <c r="F598" s="11">
        <v>2015.0</v>
      </c>
      <c r="G598" s="40">
        <v>21083.0</v>
      </c>
      <c r="H598" s="40">
        <f t="shared" ref="H598:I598" si="627">F598-F597</f>
        <v>1</v>
      </c>
      <c r="I598" s="40">
        <f t="shared" si="627"/>
        <v>-1035</v>
      </c>
      <c r="J598" s="73">
        <f t="shared" si="609"/>
        <v>-0.04679446605</v>
      </c>
      <c r="K598" s="66">
        <f t="shared" si="610"/>
        <v>-0.04679446605</v>
      </c>
      <c r="L598" s="29" t="s">
        <v>260</v>
      </c>
    </row>
    <row r="599">
      <c r="A599" s="11" t="s">
        <v>337</v>
      </c>
      <c r="B599" s="11" t="s">
        <v>317</v>
      </c>
      <c r="C599" s="74" t="s">
        <v>917</v>
      </c>
      <c r="D599" s="74" t="s">
        <v>313</v>
      </c>
      <c r="E599" s="11" t="s">
        <v>74</v>
      </c>
      <c r="F599" s="11">
        <v>2016.0</v>
      </c>
      <c r="G599" s="40">
        <v>22125.0</v>
      </c>
      <c r="H599" s="40">
        <f t="shared" ref="H599:I599" si="628">F599-F598</f>
        <v>1</v>
      </c>
      <c r="I599" s="40">
        <f t="shared" si="628"/>
        <v>1042</v>
      </c>
      <c r="J599" s="73">
        <f t="shared" si="609"/>
        <v>0.0494237063</v>
      </c>
      <c r="K599" s="66">
        <f t="shared" si="610"/>
        <v>0.0494237063</v>
      </c>
      <c r="L599" s="29" t="s">
        <v>260</v>
      </c>
    </row>
    <row r="600">
      <c r="A600" s="11" t="s">
        <v>337</v>
      </c>
      <c r="B600" s="11" t="s">
        <v>317</v>
      </c>
      <c r="C600" s="74" t="s">
        <v>917</v>
      </c>
      <c r="D600" s="74" t="s">
        <v>313</v>
      </c>
      <c r="E600" s="11" t="s">
        <v>74</v>
      </c>
      <c r="F600" s="11">
        <v>2017.0</v>
      </c>
      <c r="G600" s="40">
        <v>23331.0</v>
      </c>
      <c r="H600" s="40">
        <f t="shared" ref="H600:I600" si="629">F600-F599</f>
        <v>1</v>
      </c>
      <c r="I600" s="40">
        <f t="shared" si="629"/>
        <v>1206</v>
      </c>
      <c r="J600" s="73">
        <f t="shared" si="609"/>
        <v>0.05450847458</v>
      </c>
      <c r="K600" s="66">
        <f t="shared" si="610"/>
        <v>0.05450847458</v>
      </c>
      <c r="L600" s="29" t="s">
        <v>260</v>
      </c>
    </row>
    <row r="601">
      <c r="A601" s="11" t="s">
        <v>337</v>
      </c>
      <c r="B601" s="11" t="s">
        <v>317</v>
      </c>
      <c r="C601" s="74" t="s">
        <v>917</v>
      </c>
      <c r="D601" s="74" t="s">
        <v>313</v>
      </c>
      <c r="E601" s="11" t="s">
        <v>74</v>
      </c>
      <c r="F601" s="11">
        <v>2018.0</v>
      </c>
      <c r="G601" s="40">
        <v>23553.0</v>
      </c>
      <c r="H601" s="40">
        <f t="shared" ref="H601:I601" si="630">F601-F600</f>
        <v>1</v>
      </c>
      <c r="I601" s="40">
        <f t="shared" si="630"/>
        <v>222</v>
      </c>
      <c r="J601" s="73">
        <f t="shared" si="609"/>
        <v>0.009515237238</v>
      </c>
      <c r="K601" s="66">
        <f t="shared" si="610"/>
        <v>0.009515237238</v>
      </c>
      <c r="L601" s="29" t="s">
        <v>260</v>
      </c>
    </row>
    <row r="602">
      <c r="A602" s="11" t="s">
        <v>339</v>
      </c>
      <c r="B602" s="11" t="s">
        <v>317</v>
      </c>
      <c r="C602" s="74" t="s">
        <v>921</v>
      </c>
      <c r="D602" s="74" t="s">
        <v>313</v>
      </c>
      <c r="E602" s="11" t="s">
        <v>74</v>
      </c>
      <c r="F602" s="11">
        <v>1996.0</v>
      </c>
      <c r="G602" s="40">
        <v>27157.0</v>
      </c>
      <c r="H602" s="40" t="s">
        <v>188</v>
      </c>
      <c r="I602" s="40" t="s">
        <v>188</v>
      </c>
      <c r="J602" s="73" t="s">
        <v>188</v>
      </c>
      <c r="K602" s="66" t="s">
        <v>188</v>
      </c>
      <c r="L602" s="29" t="s">
        <v>260</v>
      </c>
    </row>
    <row r="603">
      <c r="A603" s="11" t="s">
        <v>339</v>
      </c>
      <c r="B603" s="11" t="s">
        <v>317</v>
      </c>
      <c r="C603" s="74" t="s">
        <v>921</v>
      </c>
      <c r="D603" s="74" t="s">
        <v>313</v>
      </c>
      <c r="E603" s="11" t="s">
        <v>74</v>
      </c>
      <c r="F603" s="11">
        <v>1997.0</v>
      </c>
      <c r="G603" s="40">
        <v>27752.0</v>
      </c>
      <c r="H603" s="40">
        <f t="shared" ref="H603:I603" si="631">F603-F602</f>
        <v>1</v>
      </c>
      <c r="I603" s="40">
        <f t="shared" si="631"/>
        <v>595</v>
      </c>
      <c r="J603" s="73">
        <f t="shared" ref="J603:J624" si="633">I603/G602</f>
        <v>0.02190963656</v>
      </c>
      <c r="K603" s="66">
        <f t="shared" ref="K603:K624" si="634">J603/H603</f>
        <v>0.02190963656</v>
      </c>
      <c r="L603" s="29" t="s">
        <v>260</v>
      </c>
    </row>
    <row r="604">
      <c r="A604" s="11" t="s">
        <v>339</v>
      </c>
      <c r="B604" s="11" t="s">
        <v>317</v>
      </c>
      <c r="C604" s="74" t="s">
        <v>921</v>
      </c>
      <c r="D604" s="74" t="s">
        <v>313</v>
      </c>
      <c r="E604" s="11" t="s">
        <v>74</v>
      </c>
      <c r="F604" s="11">
        <v>1998.0</v>
      </c>
      <c r="G604" s="40">
        <v>27374.0</v>
      </c>
      <c r="H604" s="40">
        <f t="shared" ref="H604:I604" si="632">F604-F603</f>
        <v>1</v>
      </c>
      <c r="I604" s="40">
        <f t="shared" si="632"/>
        <v>-378</v>
      </c>
      <c r="J604" s="73">
        <f t="shared" si="633"/>
        <v>-0.01362063995</v>
      </c>
      <c r="K604" s="66">
        <f t="shared" si="634"/>
        <v>-0.01362063995</v>
      </c>
      <c r="L604" s="29" t="s">
        <v>260</v>
      </c>
    </row>
    <row r="605">
      <c r="A605" s="11" t="s">
        <v>339</v>
      </c>
      <c r="B605" s="11" t="s">
        <v>317</v>
      </c>
      <c r="C605" s="74" t="s">
        <v>921</v>
      </c>
      <c r="D605" s="74" t="s">
        <v>313</v>
      </c>
      <c r="E605" s="11" t="s">
        <v>74</v>
      </c>
      <c r="F605" s="11">
        <v>1999.0</v>
      </c>
      <c r="G605" s="40">
        <v>27969.0</v>
      </c>
      <c r="H605" s="40">
        <f t="shared" ref="H605:I605" si="635">F605-F604</f>
        <v>1</v>
      </c>
      <c r="I605" s="40">
        <f t="shared" si="635"/>
        <v>595</v>
      </c>
      <c r="J605" s="73">
        <f t="shared" si="633"/>
        <v>0.02173595382</v>
      </c>
      <c r="K605" s="66">
        <f t="shared" si="634"/>
        <v>0.02173595382</v>
      </c>
      <c r="L605" s="29" t="s">
        <v>260</v>
      </c>
    </row>
    <row r="606">
      <c r="A606" s="11" t="s">
        <v>339</v>
      </c>
      <c r="B606" s="11" t="s">
        <v>317</v>
      </c>
      <c r="C606" s="74" t="s">
        <v>921</v>
      </c>
      <c r="D606" s="74" t="s">
        <v>313</v>
      </c>
      <c r="E606" s="11" t="s">
        <v>74</v>
      </c>
      <c r="F606" s="11">
        <v>2000.0</v>
      </c>
      <c r="G606" s="40">
        <v>27971.0</v>
      </c>
      <c r="H606" s="40">
        <f t="shared" ref="H606:I606" si="636">F606-F605</f>
        <v>1</v>
      </c>
      <c r="I606" s="40">
        <f t="shared" si="636"/>
        <v>2</v>
      </c>
      <c r="J606" s="73">
        <f t="shared" si="633"/>
        <v>0.00007150774071</v>
      </c>
      <c r="K606" s="66">
        <f t="shared" si="634"/>
        <v>0.00007150774071</v>
      </c>
      <c r="L606" s="29" t="s">
        <v>260</v>
      </c>
    </row>
    <row r="607">
      <c r="A607" s="11" t="s">
        <v>339</v>
      </c>
      <c r="B607" s="11" t="s">
        <v>317</v>
      </c>
      <c r="C607" s="74" t="s">
        <v>921</v>
      </c>
      <c r="D607" s="74" t="s">
        <v>313</v>
      </c>
      <c r="E607" s="11" t="s">
        <v>74</v>
      </c>
      <c r="F607" s="11">
        <v>2001.0</v>
      </c>
      <c r="G607" s="40">
        <v>29368.0</v>
      </c>
      <c r="H607" s="40">
        <f t="shared" ref="H607:I607" si="637">F607-F606</f>
        <v>1</v>
      </c>
      <c r="I607" s="40">
        <f t="shared" si="637"/>
        <v>1397</v>
      </c>
      <c r="J607" s="73">
        <f t="shared" si="633"/>
        <v>0.04994458546</v>
      </c>
      <c r="K607" s="66">
        <f t="shared" si="634"/>
        <v>0.04994458546</v>
      </c>
      <c r="L607" s="29" t="s">
        <v>260</v>
      </c>
    </row>
    <row r="608">
      <c r="A608" s="11" t="s">
        <v>339</v>
      </c>
      <c r="B608" s="11" t="s">
        <v>317</v>
      </c>
      <c r="C608" s="74" t="s">
        <v>921</v>
      </c>
      <c r="D608" s="74" t="s">
        <v>313</v>
      </c>
      <c r="E608" s="11" t="s">
        <v>74</v>
      </c>
      <c r="F608" s="11">
        <v>2002.0</v>
      </c>
      <c r="G608" s="40">
        <v>30639.0</v>
      </c>
      <c r="H608" s="40">
        <f t="shared" ref="H608:I608" si="638">F608-F607</f>
        <v>1</v>
      </c>
      <c r="I608" s="40">
        <f t="shared" si="638"/>
        <v>1271</v>
      </c>
      <c r="J608" s="73">
        <f t="shared" si="633"/>
        <v>0.04327839826</v>
      </c>
      <c r="K608" s="66">
        <f t="shared" si="634"/>
        <v>0.04327839826</v>
      </c>
      <c r="L608" s="29" t="s">
        <v>260</v>
      </c>
    </row>
    <row r="609">
      <c r="A609" s="11" t="s">
        <v>339</v>
      </c>
      <c r="B609" s="11" t="s">
        <v>317</v>
      </c>
      <c r="C609" s="74" t="s">
        <v>921</v>
      </c>
      <c r="D609" s="74" t="s">
        <v>313</v>
      </c>
      <c r="E609" s="11" t="s">
        <v>74</v>
      </c>
      <c r="F609" s="11">
        <v>2003.0</v>
      </c>
      <c r="G609" s="40">
        <v>30093.0</v>
      </c>
      <c r="H609" s="40">
        <f t="shared" ref="H609:I609" si="639">F609-F608</f>
        <v>1</v>
      </c>
      <c r="I609" s="40">
        <f t="shared" si="639"/>
        <v>-546</v>
      </c>
      <c r="J609" s="73">
        <f t="shared" si="633"/>
        <v>-0.01782042495</v>
      </c>
      <c r="K609" s="66">
        <f t="shared" si="634"/>
        <v>-0.01782042495</v>
      </c>
      <c r="L609" s="29" t="s">
        <v>260</v>
      </c>
    </row>
    <row r="610">
      <c r="A610" s="11" t="s">
        <v>339</v>
      </c>
      <c r="B610" s="11" t="s">
        <v>317</v>
      </c>
      <c r="C610" s="74" t="s">
        <v>921</v>
      </c>
      <c r="D610" s="74" t="s">
        <v>313</v>
      </c>
      <c r="E610" s="11" t="s">
        <v>74</v>
      </c>
      <c r="F610" s="11">
        <v>2004.0</v>
      </c>
      <c r="G610" s="40">
        <v>29630.0</v>
      </c>
      <c r="H610" s="40">
        <f t="shared" ref="H610:I610" si="640">F610-F609</f>
        <v>1</v>
      </c>
      <c r="I610" s="40">
        <f t="shared" si="640"/>
        <v>-463</v>
      </c>
      <c r="J610" s="73">
        <f t="shared" si="633"/>
        <v>-0.01538563786</v>
      </c>
      <c r="K610" s="66">
        <f t="shared" si="634"/>
        <v>-0.01538563786</v>
      </c>
      <c r="L610" s="29" t="s">
        <v>260</v>
      </c>
    </row>
    <row r="611">
      <c r="A611" s="11" t="s">
        <v>339</v>
      </c>
      <c r="B611" s="11" t="s">
        <v>317</v>
      </c>
      <c r="C611" s="74" t="s">
        <v>921</v>
      </c>
      <c r="D611" s="74" t="s">
        <v>313</v>
      </c>
      <c r="E611" s="11" t="s">
        <v>74</v>
      </c>
      <c r="F611" s="11">
        <v>2005.0</v>
      </c>
      <c r="G611" s="40">
        <v>29169.0</v>
      </c>
      <c r="H611" s="40">
        <f t="shared" ref="H611:I611" si="641">F611-F610</f>
        <v>1</v>
      </c>
      <c r="I611" s="40">
        <f t="shared" si="641"/>
        <v>-461</v>
      </c>
      <c r="J611" s="73">
        <f t="shared" si="633"/>
        <v>-0.01555855552</v>
      </c>
      <c r="K611" s="66">
        <f t="shared" si="634"/>
        <v>-0.01555855552</v>
      </c>
      <c r="L611" s="29" t="s">
        <v>260</v>
      </c>
    </row>
    <row r="612">
      <c r="A612" s="11" t="s">
        <v>339</v>
      </c>
      <c r="B612" s="11" t="s">
        <v>317</v>
      </c>
      <c r="C612" s="74" t="s">
        <v>921</v>
      </c>
      <c r="D612" s="74" t="s">
        <v>313</v>
      </c>
      <c r="E612" s="11" t="s">
        <v>74</v>
      </c>
      <c r="F612" s="11">
        <v>2006.0</v>
      </c>
      <c r="G612" s="40">
        <v>29277.0</v>
      </c>
      <c r="H612" s="40">
        <f t="shared" ref="H612:I612" si="642">F612-F611</f>
        <v>1</v>
      </c>
      <c r="I612" s="40">
        <f t="shared" si="642"/>
        <v>108</v>
      </c>
      <c r="J612" s="73">
        <f t="shared" si="633"/>
        <v>0.003702560938</v>
      </c>
      <c r="K612" s="66">
        <f t="shared" si="634"/>
        <v>0.003702560938</v>
      </c>
      <c r="L612" s="29" t="s">
        <v>260</v>
      </c>
    </row>
    <row r="613">
      <c r="A613" s="11" t="s">
        <v>339</v>
      </c>
      <c r="B613" s="11" t="s">
        <v>317</v>
      </c>
      <c r="C613" s="74" t="s">
        <v>921</v>
      </c>
      <c r="D613" s="74" t="s">
        <v>313</v>
      </c>
      <c r="E613" s="11" t="s">
        <v>74</v>
      </c>
      <c r="F613" s="11">
        <v>2007.0</v>
      </c>
      <c r="G613" s="40">
        <v>28371.0</v>
      </c>
      <c r="H613" s="40">
        <f t="shared" ref="H613:I613" si="643">F613-F612</f>
        <v>1</v>
      </c>
      <c r="I613" s="40">
        <f t="shared" si="643"/>
        <v>-906</v>
      </c>
      <c r="J613" s="73">
        <f t="shared" si="633"/>
        <v>-0.03094579363</v>
      </c>
      <c r="K613" s="66">
        <f t="shared" si="634"/>
        <v>-0.03094579363</v>
      </c>
      <c r="L613" s="29" t="s">
        <v>260</v>
      </c>
    </row>
    <row r="614">
      <c r="A614" s="11" t="s">
        <v>339</v>
      </c>
      <c r="B614" s="11" t="s">
        <v>317</v>
      </c>
      <c r="C614" s="74" t="s">
        <v>921</v>
      </c>
      <c r="D614" s="74" t="s">
        <v>313</v>
      </c>
      <c r="E614" s="11" t="s">
        <v>74</v>
      </c>
      <c r="F614" s="11">
        <v>2008.0</v>
      </c>
      <c r="G614" s="40">
        <v>27529.0</v>
      </c>
      <c r="H614" s="40">
        <f t="shared" ref="H614:I614" si="644">F614-F613</f>
        <v>1</v>
      </c>
      <c r="I614" s="40">
        <f t="shared" si="644"/>
        <v>-842</v>
      </c>
      <c r="J614" s="73">
        <f t="shared" si="633"/>
        <v>-0.02967819252</v>
      </c>
      <c r="K614" s="66">
        <f t="shared" si="634"/>
        <v>-0.02967819252</v>
      </c>
      <c r="L614" s="29" t="s">
        <v>260</v>
      </c>
    </row>
    <row r="615">
      <c r="A615" s="11" t="s">
        <v>339</v>
      </c>
      <c r="B615" s="11" t="s">
        <v>317</v>
      </c>
      <c r="C615" s="74" t="s">
        <v>921</v>
      </c>
      <c r="D615" s="74" t="s">
        <v>313</v>
      </c>
      <c r="E615" s="11" t="s">
        <v>74</v>
      </c>
      <c r="F615" s="11">
        <v>2009.0</v>
      </c>
      <c r="G615" s="40">
        <v>26138.0</v>
      </c>
      <c r="H615" s="40">
        <f t="shared" ref="H615:I615" si="645">F615-F614</f>
        <v>1</v>
      </c>
      <c r="I615" s="40">
        <f t="shared" si="645"/>
        <v>-1391</v>
      </c>
      <c r="J615" s="73">
        <f t="shared" si="633"/>
        <v>-0.05052853355</v>
      </c>
      <c r="K615" s="66">
        <f t="shared" si="634"/>
        <v>-0.05052853355</v>
      </c>
      <c r="L615" s="29" t="s">
        <v>260</v>
      </c>
    </row>
    <row r="616">
      <c r="A616" s="11" t="s">
        <v>339</v>
      </c>
      <c r="B616" s="11" t="s">
        <v>317</v>
      </c>
      <c r="C616" s="74" t="s">
        <v>921</v>
      </c>
      <c r="D616" s="74" t="s">
        <v>313</v>
      </c>
      <c r="E616" s="11" t="s">
        <v>74</v>
      </c>
      <c r="F616" s="11">
        <v>2010.0</v>
      </c>
      <c r="G616" s="40">
        <v>26816.0</v>
      </c>
      <c r="H616" s="40">
        <f t="shared" ref="H616:I616" si="646">F616-F615</f>
        <v>1</v>
      </c>
      <c r="I616" s="40">
        <f t="shared" si="646"/>
        <v>678</v>
      </c>
      <c r="J616" s="73">
        <f t="shared" si="633"/>
        <v>0.02593924554</v>
      </c>
      <c r="K616" s="66">
        <f t="shared" si="634"/>
        <v>0.02593924554</v>
      </c>
      <c r="L616" s="29" t="s">
        <v>260</v>
      </c>
    </row>
    <row r="617">
      <c r="A617" s="11" t="s">
        <v>339</v>
      </c>
      <c r="B617" s="11" t="s">
        <v>317</v>
      </c>
      <c r="C617" s="74" t="s">
        <v>921</v>
      </c>
      <c r="D617" s="74" t="s">
        <v>313</v>
      </c>
      <c r="E617" s="11" t="s">
        <v>74</v>
      </c>
      <c r="F617" s="11">
        <v>2011.0</v>
      </c>
      <c r="G617" s="40">
        <v>25932.0</v>
      </c>
      <c r="H617" s="40">
        <f t="shared" ref="H617:I617" si="647">F617-F616</f>
        <v>1</v>
      </c>
      <c r="I617" s="40">
        <f t="shared" si="647"/>
        <v>-884</v>
      </c>
      <c r="J617" s="73">
        <f t="shared" si="633"/>
        <v>-0.03296539379</v>
      </c>
      <c r="K617" s="66">
        <f t="shared" si="634"/>
        <v>-0.03296539379</v>
      </c>
      <c r="L617" s="29" t="s">
        <v>260</v>
      </c>
    </row>
    <row r="618">
      <c r="A618" s="11" t="s">
        <v>339</v>
      </c>
      <c r="B618" s="11" t="s">
        <v>317</v>
      </c>
      <c r="C618" s="74" t="s">
        <v>921</v>
      </c>
      <c r="D618" s="74" t="s">
        <v>313</v>
      </c>
      <c r="E618" s="11" t="s">
        <v>74</v>
      </c>
      <c r="F618" s="11">
        <v>2012.0</v>
      </c>
      <c r="G618" s="40">
        <v>26653.0</v>
      </c>
      <c r="H618" s="40">
        <f t="shared" ref="H618:I618" si="648">F618-F617</f>
        <v>1</v>
      </c>
      <c r="I618" s="40">
        <f t="shared" si="648"/>
        <v>721</v>
      </c>
      <c r="J618" s="73">
        <f t="shared" si="633"/>
        <v>0.02780348604</v>
      </c>
      <c r="K618" s="66">
        <f t="shared" si="634"/>
        <v>0.02780348604</v>
      </c>
      <c r="L618" s="29" t="s">
        <v>260</v>
      </c>
    </row>
    <row r="619">
      <c r="A619" s="11" t="s">
        <v>339</v>
      </c>
      <c r="B619" s="11" t="s">
        <v>317</v>
      </c>
      <c r="C619" s="74" t="s">
        <v>921</v>
      </c>
      <c r="D619" s="74" t="s">
        <v>313</v>
      </c>
      <c r="E619" s="11" t="s">
        <v>74</v>
      </c>
      <c r="F619" s="11">
        <v>2013.0</v>
      </c>
      <c r="G619" s="40">
        <v>26360.0</v>
      </c>
      <c r="H619" s="40">
        <f t="shared" ref="H619:I619" si="649">F619-F618</f>
        <v>1</v>
      </c>
      <c r="I619" s="40">
        <f t="shared" si="649"/>
        <v>-293</v>
      </c>
      <c r="J619" s="73">
        <f t="shared" si="633"/>
        <v>-0.01099313398</v>
      </c>
      <c r="K619" s="66">
        <f t="shared" si="634"/>
        <v>-0.01099313398</v>
      </c>
      <c r="L619" s="29" t="s">
        <v>260</v>
      </c>
    </row>
    <row r="620">
      <c r="A620" s="11" t="s">
        <v>339</v>
      </c>
      <c r="B620" s="11" t="s">
        <v>317</v>
      </c>
      <c r="C620" s="74" t="s">
        <v>921</v>
      </c>
      <c r="D620" s="74" t="s">
        <v>313</v>
      </c>
      <c r="E620" s="11" t="s">
        <v>74</v>
      </c>
      <c r="F620" s="11">
        <v>2014.0</v>
      </c>
      <c r="G620" s="40">
        <v>25560.0</v>
      </c>
      <c r="H620" s="40">
        <f t="shared" ref="H620:I620" si="650">F620-F619</f>
        <v>1</v>
      </c>
      <c r="I620" s="40">
        <f t="shared" si="650"/>
        <v>-800</v>
      </c>
      <c r="J620" s="73">
        <f t="shared" si="633"/>
        <v>-0.03034901366</v>
      </c>
      <c r="K620" s="66">
        <f t="shared" si="634"/>
        <v>-0.03034901366</v>
      </c>
      <c r="L620" s="29" t="s">
        <v>260</v>
      </c>
    </row>
    <row r="621">
      <c r="A621" s="11" t="s">
        <v>339</v>
      </c>
      <c r="B621" s="11" t="s">
        <v>317</v>
      </c>
      <c r="C621" s="74" t="s">
        <v>921</v>
      </c>
      <c r="D621" s="74" t="s">
        <v>313</v>
      </c>
      <c r="E621" s="11" t="s">
        <v>74</v>
      </c>
      <c r="F621" s="11">
        <v>2015.0</v>
      </c>
      <c r="G621" s="40">
        <v>24971.0</v>
      </c>
      <c r="H621" s="40">
        <f t="shared" ref="H621:I621" si="651">F621-F620</f>
        <v>1</v>
      </c>
      <c r="I621" s="40">
        <f t="shared" si="651"/>
        <v>-589</v>
      </c>
      <c r="J621" s="73">
        <f t="shared" si="633"/>
        <v>-0.02304381847</v>
      </c>
      <c r="K621" s="66">
        <f t="shared" si="634"/>
        <v>-0.02304381847</v>
      </c>
      <c r="L621" s="29" t="s">
        <v>260</v>
      </c>
    </row>
    <row r="622">
      <c r="A622" s="11" t="s">
        <v>339</v>
      </c>
      <c r="B622" s="11" t="s">
        <v>317</v>
      </c>
      <c r="C622" s="74" t="s">
        <v>921</v>
      </c>
      <c r="D622" s="74" t="s">
        <v>313</v>
      </c>
      <c r="E622" s="11" t="s">
        <v>74</v>
      </c>
      <c r="F622" s="11">
        <v>2016.0</v>
      </c>
      <c r="G622" s="40">
        <v>25946.0</v>
      </c>
      <c r="H622" s="40">
        <f t="shared" ref="H622:I622" si="652">F622-F621</f>
        <v>1</v>
      </c>
      <c r="I622" s="40">
        <f t="shared" si="652"/>
        <v>975</v>
      </c>
      <c r="J622" s="73">
        <f t="shared" si="633"/>
        <v>0.03904529254</v>
      </c>
      <c r="K622" s="66">
        <f t="shared" si="634"/>
        <v>0.03904529254</v>
      </c>
      <c r="L622" s="29" t="s">
        <v>260</v>
      </c>
    </row>
    <row r="623">
      <c r="A623" s="11" t="s">
        <v>339</v>
      </c>
      <c r="B623" s="11" t="s">
        <v>317</v>
      </c>
      <c r="C623" s="74" t="s">
        <v>921</v>
      </c>
      <c r="D623" s="74" t="s">
        <v>313</v>
      </c>
      <c r="E623" s="11" t="s">
        <v>74</v>
      </c>
      <c r="F623" s="11">
        <v>2017.0</v>
      </c>
      <c r="G623" s="40">
        <v>27005.0</v>
      </c>
      <c r="H623" s="40">
        <f t="shared" ref="H623:I623" si="653">F623-F622</f>
        <v>1</v>
      </c>
      <c r="I623" s="40">
        <f t="shared" si="653"/>
        <v>1059</v>
      </c>
      <c r="J623" s="73">
        <f t="shared" si="633"/>
        <v>0.04081553997</v>
      </c>
      <c r="K623" s="66">
        <f t="shared" si="634"/>
        <v>0.04081553997</v>
      </c>
      <c r="L623" s="29" t="s">
        <v>260</v>
      </c>
    </row>
    <row r="624">
      <c r="A624" s="11" t="s">
        <v>339</v>
      </c>
      <c r="B624" s="11" t="s">
        <v>317</v>
      </c>
      <c r="C624" s="74" t="s">
        <v>921</v>
      </c>
      <c r="D624" s="74" t="s">
        <v>313</v>
      </c>
      <c r="E624" s="11" t="s">
        <v>74</v>
      </c>
      <c r="F624" s="11">
        <v>2018.0</v>
      </c>
      <c r="G624" s="40">
        <v>27684.0</v>
      </c>
      <c r="H624" s="40">
        <f t="shared" ref="H624:I624" si="654">F624-F623</f>
        <v>1</v>
      </c>
      <c r="I624" s="40">
        <f t="shared" si="654"/>
        <v>679</v>
      </c>
      <c r="J624" s="73">
        <f t="shared" si="633"/>
        <v>0.02514349195</v>
      </c>
      <c r="K624" s="66">
        <f t="shared" si="634"/>
        <v>0.02514349195</v>
      </c>
      <c r="L624" s="29" t="s">
        <v>260</v>
      </c>
    </row>
    <row r="625">
      <c r="A625" s="59" t="s">
        <v>936</v>
      </c>
      <c r="B625" s="59" t="s">
        <v>317</v>
      </c>
      <c r="C625" s="59" t="s">
        <v>937</v>
      </c>
      <c r="D625" s="59" t="s">
        <v>938</v>
      </c>
      <c r="E625" s="59" t="s">
        <v>74</v>
      </c>
      <c r="F625" s="105">
        <v>1984.0</v>
      </c>
      <c r="G625" s="89">
        <v>3072.0</v>
      </c>
      <c r="H625" s="89" t="s">
        <v>188</v>
      </c>
      <c r="I625" s="89" t="s">
        <v>188</v>
      </c>
      <c r="J625" s="89" t="s">
        <v>188</v>
      </c>
      <c r="K625" s="89" t="s">
        <v>188</v>
      </c>
      <c r="L625" s="106" t="s">
        <v>939</v>
      </c>
      <c r="M625" s="54"/>
      <c r="N625" s="54"/>
      <c r="O625" s="54"/>
      <c r="P625" s="54"/>
      <c r="Q625" s="54"/>
      <c r="R625" s="54"/>
      <c r="S625" s="54"/>
      <c r="T625" s="54"/>
      <c r="U625" s="54"/>
      <c r="V625" s="54"/>
      <c r="W625" s="54"/>
      <c r="X625" s="54"/>
      <c r="Y625" s="54"/>
      <c r="Z625" s="54"/>
      <c r="AA625" s="54"/>
      <c r="AB625" s="54"/>
      <c r="AC625" s="54"/>
      <c r="AD625" s="54"/>
      <c r="AE625" s="54"/>
    </row>
    <row r="626">
      <c r="A626" s="59" t="s">
        <v>936</v>
      </c>
      <c r="B626" s="59" t="s">
        <v>317</v>
      </c>
      <c r="C626" s="59" t="s">
        <v>937</v>
      </c>
      <c r="D626" s="59" t="s">
        <v>938</v>
      </c>
      <c r="E626" s="59" t="s">
        <v>74</v>
      </c>
      <c r="F626" s="105">
        <v>1985.0</v>
      </c>
      <c r="G626" s="89">
        <v>2264.0</v>
      </c>
      <c r="H626" s="89" t="s">
        <v>188</v>
      </c>
      <c r="I626" s="89" t="s">
        <v>188</v>
      </c>
      <c r="J626" s="89" t="s">
        <v>188</v>
      </c>
      <c r="K626" s="89" t="s">
        <v>188</v>
      </c>
      <c r="L626" s="106" t="s">
        <v>939</v>
      </c>
      <c r="M626" s="54"/>
      <c r="N626" s="54"/>
      <c r="O626" s="54"/>
      <c r="P626" s="54"/>
      <c r="Q626" s="54"/>
      <c r="R626" s="54"/>
      <c r="S626" s="54"/>
      <c r="T626" s="54"/>
      <c r="U626" s="54"/>
      <c r="V626" s="54"/>
      <c r="W626" s="54"/>
      <c r="X626" s="54"/>
      <c r="Y626" s="54"/>
      <c r="Z626" s="54"/>
      <c r="AA626" s="54"/>
      <c r="AB626" s="54"/>
      <c r="AC626" s="54"/>
      <c r="AD626" s="54"/>
      <c r="AE626" s="54"/>
    </row>
    <row r="627">
      <c r="A627" s="59" t="s">
        <v>936</v>
      </c>
      <c r="B627" s="59" t="s">
        <v>317</v>
      </c>
      <c r="C627" s="59" t="s">
        <v>937</v>
      </c>
      <c r="D627" s="59" t="s">
        <v>938</v>
      </c>
      <c r="E627" s="59" t="s">
        <v>74</v>
      </c>
      <c r="F627" s="105">
        <v>1986.0</v>
      </c>
      <c r="G627" s="89">
        <v>1748.0</v>
      </c>
      <c r="H627" s="89" t="s">
        <v>188</v>
      </c>
      <c r="I627" s="89" t="s">
        <v>188</v>
      </c>
      <c r="J627" s="89" t="s">
        <v>188</v>
      </c>
      <c r="K627" s="89" t="s">
        <v>188</v>
      </c>
      <c r="L627" s="106" t="s">
        <v>939</v>
      </c>
      <c r="M627" s="54"/>
      <c r="N627" s="54"/>
      <c r="O627" s="54"/>
      <c r="P627" s="54"/>
      <c r="Q627" s="54"/>
      <c r="R627" s="54"/>
      <c r="S627" s="54"/>
      <c r="T627" s="54"/>
      <c r="U627" s="54"/>
      <c r="V627" s="54"/>
      <c r="W627" s="54"/>
      <c r="X627" s="54"/>
      <c r="Y627" s="54"/>
      <c r="Z627" s="54"/>
      <c r="AA627" s="54"/>
      <c r="AB627" s="54"/>
      <c r="AC627" s="54"/>
      <c r="AD627" s="54"/>
      <c r="AE627" s="54"/>
    </row>
    <row r="628">
      <c r="A628" s="59" t="s">
        <v>936</v>
      </c>
      <c r="B628" s="59" t="s">
        <v>317</v>
      </c>
      <c r="C628" s="59" t="s">
        <v>937</v>
      </c>
      <c r="D628" s="59" t="s">
        <v>938</v>
      </c>
      <c r="E628" s="59" t="s">
        <v>74</v>
      </c>
      <c r="F628" s="105">
        <v>1987.0</v>
      </c>
      <c r="G628" s="89">
        <v>4313.0</v>
      </c>
      <c r="H628" s="89" t="s">
        <v>188</v>
      </c>
      <c r="I628" s="89" t="s">
        <v>188</v>
      </c>
      <c r="J628" s="89" t="s">
        <v>188</v>
      </c>
      <c r="K628" s="89" t="s">
        <v>188</v>
      </c>
      <c r="L628" s="106" t="s">
        <v>939</v>
      </c>
      <c r="M628" s="54"/>
      <c r="N628" s="54"/>
      <c r="O628" s="54"/>
      <c r="P628" s="54"/>
      <c r="Q628" s="54"/>
      <c r="R628" s="54"/>
      <c r="S628" s="54"/>
      <c r="T628" s="54"/>
      <c r="U628" s="54"/>
      <c r="V628" s="54"/>
      <c r="W628" s="54"/>
      <c r="X628" s="54"/>
      <c r="Y628" s="54"/>
      <c r="Z628" s="54"/>
      <c r="AA628" s="54"/>
      <c r="AB628" s="54"/>
      <c r="AC628" s="54"/>
      <c r="AD628" s="54"/>
      <c r="AE628" s="54"/>
    </row>
    <row r="629">
      <c r="A629" s="59" t="s">
        <v>936</v>
      </c>
      <c r="B629" s="59" t="s">
        <v>317</v>
      </c>
      <c r="C629" s="59" t="s">
        <v>937</v>
      </c>
      <c r="D629" s="59" t="s">
        <v>938</v>
      </c>
      <c r="E629" s="59" t="s">
        <v>74</v>
      </c>
      <c r="F629" s="105">
        <v>1988.0</v>
      </c>
      <c r="G629" s="89">
        <v>3944.0</v>
      </c>
      <c r="H629" s="89" t="s">
        <v>188</v>
      </c>
      <c r="I629" s="89" t="s">
        <v>188</v>
      </c>
      <c r="J629" s="89" t="s">
        <v>188</v>
      </c>
      <c r="K629" s="89" t="s">
        <v>188</v>
      </c>
      <c r="L629" s="106" t="s">
        <v>939</v>
      </c>
      <c r="M629" s="54"/>
      <c r="N629" s="54"/>
      <c r="O629" s="54"/>
      <c r="P629" s="54"/>
      <c r="Q629" s="54"/>
      <c r="R629" s="54"/>
      <c r="S629" s="54"/>
      <c r="T629" s="54"/>
      <c r="U629" s="54"/>
      <c r="V629" s="54"/>
      <c r="W629" s="54"/>
      <c r="X629" s="54"/>
      <c r="Y629" s="54"/>
      <c r="Z629" s="54"/>
      <c r="AA629" s="54"/>
      <c r="AB629" s="54"/>
      <c r="AC629" s="54"/>
      <c r="AD629" s="54"/>
      <c r="AE629" s="54"/>
    </row>
    <row r="630">
      <c r="A630" s="59" t="s">
        <v>936</v>
      </c>
      <c r="B630" s="59" t="s">
        <v>317</v>
      </c>
      <c r="C630" s="59" t="s">
        <v>937</v>
      </c>
      <c r="D630" s="59" t="s">
        <v>938</v>
      </c>
      <c r="E630" s="59" t="s">
        <v>74</v>
      </c>
      <c r="F630" s="105">
        <v>1989.0</v>
      </c>
      <c r="G630" s="89">
        <v>4309.0</v>
      </c>
      <c r="H630" s="89" t="s">
        <v>188</v>
      </c>
      <c r="I630" s="89" t="s">
        <v>188</v>
      </c>
      <c r="J630" s="89" t="s">
        <v>188</v>
      </c>
      <c r="K630" s="89" t="s">
        <v>188</v>
      </c>
      <c r="L630" s="106" t="s">
        <v>939</v>
      </c>
      <c r="M630" s="54"/>
      <c r="N630" s="54"/>
      <c r="O630" s="54"/>
      <c r="P630" s="54"/>
      <c r="Q630" s="54"/>
      <c r="R630" s="54"/>
      <c r="S630" s="54"/>
      <c r="T630" s="54"/>
      <c r="U630" s="54"/>
      <c r="V630" s="54"/>
      <c r="W630" s="54"/>
      <c r="X630" s="54"/>
      <c r="Y630" s="54"/>
      <c r="Z630" s="54"/>
      <c r="AA630" s="54"/>
      <c r="AB630" s="54"/>
      <c r="AC630" s="54"/>
      <c r="AD630" s="54"/>
      <c r="AE630" s="54"/>
    </row>
    <row r="631">
      <c r="A631" s="59" t="s">
        <v>936</v>
      </c>
      <c r="B631" s="59" t="s">
        <v>317</v>
      </c>
      <c r="C631" s="59" t="s">
        <v>937</v>
      </c>
      <c r="D631" s="59" t="s">
        <v>938</v>
      </c>
      <c r="E631" s="59" t="s">
        <v>74</v>
      </c>
      <c r="F631" s="105">
        <v>1990.0</v>
      </c>
      <c r="G631" s="89">
        <v>2840.0</v>
      </c>
      <c r="H631" s="89" t="s">
        <v>188</v>
      </c>
      <c r="I631" s="89" t="s">
        <v>188</v>
      </c>
      <c r="J631" s="89" t="s">
        <v>188</v>
      </c>
      <c r="K631" s="89" t="s">
        <v>188</v>
      </c>
      <c r="L631" s="106" t="s">
        <v>939</v>
      </c>
      <c r="M631" s="54"/>
      <c r="N631" s="54"/>
      <c r="O631" s="54"/>
      <c r="P631" s="54"/>
      <c r="Q631" s="54"/>
      <c r="R631" s="54"/>
      <c r="S631" s="54"/>
      <c r="T631" s="54"/>
      <c r="U631" s="54"/>
      <c r="V631" s="54"/>
      <c r="W631" s="54"/>
      <c r="X631" s="54"/>
      <c r="Y631" s="54"/>
      <c r="Z631" s="54"/>
      <c r="AA631" s="54"/>
      <c r="AB631" s="54"/>
      <c r="AC631" s="54"/>
      <c r="AD631" s="54"/>
      <c r="AE631" s="54"/>
    </row>
    <row r="632">
      <c r="A632" s="59" t="s">
        <v>936</v>
      </c>
      <c r="B632" s="59" t="s">
        <v>317</v>
      </c>
      <c r="C632" s="59" t="s">
        <v>937</v>
      </c>
      <c r="D632" s="59" t="s">
        <v>938</v>
      </c>
      <c r="E632" s="59" t="s">
        <v>74</v>
      </c>
      <c r="F632" s="105">
        <v>1991.0</v>
      </c>
      <c r="G632" s="89">
        <v>4598.0</v>
      </c>
      <c r="H632" s="89" t="s">
        <v>188</v>
      </c>
      <c r="I632" s="89" t="s">
        <v>188</v>
      </c>
      <c r="J632" s="89" t="s">
        <v>188</v>
      </c>
      <c r="K632" s="89" t="s">
        <v>188</v>
      </c>
      <c r="L632" s="106" t="s">
        <v>939</v>
      </c>
      <c r="M632" s="54"/>
      <c r="N632" s="54"/>
      <c r="O632" s="54"/>
      <c r="P632" s="54"/>
      <c r="Q632" s="54"/>
      <c r="R632" s="54"/>
      <c r="S632" s="54"/>
      <c r="T632" s="54"/>
      <c r="U632" s="54"/>
      <c r="V632" s="54"/>
      <c r="W632" s="54"/>
      <c r="X632" s="54"/>
      <c r="Y632" s="54"/>
      <c r="Z632" s="54"/>
      <c r="AA632" s="54"/>
      <c r="AB632" s="54"/>
      <c r="AC632" s="54"/>
      <c r="AD632" s="54"/>
      <c r="AE632" s="54"/>
    </row>
    <row r="633">
      <c r="A633" s="59" t="s">
        <v>936</v>
      </c>
      <c r="B633" s="59" t="s">
        <v>317</v>
      </c>
      <c r="C633" s="59" t="s">
        <v>937</v>
      </c>
      <c r="D633" s="59" t="s">
        <v>938</v>
      </c>
      <c r="E633" s="59" t="s">
        <v>74</v>
      </c>
      <c r="F633" s="105">
        <v>1992.0</v>
      </c>
      <c r="G633" s="89">
        <v>4376.0</v>
      </c>
      <c r="H633" s="89" t="s">
        <v>188</v>
      </c>
      <c r="I633" s="89" t="s">
        <v>188</v>
      </c>
      <c r="J633" s="89" t="s">
        <v>188</v>
      </c>
      <c r="K633" s="89" t="s">
        <v>188</v>
      </c>
      <c r="L633" s="106" t="s">
        <v>939</v>
      </c>
      <c r="M633" s="54"/>
      <c r="N633" s="54"/>
      <c r="O633" s="54"/>
      <c r="P633" s="54"/>
      <c r="Q633" s="54"/>
      <c r="R633" s="54"/>
      <c r="S633" s="54"/>
      <c r="T633" s="54"/>
      <c r="U633" s="54"/>
      <c r="V633" s="54"/>
      <c r="W633" s="54"/>
      <c r="X633" s="54"/>
      <c r="Y633" s="54"/>
      <c r="Z633" s="54"/>
      <c r="AA633" s="54"/>
      <c r="AB633" s="54"/>
      <c r="AC633" s="54"/>
      <c r="AD633" s="54"/>
      <c r="AE633" s="54"/>
    </row>
    <row r="634">
      <c r="A634" s="59" t="s">
        <v>936</v>
      </c>
      <c r="B634" s="59" t="s">
        <v>317</v>
      </c>
      <c r="C634" s="59" t="s">
        <v>937</v>
      </c>
      <c r="D634" s="59" t="s">
        <v>938</v>
      </c>
      <c r="E634" s="59" t="s">
        <v>74</v>
      </c>
      <c r="F634" s="105">
        <v>1993.0</v>
      </c>
      <c r="G634" s="89">
        <v>3200.0</v>
      </c>
      <c r="H634" s="89" t="s">
        <v>188</v>
      </c>
      <c r="I634" s="89" t="s">
        <v>188</v>
      </c>
      <c r="J634" s="89" t="s">
        <v>188</v>
      </c>
      <c r="K634" s="89" t="s">
        <v>188</v>
      </c>
      <c r="L634" s="106" t="s">
        <v>939</v>
      </c>
      <c r="M634" s="54"/>
      <c r="N634" s="54"/>
      <c r="O634" s="54"/>
      <c r="P634" s="54"/>
      <c r="Q634" s="54"/>
      <c r="R634" s="54"/>
      <c r="S634" s="54"/>
      <c r="T634" s="54"/>
      <c r="U634" s="54"/>
      <c r="V634" s="54"/>
      <c r="W634" s="54"/>
      <c r="X634" s="54"/>
      <c r="Y634" s="54"/>
      <c r="Z634" s="54"/>
      <c r="AA634" s="54"/>
      <c r="AB634" s="54"/>
      <c r="AC634" s="54"/>
      <c r="AD634" s="54"/>
      <c r="AE634" s="54"/>
    </row>
    <row r="635">
      <c r="A635" s="59" t="s">
        <v>936</v>
      </c>
      <c r="B635" s="59" t="s">
        <v>317</v>
      </c>
      <c r="C635" s="59" t="s">
        <v>937</v>
      </c>
      <c r="D635" s="59" t="s">
        <v>938</v>
      </c>
      <c r="E635" s="59" t="s">
        <v>74</v>
      </c>
      <c r="F635" s="105">
        <v>1994.0</v>
      </c>
      <c r="G635" s="89">
        <v>4225.0</v>
      </c>
      <c r="H635" s="89" t="s">
        <v>188</v>
      </c>
      <c r="I635" s="89" t="s">
        <v>188</v>
      </c>
      <c r="J635" s="89" t="s">
        <v>188</v>
      </c>
      <c r="K635" s="89" t="s">
        <v>188</v>
      </c>
      <c r="L635" s="106" t="s">
        <v>939</v>
      </c>
      <c r="M635" s="54"/>
      <c r="N635" s="54"/>
      <c r="O635" s="54"/>
      <c r="P635" s="54"/>
      <c r="Q635" s="54"/>
      <c r="R635" s="54"/>
      <c r="S635" s="54"/>
      <c r="T635" s="54"/>
      <c r="U635" s="54"/>
      <c r="V635" s="54"/>
      <c r="W635" s="54"/>
      <c r="X635" s="54"/>
      <c r="Y635" s="54"/>
      <c r="Z635" s="54"/>
      <c r="AA635" s="54"/>
      <c r="AB635" s="54"/>
      <c r="AC635" s="54"/>
      <c r="AD635" s="54"/>
      <c r="AE635" s="54"/>
    </row>
    <row r="636">
      <c r="A636" s="59" t="s">
        <v>936</v>
      </c>
      <c r="B636" s="59" t="s">
        <v>317</v>
      </c>
      <c r="C636" s="59" t="s">
        <v>937</v>
      </c>
      <c r="D636" s="59" t="s">
        <v>938</v>
      </c>
      <c r="E636" s="59" t="s">
        <v>74</v>
      </c>
      <c r="F636" s="105">
        <v>1995.0</v>
      </c>
      <c r="G636" s="89">
        <v>2976.0</v>
      </c>
      <c r="H636" s="89" t="s">
        <v>188</v>
      </c>
      <c r="I636" s="89" t="s">
        <v>188</v>
      </c>
      <c r="J636" s="89" t="s">
        <v>188</v>
      </c>
      <c r="K636" s="89" t="s">
        <v>188</v>
      </c>
      <c r="L636" s="106" t="s">
        <v>939</v>
      </c>
      <c r="M636" s="54"/>
      <c r="N636" s="54"/>
      <c r="O636" s="54"/>
      <c r="P636" s="54"/>
      <c r="Q636" s="54"/>
      <c r="R636" s="54"/>
      <c r="S636" s="54"/>
      <c r="T636" s="54"/>
      <c r="U636" s="54"/>
      <c r="V636" s="54"/>
      <c r="W636" s="54"/>
      <c r="X636" s="54"/>
      <c r="Y636" s="54"/>
      <c r="Z636" s="54"/>
      <c r="AA636" s="54"/>
      <c r="AB636" s="54"/>
      <c r="AC636" s="54"/>
      <c r="AD636" s="54"/>
      <c r="AE636" s="54"/>
    </row>
    <row r="637">
      <c r="A637" s="59" t="s">
        <v>936</v>
      </c>
      <c r="B637" s="59" t="s">
        <v>317</v>
      </c>
      <c r="C637" s="59" t="s">
        <v>937</v>
      </c>
      <c r="D637" s="59" t="s">
        <v>938</v>
      </c>
      <c r="E637" s="59" t="s">
        <v>74</v>
      </c>
      <c r="F637" s="105">
        <v>2000.0</v>
      </c>
      <c r="G637" s="89">
        <v>3699.0</v>
      </c>
      <c r="H637" s="89" t="s">
        <v>188</v>
      </c>
      <c r="I637" s="89" t="s">
        <v>188</v>
      </c>
      <c r="J637" s="89" t="s">
        <v>188</v>
      </c>
      <c r="K637" s="89" t="s">
        <v>188</v>
      </c>
      <c r="L637" s="106" t="s">
        <v>939</v>
      </c>
      <c r="M637" s="54"/>
      <c r="N637" s="54"/>
      <c r="O637" s="54"/>
      <c r="P637" s="54"/>
      <c r="Q637" s="54"/>
      <c r="R637" s="54"/>
      <c r="S637" s="54"/>
      <c r="T637" s="54"/>
      <c r="U637" s="54"/>
      <c r="V637" s="54"/>
      <c r="W637" s="54"/>
      <c r="X637" s="54"/>
      <c r="Y637" s="54"/>
      <c r="Z637" s="54"/>
      <c r="AA637" s="54"/>
      <c r="AB637" s="54"/>
      <c r="AC637" s="54"/>
      <c r="AD637" s="54"/>
      <c r="AE637" s="54"/>
    </row>
    <row r="638">
      <c r="A638" s="59" t="s">
        <v>936</v>
      </c>
      <c r="B638" s="59" t="s">
        <v>317</v>
      </c>
      <c r="C638" s="59" t="s">
        <v>937</v>
      </c>
      <c r="D638" s="59" t="s">
        <v>938</v>
      </c>
      <c r="E638" s="59" t="s">
        <v>74</v>
      </c>
      <c r="F638" s="105">
        <v>2002.0</v>
      </c>
      <c r="G638" s="89">
        <v>3768.0</v>
      </c>
      <c r="H638" s="89" t="s">
        <v>188</v>
      </c>
      <c r="I638" s="89" t="s">
        <v>188</v>
      </c>
      <c r="J638" s="89" t="s">
        <v>188</v>
      </c>
      <c r="K638" s="89" t="s">
        <v>188</v>
      </c>
      <c r="L638" s="106" t="s">
        <v>939</v>
      </c>
      <c r="M638" s="54"/>
      <c r="N638" s="54"/>
      <c r="O638" s="54"/>
      <c r="P638" s="54"/>
      <c r="Q638" s="54"/>
      <c r="R638" s="54"/>
      <c r="S638" s="54"/>
      <c r="T638" s="54"/>
      <c r="U638" s="54"/>
      <c r="V638" s="54"/>
      <c r="W638" s="54"/>
      <c r="X638" s="54"/>
      <c r="Y638" s="54"/>
      <c r="Z638" s="54"/>
      <c r="AA638" s="54"/>
      <c r="AB638" s="54"/>
      <c r="AC638" s="54"/>
      <c r="AD638" s="54"/>
      <c r="AE638" s="54"/>
    </row>
    <row r="639">
      <c r="A639" s="59" t="s">
        <v>936</v>
      </c>
      <c r="B639" s="59" t="s">
        <v>317</v>
      </c>
      <c r="C639" s="59" t="s">
        <v>937</v>
      </c>
      <c r="D639" s="59" t="s">
        <v>938</v>
      </c>
      <c r="E639" s="59" t="s">
        <v>74</v>
      </c>
      <c r="F639" s="105">
        <v>2004.0</v>
      </c>
      <c r="G639" s="89">
        <v>4277.0</v>
      </c>
      <c r="H639" s="89" t="s">
        <v>188</v>
      </c>
      <c r="I639" s="89" t="s">
        <v>188</v>
      </c>
      <c r="J639" s="89" t="s">
        <v>188</v>
      </c>
      <c r="K639" s="89" t="s">
        <v>188</v>
      </c>
      <c r="L639" s="106" t="s">
        <v>939</v>
      </c>
      <c r="M639" s="54"/>
      <c r="N639" s="54"/>
      <c r="O639" s="54"/>
      <c r="P639" s="54"/>
      <c r="Q639" s="54"/>
      <c r="R639" s="54"/>
      <c r="S639" s="54"/>
      <c r="T639" s="54"/>
      <c r="U639" s="54"/>
      <c r="V639" s="54"/>
      <c r="W639" s="54"/>
      <c r="X639" s="54"/>
      <c r="Y639" s="54"/>
      <c r="Z639" s="54"/>
      <c r="AA639" s="54"/>
      <c r="AB639" s="54"/>
      <c r="AC639" s="54"/>
      <c r="AD639" s="54"/>
      <c r="AE639" s="54"/>
    </row>
    <row r="640">
      <c r="A640" s="59" t="s">
        <v>936</v>
      </c>
      <c r="B640" s="59" t="s">
        <v>317</v>
      </c>
      <c r="C640" s="59" t="s">
        <v>937</v>
      </c>
      <c r="D640" s="59" t="s">
        <v>938</v>
      </c>
      <c r="E640" s="59" t="s">
        <v>74</v>
      </c>
      <c r="F640" s="105">
        <v>2007.0</v>
      </c>
      <c r="G640" s="89">
        <v>3831.0</v>
      </c>
      <c r="H640" s="89" t="s">
        <v>188</v>
      </c>
      <c r="I640" s="89" t="s">
        <v>188</v>
      </c>
      <c r="J640" s="89" t="s">
        <v>188</v>
      </c>
      <c r="K640" s="89" t="s">
        <v>188</v>
      </c>
      <c r="L640" s="106" t="s">
        <v>939</v>
      </c>
      <c r="M640" s="54"/>
      <c r="N640" s="54"/>
      <c r="O640" s="54"/>
      <c r="P640" s="54"/>
      <c r="Q640" s="54"/>
      <c r="R640" s="54"/>
      <c r="S640" s="54"/>
      <c r="T640" s="54"/>
      <c r="U640" s="54"/>
      <c r="V640" s="54"/>
      <c r="W640" s="54"/>
      <c r="X640" s="54"/>
      <c r="Y640" s="54"/>
      <c r="Z640" s="54"/>
      <c r="AA640" s="54"/>
      <c r="AB640" s="54"/>
      <c r="AC640" s="54"/>
      <c r="AD640" s="54"/>
      <c r="AE640" s="54"/>
    </row>
    <row r="641">
      <c r="A641" s="59" t="s">
        <v>936</v>
      </c>
      <c r="B641" s="59" t="s">
        <v>317</v>
      </c>
      <c r="C641" s="59" t="s">
        <v>937</v>
      </c>
      <c r="D641" s="59" t="s">
        <v>938</v>
      </c>
      <c r="E641" s="59" t="s">
        <v>74</v>
      </c>
      <c r="F641" s="105">
        <v>2009.0</v>
      </c>
      <c r="G641" s="89">
        <v>3460.0</v>
      </c>
      <c r="H641" s="89" t="s">
        <v>188</v>
      </c>
      <c r="I641" s="89" t="s">
        <v>188</v>
      </c>
      <c r="J641" s="89" t="s">
        <v>188</v>
      </c>
      <c r="K641" s="89" t="s">
        <v>188</v>
      </c>
      <c r="L641" s="106" t="s">
        <v>939</v>
      </c>
      <c r="M641" s="54"/>
      <c r="N641" s="54"/>
      <c r="O641" s="54"/>
      <c r="P641" s="54"/>
      <c r="Q641" s="54"/>
      <c r="R641" s="54"/>
      <c r="S641" s="54"/>
      <c r="T641" s="54"/>
      <c r="U641" s="54"/>
      <c r="V641" s="54"/>
      <c r="W641" s="54"/>
      <c r="X641" s="54"/>
      <c r="Y641" s="54"/>
      <c r="Z641" s="54"/>
      <c r="AA641" s="54"/>
      <c r="AB641" s="54"/>
      <c r="AC641" s="54"/>
      <c r="AD641" s="54"/>
      <c r="AE641" s="54"/>
    </row>
    <row r="642">
      <c r="A642" s="59" t="s">
        <v>936</v>
      </c>
      <c r="B642" s="59" t="s">
        <v>317</v>
      </c>
      <c r="C642" s="59" t="s">
        <v>937</v>
      </c>
      <c r="D642" s="59" t="s">
        <v>938</v>
      </c>
      <c r="E642" s="59" t="s">
        <v>74</v>
      </c>
      <c r="F642" s="105">
        <v>2012.0</v>
      </c>
      <c r="G642" s="89">
        <v>4481.0</v>
      </c>
      <c r="H642" s="89" t="s">
        <v>188</v>
      </c>
      <c r="I642" s="89" t="s">
        <v>188</v>
      </c>
      <c r="J642" s="89" t="s">
        <v>188</v>
      </c>
      <c r="K642" s="89" t="s">
        <v>188</v>
      </c>
      <c r="L642" s="106" t="s">
        <v>939</v>
      </c>
      <c r="M642" s="54"/>
      <c r="N642" s="54"/>
      <c r="O642" s="54"/>
      <c r="P642" s="54"/>
      <c r="Q642" s="54"/>
      <c r="R642" s="54"/>
      <c r="S642" s="54"/>
      <c r="T642" s="54"/>
      <c r="U642" s="54"/>
      <c r="V642" s="54"/>
      <c r="W642" s="54"/>
      <c r="X642" s="54"/>
      <c r="Y642" s="54"/>
      <c r="Z642" s="54"/>
      <c r="AA642" s="54"/>
      <c r="AB642" s="54"/>
      <c r="AC642" s="54"/>
      <c r="AD642" s="54"/>
      <c r="AE642" s="54"/>
    </row>
    <row r="643">
      <c r="A643" s="59" t="s">
        <v>949</v>
      </c>
      <c r="B643" s="59" t="s">
        <v>317</v>
      </c>
      <c r="C643" s="11" t="s">
        <v>950</v>
      </c>
      <c r="D643" s="59" t="s">
        <v>938</v>
      </c>
      <c r="E643" s="59" t="s">
        <v>74</v>
      </c>
      <c r="F643" s="105">
        <v>1982.0</v>
      </c>
      <c r="G643" s="89">
        <v>12759.0</v>
      </c>
      <c r="H643" s="89" t="s">
        <v>188</v>
      </c>
      <c r="I643" s="89" t="s">
        <v>188</v>
      </c>
      <c r="J643" s="89" t="s">
        <v>188</v>
      </c>
      <c r="K643" s="89" t="s">
        <v>188</v>
      </c>
      <c r="L643" s="106" t="s">
        <v>939</v>
      </c>
      <c r="M643" s="54"/>
      <c r="N643" s="54"/>
      <c r="O643" s="54"/>
      <c r="P643" s="54"/>
      <c r="Q643" s="54"/>
      <c r="R643" s="54"/>
      <c r="S643" s="54"/>
      <c r="T643" s="54"/>
      <c r="U643" s="54"/>
      <c r="V643" s="54"/>
      <c r="W643" s="54"/>
      <c r="X643" s="54"/>
      <c r="Y643" s="54"/>
      <c r="Z643" s="54"/>
      <c r="AA643" s="54"/>
      <c r="AB643" s="54"/>
      <c r="AC643" s="54"/>
      <c r="AD643" s="54"/>
      <c r="AE643" s="54"/>
    </row>
    <row r="644">
      <c r="A644" s="59" t="s">
        <v>949</v>
      </c>
      <c r="B644" s="59" t="s">
        <v>317</v>
      </c>
      <c r="C644" s="11" t="s">
        <v>950</v>
      </c>
      <c r="D644" s="59" t="s">
        <v>938</v>
      </c>
      <c r="E644" s="59" t="s">
        <v>74</v>
      </c>
      <c r="F644" s="105">
        <v>1983.0</v>
      </c>
      <c r="G644" s="89">
        <v>10923.0</v>
      </c>
      <c r="H644" s="89" t="s">
        <v>188</v>
      </c>
      <c r="I644" s="89" t="s">
        <v>188</v>
      </c>
      <c r="J644" s="89" t="s">
        <v>188</v>
      </c>
      <c r="K644" s="89" t="s">
        <v>188</v>
      </c>
      <c r="L644" s="106" t="s">
        <v>939</v>
      </c>
      <c r="M644" s="54"/>
      <c r="N644" s="54"/>
      <c r="O644" s="54"/>
      <c r="P644" s="54"/>
      <c r="Q644" s="54"/>
      <c r="R644" s="54"/>
      <c r="S644" s="54"/>
      <c r="T644" s="54"/>
      <c r="U644" s="54"/>
      <c r="V644" s="54"/>
      <c r="W644" s="54"/>
      <c r="X644" s="54"/>
      <c r="Y644" s="54"/>
      <c r="Z644" s="54"/>
      <c r="AA644" s="54"/>
      <c r="AB644" s="54"/>
      <c r="AC644" s="54"/>
      <c r="AD644" s="54"/>
      <c r="AE644" s="54"/>
    </row>
    <row r="645">
      <c r="A645" s="59" t="s">
        <v>949</v>
      </c>
      <c r="B645" s="59" t="s">
        <v>317</v>
      </c>
      <c r="C645" s="11" t="s">
        <v>950</v>
      </c>
      <c r="D645" s="59" t="s">
        <v>938</v>
      </c>
      <c r="E645" s="59" t="s">
        <v>74</v>
      </c>
      <c r="F645" s="105">
        <v>1984.0</v>
      </c>
      <c r="G645" s="89">
        <v>10994.0</v>
      </c>
      <c r="H645" s="89" t="s">
        <v>188</v>
      </c>
      <c r="I645" s="89" t="s">
        <v>188</v>
      </c>
      <c r="J645" s="89" t="s">
        <v>188</v>
      </c>
      <c r="K645" s="89" t="s">
        <v>188</v>
      </c>
      <c r="L645" s="106" t="s">
        <v>939</v>
      </c>
      <c r="M645" s="54"/>
      <c r="N645" s="54"/>
      <c r="O645" s="54"/>
      <c r="P645" s="54"/>
      <c r="Q645" s="54"/>
      <c r="R645" s="54"/>
      <c r="S645" s="54"/>
      <c r="T645" s="54"/>
      <c r="U645" s="54"/>
      <c r="V645" s="54"/>
      <c r="W645" s="54"/>
      <c r="X645" s="54"/>
      <c r="Y645" s="54"/>
      <c r="Z645" s="54"/>
      <c r="AA645" s="54"/>
      <c r="AB645" s="54"/>
      <c r="AC645" s="54"/>
      <c r="AD645" s="54"/>
      <c r="AE645" s="54"/>
    </row>
    <row r="646">
      <c r="A646" s="59" t="s">
        <v>949</v>
      </c>
      <c r="B646" s="59" t="s">
        <v>317</v>
      </c>
      <c r="C646" s="11" t="s">
        <v>950</v>
      </c>
      <c r="D646" s="59" t="s">
        <v>938</v>
      </c>
      <c r="E646" s="59" t="s">
        <v>74</v>
      </c>
      <c r="F646" s="105">
        <v>1985.0</v>
      </c>
      <c r="G646" s="89">
        <v>12459.0</v>
      </c>
      <c r="H646" s="89" t="s">
        <v>188</v>
      </c>
      <c r="I646" s="89" t="s">
        <v>188</v>
      </c>
      <c r="J646" s="89" t="s">
        <v>188</v>
      </c>
      <c r="K646" s="89" t="s">
        <v>188</v>
      </c>
      <c r="L646" s="106" t="s">
        <v>939</v>
      </c>
      <c r="M646" s="54"/>
      <c r="N646" s="54"/>
      <c r="O646" s="54"/>
      <c r="P646" s="54"/>
      <c r="Q646" s="54"/>
      <c r="R646" s="54"/>
      <c r="S646" s="54"/>
      <c r="T646" s="54"/>
      <c r="U646" s="54"/>
      <c r="V646" s="54"/>
      <c r="W646" s="54"/>
      <c r="X646" s="54"/>
      <c r="Y646" s="54"/>
      <c r="Z646" s="54"/>
      <c r="AA646" s="54"/>
      <c r="AB646" s="54"/>
      <c r="AC646" s="54"/>
      <c r="AD646" s="54"/>
      <c r="AE646" s="54"/>
    </row>
    <row r="647">
      <c r="A647" s="59" t="s">
        <v>949</v>
      </c>
      <c r="B647" s="59" t="s">
        <v>317</v>
      </c>
      <c r="C647" s="11" t="s">
        <v>950</v>
      </c>
      <c r="D647" s="59" t="s">
        <v>938</v>
      </c>
      <c r="E647" s="59" t="s">
        <v>74</v>
      </c>
      <c r="F647" s="105">
        <v>1986.0</v>
      </c>
      <c r="G647" s="89">
        <v>13850.0</v>
      </c>
      <c r="H647" s="89" t="s">
        <v>188</v>
      </c>
      <c r="I647" s="89" t="s">
        <v>188</v>
      </c>
      <c r="J647" s="89" t="s">
        <v>188</v>
      </c>
      <c r="K647" s="89" t="s">
        <v>188</v>
      </c>
      <c r="L647" s="106" t="s">
        <v>939</v>
      </c>
      <c r="M647" s="54"/>
      <c r="N647" s="54"/>
      <c r="O647" s="54"/>
      <c r="P647" s="54"/>
      <c r="Q647" s="54"/>
      <c r="R647" s="54"/>
      <c r="S647" s="54"/>
      <c r="T647" s="54"/>
      <c r="U647" s="54"/>
      <c r="V647" s="54"/>
      <c r="W647" s="54"/>
      <c r="X647" s="54"/>
      <c r="Y647" s="54"/>
      <c r="Z647" s="54"/>
      <c r="AA647" s="54"/>
      <c r="AB647" s="54"/>
      <c r="AC647" s="54"/>
      <c r="AD647" s="54"/>
      <c r="AE647" s="54"/>
    </row>
    <row r="648">
      <c r="A648" s="59" t="s">
        <v>949</v>
      </c>
      <c r="B648" s="59" t="s">
        <v>317</v>
      </c>
      <c r="C648" s="11" t="s">
        <v>950</v>
      </c>
      <c r="D648" s="59" t="s">
        <v>938</v>
      </c>
      <c r="E648" s="59" t="s">
        <v>74</v>
      </c>
      <c r="F648" s="105">
        <v>1987.0</v>
      </c>
      <c r="G648" s="89">
        <v>15169.0</v>
      </c>
      <c r="H648" s="89" t="s">
        <v>188</v>
      </c>
      <c r="I648" s="89" t="s">
        <v>188</v>
      </c>
      <c r="J648" s="89" t="s">
        <v>188</v>
      </c>
      <c r="K648" s="89" t="s">
        <v>188</v>
      </c>
      <c r="L648" s="106" t="s">
        <v>939</v>
      </c>
      <c r="M648" s="54"/>
      <c r="N648" s="54"/>
      <c r="O648" s="54"/>
      <c r="P648" s="54"/>
      <c r="Q648" s="54"/>
      <c r="R648" s="54"/>
      <c r="S648" s="54"/>
      <c r="T648" s="54"/>
      <c r="U648" s="54"/>
      <c r="V648" s="54"/>
      <c r="W648" s="54"/>
      <c r="X648" s="54"/>
      <c r="Y648" s="54"/>
      <c r="Z648" s="54"/>
      <c r="AA648" s="54"/>
      <c r="AB648" s="54"/>
      <c r="AC648" s="54"/>
      <c r="AD648" s="54"/>
      <c r="AE648" s="54"/>
    </row>
    <row r="649">
      <c r="A649" s="59" t="s">
        <v>949</v>
      </c>
      <c r="B649" s="59" t="s">
        <v>317</v>
      </c>
      <c r="C649" s="11" t="s">
        <v>950</v>
      </c>
      <c r="D649" s="59" t="s">
        <v>938</v>
      </c>
      <c r="E649" s="59" t="s">
        <v>74</v>
      </c>
      <c r="F649" s="105">
        <v>1988.0</v>
      </c>
      <c r="G649" s="89">
        <v>14140.0</v>
      </c>
      <c r="H649" s="89" t="s">
        <v>188</v>
      </c>
      <c r="I649" s="89" t="s">
        <v>188</v>
      </c>
      <c r="J649" s="89" t="s">
        <v>188</v>
      </c>
      <c r="K649" s="89" t="s">
        <v>188</v>
      </c>
      <c r="L649" s="106" t="s">
        <v>939</v>
      </c>
      <c r="M649" s="54"/>
      <c r="N649" s="54"/>
      <c r="O649" s="54"/>
      <c r="P649" s="54"/>
      <c r="Q649" s="54"/>
      <c r="R649" s="54"/>
      <c r="S649" s="54"/>
      <c r="T649" s="54"/>
      <c r="U649" s="54"/>
      <c r="V649" s="54"/>
      <c r="W649" s="54"/>
      <c r="X649" s="54"/>
      <c r="Y649" s="54"/>
      <c r="Z649" s="54"/>
      <c r="AA649" s="54"/>
      <c r="AB649" s="54"/>
      <c r="AC649" s="54"/>
      <c r="AD649" s="54"/>
      <c r="AE649" s="54"/>
    </row>
    <row r="650">
      <c r="A650" s="59" t="s">
        <v>949</v>
      </c>
      <c r="B650" s="59" t="s">
        <v>317</v>
      </c>
      <c r="C650" s="11" t="s">
        <v>950</v>
      </c>
      <c r="D650" s="59" t="s">
        <v>938</v>
      </c>
      <c r="E650" s="59" t="s">
        <v>74</v>
      </c>
      <c r="F650" s="105">
        <v>1989.0</v>
      </c>
      <c r="G650" s="89">
        <v>16045.0</v>
      </c>
      <c r="H650" s="89" t="s">
        <v>188</v>
      </c>
      <c r="I650" s="89" t="s">
        <v>188</v>
      </c>
      <c r="J650" s="89" t="s">
        <v>188</v>
      </c>
      <c r="K650" s="89" t="s">
        <v>188</v>
      </c>
      <c r="L650" s="106" t="s">
        <v>939</v>
      </c>
      <c r="M650" s="54"/>
      <c r="N650" s="54"/>
      <c r="O650" s="54"/>
      <c r="P650" s="54"/>
      <c r="Q650" s="54"/>
      <c r="R650" s="54"/>
      <c r="S650" s="54"/>
      <c r="T650" s="54"/>
      <c r="U650" s="54"/>
      <c r="V650" s="54"/>
      <c r="W650" s="54"/>
      <c r="X650" s="54"/>
      <c r="Y650" s="54"/>
      <c r="Z650" s="54"/>
      <c r="AA650" s="54"/>
      <c r="AB650" s="54"/>
      <c r="AC650" s="54"/>
      <c r="AD650" s="54"/>
      <c r="AE650" s="54"/>
    </row>
    <row r="651">
      <c r="A651" s="59" t="s">
        <v>949</v>
      </c>
      <c r="B651" s="59" t="s">
        <v>317</v>
      </c>
      <c r="C651" s="11" t="s">
        <v>950</v>
      </c>
      <c r="D651" s="59" t="s">
        <v>938</v>
      </c>
      <c r="E651" s="59" t="s">
        <v>74</v>
      </c>
      <c r="F651" s="105">
        <v>1990.0</v>
      </c>
      <c r="G651" s="89">
        <v>15676.0</v>
      </c>
      <c r="H651" s="89" t="s">
        <v>188</v>
      </c>
      <c r="I651" s="89" t="s">
        <v>188</v>
      </c>
      <c r="J651" s="89" t="s">
        <v>188</v>
      </c>
      <c r="K651" s="89" t="s">
        <v>188</v>
      </c>
      <c r="L651" s="106" t="s">
        <v>939</v>
      </c>
      <c r="M651" s="54"/>
      <c r="N651" s="54"/>
      <c r="O651" s="54"/>
      <c r="P651" s="54"/>
      <c r="Q651" s="54"/>
      <c r="R651" s="54"/>
      <c r="S651" s="54"/>
      <c r="T651" s="54"/>
      <c r="U651" s="54"/>
      <c r="V651" s="54"/>
      <c r="W651" s="54"/>
      <c r="X651" s="54"/>
      <c r="Y651" s="54"/>
      <c r="Z651" s="54"/>
      <c r="AA651" s="54"/>
      <c r="AB651" s="54"/>
      <c r="AC651" s="54"/>
      <c r="AD651" s="54"/>
      <c r="AE651" s="54"/>
    </row>
    <row r="652">
      <c r="A652" s="59" t="s">
        <v>949</v>
      </c>
      <c r="B652" s="59" t="s">
        <v>317</v>
      </c>
      <c r="C652" s="11" t="s">
        <v>950</v>
      </c>
      <c r="D652" s="59" t="s">
        <v>938</v>
      </c>
      <c r="E652" s="59" t="s">
        <v>74</v>
      </c>
      <c r="F652" s="105">
        <v>1991.0</v>
      </c>
      <c r="G652" s="89">
        <v>18094.0</v>
      </c>
      <c r="H652" s="89" t="s">
        <v>188</v>
      </c>
      <c r="I652" s="89" t="s">
        <v>188</v>
      </c>
      <c r="J652" s="89" t="s">
        <v>188</v>
      </c>
      <c r="K652" s="89" t="s">
        <v>188</v>
      </c>
      <c r="L652" s="106" t="s">
        <v>939</v>
      </c>
      <c r="M652" s="54"/>
      <c r="N652" s="54"/>
      <c r="O652" s="54"/>
      <c r="P652" s="54"/>
      <c r="Q652" s="54"/>
      <c r="R652" s="54"/>
      <c r="S652" s="54"/>
      <c r="T652" s="54"/>
      <c r="U652" s="54"/>
      <c r="V652" s="54"/>
      <c r="W652" s="54"/>
      <c r="X652" s="54"/>
      <c r="Y652" s="54"/>
      <c r="Z652" s="54"/>
      <c r="AA652" s="54"/>
      <c r="AB652" s="54"/>
      <c r="AC652" s="54"/>
      <c r="AD652" s="54"/>
      <c r="AE652" s="54"/>
    </row>
    <row r="653">
      <c r="A653" s="59" t="s">
        <v>949</v>
      </c>
      <c r="B653" s="59" t="s">
        <v>317</v>
      </c>
      <c r="C653" s="11" t="s">
        <v>950</v>
      </c>
      <c r="D653" s="59" t="s">
        <v>938</v>
      </c>
      <c r="E653" s="59" t="s">
        <v>74</v>
      </c>
      <c r="F653" s="105">
        <v>1992.0</v>
      </c>
      <c r="G653" s="89">
        <v>18679.0</v>
      </c>
      <c r="H653" s="89" t="s">
        <v>188</v>
      </c>
      <c r="I653" s="89" t="s">
        <v>188</v>
      </c>
      <c r="J653" s="89" t="s">
        <v>188</v>
      </c>
      <c r="K653" s="89" t="s">
        <v>188</v>
      </c>
      <c r="L653" s="106" t="s">
        <v>939</v>
      </c>
      <c r="M653" s="54"/>
      <c r="N653" s="54"/>
      <c r="O653" s="54"/>
      <c r="P653" s="54"/>
      <c r="Q653" s="54"/>
      <c r="R653" s="54"/>
      <c r="S653" s="54"/>
      <c r="T653" s="54"/>
      <c r="U653" s="54"/>
      <c r="V653" s="54"/>
      <c r="W653" s="54"/>
      <c r="X653" s="54"/>
      <c r="Y653" s="54"/>
      <c r="Z653" s="54"/>
      <c r="AA653" s="54"/>
      <c r="AB653" s="54"/>
      <c r="AC653" s="54"/>
      <c r="AD653" s="54"/>
      <c r="AE653" s="54"/>
    </row>
    <row r="654">
      <c r="A654" s="59" t="s">
        <v>949</v>
      </c>
      <c r="B654" s="59" t="s">
        <v>317</v>
      </c>
      <c r="C654" s="11" t="s">
        <v>950</v>
      </c>
      <c r="D654" s="59" t="s">
        <v>938</v>
      </c>
      <c r="E654" s="59" t="s">
        <v>74</v>
      </c>
      <c r="F654" s="105">
        <v>1993.0</v>
      </c>
      <c r="G654" s="89">
        <v>14863.0</v>
      </c>
      <c r="H654" s="89" t="s">
        <v>188</v>
      </c>
      <c r="I654" s="89" t="s">
        <v>188</v>
      </c>
      <c r="J654" s="89" t="s">
        <v>188</v>
      </c>
      <c r="K654" s="89" t="s">
        <v>188</v>
      </c>
      <c r="L654" s="106" t="s">
        <v>939</v>
      </c>
      <c r="M654" s="54"/>
      <c r="N654" s="54"/>
      <c r="O654" s="54"/>
      <c r="P654" s="54"/>
      <c r="Q654" s="54"/>
      <c r="R654" s="54"/>
      <c r="S654" s="54"/>
      <c r="T654" s="54"/>
      <c r="U654" s="54"/>
      <c r="V654" s="54"/>
      <c r="W654" s="54"/>
      <c r="X654" s="54"/>
      <c r="Y654" s="54"/>
      <c r="Z654" s="54"/>
      <c r="AA654" s="54"/>
      <c r="AB654" s="54"/>
      <c r="AC654" s="54"/>
      <c r="AD654" s="54"/>
      <c r="AE654" s="54"/>
    </row>
    <row r="655">
      <c r="A655" s="59" t="s">
        <v>949</v>
      </c>
      <c r="B655" s="59" t="s">
        <v>317</v>
      </c>
      <c r="C655" s="11" t="s">
        <v>950</v>
      </c>
      <c r="D655" s="59" t="s">
        <v>938</v>
      </c>
      <c r="E655" s="59" t="s">
        <v>74</v>
      </c>
      <c r="F655" s="105">
        <v>1994.0</v>
      </c>
      <c r="G655" s="89">
        <v>17208.0</v>
      </c>
      <c r="H655" s="89" t="s">
        <v>188</v>
      </c>
      <c r="I655" s="89" t="s">
        <v>188</v>
      </c>
      <c r="J655" s="89" t="s">
        <v>188</v>
      </c>
      <c r="K655" s="89" t="s">
        <v>188</v>
      </c>
      <c r="L655" s="106" t="s">
        <v>939</v>
      </c>
      <c r="M655" s="54"/>
      <c r="N655" s="54"/>
      <c r="O655" s="54"/>
      <c r="P655" s="54"/>
      <c r="Q655" s="54"/>
      <c r="R655" s="54"/>
      <c r="S655" s="54"/>
      <c r="T655" s="54"/>
      <c r="U655" s="54"/>
      <c r="V655" s="54"/>
      <c r="W655" s="54"/>
      <c r="X655" s="54"/>
      <c r="Y655" s="54"/>
      <c r="Z655" s="54"/>
      <c r="AA655" s="54"/>
      <c r="AB655" s="54"/>
      <c r="AC655" s="54"/>
      <c r="AD655" s="54"/>
      <c r="AE655" s="54"/>
    </row>
    <row r="656">
      <c r="A656" s="59" t="s">
        <v>949</v>
      </c>
      <c r="B656" s="59" t="s">
        <v>317</v>
      </c>
      <c r="C656" s="11" t="s">
        <v>950</v>
      </c>
      <c r="D656" s="59" t="s">
        <v>938</v>
      </c>
      <c r="E656" s="59" t="s">
        <v>74</v>
      </c>
      <c r="F656" s="105">
        <v>1995.0</v>
      </c>
      <c r="G656" s="89">
        <v>20360.0</v>
      </c>
      <c r="H656" s="89" t="s">
        <v>188</v>
      </c>
      <c r="I656" s="89" t="s">
        <v>188</v>
      </c>
      <c r="J656" s="89" t="s">
        <v>188</v>
      </c>
      <c r="K656" s="89" t="s">
        <v>188</v>
      </c>
      <c r="L656" s="106" t="s">
        <v>939</v>
      </c>
      <c r="M656" s="54"/>
      <c r="N656" s="54"/>
      <c r="O656" s="54"/>
      <c r="P656" s="54"/>
      <c r="Q656" s="54"/>
      <c r="R656" s="54"/>
      <c r="S656" s="54"/>
      <c r="T656" s="54"/>
      <c r="U656" s="54"/>
      <c r="V656" s="54"/>
      <c r="W656" s="54"/>
      <c r="X656" s="54"/>
      <c r="Y656" s="54"/>
      <c r="Z656" s="54"/>
      <c r="AA656" s="54"/>
      <c r="AB656" s="54"/>
      <c r="AC656" s="54"/>
      <c r="AD656" s="54"/>
      <c r="AE656" s="54"/>
    </row>
    <row r="657">
      <c r="A657" s="59" t="s">
        <v>949</v>
      </c>
      <c r="B657" s="59" t="s">
        <v>317</v>
      </c>
      <c r="C657" s="11" t="s">
        <v>950</v>
      </c>
      <c r="D657" s="59" t="s">
        <v>938</v>
      </c>
      <c r="E657" s="59" t="s">
        <v>74</v>
      </c>
      <c r="F657" s="105">
        <v>2002.0</v>
      </c>
      <c r="G657" s="89">
        <v>17631.0</v>
      </c>
      <c r="H657" s="89" t="s">
        <v>188</v>
      </c>
      <c r="I657" s="89" t="s">
        <v>188</v>
      </c>
      <c r="J657" s="89" t="s">
        <v>188</v>
      </c>
      <c r="K657" s="89" t="s">
        <v>188</v>
      </c>
      <c r="L657" s="106" t="s">
        <v>939</v>
      </c>
      <c r="M657" s="54"/>
      <c r="N657" s="54"/>
      <c r="O657" s="54"/>
      <c r="P657" s="54"/>
      <c r="Q657" s="54"/>
      <c r="R657" s="54"/>
      <c r="S657" s="54"/>
      <c r="T657" s="54"/>
      <c r="U657" s="54"/>
      <c r="V657" s="54"/>
      <c r="W657" s="54"/>
      <c r="X657" s="54"/>
      <c r="Y657" s="54"/>
      <c r="Z657" s="54"/>
      <c r="AA657" s="54"/>
      <c r="AB657" s="54"/>
      <c r="AC657" s="54"/>
      <c r="AD657" s="54"/>
      <c r="AE657" s="54"/>
    </row>
    <row r="658">
      <c r="A658" s="59" t="s">
        <v>949</v>
      </c>
      <c r="B658" s="59" t="s">
        <v>317</v>
      </c>
      <c r="C658" s="11" t="s">
        <v>950</v>
      </c>
      <c r="D658" s="59" t="s">
        <v>938</v>
      </c>
      <c r="E658" s="59" t="s">
        <v>74</v>
      </c>
      <c r="F658" s="105">
        <v>2004.0</v>
      </c>
      <c r="G658" s="89">
        <v>21955.0</v>
      </c>
      <c r="H658" s="89" t="s">
        <v>188</v>
      </c>
      <c r="I658" s="89" t="s">
        <v>188</v>
      </c>
      <c r="J658" s="89" t="s">
        <v>188</v>
      </c>
      <c r="K658" s="89" t="s">
        <v>188</v>
      </c>
      <c r="L658" s="106" t="s">
        <v>939</v>
      </c>
      <c r="M658" s="54"/>
      <c r="N658" s="54"/>
      <c r="O658" s="54"/>
      <c r="P658" s="54"/>
      <c r="Q658" s="54"/>
      <c r="R658" s="54"/>
      <c r="S658" s="54"/>
      <c r="T658" s="54"/>
      <c r="U658" s="54"/>
      <c r="V658" s="54"/>
      <c r="W658" s="54"/>
      <c r="X658" s="54"/>
      <c r="Y658" s="54"/>
      <c r="Z658" s="54"/>
      <c r="AA658" s="54"/>
      <c r="AB658" s="54"/>
      <c r="AC658" s="54"/>
      <c r="AD658" s="54"/>
      <c r="AE658" s="54"/>
    </row>
    <row r="659">
      <c r="A659" s="59" t="s">
        <v>949</v>
      </c>
      <c r="B659" s="59" t="s">
        <v>317</v>
      </c>
      <c r="C659" s="11" t="s">
        <v>950</v>
      </c>
      <c r="D659" s="59" t="s">
        <v>938</v>
      </c>
      <c r="E659" s="59" t="s">
        <v>74</v>
      </c>
      <c r="F659" s="105">
        <v>2009.0</v>
      </c>
      <c r="G659" s="89">
        <v>16076.0</v>
      </c>
      <c r="H659" s="89" t="s">
        <v>188</v>
      </c>
      <c r="I659" s="89" t="s">
        <v>188</v>
      </c>
      <c r="J659" s="89" t="s">
        <v>188</v>
      </c>
      <c r="K659" s="89" t="s">
        <v>188</v>
      </c>
      <c r="L659" s="106" t="s">
        <v>939</v>
      </c>
      <c r="M659" s="54"/>
      <c r="N659" s="54"/>
      <c r="O659" s="54"/>
      <c r="P659" s="54"/>
      <c r="Q659" s="54"/>
      <c r="R659" s="54"/>
      <c r="S659" s="54"/>
      <c r="T659" s="54"/>
      <c r="U659" s="54"/>
      <c r="V659" s="54"/>
      <c r="W659" s="54"/>
      <c r="X659" s="54"/>
      <c r="Y659" s="54"/>
      <c r="Z659" s="54"/>
      <c r="AA659" s="54"/>
      <c r="AB659" s="54"/>
      <c r="AC659" s="54"/>
      <c r="AD659" s="54"/>
      <c r="AE659" s="54"/>
    </row>
    <row r="660">
      <c r="A660" s="59" t="s">
        <v>949</v>
      </c>
      <c r="B660" s="59" t="s">
        <v>317</v>
      </c>
      <c r="C660" s="11" t="s">
        <v>950</v>
      </c>
      <c r="D660" s="59" t="s">
        <v>938</v>
      </c>
      <c r="E660" s="59" t="s">
        <v>74</v>
      </c>
      <c r="F660" s="105">
        <v>2012.0</v>
      </c>
      <c r="G660" s="89">
        <v>15410.0</v>
      </c>
      <c r="H660" s="89" t="s">
        <v>188</v>
      </c>
      <c r="I660" s="89" t="s">
        <v>188</v>
      </c>
      <c r="J660" s="89" t="s">
        <v>188</v>
      </c>
      <c r="K660" s="89" t="s">
        <v>188</v>
      </c>
      <c r="L660" s="106" t="s">
        <v>939</v>
      </c>
      <c r="M660" s="54"/>
      <c r="N660" s="54"/>
      <c r="O660" s="54"/>
      <c r="P660" s="54"/>
      <c r="Q660" s="54"/>
      <c r="R660" s="54"/>
      <c r="S660" s="54"/>
      <c r="T660" s="54"/>
      <c r="U660" s="54"/>
      <c r="V660" s="54"/>
      <c r="W660" s="54"/>
      <c r="X660" s="54"/>
      <c r="Y660" s="54"/>
      <c r="Z660" s="54"/>
      <c r="AA660" s="54"/>
      <c r="AB660" s="54"/>
      <c r="AC660" s="54"/>
      <c r="AD660" s="54"/>
      <c r="AE660" s="54"/>
    </row>
    <row r="661">
      <c r="A661" s="59" t="s">
        <v>968</v>
      </c>
      <c r="B661" s="59" t="s">
        <v>317</v>
      </c>
      <c r="C661" s="59" t="s">
        <v>970</v>
      </c>
      <c r="D661" s="59" t="s">
        <v>938</v>
      </c>
      <c r="E661" s="59" t="s">
        <v>74</v>
      </c>
      <c r="F661" s="105">
        <v>1984.0</v>
      </c>
      <c r="G661" s="89">
        <v>14295.0</v>
      </c>
      <c r="H661" s="89" t="s">
        <v>188</v>
      </c>
      <c r="I661" s="89" t="s">
        <v>188</v>
      </c>
      <c r="J661" s="89" t="s">
        <v>188</v>
      </c>
      <c r="K661" s="89" t="s">
        <v>188</v>
      </c>
      <c r="L661" s="106" t="s">
        <v>939</v>
      </c>
      <c r="M661" s="54"/>
      <c r="N661" s="54"/>
      <c r="O661" s="54"/>
      <c r="P661" s="54"/>
      <c r="Q661" s="54"/>
      <c r="R661" s="54"/>
      <c r="S661" s="54"/>
      <c r="T661" s="54"/>
      <c r="U661" s="54"/>
      <c r="V661" s="54"/>
      <c r="W661" s="54"/>
      <c r="X661" s="54"/>
      <c r="Y661" s="54"/>
      <c r="Z661" s="54"/>
      <c r="AA661" s="54"/>
      <c r="AB661" s="54"/>
      <c r="AC661" s="54"/>
      <c r="AD661" s="54"/>
      <c r="AE661" s="54"/>
    </row>
    <row r="662">
      <c r="A662" s="59" t="s">
        <v>968</v>
      </c>
      <c r="B662" s="59" t="s">
        <v>317</v>
      </c>
      <c r="C662" s="59" t="s">
        <v>970</v>
      </c>
      <c r="D662" s="59" t="s">
        <v>938</v>
      </c>
      <c r="E662" s="59" t="s">
        <v>74</v>
      </c>
      <c r="F662" s="105">
        <v>1985.0</v>
      </c>
      <c r="G662" s="89">
        <v>14953.0</v>
      </c>
      <c r="H662" s="89">
        <f t="shared" ref="H662:I662" si="655">F662-F661</f>
        <v>1</v>
      </c>
      <c r="I662" s="89">
        <f t="shared" si="655"/>
        <v>658</v>
      </c>
      <c r="J662" s="97">
        <f t="shared" ref="J662:J676" si="657">I662/G661</f>
        <v>0.04603008045</v>
      </c>
      <c r="K662" s="66">
        <f t="shared" ref="K662:K676" si="658">J662/H662</f>
        <v>0.04603008045</v>
      </c>
      <c r="L662" s="106" t="s">
        <v>939</v>
      </c>
      <c r="M662" s="54"/>
      <c r="N662" s="54"/>
      <c r="O662" s="54"/>
      <c r="P662" s="54"/>
      <c r="Q662" s="54"/>
      <c r="R662" s="54"/>
      <c r="S662" s="54"/>
      <c r="T662" s="54"/>
      <c r="U662" s="54"/>
      <c r="V662" s="54"/>
      <c r="W662" s="54"/>
      <c r="X662" s="54"/>
      <c r="Y662" s="54"/>
      <c r="Z662" s="54"/>
      <c r="AA662" s="54"/>
      <c r="AB662" s="54"/>
      <c r="AC662" s="54"/>
      <c r="AD662" s="54"/>
      <c r="AE662" s="54"/>
    </row>
    <row r="663">
      <c r="A663" s="59" t="s">
        <v>968</v>
      </c>
      <c r="B663" s="59" t="s">
        <v>317</v>
      </c>
      <c r="C663" s="59" t="s">
        <v>970</v>
      </c>
      <c r="D663" s="59" t="s">
        <v>938</v>
      </c>
      <c r="E663" s="59" t="s">
        <v>74</v>
      </c>
      <c r="F663" s="105">
        <v>1986.0</v>
      </c>
      <c r="G663" s="89">
        <v>15684.0</v>
      </c>
      <c r="H663" s="89">
        <f t="shared" ref="H663:I663" si="656">F663-F662</f>
        <v>1</v>
      </c>
      <c r="I663" s="89">
        <f t="shared" si="656"/>
        <v>731</v>
      </c>
      <c r="J663" s="97">
        <f t="shared" si="657"/>
        <v>0.04888651107</v>
      </c>
      <c r="K663" s="66">
        <f t="shared" si="658"/>
        <v>0.04888651107</v>
      </c>
      <c r="L663" s="106" t="s">
        <v>939</v>
      </c>
      <c r="M663" s="54"/>
      <c r="N663" s="54"/>
      <c r="O663" s="54"/>
      <c r="P663" s="54"/>
      <c r="Q663" s="54"/>
      <c r="R663" s="54"/>
      <c r="S663" s="54"/>
      <c r="T663" s="54"/>
      <c r="U663" s="54"/>
      <c r="V663" s="54"/>
      <c r="W663" s="54"/>
      <c r="X663" s="54"/>
      <c r="Y663" s="54"/>
      <c r="Z663" s="54"/>
      <c r="AA663" s="54"/>
      <c r="AB663" s="54"/>
      <c r="AC663" s="54"/>
      <c r="AD663" s="54"/>
      <c r="AE663" s="54"/>
    </row>
    <row r="664">
      <c r="A664" s="59" t="s">
        <v>968</v>
      </c>
      <c r="B664" s="59" t="s">
        <v>317</v>
      </c>
      <c r="C664" s="59" t="s">
        <v>970</v>
      </c>
      <c r="D664" s="59" t="s">
        <v>938</v>
      </c>
      <c r="E664" s="59" t="s">
        <v>74</v>
      </c>
      <c r="F664" s="105">
        <v>1987.0</v>
      </c>
      <c r="G664" s="89">
        <v>19423.0</v>
      </c>
      <c r="H664" s="89">
        <f t="shared" ref="H664:I664" si="659">F664-F663</f>
        <v>1</v>
      </c>
      <c r="I664" s="89">
        <f t="shared" si="659"/>
        <v>3739</v>
      </c>
      <c r="J664" s="97">
        <f t="shared" si="657"/>
        <v>0.2383958174</v>
      </c>
      <c r="K664" s="66">
        <f t="shared" si="658"/>
        <v>0.2383958174</v>
      </c>
      <c r="L664" s="106" t="s">
        <v>939</v>
      </c>
      <c r="M664" s="54"/>
      <c r="N664" s="54"/>
      <c r="O664" s="54"/>
      <c r="P664" s="54"/>
      <c r="Q664" s="54"/>
      <c r="R664" s="54"/>
      <c r="S664" s="54"/>
      <c r="T664" s="54"/>
      <c r="U664" s="54"/>
      <c r="V664" s="54"/>
      <c r="W664" s="54"/>
      <c r="X664" s="54"/>
      <c r="Y664" s="54"/>
      <c r="Z664" s="54"/>
      <c r="AA664" s="54"/>
      <c r="AB664" s="54"/>
      <c r="AC664" s="54"/>
      <c r="AD664" s="54"/>
      <c r="AE664" s="54"/>
    </row>
    <row r="665">
      <c r="A665" s="59" t="s">
        <v>968</v>
      </c>
      <c r="B665" s="59" t="s">
        <v>317</v>
      </c>
      <c r="C665" s="59" t="s">
        <v>970</v>
      </c>
      <c r="D665" s="59" t="s">
        <v>938</v>
      </c>
      <c r="E665" s="59" t="s">
        <v>74</v>
      </c>
      <c r="F665" s="105">
        <v>1988.0</v>
      </c>
      <c r="G665" s="89">
        <v>18101.0</v>
      </c>
      <c r="H665" s="89">
        <f t="shared" ref="H665:I665" si="660">F665-F664</f>
        <v>1</v>
      </c>
      <c r="I665" s="89">
        <f t="shared" si="660"/>
        <v>-1322</v>
      </c>
      <c r="J665" s="97">
        <f t="shared" si="657"/>
        <v>-0.0680636359</v>
      </c>
      <c r="K665" s="66">
        <f t="shared" si="658"/>
        <v>-0.0680636359</v>
      </c>
      <c r="L665" s="106" t="s">
        <v>939</v>
      </c>
      <c r="M665" s="54"/>
      <c r="N665" s="54"/>
      <c r="O665" s="54"/>
      <c r="P665" s="54"/>
      <c r="Q665" s="54"/>
      <c r="R665" s="54"/>
      <c r="S665" s="54"/>
      <c r="T665" s="54"/>
      <c r="U665" s="54"/>
      <c r="V665" s="54"/>
      <c r="W665" s="54"/>
      <c r="X665" s="54"/>
      <c r="Y665" s="54"/>
      <c r="Z665" s="54"/>
      <c r="AA665" s="54"/>
      <c r="AB665" s="54"/>
      <c r="AC665" s="54"/>
      <c r="AD665" s="54"/>
      <c r="AE665" s="54"/>
    </row>
    <row r="666">
      <c r="A666" s="59" t="s">
        <v>968</v>
      </c>
      <c r="B666" s="59" t="s">
        <v>317</v>
      </c>
      <c r="C666" s="59" t="s">
        <v>970</v>
      </c>
      <c r="D666" s="59" t="s">
        <v>938</v>
      </c>
      <c r="E666" s="59" t="s">
        <v>74</v>
      </c>
      <c r="F666" s="105">
        <v>1989.0</v>
      </c>
      <c r="G666" s="89">
        <v>20372.0</v>
      </c>
      <c r="H666" s="89">
        <f t="shared" ref="H666:I666" si="661">F666-F665</f>
        <v>1</v>
      </c>
      <c r="I666" s="89">
        <f t="shared" si="661"/>
        <v>2271</v>
      </c>
      <c r="J666" s="97">
        <f t="shared" si="657"/>
        <v>0.1254626816</v>
      </c>
      <c r="K666" s="66">
        <f t="shared" si="658"/>
        <v>0.1254626816</v>
      </c>
      <c r="L666" s="106" t="s">
        <v>939</v>
      </c>
      <c r="M666" s="54"/>
      <c r="N666" s="54"/>
      <c r="O666" s="54"/>
      <c r="P666" s="54"/>
      <c r="Q666" s="54"/>
      <c r="R666" s="54"/>
      <c r="S666" s="54"/>
      <c r="T666" s="54"/>
      <c r="U666" s="54"/>
      <c r="V666" s="54"/>
      <c r="W666" s="54"/>
      <c r="X666" s="54"/>
      <c r="Y666" s="54"/>
      <c r="Z666" s="54"/>
      <c r="AA666" s="54"/>
      <c r="AB666" s="54"/>
      <c r="AC666" s="54"/>
      <c r="AD666" s="54"/>
      <c r="AE666" s="54"/>
    </row>
    <row r="667">
      <c r="A667" s="59" t="s">
        <v>968</v>
      </c>
      <c r="B667" s="59" t="s">
        <v>317</v>
      </c>
      <c r="C667" s="59" t="s">
        <v>970</v>
      </c>
      <c r="D667" s="59" t="s">
        <v>938</v>
      </c>
      <c r="E667" s="59" t="s">
        <v>74</v>
      </c>
      <c r="F667" s="105">
        <v>1990.0</v>
      </c>
      <c r="G667" s="89">
        <v>18537.0</v>
      </c>
      <c r="H667" s="89">
        <f t="shared" ref="H667:I667" si="662">F667-F666</f>
        <v>1</v>
      </c>
      <c r="I667" s="89">
        <f t="shared" si="662"/>
        <v>-1835</v>
      </c>
      <c r="J667" s="97">
        <f t="shared" si="657"/>
        <v>-0.09007461221</v>
      </c>
      <c r="K667" s="66">
        <f t="shared" si="658"/>
        <v>-0.09007461221</v>
      </c>
      <c r="L667" s="106" t="s">
        <v>939</v>
      </c>
      <c r="M667" s="54"/>
      <c r="N667" s="54"/>
      <c r="O667" s="54"/>
      <c r="P667" s="54"/>
      <c r="Q667" s="54"/>
      <c r="R667" s="54"/>
      <c r="S667" s="54"/>
      <c r="T667" s="54"/>
      <c r="U667" s="54"/>
      <c r="V667" s="54"/>
      <c r="W667" s="54"/>
      <c r="X667" s="54"/>
      <c r="Y667" s="54"/>
      <c r="Z667" s="54"/>
      <c r="AA667" s="54"/>
      <c r="AB667" s="54"/>
      <c r="AC667" s="54"/>
      <c r="AD667" s="54"/>
      <c r="AE667" s="54"/>
    </row>
    <row r="668">
      <c r="A668" s="59" t="s">
        <v>968</v>
      </c>
      <c r="B668" s="59" t="s">
        <v>317</v>
      </c>
      <c r="C668" s="59" t="s">
        <v>970</v>
      </c>
      <c r="D668" s="59" t="s">
        <v>938</v>
      </c>
      <c r="E668" s="59" t="s">
        <v>74</v>
      </c>
      <c r="F668" s="105">
        <v>1991.0</v>
      </c>
      <c r="G668" s="89">
        <v>22862.0</v>
      </c>
      <c r="H668" s="89">
        <f t="shared" ref="H668:I668" si="663">F668-F667</f>
        <v>1</v>
      </c>
      <c r="I668" s="89">
        <f t="shared" si="663"/>
        <v>4325</v>
      </c>
      <c r="J668" s="97">
        <f t="shared" si="657"/>
        <v>0.2333171495</v>
      </c>
      <c r="K668" s="66">
        <f t="shared" si="658"/>
        <v>0.2333171495</v>
      </c>
      <c r="L668" s="106" t="s">
        <v>939</v>
      </c>
      <c r="M668" s="54"/>
      <c r="N668" s="54"/>
      <c r="O668" s="54"/>
      <c r="P668" s="54"/>
      <c r="Q668" s="54"/>
      <c r="R668" s="54"/>
      <c r="S668" s="54"/>
      <c r="T668" s="54"/>
      <c r="U668" s="54"/>
      <c r="V668" s="54"/>
      <c r="W668" s="54"/>
      <c r="X668" s="54"/>
      <c r="Y668" s="54"/>
      <c r="Z668" s="54"/>
      <c r="AA668" s="54"/>
      <c r="AB668" s="54"/>
      <c r="AC668" s="54"/>
      <c r="AD668" s="54"/>
      <c r="AE668" s="54"/>
    </row>
    <row r="669">
      <c r="A669" s="59" t="s">
        <v>968</v>
      </c>
      <c r="B669" s="59" t="s">
        <v>317</v>
      </c>
      <c r="C669" s="59" t="s">
        <v>970</v>
      </c>
      <c r="D669" s="59" t="s">
        <v>938</v>
      </c>
      <c r="E669" s="59" t="s">
        <v>74</v>
      </c>
      <c r="F669" s="105">
        <v>1992.0</v>
      </c>
      <c r="G669" s="89">
        <v>23153.0</v>
      </c>
      <c r="H669" s="89">
        <f t="shared" ref="H669:I669" si="664">F669-F668</f>
        <v>1</v>
      </c>
      <c r="I669" s="89">
        <f t="shared" si="664"/>
        <v>291</v>
      </c>
      <c r="J669" s="97">
        <f t="shared" si="657"/>
        <v>0.01272854518</v>
      </c>
      <c r="K669" s="66">
        <f t="shared" si="658"/>
        <v>0.01272854518</v>
      </c>
      <c r="L669" s="106" t="s">
        <v>939</v>
      </c>
      <c r="M669" s="54"/>
      <c r="N669" s="54"/>
      <c r="O669" s="54"/>
      <c r="P669" s="54"/>
      <c r="Q669" s="54"/>
      <c r="R669" s="54"/>
      <c r="S669" s="54"/>
      <c r="T669" s="54"/>
      <c r="U669" s="54"/>
      <c r="V669" s="54"/>
      <c r="W669" s="54"/>
      <c r="X669" s="54"/>
      <c r="Y669" s="54"/>
      <c r="Z669" s="54"/>
      <c r="AA669" s="54"/>
      <c r="AB669" s="54"/>
      <c r="AC669" s="54"/>
      <c r="AD669" s="54"/>
      <c r="AE669" s="54"/>
    </row>
    <row r="670">
      <c r="A670" s="59" t="s">
        <v>968</v>
      </c>
      <c r="B670" s="59" t="s">
        <v>317</v>
      </c>
      <c r="C670" s="59" t="s">
        <v>970</v>
      </c>
      <c r="D670" s="59" t="s">
        <v>938</v>
      </c>
      <c r="E670" s="59" t="s">
        <v>74</v>
      </c>
      <c r="F670" s="105">
        <v>1993.0</v>
      </c>
      <c r="G670" s="89">
        <v>18164.0</v>
      </c>
      <c r="H670" s="89">
        <f t="shared" ref="H670:I670" si="665">F670-F669</f>
        <v>1</v>
      </c>
      <c r="I670" s="89">
        <f t="shared" si="665"/>
        <v>-4989</v>
      </c>
      <c r="J670" s="97">
        <f t="shared" si="657"/>
        <v>-0.2154796355</v>
      </c>
      <c r="K670" s="66">
        <f t="shared" si="658"/>
        <v>-0.2154796355</v>
      </c>
      <c r="L670" s="106" t="s">
        <v>939</v>
      </c>
      <c r="M670" s="54"/>
      <c r="N670" s="54"/>
      <c r="O670" s="54"/>
      <c r="P670" s="54"/>
      <c r="Q670" s="54"/>
      <c r="R670" s="54"/>
      <c r="S670" s="54"/>
      <c r="T670" s="54"/>
      <c r="U670" s="54"/>
      <c r="V670" s="54"/>
      <c r="W670" s="54"/>
      <c r="X670" s="54"/>
      <c r="Y670" s="54"/>
      <c r="Z670" s="54"/>
      <c r="AA670" s="54"/>
      <c r="AB670" s="54"/>
      <c r="AC670" s="54"/>
      <c r="AD670" s="54"/>
      <c r="AE670" s="54"/>
    </row>
    <row r="671">
      <c r="A671" s="59" t="s">
        <v>968</v>
      </c>
      <c r="B671" s="59" t="s">
        <v>317</v>
      </c>
      <c r="C671" s="59" t="s">
        <v>970</v>
      </c>
      <c r="D671" s="59" t="s">
        <v>938</v>
      </c>
      <c r="E671" s="59" t="s">
        <v>74</v>
      </c>
      <c r="F671" s="105">
        <v>1994.0</v>
      </c>
      <c r="G671" s="89">
        <v>21462.0</v>
      </c>
      <c r="H671" s="89">
        <f t="shared" ref="H671:I671" si="666">F671-F670</f>
        <v>1</v>
      </c>
      <c r="I671" s="89">
        <f t="shared" si="666"/>
        <v>3298</v>
      </c>
      <c r="J671" s="97">
        <f t="shared" si="657"/>
        <v>0.1815679366</v>
      </c>
      <c r="K671" s="66">
        <f t="shared" si="658"/>
        <v>0.1815679366</v>
      </c>
      <c r="L671" s="106" t="s">
        <v>939</v>
      </c>
      <c r="M671" s="54"/>
      <c r="N671" s="54"/>
      <c r="O671" s="54"/>
      <c r="P671" s="54"/>
      <c r="Q671" s="54"/>
      <c r="R671" s="54"/>
      <c r="S671" s="54"/>
      <c r="T671" s="54"/>
      <c r="U671" s="54"/>
      <c r="V671" s="54"/>
      <c r="W671" s="54"/>
      <c r="X671" s="54"/>
      <c r="Y671" s="54"/>
      <c r="Z671" s="54"/>
      <c r="AA671" s="54"/>
      <c r="AB671" s="54"/>
      <c r="AC671" s="54"/>
      <c r="AD671" s="54"/>
      <c r="AE671" s="54"/>
    </row>
    <row r="672">
      <c r="A672" s="59" t="s">
        <v>968</v>
      </c>
      <c r="B672" s="59" t="s">
        <v>317</v>
      </c>
      <c r="C672" s="59" t="s">
        <v>970</v>
      </c>
      <c r="D672" s="59" t="s">
        <v>938</v>
      </c>
      <c r="E672" s="59" t="s">
        <v>74</v>
      </c>
      <c r="F672" s="105">
        <v>1995.0</v>
      </c>
      <c r="G672" s="89">
        <v>23367.0</v>
      </c>
      <c r="H672" s="89">
        <f t="shared" ref="H672:I672" si="667">F672-F671</f>
        <v>1</v>
      </c>
      <c r="I672" s="89">
        <f t="shared" si="667"/>
        <v>1905</v>
      </c>
      <c r="J672" s="97">
        <f t="shared" si="657"/>
        <v>0.08876153201</v>
      </c>
      <c r="K672" s="66">
        <f t="shared" si="658"/>
        <v>0.08876153201</v>
      </c>
      <c r="L672" s="106" t="s">
        <v>939</v>
      </c>
      <c r="M672" s="54"/>
      <c r="N672" s="54"/>
      <c r="O672" s="54"/>
      <c r="P672" s="54"/>
      <c r="Q672" s="54"/>
      <c r="R672" s="54"/>
      <c r="S672" s="54"/>
      <c r="T672" s="54"/>
      <c r="U672" s="54"/>
      <c r="V672" s="54"/>
      <c r="W672" s="54"/>
      <c r="X672" s="54"/>
      <c r="Y672" s="54"/>
      <c r="Z672" s="54"/>
      <c r="AA672" s="54"/>
      <c r="AB672" s="54"/>
      <c r="AC672" s="54"/>
      <c r="AD672" s="54"/>
      <c r="AE672" s="54"/>
    </row>
    <row r="673">
      <c r="A673" s="59" t="s">
        <v>968</v>
      </c>
      <c r="B673" s="59" t="s">
        <v>317</v>
      </c>
      <c r="C673" s="59" t="s">
        <v>970</v>
      </c>
      <c r="D673" s="59" t="s">
        <v>938</v>
      </c>
      <c r="E673" s="59" t="s">
        <v>74</v>
      </c>
      <c r="F673" s="105">
        <v>2002.0</v>
      </c>
      <c r="G673" s="89">
        <v>21445.0</v>
      </c>
      <c r="H673" s="89">
        <f t="shared" ref="H673:I673" si="668">F673-F672</f>
        <v>7</v>
      </c>
      <c r="I673" s="89">
        <f t="shared" si="668"/>
        <v>-1922</v>
      </c>
      <c r="J673" s="97">
        <f t="shared" si="657"/>
        <v>-0.0822527496</v>
      </c>
      <c r="K673" s="66">
        <f t="shared" si="658"/>
        <v>-0.0117503928</v>
      </c>
      <c r="L673" s="106" t="s">
        <v>939</v>
      </c>
      <c r="M673" s="54"/>
      <c r="N673" s="54"/>
      <c r="O673" s="54"/>
      <c r="P673" s="54"/>
      <c r="Q673" s="54"/>
      <c r="R673" s="54"/>
      <c r="S673" s="54"/>
      <c r="T673" s="54"/>
      <c r="U673" s="54"/>
      <c r="V673" s="54"/>
      <c r="W673" s="54"/>
      <c r="X673" s="54"/>
      <c r="Y673" s="54"/>
      <c r="Z673" s="54"/>
      <c r="AA673" s="54"/>
      <c r="AB673" s="54"/>
      <c r="AC673" s="54"/>
      <c r="AD673" s="54"/>
      <c r="AE673" s="54"/>
    </row>
    <row r="674">
      <c r="A674" s="59" t="s">
        <v>968</v>
      </c>
      <c r="B674" s="59" t="s">
        <v>317</v>
      </c>
      <c r="C674" s="59" t="s">
        <v>970</v>
      </c>
      <c r="D674" s="59" t="s">
        <v>938</v>
      </c>
      <c r="E674" s="59" t="s">
        <v>74</v>
      </c>
      <c r="F674" s="105">
        <v>2004.0</v>
      </c>
      <c r="G674" s="89">
        <v>26282.0</v>
      </c>
      <c r="H674" s="89">
        <f t="shared" ref="H674:I674" si="669">F674-F673</f>
        <v>2</v>
      </c>
      <c r="I674" s="89">
        <f t="shared" si="669"/>
        <v>4837</v>
      </c>
      <c r="J674" s="97">
        <f t="shared" si="657"/>
        <v>0.2255537421</v>
      </c>
      <c r="K674" s="66">
        <f t="shared" si="658"/>
        <v>0.1127768711</v>
      </c>
      <c r="L674" s="106" t="s">
        <v>939</v>
      </c>
      <c r="M674" s="54"/>
      <c r="N674" s="54"/>
      <c r="O674" s="54"/>
      <c r="P674" s="54"/>
      <c r="Q674" s="54"/>
      <c r="R674" s="54"/>
      <c r="S674" s="54"/>
      <c r="T674" s="54"/>
      <c r="U674" s="54"/>
      <c r="V674" s="54"/>
      <c r="W674" s="54"/>
      <c r="X674" s="54"/>
      <c r="Y674" s="54"/>
      <c r="Z674" s="54"/>
      <c r="AA674" s="54"/>
      <c r="AB674" s="54"/>
      <c r="AC674" s="54"/>
      <c r="AD674" s="54"/>
      <c r="AE674" s="54"/>
    </row>
    <row r="675">
      <c r="A675" s="59" t="s">
        <v>968</v>
      </c>
      <c r="B675" s="59" t="s">
        <v>317</v>
      </c>
      <c r="C675" s="59" t="s">
        <v>970</v>
      </c>
      <c r="D675" s="59" t="s">
        <v>938</v>
      </c>
      <c r="E675" s="59" t="s">
        <v>74</v>
      </c>
      <c r="F675" s="105">
        <v>2009.0</v>
      </c>
      <c r="G675" s="89">
        <v>19597.0</v>
      </c>
      <c r="H675" s="89">
        <f t="shared" ref="H675:I675" si="670">F675-F674</f>
        <v>5</v>
      </c>
      <c r="I675" s="89">
        <f t="shared" si="670"/>
        <v>-6685</v>
      </c>
      <c r="J675" s="97">
        <f t="shared" si="657"/>
        <v>-0.2543565939</v>
      </c>
      <c r="K675" s="66">
        <f t="shared" si="658"/>
        <v>-0.05087131877</v>
      </c>
      <c r="L675" s="106" t="s">
        <v>939</v>
      </c>
      <c r="M675" s="54"/>
      <c r="N675" s="54"/>
      <c r="O675" s="54"/>
      <c r="P675" s="54"/>
      <c r="Q675" s="54"/>
      <c r="R675" s="54"/>
      <c r="S675" s="54"/>
      <c r="T675" s="54"/>
      <c r="U675" s="54"/>
      <c r="V675" s="54"/>
      <c r="W675" s="54"/>
      <c r="X675" s="54"/>
      <c r="Y675" s="54"/>
      <c r="Z675" s="54"/>
      <c r="AA675" s="54"/>
      <c r="AB675" s="54"/>
      <c r="AC675" s="54"/>
      <c r="AD675" s="54"/>
      <c r="AE675" s="54"/>
    </row>
    <row r="676">
      <c r="A676" s="59" t="s">
        <v>968</v>
      </c>
      <c r="B676" s="59" t="s">
        <v>317</v>
      </c>
      <c r="C676" s="59" t="s">
        <v>970</v>
      </c>
      <c r="D676" s="59" t="s">
        <v>938</v>
      </c>
      <c r="E676" s="59" t="s">
        <v>74</v>
      </c>
      <c r="F676" s="105">
        <v>2012.0</v>
      </c>
      <c r="G676" s="89">
        <v>20104.0</v>
      </c>
      <c r="H676" s="89">
        <f t="shared" ref="H676:I676" si="671">F676-F675</f>
        <v>3</v>
      </c>
      <c r="I676" s="89">
        <f t="shared" si="671"/>
        <v>507</v>
      </c>
      <c r="J676" s="97">
        <f t="shared" si="657"/>
        <v>0.02587130683</v>
      </c>
      <c r="K676" s="66">
        <f t="shared" si="658"/>
        <v>0.008623768944</v>
      </c>
      <c r="L676" s="106" t="s">
        <v>939</v>
      </c>
      <c r="M676" s="54"/>
      <c r="N676" s="54"/>
      <c r="O676" s="54"/>
      <c r="P676" s="54"/>
      <c r="Q676" s="54"/>
      <c r="R676" s="54"/>
      <c r="S676" s="54"/>
      <c r="T676" s="54"/>
      <c r="U676" s="54"/>
      <c r="V676" s="54"/>
      <c r="W676" s="54"/>
      <c r="X676" s="54"/>
      <c r="Y676" s="54"/>
      <c r="Z676" s="54"/>
      <c r="AA676" s="54"/>
      <c r="AB676" s="54"/>
      <c r="AC676" s="54"/>
      <c r="AD676" s="54"/>
      <c r="AE676" s="54"/>
    </row>
    <row r="677">
      <c r="A677" s="59" t="s">
        <v>977</v>
      </c>
      <c r="B677" s="59" t="s">
        <v>317</v>
      </c>
      <c r="C677" s="11" t="s">
        <v>979</v>
      </c>
      <c r="D677" s="59" t="s">
        <v>313</v>
      </c>
      <c r="E677" s="59" t="s">
        <v>74</v>
      </c>
      <c r="F677" s="81">
        <v>1980.0</v>
      </c>
      <c r="G677" s="76">
        <v>4503.0</v>
      </c>
      <c r="H677" s="76" t="s">
        <v>188</v>
      </c>
      <c r="I677" s="76" t="s">
        <v>188</v>
      </c>
      <c r="J677" s="93" t="s">
        <v>188</v>
      </c>
      <c r="K677" s="66" t="s">
        <v>188</v>
      </c>
      <c r="L677" s="106" t="s">
        <v>81</v>
      </c>
      <c r="M677" s="54"/>
      <c r="N677" s="54"/>
      <c r="O677" s="54"/>
      <c r="P677" s="54"/>
      <c r="Q677" s="54"/>
      <c r="R677" s="54"/>
      <c r="S677" s="54"/>
      <c r="T677" s="54"/>
      <c r="U677" s="54"/>
      <c r="V677" s="54"/>
      <c r="W677" s="54"/>
      <c r="X677" s="54"/>
      <c r="Y677" s="54"/>
      <c r="Z677" s="54"/>
      <c r="AA677" s="54"/>
      <c r="AB677" s="54"/>
      <c r="AC677" s="54"/>
      <c r="AD677" s="54"/>
      <c r="AE677" s="54"/>
    </row>
    <row r="678">
      <c r="A678" s="59" t="s">
        <v>977</v>
      </c>
      <c r="B678" s="59" t="s">
        <v>317</v>
      </c>
      <c r="C678" s="11" t="s">
        <v>979</v>
      </c>
      <c r="D678" s="59" t="s">
        <v>313</v>
      </c>
      <c r="E678" s="59" t="s">
        <v>74</v>
      </c>
      <c r="F678" s="81">
        <v>1981.0</v>
      </c>
      <c r="G678" s="76">
        <v>6085.0</v>
      </c>
      <c r="H678" s="76" t="s">
        <v>188</v>
      </c>
      <c r="I678" s="76" t="s">
        <v>188</v>
      </c>
      <c r="J678" s="93" t="s">
        <v>188</v>
      </c>
      <c r="K678" s="66" t="s">
        <v>188</v>
      </c>
      <c r="L678" s="106" t="s">
        <v>81</v>
      </c>
      <c r="M678" s="54"/>
      <c r="N678" s="54"/>
      <c r="O678" s="54"/>
      <c r="P678" s="54"/>
      <c r="Q678" s="54"/>
      <c r="R678" s="54"/>
      <c r="S678" s="54"/>
      <c r="T678" s="54"/>
      <c r="U678" s="54"/>
      <c r="V678" s="54"/>
      <c r="W678" s="54"/>
      <c r="X678" s="54"/>
      <c r="Y678" s="54"/>
      <c r="Z678" s="54"/>
      <c r="AA678" s="54"/>
      <c r="AB678" s="54"/>
      <c r="AC678" s="54"/>
      <c r="AD678" s="54"/>
      <c r="AE678" s="54"/>
    </row>
    <row r="679">
      <c r="A679" s="59" t="s">
        <v>977</v>
      </c>
      <c r="B679" s="59" t="s">
        <v>317</v>
      </c>
      <c r="C679" s="11" t="s">
        <v>979</v>
      </c>
      <c r="D679" s="59" t="s">
        <v>313</v>
      </c>
      <c r="E679" s="59" t="s">
        <v>74</v>
      </c>
      <c r="F679" s="81">
        <v>1983.0</v>
      </c>
      <c r="G679" s="76">
        <v>6775.0</v>
      </c>
      <c r="H679" s="76" t="s">
        <v>188</v>
      </c>
      <c r="I679" s="76" t="s">
        <v>188</v>
      </c>
      <c r="J679" s="93" t="s">
        <v>188</v>
      </c>
      <c r="K679" s="66" t="s">
        <v>188</v>
      </c>
      <c r="L679" s="106" t="s">
        <v>81</v>
      </c>
      <c r="M679" s="54"/>
      <c r="N679" s="54"/>
      <c r="O679" s="54"/>
      <c r="P679" s="54"/>
      <c r="Q679" s="54"/>
      <c r="R679" s="54"/>
      <c r="S679" s="54"/>
      <c r="T679" s="54"/>
      <c r="U679" s="54"/>
      <c r="V679" s="54"/>
      <c r="W679" s="54"/>
      <c r="X679" s="54"/>
      <c r="Y679" s="54"/>
      <c r="Z679" s="54"/>
      <c r="AA679" s="54"/>
      <c r="AB679" s="54"/>
      <c r="AC679" s="54"/>
      <c r="AD679" s="54"/>
      <c r="AE679" s="54"/>
    </row>
    <row r="680">
      <c r="A680" s="59" t="s">
        <v>977</v>
      </c>
      <c r="B680" s="59" t="s">
        <v>317</v>
      </c>
      <c r="C680" s="11" t="s">
        <v>979</v>
      </c>
      <c r="D680" s="59" t="s">
        <v>313</v>
      </c>
      <c r="E680" s="59" t="s">
        <v>74</v>
      </c>
      <c r="F680" s="81">
        <v>1986.0</v>
      </c>
      <c r="G680" s="76">
        <v>6569.0</v>
      </c>
      <c r="H680" s="76" t="s">
        <v>188</v>
      </c>
      <c r="I680" s="76" t="s">
        <v>188</v>
      </c>
      <c r="J680" s="93" t="s">
        <v>188</v>
      </c>
      <c r="K680" s="66" t="s">
        <v>188</v>
      </c>
      <c r="L680" s="106" t="s">
        <v>81</v>
      </c>
      <c r="M680" s="54"/>
      <c r="N680" s="54"/>
      <c r="O680" s="54"/>
      <c r="P680" s="54"/>
      <c r="Q680" s="54"/>
      <c r="R680" s="54"/>
      <c r="S680" s="54"/>
      <c r="T680" s="54"/>
      <c r="U680" s="54"/>
      <c r="V680" s="54"/>
      <c r="W680" s="54"/>
      <c r="X680" s="54"/>
      <c r="Y680" s="54"/>
      <c r="Z680" s="54"/>
      <c r="AA680" s="54"/>
      <c r="AB680" s="54"/>
      <c r="AC680" s="54"/>
      <c r="AD680" s="54"/>
      <c r="AE680" s="54"/>
    </row>
    <row r="681">
      <c r="A681" s="59" t="s">
        <v>977</v>
      </c>
      <c r="B681" s="59" t="s">
        <v>317</v>
      </c>
      <c r="C681" s="11" t="s">
        <v>979</v>
      </c>
      <c r="D681" s="59" t="s">
        <v>313</v>
      </c>
      <c r="E681" s="59" t="s">
        <v>74</v>
      </c>
      <c r="F681" s="81">
        <v>1987.0</v>
      </c>
      <c r="G681" s="76">
        <v>10804.0</v>
      </c>
      <c r="H681" s="76" t="s">
        <v>188</v>
      </c>
      <c r="I681" s="76" t="s">
        <v>188</v>
      </c>
      <c r="J681" s="93" t="s">
        <v>188</v>
      </c>
      <c r="K681" s="66" t="s">
        <v>188</v>
      </c>
      <c r="L681" s="106" t="s">
        <v>81</v>
      </c>
      <c r="M681" s="54"/>
      <c r="N681" s="54"/>
      <c r="O681" s="54"/>
      <c r="P681" s="54"/>
      <c r="Q681" s="54"/>
      <c r="R681" s="54"/>
      <c r="S681" s="54"/>
      <c r="T681" s="54"/>
      <c r="U681" s="54"/>
      <c r="V681" s="54"/>
      <c r="W681" s="54"/>
      <c r="X681" s="54"/>
      <c r="Y681" s="54"/>
      <c r="Z681" s="54"/>
      <c r="AA681" s="54"/>
      <c r="AB681" s="54"/>
      <c r="AC681" s="54"/>
      <c r="AD681" s="54"/>
      <c r="AE681" s="54"/>
    </row>
    <row r="682">
      <c r="A682" s="59" t="s">
        <v>977</v>
      </c>
      <c r="B682" s="59" t="s">
        <v>317</v>
      </c>
      <c r="C682" s="11" t="s">
        <v>979</v>
      </c>
      <c r="D682" s="59" t="s">
        <v>313</v>
      </c>
      <c r="E682" s="59" t="s">
        <v>74</v>
      </c>
      <c r="F682" s="81">
        <v>1989.0</v>
      </c>
      <c r="G682" s="76">
        <v>10142.0</v>
      </c>
      <c r="H682" s="76" t="s">
        <v>188</v>
      </c>
      <c r="I682" s="76" t="s">
        <v>188</v>
      </c>
      <c r="J682" s="93" t="s">
        <v>188</v>
      </c>
      <c r="K682" s="66" t="s">
        <v>188</v>
      </c>
      <c r="L682" s="106" t="s">
        <v>81</v>
      </c>
      <c r="M682" s="54"/>
      <c r="N682" s="54"/>
      <c r="O682" s="54"/>
      <c r="P682" s="54"/>
      <c r="Q682" s="54"/>
      <c r="R682" s="54"/>
      <c r="S682" s="54"/>
      <c r="T682" s="54"/>
      <c r="U682" s="54"/>
      <c r="V682" s="54"/>
      <c r="W682" s="54"/>
      <c r="X682" s="54"/>
      <c r="Y682" s="54"/>
      <c r="Z682" s="54"/>
      <c r="AA682" s="54"/>
      <c r="AB682" s="54"/>
      <c r="AC682" s="54"/>
      <c r="AD682" s="54"/>
      <c r="AE682" s="54"/>
    </row>
    <row r="683">
      <c r="A683" s="59" t="s">
        <v>977</v>
      </c>
      <c r="B683" s="59" t="s">
        <v>317</v>
      </c>
      <c r="C683" s="11" t="s">
        <v>979</v>
      </c>
      <c r="D683" s="59" t="s">
        <v>313</v>
      </c>
      <c r="E683" s="59" t="s">
        <v>74</v>
      </c>
      <c r="F683" s="81">
        <v>1991.0</v>
      </c>
      <c r="G683" s="76">
        <v>12512.0</v>
      </c>
      <c r="H683" s="76" t="s">
        <v>188</v>
      </c>
      <c r="I683" s="76" t="s">
        <v>188</v>
      </c>
      <c r="J683" s="93" t="s">
        <v>188</v>
      </c>
      <c r="K683" s="66" t="s">
        <v>188</v>
      </c>
      <c r="L683" s="106" t="s">
        <v>81</v>
      </c>
      <c r="M683" s="54"/>
      <c r="N683" s="54"/>
      <c r="O683" s="54"/>
      <c r="P683" s="54"/>
      <c r="Q683" s="54"/>
      <c r="R683" s="54"/>
      <c r="S683" s="54"/>
      <c r="T683" s="54"/>
      <c r="U683" s="54"/>
      <c r="V683" s="54"/>
      <c r="W683" s="54"/>
      <c r="X683" s="54"/>
      <c r="Y683" s="54"/>
      <c r="Z683" s="54"/>
      <c r="AA683" s="54"/>
      <c r="AB683" s="54"/>
      <c r="AC683" s="54"/>
      <c r="AD683" s="54"/>
      <c r="AE683" s="54"/>
    </row>
    <row r="684">
      <c r="A684" s="59" t="s">
        <v>977</v>
      </c>
      <c r="B684" s="59" t="s">
        <v>317</v>
      </c>
      <c r="C684" s="11" t="s">
        <v>979</v>
      </c>
      <c r="D684" s="59" t="s">
        <v>313</v>
      </c>
      <c r="E684" s="59" t="s">
        <v>74</v>
      </c>
      <c r="F684" s="81">
        <v>1992.0</v>
      </c>
      <c r="G684" s="76">
        <v>11952.0</v>
      </c>
      <c r="H684" s="76" t="s">
        <v>188</v>
      </c>
      <c r="I684" s="76" t="s">
        <v>188</v>
      </c>
      <c r="J684" s="93" t="s">
        <v>188</v>
      </c>
      <c r="K684" s="66" t="s">
        <v>188</v>
      </c>
      <c r="L684" s="106" t="s">
        <v>81</v>
      </c>
      <c r="M684" s="54"/>
      <c r="N684" s="54"/>
      <c r="O684" s="54"/>
      <c r="P684" s="54"/>
      <c r="Q684" s="54"/>
      <c r="R684" s="54"/>
      <c r="S684" s="54"/>
      <c r="T684" s="54"/>
      <c r="U684" s="54"/>
      <c r="V684" s="54"/>
      <c r="W684" s="54"/>
      <c r="X684" s="54"/>
      <c r="Y684" s="54"/>
      <c r="Z684" s="54"/>
      <c r="AA684" s="54"/>
      <c r="AB684" s="54"/>
      <c r="AC684" s="54"/>
      <c r="AD684" s="54"/>
      <c r="AE684" s="54"/>
    </row>
    <row r="685">
      <c r="A685" s="59" t="s">
        <v>977</v>
      </c>
      <c r="B685" s="59" t="s">
        <v>317</v>
      </c>
      <c r="C685" s="11" t="s">
        <v>979</v>
      </c>
      <c r="D685" s="59" t="s">
        <v>313</v>
      </c>
      <c r="E685" s="59" t="s">
        <v>74</v>
      </c>
      <c r="F685" s="81">
        <v>1993.0</v>
      </c>
      <c r="G685" s="76">
        <v>11705.0</v>
      </c>
      <c r="H685" s="76" t="s">
        <v>188</v>
      </c>
      <c r="I685" s="76" t="s">
        <v>188</v>
      </c>
      <c r="J685" s="93" t="s">
        <v>188</v>
      </c>
      <c r="K685" s="66" t="s">
        <v>188</v>
      </c>
      <c r="L685" s="106" t="s">
        <v>81</v>
      </c>
      <c r="M685" s="54"/>
      <c r="N685" s="54"/>
      <c r="O685" s="54"/>
      <c r="P685" s="54"/>
      <c r="Q685" s="54"/>
      <c r="R685" s="54"/>
      <c r="S685" s="54"/>
      <c r="T685" s="54"/>
      <c r="U685" s="54"/>
      <c r="V685" s="54"/>
      <c r="W685" s="54"/>
      <c r="X685" s="54"/>
      <c r="Y685" s="54"/>
      <c r="Z685" s="54"/>
      <c r="AA685" s="54"/>
      <c r="AB685" s="54"/>
      <c r="AC685" s="54"/>
      <c r="AD685" s="54"/>
      <c r="AE685" s="54"/>
    </row>
    <row r="686">
      <c r="A686" s="59" t="s">
        <v>977</v>
      </c>
      <c r="B686" s="59" t="s">
        <v>317</v>
      </c>
      <c r="C686" s="11" t="s">
        <v>979</v>
      </c>
      <c r="D686" s="59" t="s">
        <v>313</v>
      </c>
      <c r="E686" s="59" t="s">
        <v>74</v>
      </c>
      <c r="F686" s="81">
        <v>1994.0</v>
      </c>
      <c r="G686" s="76">
        <v>9291.0</v>
      </c>
      <c r="H686" s="76" t="s">
        <v>188</v>
      </c>
      <c r="I686" s="76" t="s">
        <v>188</v>
      </c>
      <c r="J686" s="93" t="s">
        <v>188</v>
      </c>
      <c r="K686" s="66" t="s">
        <v>188</v>
      </c>
      <c r="L686" s="106" t="s">
        <v>81</v>
      </c>
      <c r="M686" s="54"/>
      <c r="N686" s="54"/>
      <c r="O686" s="54"/>
      <c r="P686" s="54"/>
      <c r="Q686" s="54"/>
      <c r="R686" s="54"/>
      <c r="S686" s="54"/>
      <c r="T686" s="54"/>
      <c r="U686" s="54"/>
      <c r="V686" s="54"/>
      <c r="W686" s="54"/>
      <c r="X686" s="54"/>
      <c r="Y686" s="54"/>
      <c r="Z686" s="54"/>
      <c r="AA686" s="54"/>
      <c r="AB686" s="54"/>
      <c r="AC686" s="54"/>
      <c r="AD686" s="54"/>
      <c r="AE686" s="54"/>
    </row>
    <row r="687">
      <c r="A687" s="59" t="s">
        <v>977</v>
      </c>
      <c r="B687" s="59" t="s">
        <v>317</v>
      </c>
      <c r="C687" s="11" t="s">
        <v>979</v>
      </c>
      <c r="D687" s="59" t="s">
        <v>313</v>
      </c>
      <c r="E687" s="59" t="s">
        <v>74</v>
      </c>
      <c r="F687" s="81">
        <v>1995.0</v>
      </c>
      <c r="G687" s="76">
        <v>11359.0</v>
      </c>
      <c r="H687" s="76" t="s">
        <v>188</v>
      </c>
      <c r="I687" s="76" t="s">
        <v>188</v>
      </c>
      <c r="J687" s="93" t="s">
        <v>188</v>
      </c>
      <c r="K687" s="66" t="s">
        <v>188</v>
      </c>
      <c r="L687" s="106" t="s">
        <v>81</v>
      </c>
      <c r="M687" s="54"/>
      <c r="N687" s="54"/>
      <c r="O687" s="54"/>
      <c r="P687" s="54"/>
      <c r="Q687" s="54"/>
      <c r="R687" s="54"/>
      <c r="S687" s="54"/>
      <c r="T687" s="54"/>
      <c r="U687" s="54"/>
      <c r="V687" s="54"/>
      <c r="W687" s="54"/>
      <c r="X687" s="54"/>
      <c r="Y687" s="54"/>
      <c r="Z687" s="54"/>
      <c r="AA687" s="54"/>
      <c r="AB687" s="54"/>
      <c r="AC687" s="54"/>
      <c r="AD687" s="54"/>
      <c r="AE687" s="54"/>
    </row>
    <row r="688">
      <c r="A688" s="59" t="s">
        <v>977</v>
      </c>
      <c r="B688" s="59" t="s">
        <v>317</v>
      </c>
      <c r="C688" s="11" t="s">
        <v>979</v>
      </c>
      <c r="D688" s="59" t="s">
        <v>313</v>
      </c>
      <c r="E688" s="59" t="s">
        <v>74</v>
      </c>
      <c r="F688" s="81">
        <v>1996.0</v>
      </c>
      <c r="G688" s="76">
        <v>10315.0</v>
      </c>
      <c r="H688" s="76" t="s">
        <v>188</v>
      </c>
      <c r="I688" s="76" t="s">
        <v>188</v>
      </c>
      <c r="J688" s="93" t="s">
        <v>188</v>
      </c>
      <c r="K688" s="66" t="s">
        <v>188</v>
      </c>
      <c r="L688" s="106" t="s">
        <v>81</v>
      </c>
      <c r="M688" s="54"/>
      <c r="N688" s="54"/>
      <c r="O688" s="54"/>
      <c r="P688" s="54"/>
      <c r="Q688" s="54"/>
      <c r="R688" s="54"/>
      <c r="S688" s="54"/>
      <c r="T688" s="54"/>
      <c r="U688" s="54"/>
      <c r="V688" s="54"/>
      <c r="W688" s="54"/>
      <c r="X688" s="54"/>
      <c r="Y688" s="54"/>
      <c r="Z688" s="54"/>
      <c r="AA688" s="54"/>
      <c r="AB688" s="54"/>
      <c r="AC688" s="54"/>
      <c r="AD688" s="54"/>
      <c r="AE688" s="54"/>
    </row>
    <row r="689">
      <c r="A689" s="59" t="s">
        <v>977</v>
      </c>
      <c r="B689" s="59" t="s">
        <v>317</v>
      </c>
      <c r="C689" s="11" t="s">
        <v>979</v>
      </c>
      <c r="D689" s="59" t="s">
        <v>313</v>
      </c>
      <c r="E689" s="59" t="s">
        <v>74</v>
      </c>
      <c r="F689" s="81">
        <v>1997.0</v>
      </c>
      <c r="G689" s="76">
        <v>11864.0</v>
      </c>
      <c r="H689" s="76" t="s">
        <v>188</v>
      </c>
      <c r="I689" s="76" t="s">
        <v>188</v>
      </c>
      <c r="J689" s="93" t="s">
        <v>188</v>
      </c>
      <c r="K689" s="66" t="s">
        <v>188</v>
      </c>
      <c r="L689" s="106" t="s">
        <v>81</v>
      </c>
      <c r="M689" s="54"/>
      <c r="N689" s="54"/>
      <c r="O689" s="54"/>
      <c r="P689" s="54"/>
      <c r="Q689" s="54"/>
      <c r="R689" s="54"/>
      <c r="S689" s="54"/>
      <c r="T689" s="54"/>
      <c r="U689" s="54"/>
      <c r="V689" s="54"/>
      <c r="W689" s="54"/>
      <c r="X689" s="54"/>
      <c r="Y689" s="54"/>
      <c r="Z689" s="54"/>
      <c r="AA689" s="54"/>
      <c r="AB689" s="54"/>
      <c r="AC689" s="54"/>
      <c r="AD689" s="54"/>
      <c r="AE689" s="54"/>
    </row>
    <row r="690">
      <c r="A690" s="59" t="s">
        <v>977</v>
      </c>
      <c r="B690" s="59" t="s">
        <v>317</v>
      </c>
      <c r="C690" s="11" t="s">
        <v>979</v>
      </c>
      <c r="D690" s="59" t="s">
        <v>313</v>
      </c>
      <c r="E690" s="59" t="s">
        <v>74</v>
      </c>
      <c r="F690" s="81">
        <v>1999.0</v>
      </c>
      <c r="G690" s="76">
        <v>10430.0</v>
      </c>
      <c r="H690" s="76" t="s">
        <v>188</v>
      </c>
      <c r="I690" s="76" t="s">
        <v>188</v>
      </c>
      <c r="J690" s="93" t="s">
        <v>188</v>
      </c>
      <c r="K690" s="66" t="s">
        <v>188</v>
      </c>
      <c r="L690" s="106" t="s">
        <v>81</v>
      </c>
      <c r="M690" s="54"/>
      <c r="N690" s="54"/>
      <c r="O690" s="54"/>
      <c r="P690" s="54"/>
      <c r="Q690" s="54"/>
      <c r="R690" s="54"/>
      <c r="S690" s="54"/>
      <c r="T690" s="54"/>
      <c r="U690" s="54"/>
      <c r="V690" s="54"/>
      <c r="W690" s="54"/>
      <c r="X690" s="54"/>
      <c r="Y690" s="54"/>
      <c r="Z690" s="54"/>
      <c r="AA690" s="54"/>
      <c r="AB690" s="54"/>
      <c r="AC690" s="54"/>
      <c r="AD690" s="54"/>
      <c r="AE690" s="54"/>
    </row>
    <row r="691">
      <c r="A691" s="59" t="s">
        <v>985</v>
      </c>
      <c r="B691" s="59" t="s">
        <v>317</v>
      </c>
      <c r="C691" s="11" t="s">
        <v>986</v>
      </c>
      <c r="D691" s="59" t="s">
        <v>313</v>
      </c>
      <c r="E691" s="59" t="s">
        <v>74</v>
      </c>
      <c r="F691" s="81">
        <v>1978.0</v>
      </c>
      <c r="G691" s="76">
        <v>3093.0</v>
      </c>
      <c r="H691" s="76" t="s">
        <v>188</v>
      </c>
      <c r="I691" s="76" t="s">
        <v>188</v>
      </c>
      <c r="J691" s="93" t="s">
        <v>188</v>
      </c>
      <c r="K691" s="66" t="s">
        <v>188</v>
      </c>
      <c r="L691" s="106" t="s">
        <v>81</v>
      </c>
      <c r="M691" s="54"/>
      <c r="N691" s="54"/>
      <c r="O691" s="54"/>
      <c r="P691" s="54"/>
      <c r="Q691" s="54"/>
      <c r="R691" s="54"/>
      <c r="S691" s="54"/>
      <c r="T691" s="54"/>
      <c r="U691" s="54"/>
      <c r="V691" s="54"/>
      <c r="W691" s="54"/>
      <c r="X691" s="54"/>
      <c r="Y691" s="54"/>
      <c r="Z691" s="54"/>
      <c r="AA691" s="54"/>
      <c r="AB691" s="54"/>
      <c r="AC691" s="54"/>
      <c r="AD691" s="54"/>
      <c r="AE691" s="54"/>
    </row>
    <row r="692">
      <c r="A692" s="59" t="s">
        <v>985</v>
      </c>
      <c r="B692" s="59" t="s">
        <v>317</v>
      </c>
      <c r="C692" s="11" t="s">
        <v>986</v>
      </c>
      <c r="D692" s="59" t="s">
        <v>313</v>
      </c>
      <c r="E692" s="59" t="s">
        <v>74</v>
      </c>
      <c r="F692" s="81">
        <v>1985.0</v>
      </c>
      <c r="G692" s="76">
        <v>5295.0</v>
      </c>
      <c r="H692" s="76">
        <f t="shared" ref="H692:I692" si="672">F692-F691</f>
        <v>7</v>
      </c>
      <c r="I692" s="76">
        <f t="shared" si="672"/>
        <v>2202</v>
      </c>
      <c r="J692" s="93">
        <f t="shared" ref="J692:J700" si="674">I692/G691</f>
        <v>0.7119301649</v>
      </c>
      <c r="K692" s="66">
        <f t="shared" ref="K692:K700" si="675">J692/H692</f>
        <v>0.1017043093</v>
      </c>
      <c r="L692" s="106" t="s">
        <v>81</v>
      </c>
      <c r="M692" s="54"/>
      <c r="N692" s="54"/>
      <c r="O692" s="54"/>
      <c r="P692" s="54"/>
      <c r="Q692" s="54"/>
      <c r="R692" s="54"/>
      <c r="S692" s="54"/>
      <c r="T692" s="54"/>
      <c r="U692" s="54"/>
      <c r="V692" s="54"/>
      <c r="W692" s="54"/>
      <c r="X692" s="54"/>
      <c r="Y692" s="54"/>
      <c r="Z692" s="54"/>
      <c r="AA692" s="54"/>
      <c r="AB692" s="54"/>
      <c r="AC692" s="54"/>
      <c r="AD692" s="54"/>
      <c r="AE692" s="54"/>
    </row>
    <row r="693">
      <c r="A693" s="59" t="s">
        <v>985</v>
      </c>
      <c r="B693" s="59" t="s">
        <v>317</v>
      </c>
      <c r="C693" s="11" t="s">
        <v>986</v>
      </c>
      <c r="D693" s="59" t="s">
        <v>313</v>
      </c>
      <c r="E693" s="59" t="s">
        <v>74</v>
      </c>
      <c r="F693" s="81">
        <v>1991.0</v>
      </c>
      <c r="G693" s="76">
        <v>8784.0</v>
      </c>
      <c r="H693" s="76">
        <f t="shared" ref="H693:I693" si="673">F693-F692</f>
        <v>6</v>
      </c>
      <c r="I693" s="76">
        <f t="shared" si="673"/>
        <v>3489</v>
      </c>
      <c r="J693" s="93">
        <f t="shared" si="674"/>
        <v>0.6589235127</v>
      </c>
      <c r="K693" s="66">
        <f t="shared" si="675"/>
        <v>0.1098205855</v>
      </c>
      <c r="L693" s="106" t="s">
        <v>81</v>
      </c>
      <c r="M693" s="54"/>
      <c r="N693" s="54"/>
      <c r="O693" s="54"/>
      <c r="P693" s="54"/>
      <c r="Q693" s="54"/>
      <c r="R693" s="54"/>
      <c r="S693" s="54"/>
      <c r="T693" s="54"/>
      <c r="U693" s="54"/>
      <c r="V693" s="54"/>
      <c r="W693" s="54"/>
      <c r="X693" s="54"/>
      <c r="Y693" s="54"/>
      <c r="Z693" s="54"/>
      <c r="AA693" s="54"/>
      <c r="AB693" s="54"/>
      <c r="AC693" s="54"/>
      <c r="AD693" s="54"/>
      <c r="AE693" s="54"/>
    </row>
    <row r="694">
      <c r="A694" s="59" t="s">
        <v>985</v>
      </c>
      <c r="B694" s="59" t="s">
        <v>317</v>
      </c>
      <c r="C694" s="11" t="s">
        <v>986</v>
      </c>
      <c r="D694" s="59" t="s">
        <v>313</v>
      </c>
      <c r="E694" s="59" t="s">
        <v>74</v>
      </c>
      <c r="F694" s="81">
        <v>1992.0</v>
      </c>
      <c r="G694" s="76">
        <v>9019.0</v>
      </c>
      <c r="H694" s="76">
        <f t="shared" ref="H694:I694" si="676">F694-F693</f>
        <v>1</v>
      </c>
      <c r="I694" s="76">
        <f t="shared" si="676"/>
        <v>235</v>
      </c>
      <c r="J694" s="93">
        <f t="shared" si="674"/>
        <v>0.02675318761</v>
      </c>
      <c r="K694" s="66">
        <f t="shared" si="675"/>
        <v>0.02675318761</v>
      </c>
      <c r="L694" s="106" t="s">
        <v>81</v>
      </c>
      <c r="M694" s="54"/>
      <c r="N694" s="54"/>
      <c r="O694" s="54"/>
      <c r="P694" s="54"/>
      <c r="Q694" s="54"/>
      <c r="R694" s="54"/>
      <c r="S694" s="54"/>
      <c r="T694" s="54"/>
      <c r="U694" s="54"/>
      <c r="V694" s="54"/>
      <c r="W694" s="54"/>
      <c r="X694" s="54"/>
      <c r="Y694" s="54"/>
      <c r="Z694" s="54"/>
      <c r="AA694" s="54"/>
      <c r="AB694" s="54"/>
      <c r="AC694" s="54"/>
      <c r="AD694" s="54"/>
      <c r="AE694" s="54"/>
    </row>
    <row r="695">
      <c r="A695" s="59" t="s">
        <v>985</v>
      </c>
      <c r="B695" s="59" t="s">
        <v>317</v>
      </c>
      <c r="C695" s="11" t="s">
        <v>986</v>
      </c>
      <c r="D695" s="59" t="s">
        <v>313</v>
      </c>
      <c r="E695" s="59" t="s">
        <v>74</v>
      </c>
      <c r="F695" s="81">
        <v>1993.0</v>
      </c>
      <c r="G695" s="76">
        <v>10417.0</v>
      </c>
      <c r="H695" s="76">
        <f t="shared" ref="H695:I695" si="677">F695-F694</f>
        <v>1</v>
      </c>
      <c r="I695" s="76">
        <f t="shared" si="677"/>
        <v>1398</v>
      </c>
      <c r="J695" s="93">
        <f t="shared" si="674"/>
        <v>0.1550060982</v>
      </c>
      <c r="K695" s="66">
        <f t="shared" si="675"/>
        <v>0.1550060982</v>
      </c>
      <c r="L695" s="106" t="s">
        <v>81</v>
      </c>
      <c r="M695" s="54"/>
      <c r="N695" s="54"/>
      <c r="O695" s="54"/>
      <c r="P695" s="54"/>
      <c r="Q695" s="54"/>
      <c r="R695" s="54"/>
      <c r="S695" s="54"/>
      <c r="T695" s="54"/>
      <c r="U695" s="54"/>
      <c r="V695" s="54"/>
      <c r="W695" s="54"/>
      <c r="X695" s="54"/>
      <c r="Y695" s="54"/>
      <c r="Z695" s="54"/>
      <c r="AA695" s="54"/>
      <c r="AB695" s="54"/>
      <c r="AC695" s="54"/>
      <c r="AD695" s="54"/>
      <c r="AE695" s="54"/>
    </row>
    <row r="696">
      <c r="A696" s="59" t="s">
        <v>985</v>
      </c>
      <c r="B696" s="59" t="s">
        <v>317</v>
      </c>
      <c r="C696" s="11" t="s">
        <v>986</v>
      </c>
      <c r="D696" s="59" t="s">
        <v>313</v>
      </c>
      <c r="E696" s="59" t="s">
        <v>74</v>
      </c>
      <c r="F696" s="81">
        <v>1994.0</v>
      </c>
      <c r="G696" s="76">
        <v>9015.0</v>
      </c>
      <c r="H696" s="76">
        <f t="shared" ref="H696:I696" si="678">F696-F695</f>
        <v>1</v>
      </c>
      <c r="I696" s="76">
        <f t="shared" si="678"/>
        <v>-1402</v>
      </c>
      <c r="J696" s="93">
        <f t="shared" si="674"/>
        <v>-0.1345876932</v>
      </c>
      <c r="K696" s="66">
        <f t="shared" si="675"/>
        <v>-0.1345876932</v>
      </c>
      <c r="L696" s="106" t="s">
        <v>81</v>
      </c>
      <c r="M696" s="54"/>
      <c r="N696" s="54"/>
      <c r="O696" s="54"/>
      <c r="P696" s="54"/>
      <c r="Q696" s="54"/>
      <c r="R696" s="54"/>
      <c r="S696" s="54"/>
      <c r="T696" s="54"/>
      <c r="U696" s="54"/>
      <c r="V696" s="54"/>
      <c r="W696" s="54"/>
      <c r="X696" s="54"/>
      <c r="Y696" s="54"/>
      <c r="Z696" s="54"/>
      <c r="AA696" s="54"/>
      <c r="AB696" s="54"/>
      <c r="AC696" s="54"/>
      <c r="AD696" s="54"/>
      <c r="AE696" s="54"/>
    </row>
    <row r="697">
      <c r="A697" s="59" t="s">
        <v>985</v>
      </c>
      <c r="B697" s="59" t="s">
        <v>317</v>
      </c>
      <c r="C697" s="11" t="s">
        <v>986</v>
      </c>
      <c r="D697" s="59" t="s">
        <v>313</v>
      </c>
      <c r="E697" s="59" t="s">
        <v>74</v>
      </c>
      <c r="F697" s="81">
        <v>1996.0</v>
      </c>
      <c r="G697" s="76">
        <v>11933.0</v>
      </c>
      <c r="H697" s="76">
        <f t="shared" ref="H697:I697" si="679">F697-F696</f>
        <v>2</v>
      </c>
      <c r="I697" s="76">
        <f t="shared" si="679"/>
        <v>2918</v>
      </c>
      <c r="J697" s="93">
        <f t="shared" si="674"/>
        <v>0.323682751</v>
      </c>
      <c r="K697" s="66">
        <f t="shared" si="675"/>
        <v>0.1618413755</v>
      </c>
      <c r="L697" s="106" t="s">
        <v>81</v>
      </c>
      <c r="M697" s="54"/>
      <c r="N697" s="54"/>
      <c r="O697" s="54"/>
      <c r="P697" s="54"/>
      <c r="Q697" s="54"/>
      <c r="R697" s="54"/>
      <c r="S697" s="54"/>
      <c r="T697" s="54"/>
      <c r="U697" s="54"/>
      <c r="V697" s="54"/>
      <c r="W697" s="54"/>
      <c r="X697" s="54"/>
      <c r="Y697" s="54"/>
      <c r="Z697" s="54"/>
      <c r="AA697" s="54"/>
      <c r="AB697" s="54"/>
      <c r="AC697" s="54"/>
      <c r="AD697" s="54"/>
      <c r="AE697" s="54"/>
    </row>
    <row r="698">
      <c r="A698" s="59" t="s">
        <v>985</v>
      </c>
      <c r="B698" s="59" t="s">
        <v>317</v>
      </c>
      <c r="C698" s="11" t="s">
        <v>986</v>
      </c>
      <c r="D698" s="59" t="s">
        <v>313</v>
      </c>
      <c r="E698" s="59" t="s">
        <v>74</v>
      </c>
      <c r="F698" s="81">
        <v>1997.0</v>
      </c>
      <c r="G698" s="76">
        <v>10324.0</v>
      </c>
      <c r="H698" s="76">
        <f t="shared" ref="H698:I698" si="680">F698-F697</f>
        <v>1</v>
      </c>
      <c r="I698" s="76">
        <f t="shared" si="680"/>
        <v>-1609</v>
      </c>
      <c r="J698" s="93">
        <f t="shared" si="674"/>
        <v>-0.1348361686</v>
      </c>
      <c r="K698" s="66">
        <f t="shared" si="675"/>
        <v>-0.1348361686</v>
      </c>
      <c r="L698" s="106" t="s">
        <v>81</v>
      </c>
      <c r="M698" s="54"/>
      <c r="N698" s="54"/>
      <c r="O698" s="54"/>
      <c r="P698" s="54"/>
      <c r="Q698" s="54"/>
      <c r="R698" s="54"/>
      <c r="S698" s="54"/>
      <c r="T698" s="54"/>
      <c r="U698" s="54"/>
      <c r="V698" s="54"/>
      <c r="W698" s="54"/>
      <c r="X698" s="54"/>
      <c r="Y698" s="54"/>
      <c r="Z698" s="54"/>
      <c r="AA698" s="54"/>
      <c r="AB698" s="54"/>
      <c r="AC698" s="54"/>
      <c r="AD698" s="54"/>
      <c r="AE698" s="54"/>
    </row>
    <row r="699">
      <c r="A699" s="59" t="s">
        <v>985</v>
      </c>
      <c r="B699" s="59" t="s">
        <v>317</v>
      </c>
      <c r="C699" s="11" t="s">
        <v>986</v>
      </c>
      <c r="D699" s="59" t="s">
        <v>313</v>
      </c>
      <c r="E699" s="59" t="s">
        <v>74</v>
      </c>
      <c r="F699" s="81">
        <v>1998.0</v>
      </c>
      <c r="G699" s="76">
        <v>9588.0</v>
      </c>
      <c r="H699" s="76">
        <f t="shared" ref="H699:I699" si="681">F699-F698</f>
        <v>1</v>
      </c>
      <c r="I699" s="76">
        <f t="shared" si="681"/>
        <v>-736</v>
      </c>
      <c r="J699" s="93">
        <f t="shared" si="674"/>
        <v>-0.0712901976</v>
      </c>
      <c r="K699" s="66">
        <f t="shared" si="675"/>
        <v>-0.0712901976</v>
      </c>
      <c r="L699" s="106" t="s">
        <v>81</v>
      </c>
      <c r="M699" s="54"/>
      <c r="N699" s="54"/>
      <c r="O699" s="54"/>
      <c r="P699" s="54"/>
      <c r="Q699" s="54"/>
      <c r="R699" s="54"/>
      <c r="S699" s="54"/>
      <c r="T699" s="54"/>
      <c r="U699" s="54"/>
      <c r="V699" s="54"/>
      <c r="W699" s="54"/>
      <c r="X699" s="54"/>
      <c r="Y699" s="54"/>
      <c r="Z699" s="54"/>
      <c r="AA699" s="54"/>
      <c r="AB699" s="54"/>
      <c r="AC699" s="54"/>
      <c r="AD699" s="54"/>
      <c r="AE699" s="54"/>
    </row>
    <row r="700">
      <c r="A700" s="59" t="s">
        <v>985</v>
      </c>
      <c r="B700" s="59" t="s">
        <v>317</v>
      </c>
      <c r="C700" s="11" t="s">
        <v>986</v>
      </c>
      <c r="D700" s="59" t="s">
        <v>313</v>
      </c>
      <c r="E700" s="59" t="s">
        <v>74</v>
      </c>
      <c r="F700" s="81">
        <v>1999.0</v>
      </c>
      <c r="G700" s="76">
        <v>8949.0</v>
      </c>
      <c r="H700" s="76">
        <f t="shared" ref="H700:I700" si="682">F700-F699</f>
        <v>1</v>
      </c>
      <c r="I700" s="76">
        <f t="shared" si="682"/>
        <v>-639</v>
      </c>
      <c r="J700" s="93">
        <f t="shared" si="674"/>
        <v>-0.06664580726</v>
      </c>
      <c r="K700" s="66">
        <f t="shared" si="675"/>
        <v>-0.06664580726</v>
      </c>
      <c r="L700" s="106" t="s">
        <v>81</v>
      </c>
      <c r="M700" s="54"/>
      <c r="N700" s="54"/>
      <c r="O700" s="54"/>
      <c r="P700" s="54"/>
      <c r="Q700" s="54"/>
      <c r="R700" s="54"/>
      <c r="S700" s="54"/>
      <c r="T700" s="54"/>
      <c r="U700" s="54"/>
      <c r="V700" s="54"/>
      <c r="W700" s="54"/>
      <c r="X700" s="54"/>
      <c r="Y700" s="54"/>
      <c r="Z700" s="54"/>
      <c r="AA700" s="54"/>
      <c r="AB700" s="54"/>
      <c r="AC700" s="54"/>
      <c r="AD700" s="54"/>
      <c r="AE700" s="54"/>
    </row>
    <row r="701">
      <c r="A701" s="59" t="s">
        <v>991</v>
      </c>
      <c r="B701" s="59" t="s">
        <v>317</v>
      </c>
      <c r="C701" s="59" t="s">
        <v>992</v>
      </c>
      <c r="D701" s="59" t="s">
        <v>313</v>
      </c>
      <c r="E701" s="59" t="s">
        <v>993</v>
      </c>
      <c r="F701" s="81">
        <v>1982.0</v>
      </c>
      <c r="G701" s="76">
        <v>2710.0</v>
      </c>
      <c r="H701" s="76" t="s">
        <v>188</v>
      </c>
      <c r="I701" s="76" t="s">
        <v>188</v>
      </c>
      <c r="J701" s="93" t="s">
        <v>188</v>
      </c>
      <c r="K701" s="66" t="s">
        <v>188</v>
      </c>
      <c r="L701" s="106" t="s">
        <v>81</v>
      </c>
      <c r="M701" s="54"/>
      <c r="N701" s="54"/>
      <c r="O701" s="54"/>
      <c r="P701" s="54"/>
      <c r="Q701" s="54"/>
      <c r="R701" s="54"/>
      <c r="S701" s="54"/>
      <c r="T701" s="54"/>
      <c r="U701" s="54"/>
      <c r="V701" s="54"/>
      <c r="W701" s="54"/>
      <c r="X701" s="54"/>
      <c r="Y701" s="54"/>
      <c r="Z701" s="54"/>
      <c r="AA701" s="54"/>
      <c r="AB701" s="54"/>
      <c r="AC701" s="54"/>
      <c r="AD701" s="54"/>
      <c r="AE701" s="54"/>
    </row>
    <row r="702">
      <c r="A702" s="59" t="s">
        <v>991</v>
      </c>
      <c r="B702" s="59" t="s">
        <v>317</v>
      </c>
      <c r="C702" s="59" t="s">
        <v>992</v>
      </c>
      <c r="D702" s="59" t="s">
        <v>313</v>
      </c>
      <c r="E702" s="59" t="s">
        <v>993</v>
      </c>
      <c r="F702" s="81">
        <v>1983.0</v>
      </c>
      <c r="G702" s="76">
        <v>3407.0</v>
      </c>
      <c r="H702" s="76" t="s">
        <v>188</v>
      </c>
      <c r="I702" s="76" t="s">
        <v>188</v>
      </c>
      <c r="J702" s="93" t="s">
        <v>188</v>
      </c>
      <c r="K702" s="66" t="s">
        <v>188</v>
      </c>
      <c r="L702" s="106" t="s">
        <v>81</v>
      </c>
      <c r="M702" s="54"/>
      <c r="N702" s="54"/>
      <c r="O702" s="54"/>
      <c r="P702" s="54"/>
      <c r="Q702" s="54"/>
      <c r="R702" s="54"/>
      <c r="S702" s="54"/>
      <c r="T702" s="54"/>
      <c r="U702" s="54"/>
      <c r="V702" s="54"/>
      <c r="W702" s="54"/>
      <c r="X702" s="54"/>
      <c r="Y702" s="54"/>
      <c r="Z702" s="54"/>
      <c r="AA702" s="54"/>
      <c r="AB702" s="54"/>
      <c r="AC702" s="54"/>
      <c r="AD702" s="54"/>
      <c r="AE702" s="54"/>
    </row>
    <row r="703">
      <c r="A703" s="59" t="s">
        <v>991</v>
      </c>
      <c r="B703" s="59" t="s">
        <v>317</v>
      </c>
      <c r="C703" s="59" t="s">
        <v>992</v>
      </c>
      <c r="D703" s="59" t="s">
        <v>313</v>
      </c>
      <c r="E703" s="59" t="s">
        <v>993</v>
      </c>
      <c r="F703" s="81">
        <v>1985.0</v>
      </c>
      <c r="G703" s="76">
        <v>3756.0</v>
      </c>
      <c r="H703" s="76" t="s">
        <v>188</v>
      </c>
      <c r="I703" s="76" t="s">
        <v>188</v>
      </c>
      <c r="J703" s="93" t="s">
        <v>188</v>
      </c>
      <c r="K703" s="66" t="s">
        <v>188</v>
      </c>
      <c r="L703" s="106" t="s">
        <v>81</v>
      </c>
      <c r="M703" s="54"/>
      <c r="N703" s="54"/>
      <c r="O703" s="54"/>
      <c r="P703" s="54"/>
      <c r="Q703" s="54"/>
      <c r="R703" s="54"/>
      <c r="S703" s="54"/>
      <c r="T703" s="54"/>
      <c r="U703" s="54"/>
      <c r="V703" s="54"/>
      <c r="W703" s="54"/>
      <c r="X703" s="54"/>
      <c r="Y703" s="54"/>
      <c r="Z703" s="54"/>
      <c r="AA703" s="54"/>
      <c r="AB703" s="54"/>
      <c r="AC703" s="54"/>
      <c r="AD703" s="54"/>
      <c r="AE703" s="54"/>
    </row>
    <row r="704">
      <c r="A704" s="59" t="s">
        <v>991</v>
      </c>
      <c r="B704" s="59" t="s">
        <v>317</v>
      </c>
      <c r="C704" s="59" t="s">
        <v>992</v>
      </c>
      <c r="D704" s="59" t="s">
        <v>313</v>
      </c>
      <c r="E704" s="59" t="s">
        <v>993</v>
      </c>
      <c r="F704" s="81">
        <v>1987.0</v>
      </c>
      <c r="G704" s="76">
        <v>3986.0</v>
      </c>
      <c r="H704" s="76" t="s">
        <v>188</v>
      </c>
      <c r="I704" s="76" t="s">
        <v>188</v>
      </c>
      <c r="J704" s="93" t="s">
        <v>188</v>
      </c>
      <c r="K704" s="66" t="s">
        <v>188</v>
      </c>
      <c r="L704" s="106" t="s">
        <v>81</v>
      </c>
      <c r="M704" s="54"/>
      <c r="N704" s="54"/>
      <c r="O704" s="54"/>
      <c r="P704" s="54"/>
      <c r="Q704" s="54"/>
      <c r="R704" s="54"/>
      <c r="S704" s="54"/>
      <c r="T704" s="54"/>
      <c r="U704" s="54"/>
      <c r="V704" s="54"/>
      <c r="W704" s="54"/>
      <c r="X704" s="54"/>
      <c r="Y704" s="54"/>
      <c r="Z704" s="54"/>
      <c r="AA704" s="54"/>
      <c r="AB704" s="54"/>
      <c r="AC704" s="54"/>
      <c r="AD704" s="54"/>
      <c r="AE704" s="54"/>
    </row>
    <row r="705">
      <c r="A705" s="59" t="s">
        <v>991</v>
      </c>
      <c r="B705" s="59" t="s">
        <v>317</v>
      </c>
      <c r="C705" s="59" t="s">
        <v>992</v>
      </c>
      <c r="D705" s="59" t="s">
        <v>313</v>
      </c>
      <c r="E705" s="59" t="s">
        <v>993</v>
      </c>
      <c r="F705" s="81">
        <v>1988.0</v>
      </c>
      <c r="G705" s="76">
        <v>4480.0</v>
      </c>
      <c r="H705" s="76" t="s">
        <v>188</v>
      </c>
      <c r="I705" s="76" t="s">
        <v>188</v>
      </c>
      <c r="J705" s="93" t="s">
        <v>188</v>
      </c>
      <c r="K705" s="66" t="s">
        <v>188</v>
      </c>
      <c r="L705" s="106" t="s">
        <v>81</v>
      </c>
      <c r="M705" s="54"/>
      <c r="N705" s="54"/>
      <c r="O705" s="54"/>
      <c r="P705" s="54"/>
      <c r="Q705" s="54"/>
      <c r="R705" s="54"/>
      <c r="S705" s="54"/>
      <c r="T705" s="54"/>
      <c r="U705" s="54"/>
      <c r="V705" s="54"/>
      <c r="W705" s="54"/>
      <c r="X705" s="54"/>
      <c r="Y705" s="54"/>
      <c r="Z705" s="54"/>
      <c r="AA705" s="54"/>
      <c r="AB705" s="54"/>
      <c r="AC705" s="54"/>
      <c r="AD705" s="54"/>
      <c r="AE705" s="54"/>
    </row>
    <row r="706">
      <c r="A706" s="59" t="s">
        <v>991</v>
      </c>
      <c r="B706" s="59" t="s">
        <v>317</v>
      </c>
      <c r="C706" s="59" t="s">
        <v>992</v>
      </c>
      <c r="D706" s="59" t="s">
        <v>313</v>
      </c>
      <c r="E706" s="59" t="s">
        <v>993</v>
      </c>
      <c r="F706" s="81">
        <v>1989.0</v>
      </c>
      <c r="G706" s="76">
        <v>5044.0</v>
      </c>
      <c r="H706" s="76" t="s">
        <v>188</v>
      </c>
      <c r="I706" s="76" t="s">
        <v>188</v>
      </c>
      <c r="J706" s="93" t="s">
        <v>188</v>
      </c>
      <c r="K706" s="66" t="s">
        <v>188</v>
      </c>
      <c r="L706" s="106" t="s">
        <v>81</v>
      </c>
      <c r="M706" s="54"/>
      <c r="N706" s="54"/>
      <c r="O706" s="54"/>
      <c r="P706" s="54"/>
      <c r="Q706" s="54"/>
      <c r="R706" s="54"/>
      <c r="S706" s="54"/>
      <c r="T706" s="54"/>
      <c r="U706" s="54"/>
      <c r="V706" s="54"/>
      <c r="W706" s="54"/>
      <c r="X706" s="54"/>
      <c r="Y706" s="54"/>
      <c r="Z706" s="54"/>
      <c r="AA706" s="54"/>
      <c r="AB706" s="54"/>
      <c r="AC706" s="54"/>
      <c r="AD706" s="54"/>
      <c r="AE706" s="54"/>
    </row>
    <row r="707">
      <c r="A707" s="59" t="s">
        <v>991</v>
      </c>
      <c r="B707" s="59" t="s">
        <v>317</v>
      </c>
      <c r="C707" s="59" t="s">
        <v>992</v>
      </c>
      <c r="D707" s="59" t="s">
        <v>313</v>
      </c>
      <c r="E707" s="59" t="s">
        <v>993</v>
      </c>
      <c r="F707" s="81">
        <v>1990.0</v>
      </c>
      <c r="G707" s="76">
        <v>4825.0</v>
      </c>
      <c r="H707" s="76" t="s">
        <v>188</v>
      </c>
      <c r="I707" s="76" t="s">
        <v>188</v>
      </c>
      <c r="J707" s="93" t="s">
        <v>188</v>
      </c>
      <c r="K707" s="66" t="s">
        <v>188</v>
      </c>
      <c r="L707" s="106" t="s">
        <v>81</v>
      </c>
      <c r="M707" s="54"/>
      <c r="N707" s="54"/>
      <c r="O707" s="54"/>
      <c r="P707" s="54"/>
      <c r="Q707" s="54"/>
      <c r="R707" s="54"/>
      <c r="S707" s="54"/>
      <c r="T707" s="54"/>
      <c r="U707" s="54"/>
      <c r="V707" s="54"/>
      <c r="W707" s="54"/>
      <c r="X707" s="54"/>
      <c r="Y707" s="54"/>
      <c r="Z707" s="54"/>
      <c r="AA707" s="54"/>
      <c r="AB707" s="54"/>
      <c r="AC707" s="54"/>
      <c r="AD707" s="54"/>
      <c r="AE707" s="54"/>
    </row>
    <row r="708">
      <c r="A708" s="59" t="s">
        <v>991</v>
      </c>
      <c r="B708" s="59" t="s">
        <v>317</v>
      </c>
      <c r="C708" s="59" t="s">
        <v>992</v>
      </c>
      <c r="D708" s="59" t="s">
        <v>313</v>
      </c>
      <c r="E708" s="59" t="s">
        <v>993</v>
      </c>
      <c r="F708" s="81">
        <v>1991.0</v>
      </c>
      <c r="G708" s="76">
        <v>4593.0</v>
      </c>
      <c r="H708" s="76" t="s">
        <v>188</v>
      </c>
      <c r="I708" s="76" t="s">
        <v>188</v>
      </c>
      <c r="J708" s="93" t="s">
        <v>188</v>
      </c>
      <c r="K708" s="66" t="s">
        <v>188</v>
      </c>
      <c r="L708" s="106" t="s">
        <v>81</v>
      </c>
      <c r="M708" s="54"/>
      <c r="N708" s="54"/>
      <c r="O708" s="54"/>
      <c r="P708" s="54"/>
      <c r="Q708" s="54"/>
      <c r="R708" s="54"/>
      <c r="S708" s="54"/>
      <c r="T708" s="54"/>
      <c r="U708" s="54"/>
      <c r="V708" s="54"/>
      <c r="W708" s="54"/>
      <c r="X708" s="54"/>
      <c r="Y708" s="54"/>
      <c r="Z708" s="54"/>
      <c r="AA708" s="54"/>
      <c r="AB708" s="54"/>
      <c r="AC708" s="54"/>
      <c r="AD708" s="54"/>
      <c r="AE708" s="54"/>
    </row>
    <row r="709">
      <c r="A709" s="59" t="s">
        <v>991</v>
      </c>
      <c r="B709" s="59" t="s">
        <v>317</v>
      </c>
      <c r="C709" s="59" t="s">
        <v>992</v>
      </c>
      <c r="D709" s="59" t="s">
        <v>313</v>
      </c>
      <c r="E709" s="59" t="s">
        <v>993</v>
      </c>
      <c r="F709" s="81">
        <v>1992.0</v>
      </c>
      <c r="G709" s="76">
        <v>5508.0</v>
      </c>
      <c r="H709" s="76" t="s">
        <v>188</v>
      </c>
      <c r="I709" s="76" t="s">
        <v>188</v>
      </c>
      <c r="J709" s="93" t="s">
        <v>188</v>
      </c>
      <c r="K709" s="66" t="s">
        <v>188</v>
      </c>
      <c r="L709" s="106" t="s">
        <v>81</v>
      </c>
      <c r="M709" s="54"/>
      <c r="N709" s="54"/>
      <c r="O709" s="54"/>
      <c r="P709" s="54"/>
      <c r="Q709" s="54"/>
      <c r="R709" s="54"/>
      <c r="S709" s="54"/>
      <c r="T709" s="54"/>
      <c r="U709" s="54"/>
      <c r="V709" s="54"/>
      <c r="W709" s="54"/>
      <c r="X709" s="54"/>
      <c r="Y709" s="54"/>
      <c r="Z709" s="54"/>
      <c r="AA709" s="54"/>
      <c r="AB709" s="54"/>
      <c r="AC709" s="54"/>
      <c r="AD709" s="54"/>
      <c r="AE709" s="54"/>
    </row>
    <row r="710">
      <c r="A710" s="59" t="s">
        <v>991</v>
      </c>
      <c r="B710" s="59" t="s">
        <v>317</v>
      </c>
      <c r="C710" s="59" t="s">
        <v>992</v>
      </c>
      <c r="D710" s="59" t="s">
        <v>313</v>
      </c>
      <c r="E710" s="59" t="s">
        <v>993</v>
      </c>
      <c r="F710" s="81">
        <v>1993.0</v>
      </c>
      <c r="G710" s="76">
        <v>5202.0</v>
      </c>
      <c r="H710" s="76" t="s">
        <v>188</v>
      </c>
      <c r="I710" s="76" t="s">
        <v>188</v>
      </c>
      <c r="J710" s="93" t="s">
        <v>188</v>
      </c>
      <c r="K710" s="66" t="s">
        <v>188</v>
      </c>
      <c r="L710" s="106" t="s">
        <v>81</v>
      </c>
      <c r="M710" s="54"/>
      <c r="N710" s="54"/>
      <c r="O710" s="54"/>
      <c r="P710" s="54"/>
      <c r="Q710" s="54"/>
      <c r="R710" s="54"/>
      <c r="S710" s="54"/>
      <c r="T710" s="54"/>
      <c r="U710" s="54"/>
      <c r="V710" s="54"/>
      <c r="W710" s="54"/>
      <c r="X710" s="54"/>
      <c r="Y710" s="54"/>
      <c r="Z710" s="54"/>
      <c r="AA710" s="54"/>
      <c r="AB710" s="54"/>
      <c r="AC710" s="54"/>
      <c r="AD710" s="54"/>
      <c r="AE710" s="54"/>
    </row>
    <row r="711">
      <c r="A711" s="59" t="s">
        <v>991</v>
      </c>
      <c r="B711" s="59" t="s">
        <v>317</v>
      </c>
      <c r="C711" s="59" t="s">
        <v>992</v>
      </c>
      <c r="D711" s="59" t="s">
        <v>313</v>
      </c>
      <c r="E711" s="59" t="s">
        <v>993</v>
      </c>
      <c r="F711" s="81">
        <v>1994.0</v>
      </c>
      <c r="G711" s="76">
        <v>4681.0</v>
      </c>
      <c r="H711" s="76" t="s">
        <v>188</v>
      </c>
      <c r="I711" s="76" t="s">
        <v>188</v>
      </c>
      <c r="J711" s="93" t="s">
        <v>188</v>
      </c>
      <c r="K711" s="66" t="s">
        <v>188</v>
      </c>
      <c r="L711" s="106" t="s">
        <v>81</v>
      </c>
      <c r="M711" s="54"/>
      <c r="N711" s="54"/>
      <c r="O711" s="54"/>
      <c r="P711" s="54"/>
      <c r="Q711" s="54"/>
      <c r="R711" s="54"/>
      <c r="S711" s="54"/>
      <c r="T711" s="54"/>
      <c r="U711" s="54"/>
      <c r="V711" s="54"/>
      <c r="W711" s="54"/>
      <c r="X711" s="54"/>
      <c r="Y711" s="54"/>
      <c r="Z711" s="54"/>
      <c r="AA711" s="54"/>
      <c r="AB711" s="54"/>
      <c r="AC711" s="54"/>
      <c r="AD711" s="54"/>
      <c r="AE711" s="54"/>
    </row>
    <row r="712">
      <c r="A712" s="59" t="s">
        <v>991</v>
      </c>
      <c r="B712" s="59" t="s">
        <v>317</v>
      </c>
      <c r="C712" s="59" t="s">
        <v>992</v>
      </c>
      <c r="D712" s="59" t="s">
        <v>313</v>
      </c>
      <c r="E712" s="59" t="s">
        <v>993</v>
      </c>
      <c r="F712" s="81">
        <v>1995.0</v>
      </c>
      <c r="G712" s="76">
        <v>4245.0</v>
      </c>
      <c r="H712" s="76" t="s">
        <v>188</v>
      </c>
      <c r="I712" s="76" t="s">
        <v>188</v>
      </c>
      <c r="J712" s="93" t="s">
        <v>188</v>
      </c>
      <c r="K712" s="66" t="s">
        <v>188</v>
      </c>
      <c r="L712" s="106" t="s">
        <v>81</v>
      </c>
      <c r="M712" s="54"/>
      <c r="N712" s="54"/>
      <c r="O712" s="54"/>
      <c r="P712" s="54"/>
      <c r="Q712" s="54"/>
      <c r="R712" s="54"/>
      <c r="S712" s="54"/>
      <c r="T712" s="54"/>
      <c r="U712" s="54"/>
      <c r="V712" s="54"/>
      <c r="W712" s="54"/>
      <c r="X712" s="54"/>
      <c r="Y712" s="54"/>
      <c r="Z712" s="54"/>
      <c r="AA712" s="54"/>
      <c r="AB712" s="54"/>
      <c r="AC712" s="54"/>
      <c r="AD712" s="54"/>
      <c r="AE712" s="54"/>
    </row>
    <row r="713">
      <c r="A713" s="59" t="s">
        <v>991</v>
      </c>
      <c r="B713" s="59" t="s">
        <v>317</v>
      </c>
      <c r="C713" s="59" t="s">
        <v>992</v>
      </c>
      <c r="D713" s="59" t="s">
        <v>313</v>
      </c>
      <c r="E713" s="59" t="s">
        <v>993</v>
      </c>
      <c r="F713" s="81">
        <v>1996.0</v>
      </c>
      <c r="G713" s="76">
        <v>4630.0</v>
      </c>
      <c r="H713" s="76" t="s">
        <v>188</v>
      </c>
      <c r="I713" s="76" t="s">
        <v>188</v>
      </c>
      <c r="J713" s="93" t="s">
        <v>188</v>
      </c>
      <c r="K713" s="66" t="s">
        <v>188</v>
      </c>
      <c r="L713" s="106" t="s">
        <v>81</v>
      </c>
      <c r="M713" s="54"/>
      <c r="N713" s="54"/>
      <c r="O713" s="54"/>
      <c r="P713" s="54"/>
      <c r="Q713" s="54"/>
      <c r="R713" s="54"/>
      <c r="S713" s="54"/>
      <c r="T713" s="54"/>
      <c r="U713" s="54"/>
      <c r="V713" s="54"/>
      <c r="W713" s="54"/>
      <c r="X713" s="54"/>
      <c r="Y713" s="54"/>
      <c r="Z713" s="54"/>
      <c r="AA713" s="54"/>
      <c r="AB713" s="54"/>
      <c r="AC713" s="54"/>
      <c r="AD713" s="54"/>
      <c r="AE713" s="54"/>
    </row>
    <row r="714">
      <c r="A714" s="59" t="s">
        <v>991</v>
      </c>
      <c r="B714" s="59" t="s">
        <v>317</v>
      </c>
      <c r="C714" s="59" t="s">
        <v>992</v>
      </c>
      <c r="D714" s="59" t="s">
        <v>313</v>
      </c>
      <c r="E714" s="59" t="s">
        <v>993</v>
      </c>
      <c r="F714" s="81">
        <v>1998.0</v>
      </c>
      <c r="G714" s="76">
        <v>5329.0</v>
      </c>
      <c r="H714" s="76" t="s">
        <v>188</v>
      </c>
      <c r="I714" s="76" t="s">
        <v>188</v>
      </c>
      <c r="J714" s="93" t="s">
        <v>188</v>
      </c>
      <c r="K714" s="66" t="s">
        <v>188</v>
      </c>
      <c r="L714" s="106" t="s">
        <v>81</v>
      </c>
      <c r="M714" s="54"/>
      <c r="N714" s="54"/>
      <c r="O714" s="54"/>
      <c r="P714" s="54"/>
      <c r="Q714" s="54"/>
      <c r="R714" s="54"/>
      <c r="S714" s="54"/>
      <c r="T714" s="54"/>
      <c r="U714" s="54"/>
      <c r="V714" s="54"/>
      <c r="W714" s="54"/>
      <c r="X714" s="54"/>
      <c r="Y714" s="54"/>
      <c r="Z714" s="54"/>
      <c r="AA714" s="54"/>
      <c r="AB714" s="54"/>
      <c r="AC714" s="54"/>
      <c r="AD714" s="54"/>
      <c r="AE714" s="54"/>
    </row>
    <row r="715">
      <c r="A715" s="59" t="s">
        <v>991</v>
      </c>
      <c r="B715" s="59" t="s">
        <v>317</v>
      </c>
      <c r="C715" s="59" t="s">
        <v>992</v>
      </c>
      <c r="D715" s="59" t="s">
        <v>313</v>
      </c>
      <c r="E715" s="59" t="s">
        <v>993</v>
      </c>
      <c r="F715" s="81">
        <v>1999.0</v>
      </c>
      <c r="G715" s="76">
        <v>4407.0</v>
      </c>
      <c r="H715" s="76" t="s">
        <v>188</v>
      </c>
      <c r="I715" s="76" t="s">
        <v>188</v>
      </c>
      <c r="J715" s="93" t="s">
        <v>188</v>
      </c>
      <c r="K715" s="66" t="s">
        <v>188</v>
      </c>
      <c r="L715" s="106" t="s">
        <v>81</v>
      </c>
      <c r="M715" s="54"/>
      <c r="N715" s="54"/>
      <c r="O715" s="54"/>
      <c r="P715" s="54"/>
      <c r="Q715" s="54"/>
      <c r="R715" s="54"/>
      <c r="S715" s="54"/>
      <c r="T715" s="54"/>
      <c r="U715" s="54"/>
      <c r="V715" s="54"/>
      <c r="W715" s="54"/>
      <c r="X715" s="54"/>
      <c r="Y715" s="54"/>
      <c r="Z715" s="54"/>
      <c r="AA715" s="54"/>
      <c r="AB715" s="54"/>
      <c r="AC715" s="54"/>
      <c r="AD715" s="54"/>
      <c r="AE715" s="54"/>
    </row>
    <row r="716">
      <c r="A716" s="59" t="s">
        <v>991</v>
      </c>
      <c r="B716" s="59" t="s">
        <v>317</v>
      </c>
      <c r="C716" s="59" t="s">
        <v>992</v>
      </c>
      <c r="D716" s="59" t="s">
        <v>313</v>
      </c>
      <c r="E716" s="59" t="s">
        <v>993</v>
      </c>
      <c r="F716" s="81">
        <v>2000.0</v>
      </c>
      <c r="G716" s="76">
        <v>4560.0</v>
      </c>
      <c r="H716" s="76" t="s">
        <v>188</v>
      </c>
      <c r="I716" s="76" t="s">
        <v>188</v>
      </c>
      <c r="J716" s="93" t="s">
        <v>188</v>
      </c>
      <c r="K716" s="66" t="s">
        <v>188</v>
      </c>
      <c r="L716" s="106" t="s">
        <v>81</v>
      </c>
      <c r="M716" s="54"/>
      <c r="N716" s="54"/>
      <c r="O716" s="54"/>
      <c r="P716" s="54"/>
      <c r="Q716" s="54"/>
      <c r="R716" s="54"/>
      <c r="S716" s="54"/>
      <c r="T716" s="54"/>
      <c r="U716" s="54"/>
      <c r="V716" s="54"/>
      <c r="W716" s="54"/>
      <c r="X716" s="54"/>
      <c r="Y716" s="54"/>
      <c r="Z716" s="54"/>
      <c r="AA716" s="54"/>
      <c r="AB716" s="54"/>
      <c r="AC716" s="54"/>
      <c r="AD716" s="54"/>
      <c r="AE716" s="54"/>
    </row>
    <row r="717">
      <c r="A717" s="59" t="s">
        <v>991</v>
      </c>
      <c r="B717" s="59" t="s">
        <v>317</v>
      </c>
      <c r="C717" s="59" t="s">
        <v>992</v>
      </c>
      <c r="D717" s="59" t="s">
        <v>313</v>
      </c>
      <c r="E717" s="59" t="s">
        <v>993</v>
      </c>
      <c r="F717" s="81">
        <v>2001.0</v>
      </c>
      <c r="G717" s="76">
        <v>4479.0</v>
      </c>
      <c r="H717" s="76" t="s">
        <v>188</v>
      </c>
      <c r="I717" s="76" t="s">
        <v>188</v>
      </c>
      <c r="J717" s="93" t="s">
        <v>188</v>
      </c>
      <c r="K717" s="66" t="s">
        <v>188</v>
      </c>
      <c r="L717" s="106" t="s">
        <v>81</v>
      </c>
      <c r="M717" s="54"/>
      <c r="N717" s="54"/>
      <c r="O717" s="54"/>
      <c r="P717" s="54"/>
      <c r="Q717" s="54"/>
      <c r="R717" s="54"/>
      <c r="S717" s="54"/>
      <c r="T717" s="54"/>
      <c r="U717" s="54"/>
      <c r="V717" s="54"/>
      <c r="W717" s="54"/>
      <c r="X717" s="54"/>
      <c r="Y717" s="54"/>
      <c r="Z717" s="54"/>
      <c r="AA717" s="54"/>
      <c r="AB717" s="54"/>
      <c r="AC717" s="54"/>
      <c r="AD717" s="54"/>
      <c r="AE717" s="54"/>
    </row>
    <row r="718">
      <c r="A718" s="59" t="s">
        <v>991</v>
      </c>
      <c r="B718" s="59" t="s">
        <v>317</v>
      </c>
      <c r="C718" s="59" t="s">
        <v>992</v>
      </c>
      <c r="D718" s="59" t="s">
        <v>313</v>
      </c>
      <c r="E718" s="59" t="s">
        <v>993</v>
      </c>
      <c r="F718" s="81">
        <v>2002.0</v>
      </c>
      <c r="G718" s="76">
        <v>5258.0</v>
      </c>
      <c r="H718" s="76" t="s">
        <v>188</v>
      </c>
      <c r="I718" s="76" t="s">
        <v>188</v>
      </c>
      <c r="J718" s="93" t="s">
        <v>188</v>
      </c>
      <c r="K718" s="66" t="s">
        <v>188</v>
      </c>
      <c r="L718" s="106" t="s">
        <v>81</v>
      </c>
      <c r="M718" s="54"/>
      <c r="N718" s="54"/>
      <c r="O718" s="54"/>
      <c r="P718" s="54"/>
      <c r="Q718" s="54"/>
      <c r="R718" s="54"/>
      <c r="S718" s="54"/>
      <c r="T718" s="54"/>
      <c r="U718" s="54"/>
      <c r="V718" s="54"/>
      <c r="W718" s="54"/>
      <c r="X718" s="54"/>
      <c r="Y718" s="54"/>
      <c r="Z718" s="54"/>
      <c r="AA718" s="54"/>
      <c r="AB718" s="54"/>
      <c r="AC718" s="54"/>
      <c r="AD718" s="54"/>
      <c r="AE718" s="54"/>
    </row>
    <row r="719">
      <c r="A719" s="59" t="s">
        <v>991</v>
      </c>
      <c r="B719" s="59" t="s">
        <v>317</v>
      </c>
      <c r="C719" s="59" t="s">
        <v>992</v>
      </c>
      <c r="D719" s="59" t="s">
        <v>313</v>
      </c>
      <c r="E719" s="59" t="s">
        <v>993</v>
      </c>
      <c r="F719" s="81">
        <v>2003.0</v>
      </c>
      <c r="G719" s="76">
        <v>5491.0</v>
      </c>
      <c r="H719" s="76" t="s">
        <v>188</v>
      </c>
      <c r="I719" s="76" t="s">
        <v>188</v>
      </c>
      <c r="J719" s="93" t="s">
        <v>188</v>
      </c>
      <c r="K719" s="66" t="s">
        <v>188</v>
      </c>
      <c r="L719" s="106" t="s">
        <v>81</v>
      </c>
      <c r="M719" s="54"/>
      <c r="N719" s="54"/>
      <c r="O719" s="54"/>
      <c r="P719" s="54"/>
      <c r="Q719" s="54"/>
      <c r="R719" s="54"/>
      <c r="S719" s="54"/>
      <c r="T719" s="54"/>
      <c r="U719" s="54"/>
      <c r="V719" s="54"/>
      <c r="W719" s="54"/>
      <c r="X719" s="54"/>
      <c r="Y719" s="54"/>
      <c r="Z719" s="54"/>
      <c r="AA719" s="54"/>
      <c r="AB719" s="54"/>
      <c r="AC719" s="54"/>
      <c r="AD719" s="54"/>
      <c r="AE719" s="54"/>
    </row>
    <row r="720">
      <c r="A720" s="11" t="s">
        <v>212</v>
      </c>
      <c r="B720" s="11" t="s">
        <v>294</v>
      </c>
      <c r="C720" s="11" t="s">
        <v>998</v>
      </c>
      <c r="D720" s="11" t="s">
        <v>999</v>
      </c>
      <c r="E720" s="11" t="s">
        <v>74</v>
      </c>
      <c r="F720" s="11">
        <v>2013.0</v>
      </c>
      <c r="G720" s="40">
        <v>1288.0</v>
      </c>
      <c r="H720" s="40" t="s">
        <v>188</v>
      </c>
      <c r="I720" s="76" t="s">
        <v>188</v>
      </c>
      <c r="J720" s="93" t="s">
        <v>188</v>
      </c>
      <c r="K720" s="66" t="s">
        <v>188</v>
      </c>
      <c r="L720" s="29" t="s">
        <v>260</v>
      </c>
    </row>
    <row r="721">
      <c r="A721" s="11" t="s">
        <v>212</v>
      </c>
      <c r="B721" s="11" t="s">
        <v>294</v>
      </c>
      <c r="C721" s="11" t="s">
        <v>998</v>
      </c>
      <c r="D721" s="11" t="s">
        <v>999</v>
      </c>
      <c r="E721" s="11" t="s">
        <v>74</v>
      </c>
      <c r="F721" s="11">
        <v>2014.0</v>
      </c>
      <c r="G721" s="40">
        <v>1309.0</v>
      </c>
      <c r="H721" s="40">
        <f t="shared" ref="H721:I721" si="683">F721-F720</f>
        <v>1</v>
      </c>
      <c r="I721" s="40">
        <f t="shared" si="683"/>
        <v>21</v>
      </c>
      <c r="J721" s="73">
        <f t="shared" ref="J721:J727" si="685">I721/G720</f>
        <v>0.01630434783</v>
      </c>
      <c r="K721" s="66">
        <f t="shared" ref="K721:K727" si="686">J721/H721</f>
        <v>0.01630434783</v>
      </c>
      <c r="L721" s="29" t="s">
        <v>260</v>
      </c>
    </row>
    <row r="722">
      <c r="A722" s="11" t="s">
        <v>212</v>
      </c>
      <c r="B722" s="11" t="s">
        <v>294</v>
      </c>
      <c r="C722" s="11" t="s">
        <v>998</v>
      </c>
      <c r="D722" s="11" t="s">
        <v>999</v>
      </c>
      <c r="E722" s="11" t="s">
        <v>74</v>
      </c>
      <c r="F722" s="11">
        <v>2015.0</v>
      </c>
      <c r="G722" s="40">
        <v>1333.0</v>
      </c>
      <c r="H722" s="40">
        <f t="shared" ref="H722:I722" si="684">F722-F721</f>
        <v>1</v>
      </c>
      <c r="I722" s="40">
        <f t="shared" si="684"/>
        <v>24</v>
      </c>
      <c r="J722" s="73">
        <f t="shared" si="685"/>
        <v>0.01833460657</v>
      </c>
      <c r="K722" s="66">
        <f t="shared" si="686"/>
        <v>0.01833460657</v>
      </c>
      <c r="L722" s="29" t="s">
        <v>260</v>
      </c>
    </row>
    <row r="723">
      <c r="A723" s="11" t="s">
        <v>212</v>
      </c>
      <c r="B723" s="11" t="s">
        <v>294</v>
      </c>
      <c r="C723" s="11" t="s">
        <v>998</v>
      </c>
      <c r="D723" s="11" t="s">
        <v>999</v>
      </c>
      <c r="E723" s="11" t="s">
        <v>74</v>
      </c>
      <c r="F723" s="11">
        <v>2016.0</v>
      </c>
      <c r="G723" s="40">
        <v>1416.0</v>
      </c>
      <c r="H723" s="40">
        <f t="shared" ref="H723:I723" si="687">F723-F722</f>
        <v>1</v>
      </c>
      <c r="I723" s="40">
        <f t="shared" si="687"/>
        <v>83</v>
      </c>
      <c r="J723" s="73">
        <f t="shared" si="685"/>
        <v>0.06226556639</v>
      </c>
      <c r="K723" s="66">
        <f t="shared" si="686"/>
        <v>0.06226556639</v>
      </c>
      <c r="L723" s="29" t="s">
        <v>260</v>
      </c>
    </row>
    <row r="724">
      <c r="A724" s="11" t="s">
        <v>212</v>
      </c>
      <c r="B724" s="11" t="s">
        <v>294</v>
      </c>
      <c r="C724" s="11" t="s">
        <v>998</v>
      </c>
      <c r="D724" s="11" t="s">
        <v>999</v>
      </c>
      <c r="E724" s="11" t="s">
        <v>74</v>
      </c>
      <c r="F724" s="11">
        <v>2017.0</v>
      </c>
      <c r="G724" s="40">
        <v>1358.0</v>
      </c>
      <c r="H724" s="40">
        <f t="shared" ref="H724:I724" si="688">F724-F723</f>
        <v>1</v>
      </c>
      <c r="I724" s="40">
        <f t="shared" si="688"/>
        <v>-58</v>
      </c>
      <c r="J724" s="73">
        <f t="shared" si="685"/>
        <v>-0.04096045198</v>
      </c>
      <c r="K724" s="66">
        <f t="shared" si="686"/>
        <v>-0.04096045198</v>
      </c>
      <c r="L724" s="29" t="s">
        <v>260</v>
      </c>
    </row>
    <row r="725">
      <c r="A725" s="11" t="s">
        <v>212</v>
      </c>
      <c r="B725" s="11" t="s">
        <v>294</v>
      </c>
      <c r="C725" s="11" t="s">
        <v>998</v>
      </c>
      <c r="D725" s="11" t="s">
        <v>999</v>
      </c>
      <c r="E725" s="11" t="s">
        <v>74</v>
      </c>
      <c r="F725" s="11">
        <v>2018.0</v>
      </c>
      <c r="G725" s="40">
        <v>1437.0</v>
      </c>
      <c r="H725" s="40">
        <f t="shared" ref="H725:I725" si="689">F725-F724</f>
        <v>1</v>
      </c>
      <c r="I725" s="40">
        <f t="shared" si="689"/>
        <v>79</v>
      </c>
      <c r="J725" s="73">
        <f t="shared" si="685"/>
        <v>0.05817378498</v>
      </c>
      <c r="K725" s="66">
        <f t="shared" si="686"/>
        <v>0.05817378498</v>
      </c>
      <c r="L725" s="29" t="s">
        <v>260</v>
      </c>
    </row>
    <row r="726">
      <c r="A726" s="11" t="s">
        <v>212</v>
      </c>
      <c r="B726" s="11" t="s">
        <v>294</v>
      </c>
      <c r="C726" s="11" t="s">
        <v>998</v>
      </c>
      <c r="D726" s="11" t="s">
        <v>999</v>
      </c>
      <c r="E726" s="11" t="s">
        <v>74</v>
      </c>
      <c r="F726" s="11">
        <v>2019.0</v>
      </c>
      <c r="G726" s="40">
        <v>1435.0</v>
      </c>
      <c r="H726" s="40">
        <f t="shared" ref="H726:I726" si="690">F726-F725</f>
        <v>1</v>
      </c>
      <c r="I726" s="40">
        <f t="shared" si="690"/>
        <v>-2</v>
      </c>
      <c r="J726" s="73">
        <f t="shared" si="685"/>
        <v>-0.001391788448</v>
      </c>
      <c r="K726" s="66">
        <f t="shared" si="686"/>
        <v>-0.001391788448</v>
      </c>
      <c r="L726" s="29" t="s">
        <v>260</v>
      </c>
    </row>
    <row r="727">
      <c r="A727" s="11" t="s">
        <v>212</v>
      </c>
      <c r="B727" s="11" t="s">
        <v>294</v>
      </c>
      <c r="C727" s="11" t="s">
        <v>998</v>
      </c>
      <c r="D727" s="11" t="s">
        <v>999</v>
      </c>
      <c r="E727" s="11" t="s">
        <v>74</v>
      </c>
      <c r="F727" s="11">
        <v>2020.0</v>
      </c>
      <c r="G727" s="40">
        <v>1465.0</v>
      </c>
      <c r="H727" s="40">
        <f t="shared" ref="H727:I727" si="691">F727-F726</f>
        <v>1</v>
      </c>
      <c r="I727" s="40">
        <f t="shared" si="691"/>
        <v>30</v>
      </c>
      <c r="J727" s="73">
        <f t="shared" si="685"/>
        <v>0.02090592334</v>
      </c>
      <c r="K727" s="66">
        <f t="shared" si="686"/>
        <v>0.02090592334</v>
      </c>
      <c r="L727" s="29" t="s">
        <v>260</v>
      </c>
    </row>
    <row r="728">
      <c r="A728" s="11" t="s">
        <v>68</v>
      </c>
      <c r="B728" s="11" t="s">
        <v>154</v>
      </c>
      <c r="C728" s="11" t="s">
        <v>1001</v>
      </c>
      <c r="D728" s="11" t="s">
        <v>257</v>
      </c>
      <c r="E728" s="11" t="s">
        <v>74</v>
      </c>
      <c r="F728" s="87">
        <v>1991.32</v>
      </c>
      <c r="G728" s="44">
        <v>568.445475638051</v>
      </c>
      <c r="H728" s="27" t="s">
        <v>188</v>
      </c>
      <c r="I728" s="27" t="s">
        <v>188</v>
      </c>
      <c r="J728" s="66" t="s">
        <v>188</v>
      </c>
      <c r="K728" s="66" t="s">
        <v>188</v>
      </c>
      <c r="L728" s="29" t="s">
        <v>260</v>
      </c>
    </row>
    <row r="729">
      <c r="A729" s="11" t="s">
        <v>68</v>
      </c>
      <c r="B729" s="11" t="s">
        <v>154</v>
      </c>
      <c r="C729" s="11" t="s">
        <v>1001</v>
      </c>
      <c r="D729" s="11" t="s">
        <v>257</v>
      </c>
      <c r="E729" s="11" t="s">
        <v>74</v>
      </c>
      <c r="F729" s="87">
        <v>1993.2962962963</v>
      </c>
      <c r="G729" s="44">
        <v>707.656612529003</v>
      </c>
      <c r="H729" s="44">
        <f t="shared" ref="H729:I729" si="692">F729-F728</f>
        <v>1.976296296</v>
      </c>
      <c r="I729" s="44">
        <f t="shared" si="692"/>
        <v>139.2111369</v>
      </c>
      <c r="J729" s="101">
        <f t="shared" ref="J729:J734" si="694">I729/G728</f>
        <v>0.2448979592</v>
      </c>
      <c r="K729" s="66">
        <f t="shared" ref="K729:K734" si="695">J729/H729</f>
        <v>0.123917633</v>
      </c>
      <c r="L729" s="29" t="s">
        <v>260</v>
      </c>
    </row>
    <row r="730">
      <c r="A730" s="11" t="s">
        <v>68</v>
      </c>
      <c r="B730" s="11" t="s">
        <v>154</v>
      </c>
      <c r="C730" s="11" t="s">
        <v>1001</v>
      </c>
      <c r="D730" s="11" t="s">
        <v>257</v>
      </c>
      <c r="E730" s="11" t="s">
        <v>74</v>
      </c>
      <c r="F730" s="87">
        <v>1996.26074074074</v>
      </c>
      <c r="G730" s="44">
        <v>1751.74013921114</v>
      </c>
      <c r="H730" s="44">
        <f t="shared" ref="H730:I730" si="693">F730-F729</f>
        <v>2.964444444</v>
      </c>
      <c r="I730" s="44">
        <f t="shared" si="693"/>
        <v>1044.083527</v>
      </c>
      <c r="J730" s="101">
        <f t="shared" si="694"/>
        <v>1.475409836</v>
      </c>
      <c r="K730" s="66">
        <f t="shared" si="695"/>
        <v>0.4977019687</v>
      </c>
      <c r="L730" s="29" t="s">
        <v>260</v>
      </c>
    </row>
    <row r="731">
      <c r="A731" s="11" t="s">
        <v>68</v>
      </c>
      <c r="B731" s="11" t="s">
        <v>154</v>
      </c>
      <c r="C731" s="11" t="s">
        <v>1001</v>
      </c>
      <c r="D731" s="11" t="s">
        <v>257</v>
      </c>
      <c r="E731" s="11" t="s">
        <v>74</v>
      </c>
      <c r="F731" s="87">
        <v>2001.24444444444</v>
      </c>
      <c r="G731" s="44">
        <v>1287.7030162413</v>
      </c>
      <c r="H731" s="44">
        <f t="shared" ref="H731:I731" si="696">F731-F730</f>
        <v>4.983703704</v>
      </c>
      <c r="I731" s="44">
        <f t="shared" si="696"/>
        <v>-464.037123</v>
      </c>
      <c r="J731" s="101">
        <f t="shared" si="694"/>
        <v>-0.2649006623</v>
      </c>
      <c r="K731" s="66">
        <f t="shared" si="695"/>
        <v>-0.05315337307</v>
      </c>
      <c r="L731" s="29" t="s">
        <v>260</v>
      </c>
    </row>
    <row r="732">
      <c r="A732" s="11" t="s">
        <v>68</v>
      </c>
      <c r="B732" s="11" t="s">
        <v>154</v>
      </c>
      <c r="C732" s="11" t="s">
        <v>1001</v>
      </c>
      <c r="D732" s="11" t="s">
        <v>257</v>
      </c>
      <c r="E732" s="11" t="s">
        <v>74</v>
      </c>
      <c r="F732" s="87">
        <v>2005.24</v>
      </c>
      <c r="G732" s="44">
        <v>1624.12993039443</v>
      </c>
      <c r="H732" s="44">
        <f t="shared" ref="H732:I732" si="697">F732-F731</f>
        <v>3.995555556</v>
      </c>
      <c r="I732" s="44">
        <f t="shared" si="697"/>
        <v>336.4269142</v>
      </c>
      <c r="J732" s="101">
        <f t="shared" si="694"/>
        <v>0.2612612613</v>
      </c>
      <c r="K732" s="66">
        <f t="shared" si="695"/>
        <v>0.06538796861</v>
      </c>
      <c r="L732" s="29" t="s">
        <v>260</v>
      </c>
    </row>
    <row r="733">
      <c r="A733" s="11" t="s">
        <v>68</v>
      </c>
      <c r="B733" s="11" t="s">
        <v>154</v>
      </c>
      <c r="C733" s="11" t="s">
        <v>1001</v>
      </c>
      <c r="D733" s="11" t="s">
        <v>257</v>
      </c>
      <c r="E733" s="11" t="s">
        <v>74</v>
      </c>
      <c r="F733" s="87">
        <v>2008.29037037037</v>
      </c>
      <c r="G733" s="44">
        <v>1310.90487238979</v>
      </c>
      <c r="H733" s="44">
        <f t="shared" ref="H733:I733" si="698">F733-F732</f>
        <v>3.05037037</v>
      </c>
      <c r="I733" s="44">
        <f t="shared" si="698"/>
        <v>-313.225058</v>
      </c>
      <c r="J733" s="101">
        <f t="shared" si="694"/>
        <v>-0.1928571429</v>
      </c>
      <c r="K733" s="66">
        <f t="shared" si="695"/>
        <v>-0.06322417262</v>
      </c>
      <c r="L733" s="29" t="s">
        <v>260</v>
      </c>
    </row>
    <row r="734">
      <c r="A734" s="11" t="s">
        <v>68</v>
      </c>
      <c r="B734" s="11" t="s">
        <v>154</v>
      </c>
      <c r="C734" s="11" t="s">
        <v>1001</v>
      </c>
      <c r="D734" s="11" t="s">
        <v>257</v>
      </c>
      <c r="E734" s="11" t="s">
        <v>74</v>
      </c>
      <c r="F734" s="87">
        <v>2014.26222222222</v>
      </c>
      <c r="G734" s="44">
        <v>3062.64501160093</v>
      </c>
      <c r="H734" s="44">
        <f t="shared" ref="H734:I734" si="699">F734-F733</f>
        <v>5.971851852</v>
      </c>
      <c r="I734" s="44">
        <f t="shared" si="699"/>
        <v>1751.740139</v>
      </c>
      <c r="J734" s="101">
        <f t="shared" si="694"/>
        <v>1.336283186</v>
      </c>
      <c r="K734" s="66">
        <f t="shared" si="695"/>
        <v>0.2237636196</v>
      </c>
      <c r="L734" s="29" t="s">
        <v>260</v>
      </c>
    </row>
    <row r="735">
      <c r="A735" s="11" t="s">
        <v>68</v>
      </c>
      <c r="B735" s="11" t="s">
        <v>154</v>
      </c>
      <c r="C735" s="11" t="s">
        <v>1001</v>
      </c>
      <c r="D735" s="11" t="s">
        <v>1004</v>
      </c>
      <c r="E735" s="11" t="s">
        <v>74</v>
      </c>
      <c r="F735" s="44">
        <v>1989.04296296296</v>
      </c>
      <c r="G735" s="27">
        <v>499.0</v>
      </c>
      <c r="H735" s="27" t="s">
        <v>188</v>
      </c>
      <c r="I735" s="27" t="s">
        <v>188</v>
      </c>
      <c r="J735" s="66" t="s">
        <v>188</v>
      </c>
      <c r="K735" s="66" t="s">
        <v>188</v>
      </c>
      <c r="L735" s="29" t="s">
        <v>81</v>
      </c>
    </row>
    <row r="736">
      <c r="A736" s="11" t="s">
        <v>68</v>
      </c>
      <c r="B736" s="11" t="s">
        <v>154</v>
      </c>
      <c r="C736" s="11" t="s">
        <v>1001</v>
      </c>
      <c r="D736" s="11" t="s">
        <v>1004</v>
      </c>
      <c r="E736" s="11" t="s">
        <v>74</v>
      </c>
      <c r="F736" s="44">
        <v>1990.03111111111</v>
      </c>
      <c r="G736" s="27">
        <v>552.0</v>
      </c>
      <c r="H736" s="27">
        <f t="shared" ref="H736:I736" si="700">F736-F735</f>
        <v>0.9881481482</v>
      </c>
      <c r="I736" s="27">
        <f t="shared" si="700"/>
        <v>53</v>
      </c>
      <c r="J736" s="66">
        <f t="shared" ref="J736:J764" si="702">I736/G735</f>
        <v>0.1062124248</v>
      </c>
      <c r="K736" s="66">
        <f t="shared" ref="K736:K764" si="703">J736/H736</f>
        <v>0.107486337</v>
      </c>
      <c r="L736" s="29" t="s">
        <v>81</v>
      </c>
    </row>
    <row r="737">
      <c r="A737" s="11" t="s">
        <v>68</v>
      </c>
      <c r="B737" s="11" t="s">
        <v>154</v>
      </c>
      <c r="C737" s="11" t="s">
        <v>1001</v>
      </c>
      <c r="D737" s="11" t="s">
        <v>1004</v>
      </c>
      <c r="E737" s="11" t="s">
        <v>74</v>
      </c>
      <c r="F737" s="44">
        <v>1991.01925925926</v>
      </c>
      <c r="G737" s="27">
        <v>682.0</v>
      </c>
      <c r="H737" s="27">
        <f t="shared" ref="H737:I737" si="701">F737-F736</f>
        <v>0.9881481482</v>
      </c>
      <c r="I737" s="27">
        <f t="shared" si="701"/>
        <v>130</v>
      </c>
      <c r="J737" s="66">
        <f t="shared" si="702"/>
        <v>0.2355072464</v>
      </c>
      <c r="K737" s="66">
        <f t="shared" si="703"/>
        <v>0.238331921</v>
      </c>
      <c r="L737" s="29" t="s">
        <v>81</v>
      </c>
    </row>
    <row r="738">
      <c r="A738" s="11" t="s">
        <v>68</v>
      </c>
      <c r="B738" s="11" t="s">
        <v>154</v>
      </c>
      <c r="C738" s="11" t="s">
        <v>1001</v>
      </c>
      <c r="D738" s="11" t="s">
        <v>1004</v>
      </c>
      <c r="E738" s="11" t="s">
        <v>74</v>
      </c>
      <c r="F738" s="44">
        <v>1992.00740740741</v>
      </c>
      <c r="G738" s="27">
        <v>759.0</v>
      </c>
      <c r="H738" s="27">
        <f t="shared" ref="H738:I738" si="704">F738-F737</f>
        <v>0.9881481482</v>
      </c>
      <c r="I738" s="27">
        <f t="shared" si="704"/>
        <v>77</v>
      </c>
      <c r="J738" s="66">
        <f t="shared" si="702"/>
        <v>0.1129032258</v>
      </c>
      <c r="K738" s="66">
        <f t="shared" si="703"/>
        <v>0.1142573874</v>
      </c>
      <c r="L738" s="29" t="s">
        <v>81</v>
      </c>
    </row>
    <row r="739">
      <c r="A739" s="11" t="s">
        <v>68</v>
      </c>
      <c r="B739" s="11" t="s">
        <v>154</v>
      </c>
      <c r="C739" s="11" t="s">
        <v>1001</v>
      </c>
      <c r="D739" s="11" t="s">
        <v>1004</v>
      </c>
      <c r="E739" s="11" t="s">
        <v>74</v>
      </c>
      <c r="F739" s="44">
        <v>1992.99555555556</v>
      </c>
      <c r="G739" s="27">
        <v>793.0</v>
      </c>
      <c r="H739" s="27">
        <f t="shared" ref="H739:I739" si="705">F739-F738</f>
        <v>0.9881481482</v>
      </c>
      <c r="I739" s="27">
        <f t="shared" si="705"/>
        <v>34</v>
      </c>
      <c r="J739" s="66">
        <f t="shared" si="702"/>
        <v>0.04479578393</v>
      </c>
      <c r="K739" s="66">
        <f t="shared" si="703"/>
        <v>0.04533306469</v>
      </c>
      <c r="L739" s="29" t="s">
        <v>81</v>
      </c>
    </row>
    <row r="740">
      <c r="A740" s="11" t="s">
        <v>68</v>
      </c>
      <c r="B740" s="11" t="s">
        <v>154</v>
      </c>
      <c r="C740" s="11" t="s">
        <v>1001</v>
      </c>
      <c r="D740" s="11" t="s">
        <v>1004</v>
      </c>
      <c r="E740" s="11" t="s">
        <v>74</v>
      </c>
      <c r="F740" s="44">
        <v>1994.02666666667</v>
      </c>
      <c r="G740" s="27">
        <v>804.0</v>
      </c>
      <c r="H740" s="27">
        <f t="shared" ref="H740:I740" si="706">F740-F739</f>
        <v>1.031111111</v>
      </c>
      <c r="I740" s="27">
        <f t="shared" si="706"/>
        <v>11</v>
      </c>
      <c r="J740" s="66">
        <f t="shared" si="702"/>
        <v>0.01387137453</v>
      </c>
      <c r="K740" s="66">
        <f t="shared" si="703"/>
        <v>0.01345284168</v>
      </c>
      <c r="L740" s="29" t="s">
        <v>81</v>
      </c>
    </row>
    <row r="741">
      <c r="A741" s="11" t="s">
        <v>68</v>
      </c>
      <c r="B741" s="11" t="s">
        <v>154</v>
      </c>
      <c r="C741" s="11" t="s">
        <v>1001</v>
      </c>
      <c r="D741" s="11" t="s">
        <v>1004</v>
      </c>
      <c r="E741" s="11" t="s">
        <v>74</v>
      </c>
      <c r="F741" s="44">
        <v>1995.01481481481</v>
      </c>
      <c r="G741" s="27">
        <v>892.0</v>
      </c>
      <c r="H741" s="27">
        <f t="shared" ref="H741:I741" si="707">F741-F740</f>
        <v>0.9881481481</v>
      </c>
      <c r="I741" s="27">
        <f t="shared" si="707"/>
        <v>88</v>
      </c>
      <c r="J741" s="66">
        <f t="shared" si="702"/>
        <v>0.1094527363</v>
      </c>
      <c r="K741" s="66">
        <f t="shared" si="703"/>
        <v>0.1107655128</v>
      </c>
      <c r="L741" s="29" t="s">
        <v>81</v>
      </c>
    </row>
    <row r="742">
      <c r="A742" s="11" t="s">
        <v>68</v>
      </c>
      <c r="B742" s="11" t="s">
        <v>154</v>
      </c>
      <c r="C742" s="11" t="s">
        <v>1001</v>
      </c>
      <c r="D742" s="11" t="s">
        <v>1004</v>
      </c>
      <c r="E742" s="11" t="s">
        <v>74</v>
      </c>
      <c r="F742" s="44">
        <v>1996.00296296296</v>
      </c>
      <c r="G742" s="27">
        <v>919.0</v>
      </c>
      <c r="H742" s="27">
        <f t="shared" ref="H742:I742" si="708">F742-F741</f>
        <v>0.9881481482</v>
      </c>
      <c r="I742" s="27">
        <f t="shared" si="708"/>
        <v>27</v>
      </c>
      <c r="J742" s="66">
        <f t="shared" si="702"/>
        <v>0.0302690583</v>
      </c>
      <c r="K742" s="66">
        <f t="shared" si="703"/>
        <v>0.03063210547</v>
      </c>
      <c r="L742" s="29" t="s">
        <v>81</v>
      </c>
    </row>
    <row r="743">
      <c r="A743" s="11" t="s">
        <v>68</v>
      </c>
      <c r="B743" s="11" t="s">
        <v>154</v>
      </c>
      <c r="C743" s="11" t="s">
        <v>1001</v>
      </c>
      <c r="D743" s="11" t="s">
        <v>1004</v>
      </c>
      <c r="E743" s="11" t="s">
        <v>74</v>
      </c>
      <c r="F743" s="44">
        <v>1996.99111111111</v>
      </c>
      <c r="G743" s="27">
        <v>1016.0</v>
      </c>
      <c r="H743" s="27">
        <f t="shared" ref="H743:I743" si="709">F743-F742</f>
        <v>0.9881481482</v>
      </c>
      <c r="I743" s="27">
        <f t="shared" si="709"/>
        <v>97</v>
      </c>
      <c r="J743" s="66">
        <f t="shared" si="702"/>
        <v>0.1055495103</v>
      </c>
      <c r="K743" s="66">
        <f t="shared" si="703"/>
        <v>0.1068154715</v>
      </c>
      <c r="L743" s="29" t="s">
        <v>81</v>
      </c>
    </row>
    <row r="744">
      <c r="A744" s="11" t="s">
        <v>68</v>
      </c>
      <c r="B744" s="11" t="s">
        <v>154</v>
      </c>
      <c r="C744" s="11" t="s">
        <v>1001</v>
      </c>
      <c r="D744" s="11" t="s">
        <v>1004</v>
      </c>
      <c r="E744" s="11" t="s">
        <v>74</v>
      </c>
      <c r="F744" s="44">
        <v>1998.02222222222</v>
      </c>
      <c r="G744" s="27">
        <v>1090.0</v>
      </c>
      <c r="H744" s="27">
        <f t="shared" ref="H744:I744" si="710">F744-F743</f>
        <v>1.031111111</v>
      </c>
      <c r="I744" s="27">
        <f t="shared" si="710"/>
        <v>74</v>
      </c>
      <c r="J744" s="66">
        <f t="shared" si="702"/>
        <v>0.07283464567</v>
      </c>
      <c r="K744" s="66">
        <f t="shared" si="703"/>
        <v>0.0706370486</v>
      </c>
      <c r="L744" s="29" t="s">
        <v>81</v>
      </c>
    </row>
    <row r="745">
      <c r="A745" s="11" t="s">
        <v>68</v>
      </c>
      <c r="B745" s="11" t="s">
        <v>154</v>
      </c>
      <c r="C745" s="11" t="s">
        <v>1001</v>
      </c>
      <c r="D745" s="11" t="s">
        <v>1004</v>
      </c>
      <c r="E745" s="11" t="s">
        <v>74</v>
      </c>
      <c r="F745" s="44">
        <v>1999.01037037037</v>
      </c>
      <c r="G745" s="27">
        <v>1276.0</v>
      </c>
      <c r="H745" s="27">
        <f t="shared" ref="H745:I745" si="711">F745-F744</f>
        <v>0.9881481482</v>
      </c>
      <c r="I745" s="27">
        <f t="shared" si="711"/>
        <v>186</v>
      </c>
      <c r="J745" s="66">
        <f t="shared" si="702"/>
        <v>0.1706422018</v>
      </c>
      <c r="K745" s="66">
        <f t="shared" si="703"/>
        <v>0.1726888849</v>
      </c>
      <c r="L745" s="29" t="s">
        <v>81</v>
      </c>
    </row>
    <row r="746">
      <c r="A746" s="11" t="s">
        <v>68</v>
      </c>
      <c r="B746" s="11" t="s">
        <v>154</v>
      </c>
      <c r="C746" s="11" t="s">
        <v>1001</v>
      </c>
      <c r="D746" s="11" t="s">
        <v>1004</v>
      </c>
      <c r="E746" s="11" t="s">
        <v>74</v>
      </c>
      <c r="F746" s="44">
        <v>2000.04148148148</v>
      </c>
      <c r="G746" s="27">
        <v>1112.0</v>
      </c>
      <c r="H746" s="27">
        <f t="shared" ref="H746:I746" si="712">F746-F745</f>
        <v>1.031111111</v>
      </c>
      <c r="I746" s="27">
        <f t="shared" si="712"/>
        <v>-164</v>
      </c>
      <c r="J746" s="66">
        <f t="shared" si="702"/>
        <v>-0.1285266458</v>
      </c>
      <c r="K746" s="66">
        <f t="shared" si="703"/>
        <v>-0.1246486866</v>
      </c>
      <c r="L746" s="29" t="s">
        <v>81</v>
      </c>
    </row>
    <row r="747">
      <c r="A747" s="11" t="s">
        <v>68</v>
      </c>
      <c r="B747" s="11" t="s">
        <v>154</v>
      </c>
      <c r="C747" s="11" t="s">
        <v>1001</v>
      </c>
      <c r="D747" s="11" t="s">
        <v>1004</v>
      </c>
      <c r="E747" s="11" t="s">
        <v>74</v>
      </c>
      <c r="F747" s="44">
        <v>2001.02962962963</v>
      </c>
      <c r="G747" s="27">
        <v>1276.0</v>
      </c>
      <c r="H747" s="27">
        <f t="shared" ref="H747:I747" si="713">F747-F746</f>
        <v>0.9881481482</v>
      </c>
      <c r="I747" s="27">
        <f t="shared" si="713"/>
        <v>164</v>
      </c>
      <c r="J747" s="66">
        <f t="shared" si="702"/>
        <v>0.1474820144</v>
      </c>
      <c r="K747" s="66">
        <f t="shared" si="703"/>
        <v>0.1492509141</v>
      </c>
      <c r="L747" s="29" t="s">
        <v>81</v>
      </c>
    </row>
    <row r="748">
      <c r="A748" s="11" t="s">
        <v>68</v>
      </c>
      <c r="B748" s="11" t="s">
        <v>154</v>
      </c>
      <c r="C748" s="11" t="s">
        <v>1001</v>
      </c>
      <c r="D748" s="11" t="s">
        <v>1004</v>
      </c>
      <c r="E748" s="11" t="s">
        <v>74</v>
      </c>
      <c r="F748" s="44">
        <v>2002.01777777778</v>
      </c>
      <c r="G748" s="27">
        <v>1304.0</v>
      </c>
      <c r="H748" s="27">
        <f t="shared" ref="H748:I748" si="714">F748-F747</f>
        <v>0.9881481482</v>
      </c>
      <c r="I748" s="27">
        <f t="shared" si="714"/>
        <v>28</v>
      </c>
      <c r="J748" s="66">
        <f t="shared" si="702"/>
        <v>0.02194357367</v>
      </c>
      <c r="K748" s="66">
        <f t="shared" si="703"/>
        <v>0.02220676496</v>
      </c>
      <c r="L748" s="29" t="s">
        <v>81</v>
      </c>
    </row>
    <row r="749">
      <c r="A749" s="11" t="s">
        <v>68</v>
      </c>
      <c r="B749" s="11" t="s">
        <v>154</v>
      </c>
      <c r="C749" s="11" t="s">
        <v>1001</v>
      </c>
      <c r="D749" s="11" t="s">
        <v>1004</v>
      </c>
      <c r="E749" s="11" t="s">
        <v>74</v>
      </c>
      <c r="F749" s="44">
        <v>2003.00592592593</v>
      </c>
      <c r="G749" s="27">
        <v>1553.0</v>
      </c>
      <c r="H749" s="27">
        <f t="shared" ref="H749:I749" si="715">F749-F748</f>
        <v>0.9881481481</v>
      </c>
      <c r="I749" s="27">
        <f t="shared" si="715"/>
        <v>249</v>
      </c>
      <c r="J749" s="66">
        <f t="shared" si="702"/>
        <v>0.1909509202</v>
      </c>
      <c r="K749" s="66">
        <f t="shared" si="703"/>
        <v>0.1932411862</v>
      </c>
      <c r="L749" s="29" t="s">
        <v>81</v>
      </c>
    </row>
    <row r="750">
      <c r="A750" s="11" t="s">
        <v>68</v>
      </c>
      <c r="B750" s="11" t="s">
        <v>154</v>
      </c>
      <c r="C750" s="11" t="s">
        <v>1001</v>
      </c>
      <c r="D750" s="11" t="s">
        <v>1004</v>
      </c>
      <c r="E750" s="11" t="s">
        <v>74</v>
      </c>
      <c r="F750" s="44">
        <v>2003.99407407407</v>
      </c>
      <c r="G750" s="27">
        <v>1535.0</v>
      </c>
      <c r="H750" s="27">
        <f t="shared" ref="H750:I750" si="716">F750-F749</f>
        <v>0.9881481481</v>
      </c>
      <c r="I750" s="27">
        <f t="shared" si="716"/>
        <v>-18</v>
      </c>
      <c r="J750" s="66">
        <f t="shared" si="702"/>
        <v>-0.01159047006</v>
      </c>
      <c r="K750" s="66">
        <f t="shared" si="703"/>
        <v>-0.01172948619</v>
      </c>
      <c r="L750" s="29" t="s">
        <v>81</v>
      </c>
    </row>
    <row r="751">
      <c r="A751" s="11" t="s">
        <v>68</v>
      </c>
      <c r="B751" s="11" t="s">
        <v>154</v>
      </c>
      <c r="C751" s="11" t="s">
        <v>1001</v>
      </c>
      <c r="D751" s="11" t="s">
        <v>1004</v>
      </c>
      <c r="E751" s="11" t="s">
        <v>74</v>
      </c>
      <c r="F751" s="44">
        <v>2005.02518518519</v>
      </c>
      <c r="G751" s="27">
        <v>1860.0</v>
      </c>
      <c r="H751" s="27">
        <f t="shared" ref="H751:I751" si="717">F751-F750</f>
        <v>1.031111111</v>
      </c>
      <c r="I751" s="27">
        <f t="shared" si="717"/>
        <v>325</v>
      </c>
      <c r="J751" s="66">
        <f t="shared" si="702"/>
        <v>0.2117263844</v>
      </c>
      <c r="K751" s="66">
        <f t="shared" si="703"/>
        <v>0.2053380883</v>
      </c>
      <c r="L751" s="29" t="s">
        <v>81</v>
      </c>
    </row>
    <row r="752">
      <c r="A752" s="11" t="s">
        <v>68</v>
      </c>
      <c r="B752" s="11" t="s">
        <v>154</v>
      </c>
      <c r="C752" s="11" t="s">
        <v>1001</v>
      </c>
      <c r="D752" s="11" t="s">
        <v>1004</v>
      </c>
      <c r="E752" s="11" t="s">
        <v>74</v>
      </c>
      <c r="F752" s="44">
        <v>2006.01333333333</v>
      </c>
      <c r="G752" s="27">
        <v>1964.0</v>
      </c>
      <c r="H752" s="27">
        <f t="shared" ref="H752:I752" si="718">F752-F751</f>
        <v>0.9881481481</v>
      </c>
      <c r="I752" s="27">
        <f t="shared" si="718"/>
        <v>104</v>
      </c>
      <c r="J752" s="66">
        <f t="shared" si="702"/>
        <v>0.05591397849</v>
      </c>
      <c r="K752" s="66">
        <f t="shared" si="703"/>
        <v>0.05658461092</v>
      </c>
      <c r="L752" s="29" t="s">
        <v>81</v>
      </c>
    </row>
    <row r="753">
      <c r="A753" s="11" t="s">
        <v>68</v>
      </c>
      <c r="B753" s="11" t="s">
        <v>154</v>
      </c>
      <c r="C753" s="11" t="s">
        <v>1001</v>
      </c>
      <c r="D753" s="11" t="s">
        <v>1004</v>
      </c>
      <c r="E753" s="11" t="s">
        <v>74</v>
      </c>
      <c r="F753" s="44">
        <v>2007.00148148148</v>
      </c>
      <c r="G753" s="27">
        <v>1901.0</v>
      </c>
      <c r="H753" s="27">
        <f t="shared" ref="H753:I753" si="719">F753-F752</f>
        <v>0.9881481482</v>
      </c>
      <c r="I753" s="27">
        <f t="shared" si="719"/>
        <v>-63</v>
      </c>
      <c r="J753" s="66">
        <f t="shared" si="702"/>
        <v>-0.03207739308</v>
      </c>
      <c r="K753" s="66">
        <f t="shared" si="703"/>
        <v>-0.03246212942</v>
      </c>
      <c r="L753" s="29" t="s">
        <v>81</v>
      </c>
    </row>
    <row r="754">
      <c r="A754" s="11" t="s">
        <v>68</v>
      </c>
      <c r="B754" s="11" t="s">
        <v>154</v>
      </c>
      <c r="C754" s="11" t="s">
        <v>1001</v>
      </c>
      <c r="D754" s="11" t="s">
        <v>1004</v>
      </c>
      <c r="E754" s="11" t="s">
        <v>74</v>
      </c>
      <c r="F754" s="44">
        <v>2007.98962962963</v>
      </c>
      <c r="G754" s="27">
        <v>2255.0</v>
      </c>
      <c r="H754" s="27">
        <f t="shared" ref="H754:I754" si="720">F754-F753</f>
        <v>0.9881481482</v>
      </c>
      <c r="I754" s="27">
        <f t="shared" si="720"/>
        <v>354</v>
      </c>
      <c r="J754" s="66">
        <f t="shared" si="702"/>
        <v>0.1862177801</v>
      </c>
      <c r="K754" s="66">
        <f t="shared" si="703"/>
        <v>0.1884512767</v>
      </c>
      <c r="L754" s="29" t="s">
        <v>81</v>
      </c>
    </row>
    <row r="755">
      <c r="A755" s="11" t="s">
        <v>68</v>
      </c>
      <c r="B755" s="11" t="s">
        <v>154</v>
      </c>
      <c r="C755" s="11" t="s">
        <v>1001</v>
      </c>
      <c r="D755" s="11" t="s">
        <v>1004</v>
      </c>
      <c r="E755" s="11" t="s">
        <v>74</v>
      </c>
      <c r="F755" s="44">
        <v>2009.02074074074</v>
      </c>
      <c r="G755" s="27">
        <v>2308.0</v>
      </c>
      <c r="H755" s="27">
        <f t="shared" ref="H755:I755" si="721">F755-F754</f>
        <v>1.031111111</v>
      </c>
      <c r="I755" s="27">
        <f t="shared" si="721"/>
        <v>53</v>
      </c>
      <c r="J755" s="66">
        <f t="shared" si="702"/>
        <v>0.02350332594</v>
      </c>
      <c r="K755" s="66">
        <f t="shared" si="703"/>
        <v>0.02279417387</v>
      </c>
      <c r="L755" s="29" t="s">
        <v>81</v>
      </c>
    </row>
    <row r="756">
      <c r="A756" s="11" t="s">
        <v>68</v>
      </c>
      <c r="B756" s="11" t="s">
        <v>154</v>
      </c>
      <c r="C756" s="11" t="s">
        <v>1001</v>
      </c>
      <c r="D756" s="11" t="s">
        <v>1004</v>
      </c>
      <c r="E756" s="11" t="s">
        <v>74</v>
      </c>
      <c r="F756" s="44">
        <v>2010.00888888889</v>
      </c>
      <c r="G756" s="27">
        <v>2254.0</v>
      </c>
      <c r="H756" s="27">
        <f t="shared" ref="H756:I756" si="722">F756-F755</f>
        <v>0.9881481482</v>
      </c>
      <c r="I756" s="27">
        <f t="shared" si="722"/>
        <v>-54</v>
      </c>
      <c r="J756" s="66">
        <f t="shared" si="702"/>
        <v>-0.02339688042</v>
      </c>
      <c r="K756" s="66">
        <f t="shared" si="703"/>
        <v>-0.02367750267</v>
      </c>
      <c r="L756" s="29" t="s">
        <v>81</v>
      </c>
    </row>
    <row r="757">
      <c r="A757" s="11" t="s">
        <v>68</v>
      </c>
      <c r="B757" s="11" t="s">
        <v>154</v>
      </c>
      <c r="C757" s="11" t="s">
        <v>1001</v>
      </c>
      <c r="D757" s="11" t="s">
        <v>1004</v>
      </c>
      <c r="E757" s="11" t="s">
        <v>74</v>
      </c>
      <c r="F757" s="44">
        <v>2010.99703703704</v>
      </c>
      <c r="G757" s="27">
        <v>2320.0</v>
      </c>
      <c r="H757" s="27">
        <f t="shared" ref="H757:I757" si="723">F757-F756</f>
        <v>0.9881481482</v>
      </c>
      <c r="I757" s="27">
        <f t="shared" si="723"/>
        <v>66</v>
      </c>
      <c r="J757" s="66">
        <f t="shared" si="702"/>
        <v>0.02928127773</v>
      </c>
      <c r="K757" s="66">
        <f t="shared" si="703"/>
        <v>0.02963247746</v>
      </c>
      <c r="L757" s="29" t="s">
        <v>81</v>
      </c>
    </row>
    <row r="758">
      <c r="A758" s="11" t="s">
        <v>68</v>
      </c>
      <c r="B758" s="11" t="s">
        <v>154</v>
      </c>
      <c r="C758" s="11" t="s">
        <v>1001</v>
      </c>
      <c r="D758" s="11" t="s">
        <v>1004</v>
      </c>
      <c r="E758" s="11" t="s">
        <v>74</v>
      </c>
      <c r="F758" s="44">
        <v>2011.98518518519</v>
      </c>
      <c r="G758" s="27">
        <v>2373.0</v>
      </c>
      <c r="H758" s="27">
        <f t="shared" ref="H758:I758" si="724">F758-F757</f>
        <v>0.9881481482</v>
      </c>
      <c r="I758" s="27">
        <f t="shared" si="724"/>
        <v>53</v>
      </c>
      <c r="J758" s="66">
        <f t="shared" si="702"/>
        <v>0.02284482759</v>
      </c>
      <c r="K758" s="66">
        <f t="shared" si="703"/>
        <v>0.02311882852</v>
      </c>
      <c r="L758" s="29" t="s">
        <v>81</v>
      </c>
    </row>
    <row r="759">
      <c r="A759" s="11" t="s">
        <v>68</v>
      </c>
      <c r="B759" s="11" t="s">
        <v>154</v>
      </c>
      <c r="C759" s="11" t="s">
        <v>1001</v>
      </c>
      <c r="D759" s="11" t="s">
        <v>1004</v>
      </c>
      <c r="E759" s="11" t="s">
        <v>74</v>
      </c>
      <c r="F759" s="44">
        <v>2013.0162962963</v>
      </c>
      <c r="G759" s="27">
        <v>2210.0</v>
      </c>
      <c r="H759" s="27">
        <f t="shared" ref="H759:I759" si="725">F759-F758</f>
        <v>1.031111111</v>
      </c>
      <c r="I759" s="27">
        <f t="shared" si="725"/>
        <v>-163</v>
      </c>
      <c r="J759" s="66">
        <f t="shared" si="702"/>
        <v>-0.06868942267</v>
      </c>
      <c r="K759" s="66">
        <f t="shared" si="703"/>
        <v>-0.06661689699</v>
      </c>
      <c r="L759" s="29" t="s">
        <v>81</v>
      </c>
    </row>
    <row r="760">
      <c r="A760" s="11" t="s">
        <v>68</v>
      </c>
      <c r="B760" s="11" t="s">
        <v>154</v>
      </c>
      <c r="C760" s="11" t="s">
        <v>1001</v>
      </c>
      <c r="D760" s="11" t="s">
        <v>1004</v>
      </c>
      <c r="E760" s="11" t="s">
        <v>74</v>
      </c>
      <c r="F760" s="44">
        <v>2014.00444444444</v>
      </c>
      <c r="G760" s="27">
        <v>2322.0</v>
      </c>
      <c r="H760" s="27">
        <f t="shared" ref="H760:I760" si="726">F760-F759</f>
        <v>0.9881481481</v>
      </c>
      <c r="I760" s="27">
        <f t="shared" si="726"/>
        <v>112</v>
      </c>
      <c r="J760" s="66">
        <f t="shared" si="702"/>
        <v>0.05067873303</v>
      </c>
      <c r="K760" s="66">
        <f t="shared" si="703"/>
        <v>0.05128657391</v>
      </c>
      <c r="L760" s="29" t="s">
        <v>81</v>
      </c>
    </row>
    <row r="761">
      <c r="A761" s="11" t="s">
        <v>68</v>
      </c>
      <c r="B761" s="11" t="s">
        <v>154</v>
      </c>
      <c r="C761" s="11" t="s">
        <v>1001</v>
      </c>
      <c r="D761" s="11" t="s">
        <v>1004</v>
      </c>
      <c r="E761" s="11" t="s">
        <v>74</v>
      </c>
      <c r="F761" s="44">
        <v>2014.99259259259</v>
      </c>
      <c r="G761" s="27">
        <v>3021.0</v>
      </c>
      <c r="H761" s="27">
        <f t="shared" ref="H761:I761" si="727">F761-F760</f>
        <v>0.9881481482</v>
      </c>
      <c r="I761" s="27">
        <f t="shared" si="727"/>
        <v>699</v>
      </c>
      <c r="J761" s="66">
        <f t="shared" si="702"/>
        <v>0.3010335917</v>
      </c>
      <c r="K761" s="66">
        <f t="shared" si="703"/>
        <v>0.3046441895</v>
      </c>
      <c r="L761" s="29" t="s">
        <v>81</v>
      </c>
    </row>
    <row r="762">
      <c r="A762" s="11" t="s">
        <v>68</v>
      </c>
      <c r="B762" s="11" t="s">
        <v>154</v>
      </c>
      <c r="C762" s="11" t="s">
        <v>1001</v>
      </c>
      <c r="D762" s="11" t="s">
        <v>1004</v>
      </c>
      <c r="E762" s="11" t="s">
        <v>74</v>
      </c>
      <c r="F762" s="44">
        <v>2015.98074074074</v>
      </c>
      <c r="G762" s="27">
        <v>4303.0</v>
      </c>
      <c r="H762" s="27">
        <f t="shared" ref="H762:I762" si="728">F762-F761</f>
        <v>0.9881481482</v>
      </c>
      <c r="I762" s="27">
        <f t="shared" si="728"/>
        <v>1282</v>
      </c>
      <c r="J762" s="66">
        <f t="shared" si="702"/>
        <v>0.4243627938</v>
      </c>
      <c r="K762" s="66">
        <f t="shared" si="703"/>
        <v>0.4294526024</v>
      </c>
      <c r="L762" s="29" t="s">
        <v>81</v>
      </c>
    </row>
    <row r="763">
      <c r="A763" s="11" t="s">
        <v>68</v>
      </c>
      <c r="B763" s="11" t="s">
        <v>154</v>
      </c>
      <c r="C763" s="11" t="s">
        <v>1001</v>
      </c>
      <c r="D763" s="11" t="s">
        <v>1004</v>
      </c>
      <c r="E763" s="11" t="s">
        <v>74</v>
      </c>
      <c r="F763" s="44">
        <v>2017.01185185185</v>
      </c>
      <c r="G763" s="27">
        <v>4674.0</v>
      </c>
      <c r="H763" s="27">
        <f t="shared" ref="H763:I763" si="729">F763-F762</f>
        <v>1.031111111</v>
      </c>
      <c r="I763" s="27">
        <f t="shared" si="729"/>
        <v>371</v>
      </c>
      <c r="J763" s="66">
        <f t="shared" si="702"/>
        <v>0.08621891703</v>
      </c>
      <c r="K763" s="66">
        <f t="shared" si="703"/>
        <v>0.08361748419</v>
      </c>
      <c r="L763" s="29" t="s">
        <v>81</v>
      </c>
    </row>
    <row r="764">
      <c r="A764" s="11" t="s">
        <v>68</v>
      </c>
      <c r="B764" s="11" t="s">
        <v>154</v>
      </c>
      <c r="C764" s="11" t="s">
        <v>1001</v>
      </c>
      <c r="D764" s="11" t="s">
        <v>1004</v>
      </c>
      <c r="E764" s="11" t="s">
        <v>74</v>
      </c>
      <c r="F764" s="44">
        <v>2018.0</v>
      </c>
      <c r="G764" s="27">
        <v>5612.0</v>
      </c>
      <c r="H764" s="27">
        <f t="shared" ref="H764:I764" si="730">F764-F763</f>
        <v>0.9881481482</v>
      </c>
      <c r="I764" s="27">
        <f t="shared" si="730"/>
        <v>938</v>
      </c>
      <c r="J764" s="66">
        <f t="shared" si="702"/>
        <v>0.2006846384</v>
      </c>
      <c r="K764" s="66">
        <f t="shared" si="703"/>
        <v>0.2030916506</v>
      </c>
      <c r="L764" s="29" t="s">
        <v>81</v>
      </c>
    </row>
    <row r="765">
      <c r="A765" s="11" t="s">
        <v>167</v>
      </c>
      <c r="B765" s="11" t="s">
        <v>154</v>
      </c>
      <c r="C765" s="11" t="s">
        <v>1015</v>
      </c>
      <c r="D765" s="11" t="s">
        <v>1004</v>
      </c>
      <c r="E765" s="11" t="s">
        <v>1016</v>
      </c>
      <c r="F765" s="44">
        <v>2000.0</v>
      </c>
      <c r="G765" s="44">
        <v>448.159059222889</v>
      </c>
      <c r="H765" s="27" t="s">
        <v>188</v>
      </c>
      <c r="I765" s="27" t="s">
        <v>188</v>
      </c>
      <c r="J765" s="66" t="s">
        <v>188</v>
      </c>
      <c r="K765" s="66" t="s">
        <v>188</v>
      </c>
      <c r="L765" s="29" t="s">
        <v>260</v>
      </c>
    </row>
    <row r="766">
      <c r="A766" s="11" t="s">
        <v>167</v>
      </c>
      <c r="B766" s="11" t="s">
        <v>154</v>
      </c>
      <c r="C766" s="11" t="s">
        <v>1015</v>
      </c>
      <c r="D766" s="11" t="s">
        <v>1004</v>
      </c>
      <c r="E766" s="11" t="s">
        <v>1016</v>
      </c>
      <c r="F766" s="44">
        <v>2000.97872340426</v>
      </c>
      <c r="G766" s="44">
        <v>427.023701279021</v>
      </c>
      <c r="H766" s="27" t="s">
        <v>188</v>
      </c>
      <c r="I766" s="27" t="s">
        <v>188</v>
      </c>
      <c r="J766" s="66" t="s">
        <v>188</v>
      </c>
      <c r="K766" s="66" t="s">
        <v>188</v>
      </c>
      <c r="L766" s="29" t="s">
        <v>260</v>
      </c>
    </row>
    <row r="767">
      <c r="A767" s="11" t="s">
        <v>167</v>
      </c>
      <c r="B767" s="11" t="s">
        <v>154</v>
      </c>
      <c r="C767" s="11" t="s">
        <v>1015</v>
      </c>
      <c r="D767" s="11" t="s">
        <v>1004</v>
      </c>
      <c r="E767" s="11" t="s">
        <v>1016</v>
      </c>
      <c r="F767" s="44">
        <v>2001.97872340426</v>
      </c>
      <c r="G767" s="44">
        <v>462.721706977026</v>
      </c>
      <c r="H767" s="27" t="s">
        <v>188</v>
      </c>
      <c r="I767" s="27" t="s">
        <v>188</v>
      </c>
      <c r="J767" s="66" t="s">
        <v>188</v>
      </c>
      <c r="K767" s="66" t="s">
        <v>188</v>
      </c>
      <c r="L767" s="29" t="s">
        <v>260</v>
      </c>
    </row>
    <row r="768">
      <c r="A768" s="11" t="s">
        <v>167</v>
      </c>
      <c r="B768" s="11" t="s">
        <v>154</v>
      </c>
      <c r="C768" s="11" t="s">
        <v>1015</v>
      </c>
      <c r="D768" s="11" t="s">
        <v>1004</v>
      </c>
      <c r="E768" s="11" t="s">
        <v>1016</v>
      </c>
      <c r="F768" s="44">
        <v>2003.0</v>
      </c>
      <c r="G768" s="44">
        <v>483.458204522035</v>
      </c>
      <c r="H768" s="27" t="s">
        <v>188</v>
      </c>
      <c r="I768" s="27" t="s">
        <v>188</v>
      </c>
      <c r="J768" s="66" t="s">
        <v>188</v>
      </c>
      <c r="K768" s="66" t="s">
        <v>188</v>
      </c>
      <c r="L768" s="29" t="s">
        <v>260</v>
      </c>
    </row>
    <row r="769">
      <c r="A769" s="11" t="s">
        <v>167</v>
      </c>
      <c r="B769" s="11" t="s">
        <v>154</v>
      </c>
      <c r="C769" s="11" t="s">
        <v>1015</v>
      </c>
      <c r="D769" s="11" t="s">
        <v>1004</v>
      </c>
      <c r="E769" s="11" t="s">
        <v>1016</v>
      </c>
      <c r="F769" s="44">
        <v>2003.97872340426</v>
      </c>
      <c r="G769" s="44">
        <v>495.228829484149</v>
      </c>
      <c r="H769" s="27" t="s">
        <v>188</v>
      </c>
      <c r="I769" s="27" t="s">
        <v>188</v>
      </c>
      <c r="J769" s="66" t="s">
        <v>188</v>
      </c>
      <c r="K769" s="66" t="s">
        <v>188</v>
      </c>
      <c r="L769" s="29" t="s">
        <v>260</v>
      </c>
    </row>
    <row r="770">
      <c r="A770" s="11" t="s">
        <v>167</v>
      </c>
      <c r="B770" s="11" t="s">
        <v>154</v>
      </c>
      <c r="C770" s="11" t="s">
        <v>1015</v>
      </c>
      <c r="D770" s="11" t="s">
        <v>1004</v>
      </c>
      <c r="E770" s="11" t="s">
        <v>1016</v>
      </c>
      <c r="F770" s="44">
        <v>2004.97872340426</v>
      </c>
      <c r="G770" s="44">
        <v>495.029399284718</v>
      </c>
      <c r="H770" s="27" t="s">
        <v>188</v>
      </c>
      <c r="I770" s="27" t="s">
        <v>188</v>
      </c>
      <c r="J770" s="66" t="s">
        <v>188</v>
      </c>
      <c r="K770" s="66" t="s">
        <v>188</v>
      </c>
      <c r="L770" s="29" t="s">
        <v>260</v>
      </c>
    </row>
    <row r="771">
      <c r="A771" s="11" t="s">
        <v>167</v>
      </c>
      <c r="B771" s="11" t="s">
        <v>154</v>
      </c>
      <c r="C771" s="11" t="s">
        <v>1015</v>
      </c>
      <c r="D771" s="11" t="s">
        <v>1004</v>
      </c>
      <c r="E771" s="11" t="s">
        <v>1016</v>
      </c>
      <c r="F771" s="44">
        <v>2005.97872340426</v>
      </c>
      <c r="G771" s="44">
        <v>488.847063102382</v>
      </c>
      <c r="H771" s="27" t="s">
        <v>188</v>
      </c>
      <c r="I771" s="27" t="s">
        <v>188</v>
      </c>
      <c r="J771" s="66" t="s">
        <v>188</v>
      </c>
      <c r="K771" s="66" t="s">
        <v>188</v>
      </c>
      <c r="L771" s="29" t="s">
        <v>260</v>
      </c>
    </row>
    <row r="772">
      <c r="A772" s="11" t="s">
        <v>167</v>
      </c>
      <c r="B772" s="11" t="s">
        <v>154</v>
      </c>
      <c r="C772" s="11" t="s">
        <v>1015</v>
      </c>
      <c r="D772" s="11" t="s">
        <v>1004</v>
      </c>
      <c r="E772" s="11" t="s">
        <v>1016</v>
      </c>
      <c r="F772" s="44">
        <v>2006.97872340426</v>
      </c>
      <c r="G772" s="44">
        <v>539.502333757653</v>
      </c>
      <c r="H772" s="27" t="s">
        <v>188</v>
      </c>
      <c r="I772" s="27" t="s">
        <v>188</v>
      </c>
      <c r="J772" s="66" t="s">
        <v>188</v>
      </c>
      <c r="K772" s="66" t="s">
        <v>188</v>
      </c>
      <c r="L772" s="29" t="s">
        <v>260</v>
      </c>
    </row>
    <row r="773">
      <c r="A773" s="11" t="s">
        <v>167</v>
      </c>
      <c r="B773" s="11" t="s">
        <v>154</v>
      </c>
      <c r="C773" s="11" t="s">
        <v>1015</v>
      </c>
      <c r="D773" s="11" t="s">
        <v>1004</v>
      </c>
      <c r="E773" s="11" t="s">
        <v>1016</v>
      </c>
      <c r="F773" s="44">
        <v>2008.0</v>
      </c>
      <c r="G773" s="44">
        <v>584.170455234285</v>
      </c>
      <c r="H773" s="27" t="s">
        <v>188</v>
      </c>
      <c r="I773" s="27" t="s">
        <v>188</v>
      </c>
      <c r="J773" s="66" t="s">
        <v>188</v>
      </c>
      <c r="K773" s="66" t="s">
        <v>188</v>
      </c>
      <c r="L773" s="29" t="s">
        <v>260</v>
      </c>
    </row>
    <row r="774">
      <c r="A774" s="11" t="s">
        <v>167</v>
      </c>
      <c r="B774" s="11" t="s">
        <v>154</v>
      </c>
      <c r="C774" s="11" t="s">
        <v>1015</v>
      </c>
      <c r="D774" s="11" t="s">
        <v>1004</v>
      </c>
      <c r="E774" s="11" t="s">
        <v>1016</v>
      </c>
      <c r="F774" s="44">
        <v>2008.97872340426</v>
      </c>
      <c r="G774" s="44">
        <v>607.906892162211</v>
      </c>
      <c r="H774" s="27" t="s">
        <v>188</v>
      </c>
      <c r="I774" s="27" t="s">
        <v>188</v>
      </c>
      <c r="J774" s="66" t="s">
        <v>188</v>
      </c>
      <c r="K774" s="66" t="s">
        <v>188</v>
      </c>
      <c r="L774" s="29" t="s">
        <v>260</v>
      </c>
    </row>
    <row r="775">
      <c r="A775" s="11" t="s">
        <v>167</v>
      </c>
      <c r="B775" s="11" t="s">
        <v>154</v>
      </c>
      <c r="C775" s="11" t="s">
        <v>1015</v>
      </c>
      <c r="D775" s="11" t="s">
        <v>1004</v>
      </c>
      <c r="E775" s="11" t="s">
        <v>1016</v>
      </c>
      <c r="F775" s="44">
        <v>2010.0</v>
      </c>
      <c r="G775" s="44">
        <v>628.643389707219</v>
      </c>
      <c r="H775" s="27" t="s">
        <v>188</v>
      </c>
      <c r="I775" s="27" t="s">
        <v>188</v>
      </c>
      <c r="J775" s="66" t="s">
        <v>188</v>
      </c>
      <c r="K775" s="66" t="s">
        <v>188</v>
      </c>
      <c r="L775" s="29" t="s">
        <v>260</v>
      </c>
    </row>
    <row r="776">
      <c r="A776" s="11" t="s">
        <v>167</v>
      </c>
      <c r="B776" s="11" t="s">
        <v>154</v>
      </c>
      <c r="C776" s="11" t="s">
        <v>1015</v>
      </c>
      <c r="D776" s="11" t="s">
        <v>1004</v>
      </c>
      <c r="E776" s="11" t="s">
        <v>1016</v>
      </c>
      <c r="F776" s="44">
        <v>2011.0</v>
      </c>
      <c r="G776" s="44">
        <v>622.461053524883</v>
      </c>
      <c r="H776" s="27" t="s">
        <v>188</v>
      </c>
      <c r="I776" s="27" t="s">
        <v>188</v>
      </c>
      <c r="J776" s="66" t="s">
        <v>188</v>
      </c>
      <c r="K776" s="66" t="s">
        <v>188</v>
      </c>
      <c r="L776" s="29" t="s">
        <v>260</v>
      </c>
    </row>
    <row r="777">
      <c r="A777" s="11" t="s">
        <v>167</v>
      </c>
      <c r="B777" s="11" t="s">
        <v>154</v>
      </c>
      <c r="C777" s="11" t="s">
        <v>1015</v>
      </c>
      <c r="D777" s="11" t="s">
        <v>1004</v>
      </c>
      <c r="E777" s="11" t="s">
        <v>1016</v>
      </c>
      <c r="F777" s="44">
        <v>2011.97872340426</v>
      </c>
      <c r="G777" s="44">
        <v>616.28296053828</v>
      </c>
      <c r="H777" s="27" t="s">
        <v>188</v>
      </c>
      <c r="I777" s="27" t="s">
        <v>188</v>
      </c>
      <c r="J777" s="66" t="s">
        <v>188</v>
      </c>
      <c r="K777" s="66" t="s">
        <v>188</v>
      </c>
      <c r="L777" s="29" t="s">
        <v>260</v>
      </c>
    </row>
    <row r="778">
      <c r="A778" s="11" t="s">
        <v>167</v>
      </c>
      <c r="B778" s="11" t="s">
        <v>154</v>
      </c>
      <c r="C778" s="11" t="s">
        <v>1015</v>
      </c>
      <c r="D778" s="11" t="s">
        <v>1004</v>
      </c>
      <c r="E778" s="11" t="s">
        <v>1016</v>
      </c>
      <c r="F778" s="44">
        <v>2012.97872340426</v>
      </c>
      <c r="G778" s="44">
        <v>571.211735467055</v>
      </c>
      <c r="H778" s="27" t="s">
        <v>188</v>
      </c>
      <c r="I778" s="27" t="s">
        <v>188</v>
      </c>
      <c r="J778" s="66" t="s">
        <v>188</v>
      </c>
      <c r="K778" s="66" t="s">
        <v>188</v>
      </c>
      <c r="L778" s="29" t="s">
        <v>260</v>
      </c>
    </row>
    <row r="779">
      <c r="A779" s="11" t="s">
        <v>167</v>
      </c>
      <c r="B779" s="11" t="s">
        <v>154</v>
      </c>
      <c r="C779" s="11" t="s">
        <v>1015</v>
      </c>
      <c r="D779" s="11" t="s">
        <v>1004</v>
      </c>
      <c r="E779" s="11" t="s">
        <v>1016</v>
      </c>
      <c r="F779" s="44">
        <v>2014.0</v>
      </c>
      <c r="G779" s="44">
        <v>582.973874037704</v>
      </c>
      <c r="H779" s="27" t="s">
        <v>188</v>
      </c>
      <c r="I779" s="27" t="s">
        <v>188</v>
      </c>
      <c r="J779" s="66" t="s">
        <v>188</v>
      </c>
      <c r="K779" s="66" t="s">
        <v>188</v>
      </c>
      <c r="L779" s="29" t="s">
        <v>260</v>
      </c>
    </row>
    <row r="780">
      <c r="A780" s="11" t="s">
        <v>167</v>
      </c>
      <c r="B780" s="11" t="s">
        <v>154</v>
      </c>
      <c r="C780" s="11" t="s">
        <v>1015</v>
      </c>
      <c r="D780" s="11" t="s">
        <v>1004</v>
      </c>
      <c r="E780" s="11" t="s">
        <v>1016</v>
      </c>
      <c r="F780" s="44">
        <v>2015.0</v>
      </c>
      <c r="G780" s="44">
        <v>609.697520761351</v>
      </c>
      <c r="H780" s="27" t="s">
        <v>188</v>
      </c>
      <c r="I780" s="27" t="s">
        <v>188</v>
      </c>
      <c r="J780" s="66" t="s">
        <v>188</v>
      </c>
      <c r="K780" s="66" t="s">
        <v>188</v>
      </c>
      <c r="L780" s="29" t="s">
        <v>260</v>
      </c>
    </row>
    <row r="781">
      <c r="A781" s="11" t="s">
        <v>167</v>
      </c>
      <c r="B781" s="11" t="s">
        <v>154</v>
      </c>
      <c r="C781" s="11" t="s">
        <v>1015</v>
      </c>
      <c r="D781" s="11" t="s">
        <v>1004</v>
      </c>
      <c r="E781" s="11" t="s">
        <v>1016</v>
      </c>
      <c r="F781" s="44">
        <v>2016.0</v>
      </c>
      <c r="G781" s="44">
        <v>621.463902527732</v>
      </c>
      <c r="H781" s="27" t="s">
        <v>188</v>
      </c>
      <c r="I781" s="27" t="s">
        <v>188</v>
      </c>
      <c r="J781" s="66" t="s">
        <v>188</v>
      </c>
      <c r="K781" s="66" t="s">
        <v>188</v>
      </c>
      <c r="L781" s="29" t="s">
        <v>260</v>
      </c>
    </row>
    <row r="782">
      <c r="A782" s="11" t="s">
        <v>167</v>
      </c>
      <c r="B782" s="11" t="s">
        <v>154</v>
      </c>
      <c r="C782" s="11" t="s">
        <v>1015</v>
      </c>
      <c r="D782" s="11" t="s">
        <v>1004</v>
      </c>
      <c r="E782" s="11" t="s">
        <v>1021</v>
      </c>
      <c r="F782" s="44">
        <v>2000.0</v>
      </c>
      <c r="G782" s="44">
        <v>448.159059222889</v>
      </c>
      <c r="H782" s="27" t="s">
        <v>188</v>
      </c>
      <c r="I782" s="27" t="s">
        <v>188</v>
      </c>
      <c r="J782" s="66" t="s">
        <v>188</v>
      </c>
      <c r="K782" s="66" t="s">
        <v>188</v>
      </c>
      <c r="L782" s="29" t="s">
        <v>260</v>
      </c>
    </row>
    <row r="783">
      <c r="A783" s="11" t="s">
        <v>167</v>
      </c>
      <c r="B783" s="11" t="s">
        <v>154</v>
      </c>
      <c r="C783" s="11" t="s">
        <v>1015</v>
      </c>
      <c r="D783" s="11" t="s">
        <v>1004</v>
      </c>
      <c r="E783" s="11" t="s">
        <v>1021</v>
      </c>
      <c r="F783" s="44">
        <v>2000.97872</v>
      </c>
      <c r="G783" s="44">
        <v>465.912590167909</v>
      </c>
      <c r="H783" s="27" t="s">
        <v>188</v>
      </c>
      <c r="I783" s="27" t="s">
        <v>188</v>
      </c>
      <c r="J783" s="66" t="s">
        <v>188</v>
      </c>
      <c r="K783" s="66" t="s">
        <v>188</v>
      </c>
      <c r="L783" s="29" t="s">
        <v>260</v>
      </c>
    </row>
    <row r="784">
      <c r="A784" s="11" t="s">
        <v>167</v>
      </c>
      <c r="B784" s="11" t="s">
        <v>154</v>
      </c>
      <c r="C784" s="11" t="s">
        <v>1015</v>
      </c>
      <c r="D784" s="11" t="s">
        <v>1004</v>
      </c>
      <c r="E784" s="11" t="s">
        <v>1021</v>
      </c>
      <c r="F784" s="44">
        <v>2002.0</v>
      </c>
      <c r="G784" s="44">
        <v>498.614899678729</v>
      </c>
      <c r="H784" s="27" t="s">
        <v>188</v>
      </c>
      <c r="I784" s="27" t="s">
        <v>188</v>
      </c>
      <c r="J784" s="66" t="s">
        <v>188</v>
      </c>
      <c r="K784" s="66" t="s">
        <v>188</v>
      </c>
      <c r="L784" s="29" t="s">
        <v>260</v>
      </c>
    </row>
    <row r="785">
      <c r="A785" s="11" t="s">
        <v>167</v>
      </c>
      <c r="B785" s="11" t="s">
        <v>154</v>
      </c>
      <c r="C785" s="11" t="s">
        <v>1015</v>
      </c>
      <c r="D785" s="11" t="s">
        <v>1004</v>
      </c>
      <c r="E785" s="11" t="s">
        <v>1021</v>
      </c>
      <c r="F785" s="44">
        <v>2002.97872</v>
      </c>
      <c r="G785" s="44">
        <v>522.351336606656</v>
      </c>
      <c r="H785" s="27" t="s">
        <v>188</v>
      </c>
      <c r="I785" s="27" t="s">
        <v>188</v>
      </c>
      <c r="J785" s="66" t="s">
        <v>188</v>
      </c>
      <c r="K785" s="66" t="s">
        <v>188</v>
      </c>
      <c r="L785" s="29" t="s">
        <v>260</v>
      </c>
    </row>
    <row r="786">
      <c r="A786" s="11" t="s">
        <v>167</v>
      </c>
      <c r="B786" s="11" t="s">
        <v>154</v>
      </c>
      <c r="C786" s="11" t="s">
        <v>1015</v>
      </c>
      <c r="D786" s="11" t="s">
        <v>1004</v>
      </c>
      <c r="E786" s="11" t="s">
        <v>1021</v>
      </c>
      <c r="F786" s="44">
        <v>2003.97872</v>
      </c>
      <c r="G786" s="44">
        <v>534.117718373037</v>
      </c>
      <c r="H786" s="27" t="s">
        <v>188</v>
      </c>
      <c r="I786" s="27" t="s">
        <v>188</v>
      </c>
      <c r="J786" s="66" t="s">
        <v>188</v>
      </c>
      <c r="K786" s="66" t="s">
        <v>188</v>
      </c>
      <c r="L786" s="29" t="s">
        <v>260</v>
      </c>
    </row>
    <row r="787">
      <c r="A787" s="11" t="s">
        <v>167</v>
      </c>
      <c r="B787" s="11" t="s">
        <v>154</v>
      </c>
      <c r="C787" s="11" t="s">
        <v>1015</v>
      </c>
      <c r="D787" s="11" t="s">
        <v>1004</v>
      </c>
      <c r="E787" s="11" t="s">
        <v>1021</v>
      </c>
      <c r="F787" s="44">
        <v>2004.97872</v>
      </c>
      <c r="G787" s="44">
        <v>548.875553130873</v>
      </c>
      <c r="H787" s="27" t="s">
        <v>188</v>
      </c>
      <c r="I787" s="27" t="s">
        <v>188</v>
      </c>
      <c r="J787" s="66" t="s">
        <v>188</v>
      </c>
      <c r="K787" s="66" t="s">
        <v>188</v>
      </c>
      <c r="L787" s="29" t="s">
        <v>260</v>
      </c>
    </row>
    <row r="788">
      <c r="A788" s="11" t="s">
        <v>167</v>
      </c>
      <c r="B788" s="11" t="s">
        <v>154</v>
      </c>
      <c r="C788" s="11" t="s">
        <v>1015</v>
      </c>
      <c r="D788" s="11" t="s">
        <v>1004</v>
      </c>
      <c r="E788" s="11" t="s">
        <v>1021</v>
      </c>
      <c r="F788" s="44">
        <v>2006.0</v>
      </c>
      <c r="G788" s="44">
        <v>554.654785718616</v>
      </c>
      <c r="H788" s="27" t="s">
        <v>188</v>
      </c>
      <c r="I788" s="27" t="s">
        <v>188</v>
      </c>
      <c r="J788" s="66" t="s">
        <v>188</v>
      </c>
      <c r="K788" s="66" t="s">
        <v>188</v>
      </c>
      <c r="L788" s="29" t="s">
        <v>260</v>
      </c>
    </row>
    <row r="789">
      <c r="A789" s="11" t="s">
        <v>167</v>
      </c>
      <c r="B789" s="11" t="s">
        <v>154</v>
      </c>
      <c r="C789" s="11" t="s">
        <v>1015</v>
      </c>
      <c r="D789" s="11" t="s">
        <v>1004</v>
      </c>
      <c r="E789" s="11" t="s">
        <v>1021</v>
      </c>
      <c r="F789" s="44">
        <v>2006.97872</v>
      </c>
      <c r="G789" s="44">
        <v>602.322846578166</v>
      </c>
      <c r="H789" s="27" t="s">
        <v>188</v>
      </c>
      <c r="I789" s="27" t="s">
        <v>188</v>
      </c>
      <c r="J789" s="66" t="s">
        <v>188</v>
      </c>
      <c r="K789" s="66" t="s">
        <v>188</v>
      </c>
      <c r="L789" s="29" t="s">
        <v>260</v>
      </c>
    </row>
    <row r="790">
      <c r="A790" s="11" t="s">
        <v>167</v>
      </c>
      <c r="B790" s="11" t="s">
        <v>154</v>
      </c>
      <c r="C790" s="11" t="s">
        <v>1015</v>
      </c>
      <c r="D790" s="11" t="s">
        <v>1004</v>
      </c>
      <c r="E790" s="11" t="s">
        <v>1021</v>
      </c>
      <c r="F790" s="44">
        <v>2007.97872</v>
      </c>
      <c r="G790" s="44">
        <v>652.978117233437</v>
      </c>
      <c r="H790" s="27" t="s">
        <v>188</v>
      </c>
      <c r="I790" s="27" t="s">
        <v>188</v>
      </c>
      <c r="J790" s="66" t="s">
        <v>188</v>
      </c>
      <c r="K790" s="66" t="s">
        <v>188</v>
      </c>
      <c r="L790" s="29" t="s">
        <v>260</v>
      </c>
    </row>
    <row r="791">
      <c r="A791" s="11" t="s">
        <v>167</v>
      </c>
      <c r="B791" s="11" t="s">
        <v>154</v>
      </c>
      <c r="C791" s="11" t="s">
        <v>1015</v>
      </c>
      <c r="D791" s="11" t="s">
        <v>1004</v>
      </c>
      <c r="E791" s="11" t="s">
        <v>1021</v>
      </c>
      <c r="F791" s="44">
        <v>2008.97872</v>
      </c>
      <c r="G791" s="44">
        <v>685.684669939989</v>
      </c>
      <c r="H791" s="27" t="s">
        <v>188</v>
      </c>
      <c r="I791" s="27" t="s">
        <v>188</v>
      </c>
      <c r="J791" s="66" t="s">
        <v>188</v>
      </c>
      <c r="K791" s="66" t="s">
        <v>188</v>
      </c>
      <c r="L791" s="29" t="s">
        <v>260</v>
      </c>
    </row>
    <row r="792">
      <c r="A792" s="11" t="s">
        <v>167</v>
      </c>
      <c r="B792" s="11" t="s">
        <v>154</v>
      </c>
      <c r="C792" s="11" t="s">
        <v>1015</v>
      </c>
      <c r="D792" s="11" t="s">
        <v>1004</v>
      </c>
      <c r="E792" s="11" t="s">
        <v>1021</v>
      </c>
      <c r="F792" s="44">
        <v>2010.0</v>
      </c>
      <c r="G792" s="44">
        <v>718.386979450809</v>
      </c>
      <c r="H792" s="27" t="s">
        <v>188</v>
      </c>
      <c r="I792" s="27" t="s">
        <v>188</v>
      </c>
      <c r="J792" s="66" t="s">
        <v>188</v>
      </c>
      <c r="K792" s="66" t="s">
        <v>188</v>
      </c>
      <c r="L792" s="29" t="s">
        <v>260</v>
      </c>
    </row>
    <row r="793">
      <c r="A793" s="11" t="s">
        <v>167</v>
      </c>
      <c r="B793" s="11" t="s">
        <v>154</v>
      </c>
      <c r="C793" s="11" t="s">
        <v>1015</v>
      </c>
      <c r="D793" s="11" t="s">
        <v>1004</v>
      </c>
      <c r="E793" s="11" t="s">
        <v>1021</v>
      </c>
      <c r="F793" s="44">
        <v>2011.0</v>
      </c>
      <c r="G793" s="44">
        <v>718.187549251379</v>
      </c>
      <c r="H793" s="27" t="s">
        <v>188</v>
      </c>
      <c r="I793" s="27" t="s">
        <v>188</v>
      </c>
      <c r="J793" s="66" t="s">
        <v>188</v>
      </c>
      <c r="K793" s="66" t="s">
        <v>188</v>
      </c>
      <c r="L793" s="29" t="s">
        <v>260</v>
      </c>
    </row>
    <row r="794">
      <c r="A794" s="11" t="s">
        <v>167</v>
      </c>
      <c r="B794" s="11" t="s">
        <v>154</v>
      </c>
      <c r="C794" s="11" t="s">
        <v>1015</v>
      </c>
      <c r="D794" s="11" t="s">
        <v>1004</v>
      </c>
      <c r="E794" s="11" t="s">
        <v>1021</v>
      </c>
      <c r="F794" s="44">
        <v>2012.0</v>
      </c>
      <c r="G794" s="44">
        <v>714.996666060496</v>
      </c>
      <c r="H794" s="27" t="s">
        <v>188</v>
      </c>
      <c r="I794" s="27" t="s">
        <v>188</v>
      </c>
      <c r="J794" s="66" t="s">
        <v>188</v>
      </c>
      <c r="K794" s="66" t="s">
        <v>188</v>
      </c>
      <c r="L794" s="29" t="s">
        <v>260</v>
      </c>
    </row>
    <row r="795">
      <c r="A795" s="11" t="s">
        <v>167</v>
      </c>
      <c r="B795" s="11" t="s">
        <v>154</v>
      </c>
      <c r="C795" s="11" t="s">
        <v>1015</v>
      </c>
      <c r="D795" s="11" t="s">
        <v>1004</v>
      </c>
      <c r="E795" s="11" t="s">
        <v>1021</v>
      </c>
      <c r="F795" s="44">
        <v>2012.97872</v>
      </c>
      <c r="G795" s="44">
        <v>687.878402133721</v>
      </c>
      <c r="H795" s="27" t="s">
        <v>188</v>
      </c>
      <c r="I795" s="27" t="s">
        <v>188</v>
      </c>
      <c r="J795" s="66" t="s">
        <v>188</v>
      </c>
      <c r="K795" s="66" t="s">
        <v>188</v>
      </c>
      <c r="L795" s="29" t="s">
        <v>260</v>
      </c>
    </row>
    <row r="796">
      <c r="A796" s="11" t="s">
        <v>167</v>
      </c>
      <c r="B796" s="11" t="s">
        <v>154</v>
      </c>
      <c r="C796" s="11" t="s">
        <v>1015</v>
      </c>
      <c r="D796" s="11" t="s">
        <v>1004</v>
      </c>
      <c r="E796" s="11" t="s">
        <v>1021</v>
      </c>
      <c r="F796" s="44">
        <v>2014.0</v>
      </c>
      <c r="G796" s="44">
        <v>711.606352670182</v>
      </c>
      <c r="H796" s="27" t="s">
        <v>188</v>
      </c>
      <c r="I796" s="27" t="s">
        <v>188</v>
      </c>
      <c r="J796" s="66" t="s">
        <v>188</v>
      </c>
      <c r="K796" s="66" t="s">
        <v>188</v>
      </c>
      <c r="L796" s="29" t="s">
        <v>260</v>
      </c>
    </row>
    <row r="797">
      <c r="A797" s="11" t="s">
        <v>167</v>
      </c>
      <c r="B797" s="11" t="s">
        <v>154</v>
      </c>
      <c r="C797" s="11" t="s">
        <v>1015</v>
      </c>
      <c r="D797" s="11" t="s">
        <v>1004</v>
      </c>
      <c r="E797" s="11" t="s">
        <v>1021</v>
      </c>
      <c r="F797" s="44">
        <v>2015.0</v>
      </c>
      <c r="G797" s="44">
        <v>741.321452385282</v>
      </c>
      <c r="H797" s="27" t="s">
        <v>188</v>
      </c>
      <c r="I797" s="27" t="s">
        <v>188</v>
      </c>
      <c r="J797" s="66" t="s">
        <v>188</v>
      </c>
      <c r="K797" s="66" t="s">
        <v>188</v>
      </c>
      <c r="L797" s="29" t="s">
        <v>260</v>
      </c>
    </row>
    <row r="798">
      <c r="A798" s="11" t="s">
        <v>167</v>
      </c>
      <c r="B798" s="11" t="s">
        <v>154</v>
      </c>
      <c r="C798" s="11" t="s">
        <v>1015</v>
      </c>
      <c r="D798" s="11" t="s">
        <v>1004</v>
      </c>
      <c r="E798" s="11" t="s">
        <v>1021</v>
      </c>
      <c r="F798" s="44">
        <v>2015.97872</v>
      </c>
      <c r="G798" s="44">
        <v>765.057889313208</v>
      </c>
      <c r="H798" s="27" t="s">
        <v>188</v>
      </c>
      <c r="I798" s="27" t="s">
        <v>188</v>
      </c>
      <c r="J798" s="66" t="s">
        <v>188</v>
      </c>
      <c r="K798" s="66" t="s">
        <v>188</v>
      </c>
      <c r="L798" s="29" t="s">
        <v>260</v>
      </c>
    </row>
    <row r="799">
      <c r="A799" s="11" t="s">
        <v>167</v>
      </c>
      <c r="B799" s="11" t="s">
        <v>154</v>
      </c>
      <c r="C799" s="11" t="s">
        <v>1015</v>
      </c>
      <c r="D799" s="11" t="s">
        <v>1004</v>
      </c>
      <c r="E799" s="11" t="s">
        <v>1026</v>
      </c>
      <c r="F799" s="44">
        <v>2000.0</v>
      </c>
      <c r="G799" s="44">
        <v>896.877007940838</v>
      </c>
      <c r="H799" s="27" t="s">
        <v>188</v>
      </c>
      <c r="I799" s="27" t="s">
        <v>188</v>
      </c>
      <c r="J799" s="66" t="s">
        <v>188</v>
      </c>
      <c r="K799" s="66" t="s">
        <v>188</v>
      </c>
      <c r="L799" s="29" t="s">
        <v>260</v>
      </c>
    </row>
    <row r="800">
      <c r="A800" s="11" t="s">
        <v>167</v>
      </c>
      <c r="B800" s="11" t="s">
        <v>154</v>
      </c>
      <c r="C800" s="11" t="s">
        <v>1015</v>
      </c>
      <c r="D800" s="11" t="s">
        <v>1004</v>
      </c>
      <c r="E800" s="11" t="s">
        <v>1026</v>
      </c>
      <c r="F800" s="44">
        <v>2001.0</v>
      </c>
      <c r="G800" s="44">
        <v>893.686124749955</v>
      </c>
      <c r="H800" s="44">
        <f t="shared" ref="H800:I800" si="731">F800-F799</f>
        <v>1</v>
      </c>
      <c r="I800" s="44">
        <f t="shared" si="731"/>
        <v>-3.190883191</v>
      </c>
      <c r="J800" s="101">
        <f t="shared" ref="J800:J815" si="733">I800/G799</f>
        <v>-0.003557771202</v>
      </c>
      <c r="K800" s="66">
        <f t="shared" ref="K800:K815" si="734">J800/H800</f>
        <v>-0.003557771202</v>
      </c>
      <c r="L800" s="29" t="s">
        <v>260</v>
      </c>
    </row>
    <row r="801">
      <c r="A801" s="11" t="s">
        <v>167</v>
      </c>
      <c r="B801" s="11" t="s">
        <v>154</v>
      </c>
      <c r="C801" s="11" t="s">
        <v>1015</v>
      </c>
      <c r="D801" s="11" t="s">
        <v>1004</v>
      </c>
      <c r="E801" s="11" t="s">
        <v>1026</v>
      </c>
      <c r="F801" s="44">
        <v>2002.0</v>
      </c>
      <c r="G801" s="44">
        <v>962.290113353943</v>
      </c>
      <c r="H801" s="44">
        <f t="shared" ref="H801:I801" si="732">F801-F800</f>
        <v>1</v>
      </c>
      <c r="I801" s="44">
        <f t="shared" si="732"/>
        <v>68.6039886</v>
      </c>
      <c r="J801" s="101">
        <f t="shared" si="733"/>
        <v>0.07676519385</v>
      </c>
      <c r="K801" s="66">
        <f t="shared" si="734"/>
        <v>0.07676519385</v>
      </c>
      <c r="L801" s="29" t="s">
        <v>260</v>
      </c>
    </row>
    <row r="802">
      <c r="A802" s="11" t="s">
        <v>167</v>
      </c>
      <c r="B802" s="11" t="s">
        <v>154</v>
      </c>
      <c r="C802" s="11" t="s">
        <v>1015</v>
      </c>
      <c r="D802" s="11" t="s">
        <v>1004</v>
      </c>
      <c r="E802" s="11" t="s">
        <v>1026</v>
      </c>
      <c r="F802" s="44">
        <v>2003.0</v>
      </c>
      <c r="G802" s="44">
        <v>1009.95393101776</v>
      </c>
      <c r="H802" s="44">
        <f t="shared" ref="H802:I802" si="735">F802-F801</f>
        <v>1</v>
      </c>
      <c r="I802" s="44">
        <f t="shared" si="735"/>
        <v>47.66381766</v>
      </c>
      <c r="J802" s="101">
        <f t="shared" si="733"/>
        <v>0.04953165059</v>
      </c>
      <c r="K802" s="66">
        <f t="shared" si="734"/>
        <v>0.04953165059</v>
      </c>
      <c r="L802" s="29" t="s">
        <v>260</v>
      </c>
    </row>
    <row r="803">
      <c r="A803" s="11" t="s">
        <v>167</v>
      </c>
      <c r="B803" s="11" t="s">
        <v>154</v>
      </c>
      <c r="C803" s="11" t="s">
        <v>1015</v>
      </c>
      <c r="D803" s="11" t="s">
        <v>1004</v>
      </c>
      <c r="E803" s="11" t="s">
        <v>1026</v>
      </c>
      <c r="F803" s="44">
        <v>2004.02127659574</v>
      </c>
      <c r="G803" s="44">
        <v>1027.69897557132</v>
      </c>
      <c r="H803" s="44">
        <f t="shared" ref="H803:I803" si="736">F803-F802</f>
        <v>1.021276596</v>
      </c>
      <c r="I803" s="44">
        <f t="shared" si="736"/>
        <v>17.74504455</v>
      </c>
      <c r="J803" s="101">
        <f t="shared" si="733"/>
        <v>0.01757015247</v>
      </c>
      <c r="K803" s="66">
        <f t="shared" si="734"/>
        <v>0.01720410762</v>
      </c>
      <c r="L803" s="29" t="s">
        <v>260</v>
      </c>
    </row>
    <row r="804">
      <c r="A804" s="11" t="s">
        <v>167</v>
      </c>
      <c r="B804" s="11" t="s">
        <v>154</v>
      </c>
      <c r="C804" s="11" t="s">
        <v>1015</v>
      </c>
      <c r="D804" s="11" t="s">
        <v>1004</v>
      </c>
      <c r="E804" s="11" t="s">
        <v>1026</v>
      </c>
      <c r="F804" s="44">
        <v>2004.97872340426</v>
      </c>
      <c r="G804" s="44">
        <v>1045.45674971207</v>
      </c>
      <c r="H804" s="44">
        <f t="shared" ref="H804:I804" si="737">F804-F803</f>
        <v>0.9574468085</v>
      </c>
      <c r="I804" s="44">
        <f t="shared" si="737"/>
        <v>17.75777414</v>
      </c>
      <c r="J804" s="101">
        <f t="shared" si="733"/>
        <v>0.01727915913</v>
      </c>
      <c r="K804" s="66">
        <f t="shared" si="734"/>
        <v>0.01804712176</v>
      </c>
      <c r="L804" s="29" t="s">
        <v>260</v>
      </c>
    </row>
    <row r="805">
      <c r="A805" s="11" t="s">
        <v>167</v>
      </c>
      <c r="B805" s="11" t="s">
        <v>154</v>
      </c>
      <c r="C805" s="11" t="s">
        <v>1015</v>
      </c>
      <c r="D805" s="11" t="s">
        <v>1004</v>
      </c>
      <c r="E805" s="11" t="s">
        <v>1026</v>
      </c>
      <c r="F805" s="44">
        <v>2006.02127659574</v>
      </c>
      <c r="G805" s="44">
        <v>1045.24883312117</v>
      </c>
      <c r="H805" s="44">
        <f t="shared" ref="H805:I805" si="738">F805-F804</f>
        <v>1.042553191</v>
      </c>
      <c r="I805" s="44">
        <f t="shared" si="738"/>
        <v>-0.2079165909</v>
      </c>
      <c r="J805" s="101">
        <f t="shared" si="733"/>
        <v>-0.0001988763198</v>
      </c>
      <c r="K805" s="66">
        <f t="shared" si="734"/>
        <v>-0.000190758919</v>
      </c>
      <c r="L805" s="29" t="s">
        <v>260</v>
      </c>
    </row>
    <row r="806">
      <c r="A806" s="11" t="s">
        <v>167</v>
      </c>
      <c r="B806" s="11" t="s">
        <v>154</v>
      </c>
      <c r="C806" s="11" t="s">
        <v>1015</v>
      </c>
      <c r="D806" s="11" t="s">
        <v>1004</v>
      </c>
      <c r="E806" s="11" t="s">
        <v>1026</v>
      </c>
      <c r="F806" s="44">
        <v>2006.95744680851</v>
      </c>
      <c r="G806" s="44">
        <v>1140.78862823544</v>
      </c>
      <c r="H806" s="44">
        <f t="shared" ref="H806:I806" si="739">F806-F805</f>
        <v>0.9361702128</v>
      </c>
      <c r="I806" s="44">
        <f t="shared" si="739"/>
        <v>95.53979511</v>
      </c>
      <c r="J806" s="101">
        <f t="shared" si="733"/>
        <v>0.09140387637</v>
      </c>
      <c r="K806" s="66">
        <f t="shared" si="734"/>
        <v>0.09763595885</v>
      </c>
      <c r="L806" s="29" t="s">
        <v>260</v>
      </c>
    </row>
    <row r="807">
      <c r="A807" s="11" t="s">
        <v>167</v>
      </c>
      <c r="B807" s="11" t="s">
        <v>154</v>
      </c>
      <c r="C807" s="11" t="s">
        <v>1015</v>
      </c>
      <c r="D807" s="11" t="s">
        <v>1004</v>
      </c>
      <c r="E807" s="11" t="s">
        <v>1026</v>
      </c>
      <c r="F807" s="44">
        <v>2008.0</v>
      </c>
      <c r="G807" s="44">
        <v>1242.29011335394</v>
      </c>
      <c r="H807" s="44">
        <f t="shared" ref="H807:I807" si="740">F807-F806</f>
        <v>1.042553191</v>
      </c>
      <c r="I807" s="44">
        <f t="shared" si="740"/>
        <v>101.5014851</v>
      </c>
      <c r="J807" s="101">
        <f t="shared" si="733"/>
        <v>0.08897483952</v>
      </c>
      <c r="K807" s="66">
        <f t="shared" si="734"/>
        <v>0.08534321341</v>
      </c>
      <c r="L807" s="29" t="s">
        <v>260</v>
      </c>
    </row>
    <row r="808">
      <c r="A808" s="11" t="s">
        <v>167</v>
      </c>
      <c r="B808" s="11" t="s">
        <v>154</v>
      </c>
      <c r="C808" s="11" t="s">
        <v>1015</v>
      </c>
      <c r="D808" s="11" t="s">
        <v>1004</v>
      </c>
      <c r="E808" s="11" t="s">
        <v>1026</v>
      </c>
      <c r="F808" s="44">
        <v>2009.0</v>
      </c>
      <c r="G808" s="44">
        <v>1295.93683700067</v>
      </c>
      <c r="H808" s="44">
        <f t="shared" ref="H808:I808" si="741">F808-F807</f>
        <v>1</v>
      </c>
      <c r="I808" s="44">
        <f t="shared" si="741"/>
        <v>53.64672365</v>
      </c>
      <c r="J808" s="101">
        <f t="shared" si="733"/>
        <v>0.04318373226</v>
      </c>
      <c r="K808" s="66">
        <f t="shared" si="734"/>
        <v>0.04318373226</v>
      </c>
      <c r="L808" s="29" t="s">
        <v>260</v>
      </c>
    </row>
    <row r="809">
      <c r="A809" s="11" t="s">
        <v>167</v>
      </c>
      <c r="B809" s="11" t="s">
        <v>154</v>
      </c>
      <c r="C809" s="11" t="s">
        <v>1015</v>
      </c>
      <c r="D809" s="11" t="s">
        <v>1004</v>
      </c>
      <c r="E809" s="11" t="s">
        <v>1026</v>
      </c>
      <c r="F809" s="44">
        <v>2010.0</v>
      </c>
      <c r="G809" s="44">
        <v>1349.58356064739</v>
      </c>
      <c r="H809" s="44">
        <f t="shared" ref="H809:I809" si="742">F809-F808</f>
        <v>1</v>
      </c>
      <c r="I809" s="44">
        <f t="shared" si="742"/>
        <v>53.64672365</v>
      </c>
      <c r="J809" s="101">
        <f t="shared" si="733"/>
        <v>0.0413960944</v>
      </c>
      <c r="K809" s="66">
        <f t="shared" si="734"/>
        <v>0.0413960944</v>
      </c>
      <c r="L809" s="29" t="s">
        <v>260</v>
      </c>
    </row>
    <row r="810">
      <c r="A810" s="11" t="s">
        <v>167</v>
      </c>
      <c r="B810" s="11" t="s">
        <v>154</v>
      </c>
      <c r="C810" s="11" t="s">
        <v>1015</v>
      </c>
      <c r="D810" s="11" t="s">
        <v>1004</v>
      </c>
      <c r="E810" s="11" t="s">
        <v>1026</v>
      </c>
      <c r="F810" s="44">
        <v>2010.97872340426</v>
      </c>
      <c r="G810" s="44">
        <v>1340.41401466933</v>
      </c>
      <c r="H810" s="44">
        <f t="shared" ref="H810:I810" si="743">F810-F809</f>
        <v>0.9787234043</v>
      </c>
      <c r="I810" s="44">
        <f t="shared" si="743"/>
        <v>-9.169545978</v>
      </c>
      <c r="J810" s="101">
        <f t="shared" si="733"/>
        <v>-0.006794352158</v>
      </c>
      <c r="K810" s="66">
        <f t="shared" si="734"/>
        <v>-0.006942055466</v>
      </c>
      <c r="L810" s="29" t="s">
        <v>260</v>
      </c>
    </row>
    <row r="811">
      <c r="A811" s="11" t="s">
        <v>167</v>
      </c>
      <c r="B811" s="11" t="s">
        <v>154</v>
      </c>
      <c r="C811" s="11" t="s">
        <v>1015</v>
      </c>
      <c r="D811" s="11" t="s">
        <v>1004</v>
      </c>
      <c r="E811" s="11" t="s">
        <v>1026</v>
      </c>
      <c r="F811" s="44">
        <v>2011.97872340426</v>
      </c>
      <c r="G811" s="44">
        <v>1337.22313147845</v>
      </c>
      <c r="H811" s="44">
        <f t="shared" ref="H811:I811" si="744">F811-F810</f>
        <v>1</v>
      </c>
      <c r="I811" s="44">
        <f t="shared" si="744"/>
        <v>-3.190883191</v>
      </c>
      <c r="J811" s="101">
        <f t="shared" si="733"/>
        <v>-0.002380520612</v>
      </c>
      <c r="K811" s="66">
        <f t="shared" si="734"/>
        <v>-0.002380520612</v>
      </c>
      <c r="L811" s="29" t="s">
        <v>260</v>
      </c>
    </row>
    <row r="812">
      <c r="A812" s="11" t="s">
        <v>167</v>
      </c>
      <c r="B812" s="11" t="s">
        <v>154</v>
      </c>
      <c r="C812" s="11" t="s">
        <v>1015</v>
      </c>
      <c r="D812" s="11" t="s">
        <v>1004</v>
      </c>
      <c r="E812" s="11" t="s">
        <v>1026</v>
      </c>
      <c r="F812" s="44">
        <v>2013.0</v>
      </c>
      <c r="G812" s="44">
        <v>1262.23313329696</v>
      </c>
      <c r="H812" s="44">
        <f t="shared" ref="H812:I812" si="745">F812-F811</f>
        <v>1.021276596</v>
      </c>
      <c r="I812" s="44">
        <f t="shared" si="745"/>
        <v>-74.98999818</v>
      </c>
      <c r="J812" s="101">
        <f t="shared" si="733"/>
        <v>-0.05607889694</v>
      </c>
      <c r="K812" s="66">
        <f t="shared" si="734"/>
        <v>-0.05491058659</v>
      </c>
      <c r="L812" s="29" t="s">
        <v>260</v>
      </c>
    </row>
    <row r="813">
      <c r="A813" s="11" t="s">
        <v>167</v>
      </c>
      <c r="B813" s="11" t="s">
        <v>154</v>
      </c>
      <c r="C813" s="11" t="s">
        <v>1015</v>
      </c>
      <c r="D813" s="11" t="s">
        <v>1004</v>
      </c>
      <c r="E813" s="11" t="s">
        <v>1026</v>
      </c>
      <c r="F813" s="44">
        <v>2014.0</v>
      </c>
      <c r="G813" s="44">
        <v>1291.94823301206</v>
      </c>
      <c r="H813" s="44">
        <f t="shared" ref="H813:I813" si="746">F813-F812</f>
        <v>1</v>
      </c>
      <c r="I813" s="44">
        <f t="shared" si="746"/>
        <v>29.71509972</v>
      </c>
      <c r="J813" s="101">
        <f t="shared" si="733"/>
        <v>0.02354168888</v>
      </c>
      <c r="K813" s="66">
        <f t="shared" si="734"/>
        <v>0.02354168888</v>
      </c>
      <c r="L813" s="29" t="s">
        <v>260</v>
      </c>
    </row>
    <row r="814">
      <c r="A814" s="11" t="s">
        <v>167</v>
      </c>
      <c r="B814" s="11" t="s">
        <v>154</v>
      </c>
      <c r="C814" s="11" t="s">
        <v>1015</v>
      </c>
      <c r="D814" s="11" t="s">
        <v>1004</v>
      </c>
      <c r="E814" s="11" t="s">
        <v>1026</v>
      </c>
      <c r="F814" s="44">
        <v>2015.0</v>
      </c>
      <c r="G814" s="44">
        <v>1348.58640965024</v>
      </c>
      <c r="H814" s="44">
        <f t="shared" ref="H814:I814" si="747">F814-F813</f>
        <v>1</v>
      </c>
      <c r="I814" s="44">
        <f t="shared" si="747"/>
        <v>56.63817664</v>
      </c>
      <c r="J814" s="101">
        <f t="shared" si="733"/>
        <v>0.04383935454</v>
      </c>
      <c r="K814" s="66">
        <f t="shared" si="734"/>
        <v>0.04383935454</v>
      </c>
      <c r="L814" s="29" t="s">
        <v>260</v>
      </c>
    </row>
    <row r="815">
      <c r="A815" s="11" t="s">
        <v>167</v>
      </c>
      <c r="B815" s="11" t="s">
        <v>154</v>
      </c>
      <c r="C815" s="11" t="s">
        <v>1015</v>
      </c>
      <c r="D815" s="11" t="s">
        <v>1004</v>
      </c>
      <c r="E815" s="11" t="s">
        <v>1026</v>
      </c>
      <c r="F815" s="44">
        <v>2016.0</v>
      </c>
      <c r="G815" s="44">
        <v>1390.26732133115</v>
      </c>
      <c r="H815" s="44">
        <f t="shared" ref="H815:I815" si="748">F815-F814</f>
        <v>1</v>
      </c>
      <c r="I815" s="44">
        <f t="shared" si="748"/>
        <v>41.68091168</v>
      </c>
      <c r="J815" s="101">
        <f t="shared" si="733"/>
        <v>0.03090711235</v>
      </c>
      <c r="K815" s="66">
        <f t="shared" si="734"/>
        <v>0.03090711235</v>
      </c>
      <c r="L815" s="29" t="s">
        <v>260</v>
      </c>
    </row>
    <row r="816">
      <c r="A816" s="11" t="s">
        <v>68</v>
      </c>
      <c r="B816" s="11" t="s">
        <v>154</v>
      </c>
      <c r="C816" s="11" t="s">
        <v>1001</v>
      </c>
      <c r="D816" s="11" t="s">
        <v>157</v>
      </c>
      <c r="E816" s="11" t="s">
        <v>158</v>
      </c>
      <c r="F816" s="11">
        <v>1996.0</v>
      </c>
      <c r="G816" s="40">
        <v>1181.0</v>
      </c>
      <c r="H816" s="27" t="s">
        <v>188</v>
      </c>
      <c r="I816" s="27" t="s">
        <v>188</v>
      </c>
      <c r="J816" s="66" t="s">
        <v>188</v>
      </c>
      <c r="K816" s="66" t="s">
        <v>188</v>
      </c>
      <c r="L816" s="42" t="s">
        <v>160</v>
      </c>
    </row>
    <row r="817">
      <c r="A817" s="11" t="s">
        <v>68</v>
      </c>
      <c r="B817" s="11" t="s">
        <v>154</v>
      </c>
      <c r="C817" s="11" t="s">
        <v>1001</v>
      </c>
      <c r="D817" s="11" t="s">
        <v>157</v>
      </c>
      <c r="E817" s="11" t="s">
        <v>158</v>
      </c>
      <c r="F817" s="11">
        <v>2001.0</v>
      </c>
      <c r="G817" s="40">
        <v>1364.0</v>
      </c>
      <c r="H817" s="40">
        <f t="shared" ref="H817:I817" si="749">F817-F816</f>
        <v>5</v>
      </c>
      <c r="I817" s="40">
        <f t="shared" si="749"/>
        <v>183</v>
      </c>
      <c r="J817" s="73">
        <f t="shared" ref="J817:J821" si="751">I817/G816</f>
        <v>0.1549534293</v>
      </c>
      <c r="K817" s="66">
        <f t="shared" ref="K817:K821" si="752">J817/H817</f>
        <v>0.03099068586</v>
      </c>
      <c r="L817" s="42" t="s">
        <v>160</v>
      </c>
    </row>
    <row r="818">
      <c r="A818" s="11" t="s">
        <v>68</v>
      </c>
      <c r="B818" s="11" t="s">
        <v>154</v>
      </c>
      <c r="C818" s="11" t="s">
        <v>1001</v>
      </c>
      <c r="D818" s="11" t="s">
        <v>157</v>
      </c>
      <c r="E818" s="11" t="s">
        <v>158</v>
      </c>
      <c r="F818" s="11">
        <v>2005.0</v>
      </c>
      <c r="G818" s="40">
        <v>1575.0</v>
      </c>
      <c r="H818" s="40">
        <f t="shared" ref="H818:I818" si="750">F818-F817</f>
        <v>4</v>
      </c>
      <c r="I818" s="40">
        <f t="shared" si="750"/>
        <v>211</v>
      </c>
      <c r="J818" s="73">
        <f t="shared" si="751"/>
        <v>0.1546920821</v>
      </c>
      <c r="K818" s="66">
        <f t="shared" si="752"/>
        <v>0.03867302053</v>
      </c>
      <c r="L818" s="42" t="s">
        <v>160</v>
      </c>
    </row>
    <row r="819">
      <c r="A819" s="11" t="s">
        <v>68</v>
      </c>
      <c r="B819" s="11" t="s">
        <v>154</v>
      </c>
      <c r="C819" s="11" t="s">
        <v>1001</v>
      </c>
      <c r="D819" s="11" t="s">
        <v>157</v>
      </c>
      <c r="E819" s="11" t="s">
        <v>158</v>
      </c>
      <c r="F819" s="11">
        <v>2008.0</v>
      </c>
      <c r="G819" s="40">
        <v>1727.0</v>
      </c>
      <c r="H819" s="40">
        <f t="shared" ref="H819:I819" si="753">F819-F818</f>
        <v>3</v>
      </c>
      <c r="I819" s="40">
        <f t="shared" si="753"/>
        <v>152</v>
      </c>
      <c r="J819" s="73">
        <f t="shared" si="751"/>
        <v>0.09650793651</v>
      </c>
      <c r="K819" s="66">
        <f t="shared" si="752"/>
        <v>0.03216931217</v>
      </c>
      <c r="L819" s="42" t="s">
        <v>160</v>
      </c>
    </row>
    <row r="820">
      <c r="A820" s="11" t="s">
        <v>68</v>
      </c>
      <c r="B820" s="11" t="s">
        <v>154</v>
      </c>
      <c r="C820" s="11" t="s">
        <v>1001</v>
      </c>
      <c r="D820" s="11" t="s">
        <v>157</v>
      </c>
      <c r="E820" s="11" t="s">
        <v>158</v>
      </c>
      <c r="F820" s="11">
        <v>2014.0</v>
      </c>
      <c r="G820" s="40">
        <v>2178.0</v>
      </c>
      <c r="H820" s="40">
        <f t="shared" ref="H820:I820" si="754">F820-F819</f>
        <v>6</v>
      </c>
      <c r="I820" s="40">
        <f t="shared" si="754"/>
        <v>451</v>
      </c>
      <c r="J820" s="73">
        <f t="shared" si="751"/>
        <v>0.2611464968</v>
      </c>
      <c r="K820" s="66">
        <f t="shared" si="752"/>
        <v>0.04352441614</v>
      </c>
      <c r="L820" s="42" t="s">
        <v>160</v>
      </c>
    </row>
    <row r="821">
      <c r="A821" s="11" t="s">
        <v>68</v>
      </c>
      <c r="B821" s="11" t="s">
        <v>154</v>
      </c>
      <c r="C821" s="11" t="s">
        <v>1001</v>
      </c>
      <c r="D821" s="11" t="s">
        <v>157</v>
      </c>
      <c r="E821" s="11" t="s">
        <v>158</v>
      </c>
      <c r="F821" s="11">
        <v>2018.0</v>
      </c>
      <c r="G821" s="40">
        <v>4784.0</v>
      </c>
      <c r="H821" s="40">
        <f t="shared" ref="H821:I821" si="755">F821-F820</f>
        <v>4</v>
      </c>
      <c r="I821" s="40">
        <f t="shared" si="755"/>
        <v>2606</v>
      </c>
      <c r="J821" s="73">
        <f t="shared" si="751"/>
        <v>1.19651056</v>
      </c>
      <c r="K821" s="66">
        <f t="shared" si="752"/>
        <v>0.29912764</v>
      </c>
      <c r="L821" s="42" t="s">
        <v>160</v>
      </c>
    </row>
    <row r="822">
      <c r="A822" s="11" t="s">
        <v>1035</v>
      </c>
      <c r="B822" s="11" t="s">
        <v>220</v>
      </c>
      <c r="C822" s="25" t="s">
        <v>1036</v>
      </c>
      <c r="D822" s="11" t="s">
        <v>640</v>
      </c>
      <c r="E822" s="11" t="s">
        <v>74</v>
      </c>
      <c r="F822" s="27">
        <v>1974.0</v>
      </c>
      <c r="G822" s="27">
        <v>72.0</v>
      </c>
      <c r="H822" s="27" t="s">
        <v>188</v>
      </c>
      <c r="I822" s="27" t="s">
        <v>188</v>
      </c>
      <c r="J822" s="66" t="s">
        <v>188</v>
      </c>
      <c r="K822" s="66" t="s">
        <v>188</v>
      </c>
      <c r="L822" s="29" t="s">
        <v>81</v>
      </c>
    </row>
    <row r="823">
      <c r="A823" s="11" t="s">
        <v>1035</v>
      </c>
      <c r="B823" s="11" t="s">
        <v>220</v>
      </c>
      <c r="C823" s="25" t="s">
        <v>1036</v>
      </c>
      <c r="D823" s="11" t="s">
        <v>640</v>
      </c>
      <c r="E823" s="11" t="s">
        <v>74</v>
      </c>
      <c r="F823" s="27">
        <v>1975.0</v>
      </c>
      <c r="G823" s="27">
        <v>71.0</v>
      </c>
      <c r="H823" s="27">
        <f t="shared" ref="H823:I823" si="756">F823-F822</f>
        <v>1</v>
      </c>
      <c r="I823" s="27">
        <f t="shared" si="756"/>
        <v>-1</v>
      </c>
      <c r="J823" s="66">
        <f t="shared" ref="J823:J869" si="758">I823/G822</f>
        <v>-0.01388888889</v>
      </c>
      <c r="K823" s="66">
        <f t="shared" ref="K823:K869" si="759">J823/H823</f>
        <v>-0.01388888889</v>
      </c>
      <c r="L823" s="29" t="s">
        <v>81</v>
      </c>
    </row>
    <row r="824">
      <c r="A824" s="11" t="s">
        <v>1035</v>
      </c>
      <c r="B824" s="11" t="s">
        <v>220</v>
      </c>
      <c r="C824" s="25" t="s">
        <v>1036</v>
      </c>
      <c r="D824" s="11" t="s">
        <v>640</v>
      </c>
      <c r="E824" s="11" t="s">
        <v>74</v>
      </c>
      <c r="F824" s="11">
        <v>1976.0</v>
      </c>
      <c r="G824" s="27">
        <v>80.0</v>
      </c>
      <c r="H824" s="27">
        <f t="shared" ref="H824:I824" si="757">F824-F823</f>
        <v>1</v>
      </c>
      <c r="I824" s="27">
        <f t="shared" si="757"/>
        <v>9</v>
      </c>
      <c r="J824" s="66">
        <f t="shared" si="758"/>
        <v>0.1267605634</v>
      </c>
      <c r="K824" s="66">
        <f t="shared" si="759"/>
        <v>0.1267605634</v>
      </c>
      <c r="L824" s="29" t="s">
        <v>81</v>
      </c>
    </row>
    <row r="825">
      <c r="A825" s="11" t="s">
        <v>1035</v>
      </c>
      <c r="B825" s="11" t="s">
        <v>220</v>
      </c>
      <c r="C825" s="25" t="s">
        <v>1036</v>
      </c>
      <c r="D825" s="11" t="s">
        <v>640</v>
      </c>
      <c r="E825" s="11" t="s">
        <v>74</v>
      </c>
      <c r="F825" s="27">
        <v>1977.0</v>
      </c>
      <c r="G825" s="27">
        <v>80.0</v>
      </c>
      <c r="H825" s="27">
        <f t="shared" ref="H825:I825" si="760">F825-F824</f>
        <v>1</v>
      </c>
      <c r="I825" s="27">
        <f t="shared" si="760"/>
        <v>0</v>
      </c>
      <c r="J825" s="66">
        <f t="shared" si="758"/>
        <v>0</v>
      </c>
      <c r="K825" s="66">
        <f t="shared" si="759"/>
        <v>0</v>
      </c>
      <c r="L825" s="29" t="s">
        <v>81</v>
      </c>
    </row>
    <row r="826">
      <c r="A826" s="11" t="s">
        <v>1035</v>
      </c>
      <c r="B826" s="11" t="s">
        <v>220</v>
      </c>
      <c r="C826" s="25" t="s">
        <v>1036</v>
      </c>
      <c r="D826" s="11" t="s">
        <v>640</v>
      </c>
      <c r="E826" s="11" t="s">
        <v>74</v>
      </c>
      <c r="F826" s="27">
        <v>1978.0</v>
      </c>
      <c r="G826" s="27">
        <v>82.0</v>
      </c>
      <c r="H826" s="27">
        <f t="shared" ref="H826:I826" si="761">F826-F825</f>
        <v>1</v>
      </c>
      <c r="I826" s="27">
        <f t="shared" si="761"/>
        <v>2</v>
      </c>
      <c r="J826" s="66">
        <f t="shared" si="758"/>
        <v>0.025</v>
      </c>
      <c r="K826" s="66">
        <f t="shared" si="759"/>
        <v>0.025</v>
      </c>
      <c r="L826" s="29" t="s">
        <v>81</v>
      </c>
    </row>
    <row r="827">
      <c r="A827" s="11" t="s">
        <v>1035</v>
      </c>
      <c r="B827" s="11" t="s">
        <v>220</v>
      </c>
      <c r="C827" s="25" t="s">
        <v>1036</v>
      </c>
      <c r="D827" s="11" t="s">
        <v>640</v>
      </c>
      <c r="E827" s="11" t="s">
        <v>74</v>
      </c>
      <c r="F827" s="27">
        <v>1979.0</v>
      </c>
      <c r="G827" s="27">
        <v>84.0</v>
      </c>
      <c r="H827" s="27">
        <f t="shared" ref="H827:I827" si="762">F827-F826</f>
        <v>1</v>
      </c>
      <c r="I827" s="27">
        <f t="shared" si="762"/>
        <v>2</v>
      </c>
      <c r="J827" s="66">
        <f t="shared" si="758"/>
        <v>0.0243902439</v>
      </c>
      <c r="K827" s="66">
        <f t="shared" si="759"/>
        <v>0.0243902439</v>
      </c>
      <c r="L827" s="29" t="s">
        <v>81</v>
      </c>
    </row>
    <row r="828">
      <c r="A828" s="11" t="s">
        <v>1035</v>
      </c>
      <c r="B828" s="11" t="s">
        <v>220</v>
      </c>
      <c r="C828" s="25" t="s">
        <v>1036</v>
      </c>
      <c r="D828" s="11" t="s">
        <v>640</v>
      </c>
      <c r="E828" s="11" t="s">
        <v>74</v>
      </c>
      <c r="F828" s="27">
        <v>1980.0</v>
      </c>
      <c r="G828" s="27">
        <v>82.0</v>
      </c>
      <c r="H828" s="27">
        <f t="shared" ref="H828:I828" si="763">F828-F827</f>
        <v>1</v>
      </c>
      <c r="I828" s="27">
        <f t="shared" si="763"/>
        <v>-2</v>
      </c>
      <c r="J828" s="66">
        <f t="shared" si="758"/>
        <v>-0.02380952381</v>
      </c>
      <c r="K828" s="66">
        <f t="shared" si="759"/>
        <v>-0.02380952381</v>
      </c>
      <c r="L828" s="29" t="s">
        <v>81</v>
      </c>
    </row>
    <row r="829">
      <c r="A829" s="11" t="s">
        <v>1035</v>
      </c>
      <c r="B829" s="11" t="s">
        <v>220</v>
      </c>
      <c r="C829" s="25" t="s">
        <v>1036</v>
      </c>
      <c r="D829" s="11" t="s">
        <v>640</v>
      </c>
      <c r="E829" s="11" t="s">
        <v>74</v>
      </c>
      <c r="F829" s="27">
        <v>1981.0</v>
      </c>
      <c r="G829" s="27">
        <v>79.0</v>
      </c>
      <c r="H829" s="27">
        <f t="shared" ref="H829:I829" si="764">F829-F828</f>
        <v>1</v>
      </c>
      <c r="I829" s="27">
        <f t="shared" si="764"/>
        <v>-3</v>
      </c>
      <c r="J829" s="66">
        <f t="shared" si="758"/>
        <v>-0.03658536585</v>
      </c>
      <c r="K829" s="66">
        <f t="shared" si="759"/>
        <v>-0.03658536585</v>
      </c>
      <c r="L829" s="29" t="s">
        <v>81</v>
      </c>
    </row>
    <row r="830">
      <c r="A830" s="11" t="s">
        <v>1035</v>
      </c>
      <c r="B830" s="11" t="s">
        <v>220</v>
      </c>
      <c r="C830" s="25" t="s">
        <v>1036</v>
      </c>
      <c r="D830" s="11" t="s">
        <v>640</v>
      </c>
      <c r="E830" s="11" t="s">
        <v>74</v>
      </c>
      <c r="F830" s="27">
        <v>1982.0</v>
      </c>
      <c r="G830" s="27">
        <v>76.0</v>
      </c>
      <c r="H830" s="27">
        <f t="shared" ref="H830:I830" si="765">F830-F829</f>
        <v>1</v>
      </c>
      <c r="I830" s="27">
        <f t="shared" si="765"/>
        <v>-3</v>
      </c>
      <c r="J830" s="66">
        <f t="shared" si="758"/>
        <v>-0.03797468354</v>
      </c>
      <c r="K830" s="66">
        <f t="shared" si="759"/>
        <v>-0.03797468354</v>
      </c>
      <c r="L830" s="29" t="s">
        <v>81</v>
      </c>
    </row>
    <row r="831">
      <c r="A831" s="11" t="s">
        <v>1035</v>
      </c>
      <c r="B831" s="11" t="s">
        <v>220</v>
      </c>
      <c r="C831" s="25" t="s">
        <v>1036</v>
      </c>
      <c r="D831" s="11" t="s">
        <v>640</v>
      </c>
      <c r="E831" s="11" t="s">
        <v>74</v>
      </c>
      <c r="F831" s="27">
        <v>1983.0</v>
      </c>
      <c r="G831" s="27">
        <v>74.0</v>
      </c>
      <c r="H831" s="27">
        <f t="shared" ref="H831:I831" si="766">F831-F830</f>
        <v>1</v>
      </c>
      <c r="I831" s="27">
        <f t="shared" si="766"/>
        <v>-2</v>
      </c>
      <c r="J831" s="66">
        <f t="shared" si="758"/>
        <v>-0.02631578947</v>
      </c>
      <c r="K831" s="66">
        <f t="shared" si="759"/>
        <v>-0.02631578947</v>
      </c>
      <c r="L831" s="29" t="s">
        <v>81</v>
      </c>
    </row>
    <row r="832">
      <c r="A832" s="11" t="s">
        <v>1035</v>
      </c>
      <c r="B832" s="11" t="s">
        <v>220</v>
      </c>
      <c r="C832" s="25" t="s">
        <v>1036</v>
      </c>
      <c r="D832" s="11" t="s">
        <v>640</v>
      </c>
      <c r="E832" s="11" t="s">
        <v>74</v>
      </c>
      <c r="F832" s="27">
        <v>1984.0</v>
      </c>
      <c r="G832" s="27">
        <v>77.0</v>
      </c>
      <c r="H832" s="27">
        <f t="shared" ref="H832:I832" si="767">F832-F831</f>
        <v>1</v>
      </c>
      <c r="I832" s="27">
        <f t="shared" si="767"/>
        <v>3</v>
      </c>
      <c r="J832" s="66">
        <f t="shared" si="758"/>
        <v>0.04054054054</v>
      </c>
      <c r="K832" s="66">
        <f t="shared" si="759"/>
        <v>0.04054054054</v>
      </c>
      <c r="L832" s="29" t="s">
        <v>81</v>
      </c>
    </row>
    <row r="833">
      <c r="A833" s="11" t="s">
        <v>1035</v>
      </c>
      <c r="B833" s="11" t="s">
        <v>220</v>
      </c>
      <c r="C833" s="25" t="s">
        <v>1036</v>
      </c>
      <c r="D833" s="11" t="s">
        <v>640</v>
      </c>
      <c r="E833" s="11" t="s">
        <v>74</v>
      </c>
      <c r="F833" s="27">
        <v>1985.0</v>
      </c>
      <c r="G833" s="27">
        <v>81.0</v>
      </c>
      <c r="H833" s="27">
        <f t="shared" ref="H833:I833" si="768">F833-F832</f>
        <v>1</v>
      </c>
      <c r="I833" s="27">
        <f t="shared" si="768"/>
        <v>4</v>
      </c>
      <c r="J833" s="66">
        <f t="shared" si="758"/>
        <v>0.05194805195</v>
      </c>
      <c r="K833" s="66">
        <f t="shared" si="759"/>
        <v>0.05194805195</v>
      </c>
      <c r="L833" s="29" t="s">
        <v>81</v>
      </c>
    </row>
    <row r="834">
      <c r="A834" s="11" t="s">
        <v>1035</v>
      </c>
      <c r="B834" s="11" t="s">
        <v>220</v>
      </c>
      <c r="C834" s="25" t="s">
        <v>1036</v>
      </c>
      <c r="D834" s="11" t="s">
        <v>640</v>
      </c>
      <c r="E834" s="11" t="s">
        <v>74</v>
      </c>
      <c r="F834" s="27">
        <v>1986.0</v>
      </c>
      <c r="G834" s="27">
        <v>84.0</v>
      </c>
      <c r="H834" s="27">
        <f t="shared" ref="H834:I834" si="769">F834-F833</f>
        <v>1</v>
      </c>
      <c r="I834" s="27">
        <f t="shared" si="769"/>
        <v>3</v>
      </c>
      <c r="J834" s="66">
        <f t="shared" si="758"/>
        <v>0.03703703704</v>
      </c>
      <c r="K834" s="66">
        <f t="shared" si="759"/>
        <v>0.03703703704</v>
      </c>
      <c r="L834" s="29" t="s">
        <v>81</v>
      </c>
    </row>
    <row r="835">
      <c r="A835" s="11" t="s">
        <v>1035</v>
      </c>
      <c r="B835" s="11" t="s">
        <v>220</v>
      </c>
      <c r="C835" s="25" t="s">
        <v>1036</v>
      </c>
      <c r="D835" s="11" t="s">
        <v>640</v>
      </c>
      <c r="E835" s="11" t="s">
        <v>74</v>
      </c>
      <c r="F835" s="27">
        <v>1987.0</v>
      </c>
      <c r="G835" s="27">
        <v>85.0</v>
      </c>
      <c r="H835" s="27">
        <f t="shared" ref="H835:I835" si="770">F835-F834</f>
        <v>1</v>
      </c>
      <c r="I835" s="27">
        <f t="shared" si="770"/>
        <v>1</v>
      </c>
      <c r="J835" s="66">
        <f t="shared" si="758"/>
        <v>0.0119047619</v>
      </c>
      <c r="K835" s="66">
        <f t="shared" si="759"/>
        <v>0.0119047619</v>
      </c>
      <c r="L835" s="29" t="s">
        <v>81</v>
      </c>
    </row>
    <row r="836">
      <c r="A836" s="11" t="s">
        <v>1035</v>
      </c>
      <c r="B836" s="11" t="s">
        <v>220</v>
      </c>
      <c r="C836" s="25" t="s">
        <v>1036</v>
      </c>
      <c r="D836" s="11" t="s">
        <v>640</v>
      </c>
      <c r="E836" s="11" t="s">
        <v>74</v>
      </c>
      <c r="F836" s="27">
        <v>1988.0</v>
      </c>
      <c r="G836" s="27">
        <v>85.0</v>
      </c>
      <c r="H836" s="27">
        <f t="shared" ref="H836:I836" si="771">F836-F835</f>
        <v>1</v>
      </c>
      <c r="I836" s="27">
        <f t="shared" si="771"/>
        <v>0</v>
      </c>
      <c r="J836" s="66">
        <f t="shared" si="758"/>
        <v>0</v>
      </c>
      <c r="K836" s="66">
        <f t="shared" si="759"/>
        <v>0</v>
      </c>
      <c r="L836" s="29" t="s">
        <v>81</v>
      </c>
    </row>
    <row r="837">
      <c r="A837" s="11" t="s">
        <v>1035</v>
      </c>
      <c r="B837" s="11" t="s">
        <v>220</v>
      </c>
      <c r="C837" s="25" t="s">
        <v>1036</v>
      </c>
      <c r="D837" s="11" t="s">
        <v>640</v>
      </c>
      <c r="E837" s="11" t="s">
        <v>74</v>
      </c>
      <c r="F837" s="27">
        <v>1989.0</v>
      </c>
      <c r="G837" s="27">
        <v>88.0</v>
      </c>
      <c r="H837" s="27">
        <f t="shared" ref="H837:I837" si="772">F837-F836</f>
        <v>1</v>
      </c>
      <c r="I837" s="27">
        <f t="shared" si="772"/>
        <v>3</v>
      </c>
      <c r="J837" s="66">
        <f t="shared" si="758"/>
        <v>0.03529411765</v>
      </c>
      <c r="K837" s="66">
        <f t="shared" si="759"/>
        <v>0.03529411765</v>
      </c>
      <c r="L837" s="29" t="s">
        <v>81</v>
      </c>
    </row>
    <row r="838">
      <c r="A838" s="11" t="s">
        <v>1035</v>
      </c>
      <c r="B838" s="11" t="s">
        <v>220</v>
      </c>
      <c r="C838" s="25" t="s">
        <v>1036</v>
      </c>
      <c r="D838" s="11" t="s">
        <v>640</v>
      </c>
      <c r="E838" s="11" t="s">
        <v>74</v>
      </c>
      <c r="F838" s="27">
        <v>1990.0</v>
      </c>
      <c r="G838" s="27">
        <v>92.0</v>
      </c>
      <c r="H838" s="27">
        <f t="shared" ref="H838:I838" si="773">F838-F837</f>
        <v>1</v>
      </c>
      <c r="I838" s="27">
        <f t="shared" si="773"/>
        <v>4</v>
      </c>
      <c r="J838" s="66">
        <f t="shared" si="758"/>
        <v>0.04545454545</v>
      </c>
      <c r="K838" s="66">
        <f t="shared" si="759"/>
        <v>0.04545454545</v>
      </c>
      <c r="L838" s="29" t="s">
        <v>81</v>
      </c>
    </row>
    <row r="839">
      <c r="A839" s="11" t="s">
        <v>1035</v>
      </c>
      <c r="B839" s="11" t="s">
        <v>220</v>
      </c>
      <c r="C839" s="25" t="s">
        <v>1036</v>
      </c>
      <c r="D839" s="11" t="s">
        <v>640</v>
      </c>
      <c r="E839" s="11" t="s">
        <v>74</v>
      </c>
      <c r="F839" s="27">
        <v>1991.0</v>
      </c>
      <c r="G839" s="27">
        <v>91.0</v>
      </c>
      <c r="H839" s="27">
        <f t="shared" ref="H839:I839" si="774">F839-F838</f>
        <v>1</v>
      </c>
      <c r="I839" s="27">
        <f t="shared" si="774"/>
        <v>-1</v>
      </c>
      <c r="J839" s="66">
        <f t="shared" si="758"/>
        <v>-0.01086956522</v>
      </c>
      <c r="K839" s="66">
        <f t="shared" si="759"/>
        <v>-0.01086956522</v>
      </c>
      <c r="L839" s="29" t="s">
        <v>81</v>
      </c>
    </row>
    <row r="840">
      <c r="A840" s="11" t="s">
        <v>1035</v>
      </c>
      <c r="B840" s="11" t="s">
        <v>220</v>
      </c>
      <c r="C840" s="25" t="s">
        <v>1036</v>
      </c>
      <c r="D840" s="11" t="s">
        <v>640</v>
      </c>
      <c r="E840" s="11" t="s">
        <v>74</v>
      </c>
      <c r="F840" s="27">
        <v>1992.0</v>
      </c>
      <c r="G840" s="27">
        <v>97.0</v>
      </c>
      <c r="H840" s="27">
        <f t="shared" ref="H840:I840" si="775">F840-F839</f>
        <v>1</v>
      </c>
      <c r="I840" s="27">
        <f t="shared" si="775"/>
        <v>6</v>
      </c>
      <c r="J840" s="66">
        <f t="shared" si="758"/>
        <v>0.06593406593</v>
      </c>
      <c r="K840" s="66">
        <f t="shared" si="759"/>
        <v>0.06593406593</v>
      </c>
      <c r="L840" s="29" t="s">
        <v>81</v>
      </c>
    </row>
    <row r="841">
      <c r="A841" s="11" t="s">
        <v>1035</v>
      </c>
      <c r="B841" s="11" t="s">
        <v>220</v>
      </c>
      <c r="C841" s="25" t="s">
        <v>1036</v>
      </c>
      <c r="D841" s="11" t="s">
        <v>640</v>
      </c>
      <c r="E841" s="11" t="s">
        <v>74</v>
      </c>
      <c r="F841" s="27">
        <v>1993.0</v>
      </c>
      <c r="G841" s="27">
        <v>96.0</v>
      </c>
      <c r="H841" s="27">
        <f t="shared" ref="H841:I841" si="776">F841-F840</f>
        <v>1</v>
      </c>
      <c r="I841" s="27">
        <f t="shared" si="776"/>
        <v>-1</v>
      </c>
      <c r="J841" s="66">
        <f t="shared" si="758"/>
        <v>-0.01030927835</v>
      </c>
      <c r="K841" s="66">
        <f t="shared" si="759"/>
        <v>-0.01030927835</v>
      </c>
      <c r="L841" s="29" t="s">
        <v>81</v>
      </c>
    </row>
    <row r="842">
      <c r="A842" s="11" t="s">
        <v>1035</v>
      </c>
      <c r="B842" s="11" t="s">
        <v>220</v>
      </c>
      <c r="C842" s="25" t="s">
        <v>1036</v>
      </c>
      <c r="D842" s="11" t="s">
        <v>640</v>
      </c>
      <c r="E842" s="11" t="s">
        <v>74</v>
      </c>
      <c r="F842" s="27">
        <v>1994.0</v>
      </c>
      <c r="G842" s="27">
        <v>98.0</v>
      </c>
      <c r="H842" s="27">
        <f t="shared" ref="H842:I842" si="777">F842-F841</f>
        <v>1</v>
      </c>
      <c r="I842" s="27">
        <f t="shared" si="777"/>
        <v>2</v>
      </c>
      <c r="J842" s="66">
        <f t="shared" si="758"/>
        <v>0.02083333333</v>
      </c>
      <c r="K842" s="66">
        <f t="shared" si="759"/>
        <v>0.02083333333</v>
      </c>
      <c r="L842" s="29" t="s">
        <v>81</v>
      </c>
    </row>
    <row r="843">
      <c r="A843" s="11" t="s">
        <v>1035</v>
      </c>
      <c r="B843" s="11" t="s">
        <v>220</v>
      </c>
      <c r="C843" s="25" t="s">
        <v>1036</v>
      </c>
      <c r="D843" s="11" t="s">
        <v>640</v>
      </c>
      <c r="E843" s="11" t="s">
        <v>74</v>
      </c>
      <c r="F843" s="27">
        <v>1995.0</v>
      </c>
      <c r="G843" s="27">
        <v>97.0</v>
      </c>
      <c r="H843" s="27">
        <f t="shared" ref="H843:I843" si="778">F843-F842</f>
        <v>1</v>
      </c>
      <c r="I843" s="27">
        <f t="shared" si="778"/>
        <v>-1</v>
      </c>
      <c r="J843" s="66">
        <f t="shared" si="758"/>
        <v>-0.01020408163</v>
      </c>
      <c r="K843" s="66">
        <f t="shared" si="759"/>
        <v>-0.01020408163</v>
      </c>
      <c r="L843" s="29" t="s">
        <v>81</v>
      </c>
    </row>
    <row r="844">
      <c r="A844" s="11" t="s">
        <v>1035</v>
      </c>
      <c r="B844" s="11" t="s">
        <v>220</v>
      </c>
      <c r="C844" s="25" t="s">
        <v>1036</v>
      </c>
      <c r="D844" s="11" t="s">
        <v>640</v>
      </c>
      <c r="E844" s="11" t="s">
        <v>74</v>
      </c>
      <c r="F844" s="27">
        <v>1996.0</v>
      </c>
      <c r="G844" s="27">
        <v>92.0</v>
      </c>
      <c r="H844" s="27">
        <f t="shared" ref="H844:I844" si="779">F844-F843</f>
        <v>1</v>
      </c>
      <c r="I844" s="27">
        <f t="shared" si="779"/>
        <v>-5</v>
      </c>
      <c r="J844" s="66">
        <f t="shared" si="758"/>
        <v>-0.05154639175</v>
      </c>
      <c r="K844" s="66">
        <f t="shared" si="759"/>
        <v>-0.05154639175</v>
      </c>
      <c r="L844" s="29" t="s">
        <v>81</v>
      </c>
    </row>
    <row r="845">
      <c r="A845" s="11" t="s">
        <v>1035</v>
      </c>
      <c r="B845" s="11" t="s">
        <v>220</v>
      </c>
      <c r="C845" s="25" t="s">
        <v>1036</v>
      </c>
      <c r="D845" s="11" t="s">
        <v>640</v>
      </c>
      <c r="E845" s="11" t="s">
        <v>74</v>
      </c>
      <c r="F845" s="27">
        <v>1997.0</v>
      </c>
      <c r="G845" s="27">
        <v>89.0</v>
      </c>
      <c r="H845" s="27">
        <f t="shared" ref="H845:I845" si="780">F845-F844</f>
        <v>1</v>
      </c>
      <c r="I845" s="27">
        <f t="shared" si="780"/>
        <v>-3</v>
      </c>
      <c r="J845" s="66">
        <f t="shared" si="758"/>
        <v>-0.03260869565</v>
      </c>
      <c r="K845" s="66">
        <f t="shared" si="759"/>
        <v>-0.03260869565</v>
      </c>
      <c r="L845" s="29" t="s">
        <v>81</v>
      </c>
    </row>
    <row r="846">
      <c r="A846" s="11" t="s">
        <v>1035</v>
      </c>
      <c r="B846" s="11" t="s">
        <v>220</v>
      </c>
      <c r="C846" s="25" t="s">
        <v>1036</v>
      </c>
      <c r="D846" s="11" t="s">
        <v>640</v>
      </c>
      <c r="E846" s="11" t="s">
        <v>74</v>
      </c>
      <c r="F846" s="27">
        <v>1998.0</v>
      </c>
      <c r="G846" s="27">
        <v>85.0</v>
      </c>
      <c r="H846" s="27">
        <f t="shared" ref="H846:I846" si="781">F846-F845</f>
        <v>1</v>
      </c>
      <c r="I846" s="27">
        <f t="shared" si="781"/>
        <v>-4</v>
      </c>
      <c r="J846" s="66">
        <f t="shared" si="758"/>
        <v>-0.04494382022</v>
      </c>
      <c r="K846" s="66">
        <f t="shared" si="759"/>
        <v>-0.04494382022</v>
      </c>
      <c r="L846" s="29" t="s">
        <v>81</v>
      </c>
    </row>
    <row r="847">
      <c r="A847" s="11" t="s">
        <v>1035</v>
      </c>
      <c r="B847" s="11" t="s">
        <v>220</v>
      </c>
      <c r="C847" s="25" t="s">
        <v>1036</v>
      </c>
      <c r="D847" s="11" t="s">
        <v>640</v>
      </c>
      <c r="E847" s="11" t="s">
        <v>74</v>
      </c>
      <c r="F847" s="27">
        <v>1999.0</v>
      </c>
      <c r="G847" s="27">
        <v>82.0</v>
      </c>
      <c r="H847" s="27">
        <f t="shared" ref="H847:I847" si="782">F847-F846</f>
        <v>1</v>
      </c>
      <c r="I847" s="27">
        <f t="shared" si="782"/>
        <v>-3</v>
      </c>
      <c r="J847" s="66">
        <f t="shared" si="758"/>
        <v>-0.03529411765</v>
      </c>
      <c r="K847" s="66">
        <f t="shared" si="759"/>
        <v>-0.03529411765</v>
      </c>
      <c r="L847" s="29" t="s">
        <v>81</v>
      </c>
    </row>
    <row r="848">
      <c r="A848" s="11" t="s">
        <v>1035</v>
      </c>
      <c r="B848" s="11" t="s">
        <v>220</v>
      </c>
      <c r="C848" s="25" t="s">
        <v>1036</v>
      </c>
      <c r="D848" s="11" t="s">
        <v>640</v>
      </c>
      <c r="E848" s="11" t="s">
        <v>74</v>
      </c>
      <c r="F848" s="27">
        <v>2000.0</v>
      </c>
      <c r="G848" s="27">
        <v>78.0</v>
      </c>
      <c r="H848" s="27">
        <f t="shared" ref="H848:I848" si="783">F848-F847</f>
        <v>1</v>
      </c>
      <c r="I848" s="27">
        <f t="shared" si="783"/>
        <v>-4</v>
      </c>
      <c r="J848" s="66">
        <f t="shared" si="758"/>
        <v>-0.0487804878</v>
      </c>
      <c r="K848" s="66">
        <f t="shared" si="759"/>
        <v>-0.0487804878</v>
      </c>
      <c r="L848" s="29" t="s">
        <v>81</v>
      </c>
    </row>
    <row r="849">
      <c r="A849" s="11" t="s">
        <v>1035</v>
      </c>
      <c r="B849" s="11" t="s">
        <v>220</v>
      </c>
      <c r="C849" s="25" t="s">
        <v>1036</v>
      </c>
      <c r="D849" s="11" t="s">
        <v>640</v>
      </c>
      <c r="E849" s="11" t="s">
        <v>74</v>
      </c>
      <c r="F849" s="27">
        <v>2001.0</v>
      </c>
      <c r="G849" s="27">
        <v>79.0</v>
      </c>
      <c r="H849" s="27">
        <f t="shared" ref="H849:I849" si="784">F849-F848</f>
        <v>1</v>
      </c>
      <c r="I849" s="27">
        <f t="shared" si="784"/>
        <v>1</v>
      </c>
      <c r="J849" s="66">
        <f t="shared" si="758"/>
        <v>0.01282051282</v>
      </c>
      <c r="K849" s="66">
        <f t="shared" si="759"/>
        <v>0.01282051282</v>
      </c>
      <c r="L849" s="29" t="s">
        <v>81</v>
      </c>
    </row>
    <row r="850">
      <c r="A850" s="11" t="s">
        <v>1035</v>
      </c>
      <c r="B850" s="11" t="s">
        <v>220</v>
      </c>
      <c r="C850" s="25" t="s">
        <v>1036</v>
      </c>
      <c r="D850" s="11" t="s">
        <v>640</v>
      </c>
      <c r="E850" s="11" t="s">
        <v>74</v>
      </c>
      <c r="F850" s="27">
        <v>2002.0</v>
      </c>
      <c r="G850" s="27">
        <v>82.0</v>
      </c>
      <c r="H850" s="27">
        <f t="shared" ref="H850:I850" si="785">F850-F849</f>
        <v>1</v>
      </c>
      <c r="I850" s="27">
        <f t="shared" si="785"/>
        <v>3</v>
      </c>
      <c r="J850" s="66">
        <f t="shared" si="758"/>
        <v>0.03797468354</v>
      </c>
      <c r="K850" s="66">
        <f t="shared" si="759"/>
        <v>0.03797468354</v>
      </c>
      <c r="L850" s="29" t="s">
        <v>81</v>
      </c>
    </row>
    <row r="851">
      <c r="A851" s="11" t="s">
        <v>1035</v>
      </c>
      <c r="B851" s="11" t="s">
        <v>220</v>
      </c>
      <c r="C851" s="25" t="s">
        <v>1036</v>
      </c>
      <c r="D851" s="11" t="s">
        <v>640</v>
      </c>
      <c r="E851" s="11" t="s">
        <v>74</v>
      </c>
      <c r="F851" s="27">
        <v>2003.0</v>
      </c>
      <c r="G851" s="27">
        <v>83.0</v>
      </c>
      <c r="H851" s="27">
        <f t="shared" ref="H851:I851" si="786">F851-F850</f>
        <v>1</v>
      </c>
      <c r="I851" s="27">
        <f t="shared" si="786"/>
        <v>1</v>
      </c>
      <c r="J851" s="66">
        <f t="shared" si="758"/>
        <v>0.01219512195</v>
      </c>
      <c r="K851" s="66">
        <f t="shared" si="759"/>
        <v>0.01219512195</v>
      </c>
      <c r="L851" s="29" t="s">
        <v>81</v>
      </c>
    </row>
    <row r="852">
      <c r="A852" s="11" t="s">
        <v>1035</v>
      </c>
      <c r="B852" s="11" t="s">
        <v>220</v>
      </c>
      <c r="C852" s="25" t="s">
        <v>1036</v>
      </c>
      <c r="D852" s="11" t="s">
        <v>640</v>
      </c>
      <c r="E852" s="11" t="s">
        <v>74</v>
      </c>
      <c r="F852" s="27">
        <v>2004.0</v>
      </c>
      <c r="G852" s="27">
        <v>88.0</v>
      </c>
      <c r="H852" s="27">
        <f t="shared" ref="H852:I852" si="787">F852-F851</f>
        <v>1</v>
      </c>
      <c r="I852" s="27">
        <f t="shared" si="787"/>
        <v>5</v>
      </c>
      <c r="J852" s="66">
        <f t="shared" si="758"/>
        <v>0.06024096386</v>
      </c>
      <c r="K852" s="66">
        <f t="shared" si="759"/>
        <v>0.06024096386</v>
      </c>
      <c r="L852" s="29" t="s">
        <v>81</v>
      </c>
    </row>
    <row r="853">
      <c r="A853" s="11" t="s">
        <v>1035</v>
      </c>
      <c r="B853" s="11" t="s">
        <v>220</v>
      </c>
      <c r="C853" s="25" t="s">
        <v>1036</v>
      </c>
      <c r="D853" s="11" t="s">
        <v>640</v>
      </c>
      <c r="E853" s="11" t="s">
        <v>74</v>
      </c>
      <c r="F853" s="27">
        <v>2005.0</v>
      </c>
      <c r="G853" s="27">
        <v>89.0</v>
      </c>
      <c r="H853" s="27">
        <f t="shared" ref="H853:I853" si="788">F853-F852</f>
        <v>1</v>
      </c>
      <c r="I853" s="27">
        <f t="shared" si="788"/>
        <v>1</v>
      </c>
      <c r="J853" s="66">
        <f t="shared" si="758"/>
        <v>0.01136363636</v>
      </c>
      <c r="K853" s="66">
        <f t="shared" si="759"/>
        <v>0.01136363636</v>
      </c>
      <c r="L853" s="29" t="s">
        <v>81</v>
      </c>
    </row>
    <row r="854">
      <c r="A854" s="11" t="s">
        <v>1035</v>
      </c>
      <c r="B854" s="11" t="s">
        <v>220</v>
      </c>
      <c r="C854" s="25" t="s">
        <v>1036</v>
      </c>
      <c r="D854" s="11" t="s">
        <v>640</v>
      </c>
      <c r="E854" s="11" t="s">
        <v>74</v>
      </c>
      <c r="F854" s="27">
        <v>2006.0</v>
      </c>
      <c r="G854" s="27">
        <v>86.0</v>
      </c>
      <c r="H854" s="27">
        <f t="shared" ref="H854:I854" si="789">F854-F853</f>
        <v>1</v>
      </c>
      <c r="I854" s="27">
        <f t="shared" si="789"/>
        <v>-3</v>
      </c>
      <c r="J854" s="66">
        <f t="shared" si="758"/>
        <v>-0.03370786517</v>
      </c>
      <c r="K854" s="66">
        <f t="shared" si="759"/>
        <v>-0.03370786517</v>
      </c>
      <c r="L854" s="29" t="s">
        <v>81</v>
      </c>
    </row>
    <row r="855">
      <c r="A855" s="11" t="s">
        <v>1035</v>
      </c>
      <c r="B855" s="11" t="s">
        <v>220</v>
      </c>
      <c r="C855" s="25" t="s">
        <v>1036</v>
      </c>
      <c r="D855" s="11" t="s">
        <v>640</v>
      </c>
      <c r="E855" s="11" t="s">
        <v>74</v>
      </c>
      <c r="F855" s="27">
        <v>2007.0</v>
      </c>
      <c r="G855" s="27">
        <v>85.0</v>
      </c>
      <c r="H855" s="27">
        <f t="shared" ref="H855:I855" si="790">F855-F854</f>
        <v>1</v>
      </c>
      <c r="I855" s="27">
        <f t="shared" si="790"/>
        <v>-1</v>
      </c>
      <c r="J855" s="66">
        <f t="shared" si="758"/>
        <v>-0.01162790698</v>
      </c>
      <c r="K855" s="66">
        <f t="shared" si="759"/>
        <v>-0.01162790698</v>
      </c>
      <c r="L855" s="29" t="s">
        <v>81</v>
      </c>
    </row>
    <row r="856">
      <c r="A856" s="11" t="s">
        <v>1035</v>
      </c>
      <c r="B856" s="11" t="s">
        <v>220</v>
      </c>
      <c r="C856" s="25" t="s">
        <v>1036</v>
      </c>
      <c r="D856" s="11" t="s">
        <v>640</v>
      </c>
      <c r="E856" s="11" t="s">
        <v>74</v>
      </c>
      <c r="F856" s="27">
        <v>2008.0</v>
      </c>
      <c r="G856" s="27">
        <v>85.0</v>
      </c>
      <c r="H856" s="27">
        <f t="shared" ref="H856:I856" si="791">F856-F855</f>
        <v>1</v>
      </c>
      <c r="I856" s="27">
        <f t="shared" si="791"/>
        <v>0</v>
      </c>
      <c r="J856" s="66">
        <f t="shared" si="758"/>
        <v>0</v>
      </c>
      <c r="K856" s="66">
        <f t="shared" si="759"/>
        <v>0</v>
      </c>
      <c r="L856" s="29" t="s">
        <v>81</v>
      </c>
    </row>
    <row r="857">
      <c r="A857" s="11" t="s">
        <v>1035</v>
      </c>
      <c r="B857" s="11" t="s">
        <v>220</v>
      </c>
      <c r="C857" s="25" t="s">
        <v>1036</v>
      </c>
      <c r="D857" s="11" t="s">
        <v>640</v>
      </c>
      <c r="E857" s="11" t="s">
        <v>74</v>
      </c>
      <c r="F857" s="27">
        <v>2009.0</v>
      </c>
      <c r="G857" s="27">
        <v>86.0</v>
      </c>
      <c r="H857" s="27">
        <f t="shared" ref="H857:I857" si="792">F857-F856</f>
        <v>1</v>
      </c>
      <c r="I857" s="27">
        <f t="shared" si="792"/>
        <v>1</v>
      </c>
      <c r="J857" s="66">
        <f t="shared" si="758"/>
        <v>0.01176470588</v>
      </c>
      <c r="K857" s="66">
        <f t="shared" si="759"/>
        <v>0.01176470588</v>
      </c>
      <c r="L857" s="29" t="s">
        <v>81</v>
      </c>
    </row>
    <row r="858">
      <c r="A858" s="11" t="s">
        <v>1035</v>
      </c>
      <c r="B858" s="11" t="s">
        <v>220</v>
      </c>
      <c r="C858" s="25" t="s">
        <v>1036</v>
      </c>
      <c r="D858" s="11" t="s">
        <v>640</v>
      </c>
      <c r="E858" s="11" t="s">
        <v>74</v>
      </c>
      <c r="F858" s="27">
        <v>2010.0</v>
      </c>
      <c r="G858" s="27">
        <v>87.0</v>
      </c>
      <c r="H858" s="27">
        <f t="shared" ref="H858:I858" si="793">F858-F857</f>
        <v>1</v>
      </c>
      <c r="I858" s="27">
        <f t="shared" si="793"/>
        <v>1</v>
      </c>
      <c r="J858" s="66">
        <f t="shared" si="758"/>
        <v>0.01162790698</v>
      </c>
      <c r="K858" s="66">
        <f t="shared" si="759"/>
        <v>0.01162790698</v>
      </c>
      <c r="L858" s="29" t="s">
        <v>81</v>
      </c>
    </row>
    <row r="859">
      <c r="A859" s="11" t="s">
        <v>1035</v>
      </c>
      <c r="B859" s="11" t="s">
        <v>220</v>
      </c>
      <c r="C859" s="25" t="s">
        <v>1036</v>
      </c>
      <c r="D859" s="11" t="s">
        <v>640</v>
      </c>
      <c r="E859" s="11" t="s">
        <v>74</v>
      </c>
      <c r="F859" s="27">
        <v>2011.0</v>
      </c>
      <c r="G859" s="27">
        <v>84.0</v>
      </c>
      <c r="H859" s="27">
        <f t="shared" ref="H859:I859" si="794">F859-F858</f>
        <v>1</v>
      </c>
      <c r="I859" s="27">
        <f t="shared" si="794"/>
        <v>-3</v>
      </c>
      <c r="J859" s="66">
        <f t="shared" si="758"/>
        <v>-0.03448275862</v>
      </c>
      <c r="K859" s="66">
        <f t="shared" si="759"/>
        <v>-0.03448275862</v>
      </c>
      <c r="L859" s="29" t="s">
        <v>81</v>
      </c>
    </row>
    <row r="860">
      <c r="A860" s="11" t="s">
        <v>1035</v>
      </c>
      <c r="B860" s="11" t="s">
        <v>220</v>
      </c>
      <c r="C860" s="25" t="s">
        <v>1036</v>
      </c>
      <c r="D860" s="11" t="s">
        <v>640</v>
      </c>
      <c r="E860" s="11" t="s">
        <v>74</v>
      </c>
      <c r="F860" s="27">
        <v>2012.0</v>
      </c>
      <c r="G860" s="27">
        <v>82.0</v>
      </c>
      <c r="H860" s="27">
        <f t="shared" ref="H860:I860" si="795">F860-F859</f>
        <v>1</v>
      </c>
      <c r="I860" s="27">
        <f t="shared" si="795"/>
        <v>-2</v>
      </c>
      <c r="J860" s="66">
        <f t="shared" si="758"/>
        <v>-0.02380952381</v>
      </c>
      <c r="K860" s="66">
        <f t="shared" si="759"/>
        <v>-0.02380952381</v>
      </c>
      <c r="L860" s="29" t="s">
        <v>81</v>
      </c>
    </row>
    <row r="861">
      <c r="A861" s="11" t="s">
        <v>1035</v>
      </c>
      <c r="B861" s="11" t="s">
        <v>220</v>
      </c>
      <c r="C861" s="25" t="s">
        <v>1036</v>
      </c>
      <c r="D861" s="11" t="s">
        <v>640</v>
      </c>
      <c r="E861" s="11" t="s">
        <v>74</v>
      </c>
      <c r="F861" s="27">
        <v>2013.0</v>
      </c>
      <c r="G861" s="27">
        <v>78.0</v>
      </c>
      <c r="H861" s="27">
        <f t="shared" ref="H861:I861" si="796">F861-F860</f>
        <v>1</v>
      </c>
      <c r="I861" s="27">
        <f t="shared" si="796"/>
        <v>-4</v>
      </c>
      <c r="J861" s="66">
        <f t="shared" si="758"/>
        <v>-0.0487804878</v>
      </c>
      <c r="K861" s="66">
        <f t="shared" si="759"/>
        <v>-0.0487804878</v>
      </c>
      <c r="L861" s="29" t="s">
        <v>81</v>
      </c>
    </row>
    <row r="862">
      <c r="A862" s="11" t="s">
        <v>1035</v>
      </c>
      <c r="B862" s="11" t="s">
        <v>220</v>
      </c>
      <c r="C862" s="25" t="s">
        <v>1036</v>
      </c>
      <c r="D862" s="11" t="s">
        <v>640</v>
      </c>
      <c r="E862" s="11" t="s">
        <v>74</v>
      </c>
      <c r="F862" s="27">
        <v>2014.0</v>
      </c>
      <c r="G862" s="27">
        <v>81.0</v>
      </c>
      <c r="H862" s="27">
        <f t="shared" ref="H862:I862" si="797">F862-F861</f>
        <v>1</v>
      </c>
      <c r="I862" s="27">
        <f t="shared" si="797"/>
        <v>3</v>
      </c>
      <c r="J862" s="66">
        <f t="shared" si="758"/>
        <v>0.03846153846</v>
      </c>
      <c r="K862" s="66">
        <f t="shared" si="759"/>
        <v>0.03846153846</v>
      </c>
      <c r="L862" s="29" t="s">
        <v>81</v>
      </c>
    </row>
    <row r="863">
      <c r="A863" s="11" t="s">
        <v>1035</v>
      </c>
      <c r="B863" s="11" t="s">
        <v>220</v>
      </c>
      <c r="C863" s="25" t="s">
        <v>1036</v>
      </c>
      <c r="D863" s="11" t="s">
        <v>640</v>
      </c>
      <c r="E863" s="11" t="s">
        <v>74</v>
      </c>
      <c r="F863" s="27">
        <v>2015.0</v>
      </c>
      <c r="G863" s="27">
        <v>83.0</v>
      </c>
      <c r="H863" s="27">
        <f t="shared" ref="H863:I863" si="798">F863-F862</f>
        <v>1</v>
      </c>
      <c r="I863" s="27">
        <f t="shared" si="798"/>
        <v>2</v>
      </c>
      <c r="J863" s="66">
        <f t="shared" si="758"/>
        <v>0.02469135802</v>
      </c>
      <c r="K863" s="66">
        <f t="shared" si="759"/>
        <v>0.02469135802</v>
      </c>
      <c r="L863" s="29" t="s">
        <v>81</v>
      </c>
    </row>
    <row r="864">
      <c r="A864" s="11" t="s">
        <v>1035</v>
      </c>
      <c r="B864" s="11" t="s">
        <v>220</v>
      </c>
      <c r="C864" s="25" t="s">
        <v>1036</v>
      </c>
      <c r="D864" s="11" t="s">
        <v>640</v>
      </c>
      <c r="E864" s="11" t="s">
        <v>74</v>
      </c>
      <c r="F864" s="27">
        <v>2016.0</v>
      </c>
      <c r="G864" s="27">
        <v>77.0</v>
      </c>
      <c r="H864" s="27">
        <f t="shared" ref="H864:I864" si="799">F864-F863</f>
        <v>1</v>
      </c>
      <c r="I864" s="27">
        <f t="shared" si="799"/>
        <v>-6</v>
      </c>
      <c r="J864" s="66">
        <f t="shared" si="758"/>
        <v>-0.07228915663</v>
      </c>
      <c r="K864" s="66">
        <f t="shared" si="759"/>
        <v>-0.07228915663</v>
      </c>
      <c r="L864" s="29" t="s">
        <v>81</v>
      </c>
    </row>
    <row r="865">
      <c r="A865" s="11" t="s">
        <v>1035</v>
      </c>
      <c r="B865" s="11" t="s">
        <v>220</v>
      </c>
      <c r="C865" s="25" t="s">
        <v>1036</v>
      </c>
      <c r="D865" s="11" t="s">
        <v>640</v>
      </c>
      <c r="E865" s="11" t="s">
        <v>74</v>
      </c>
      <c r="F865" s="27">
        <v>2017.0</v>
      </c>
      <c r="G865" s="27">
        <v>75.0</v>
      </c>
      <c r="H865" s="27">
        <f t="shared" ref="H865:I865" si="800">F865-F864</f>
        <v>1</v>
      </c>
      <c r="I865" s="27">
        <f t="shared" si="800"/>
        <v>-2</v>
      </c>
      <c r="J865" s="66">
        <f t="shared" si="758"/>
        <v>-0.02597402597</v>
      </c>
      <c r="K865" s="66">
        <f t="shared" si="759"/>
        <v>-0.02597402597</v>
      </c>
      <c r="L865" s="29" t="s">
        <v>81</v>
      </c>
    </row>
    <row r="866">
      <c r="A866" s="11" t="s">
        <v>1035</v>
      </c>
      <c r="B866" s="11" t="s">
        <v>220</v>
      </c>
      <c r="C866" s="25" t="s">
        <v>1036</v>
      </c>
      <c r="D866" s="11" t="s">
        <v>640</v>
      </c>
      <c r="E866" s="11" t="s">
        <v>74</v>
      </c>
      <c r="F866" s="27">
        <v>2018.0</v>
      </c>
      <c r="G866" s="27">
        <v>73.0</v>
      </c>
      <c r="H866" s="27">
        <f t="shared" ref="H866:I866" si="801">F866-F865</f>
        <v>1</v>
      </c>
      <c r="I866" s="27">
        <f t="shared" si="801"/>
        <v>-2</v>
      </c>
      <c r="J866" s="66">
        <f t="shared" si="758"/>
        <v>-0.02666666667</v>
      </c>
      <c r="K866" s="66">
        <f t="shared" si="759"/>
        <v>-0.02666666667</v>
      </c>
      <c r="L866" s="29" t="s">
        <v>81</v>
      </c>
    </row>
    <row r="867">
      <c r="A867" s="11" t="s">
        <v>1035</v>
      </c>
      <c r="B867" s="11" t="s">
        <v>220</v>
      </c>
      <c r="C867" s="25" t="s">
        <v>1036</v>
      </c>
      <c r="D867" s="11" t="s">
        <v>640</v>
      </c>
      <c r="E867" s="11" t="s">
        <v>74</v>
      </c>
      <c r="F867" s="27">
        <v>2019.0</v>
      </c>
      <c r="G867" s="27">
        <v>72.0</v>
      </c>
      <c r="H867" s="27">
        <f t="shared" ref="H867:I867" si="802">F867-F866</f>
        <v>1</v>
      </c>
      <c r="I867" s="27">
        <f t="shared" si="802"/>
        <v>-1</v>
      </c>
      <c r="J867" s="66">
        <f t="shared" si="758"/>
        <v>-0.01369863014</v>
      </c>
      <c r="K867" s="66">
        <f t="shared" si="759"/>
        <v>-0.01369863014</v>
      </c>
      <c r="L867" s="29" t="s">
        <v>81</v>
      </c>
    </row>
    <row r="868">
      <c r="A868" s="11" t="s">
        <v>1035</v>
      </c>
      <c r="B868" s="11" t="s">
        <v>220</v>
      </c>
      <c r="C868" s="25" t="s">
        <v>1036</v>
      </c>
      <c r="D868" s="11" t="s">
        <v>640</v>
      </c>
      <c r="E868" s="11" t="s">
        <v>74</v>
      </c>
      <c r="F868" s="27">
        <v>2020.0</v>
      </c>
      <c r="G868" s="27">
        <v>74.0</v>
      </c>
      <c r="H868" s="27">
        <f t="shared" ref="H868:I868" si="803">F868-F867</f>
        <v>1</v>
      </c>
      <c r="I868" s="27">
        <f t="shared" si="803"/>
        <v>2</v>
      </c>
      <c r="J868" s="66">
        <f t="shared" si="758"/>
        <v>0.02777777778</v>
      </c>
      <c r="K868" s="66">
        <f t="shared" si="759"/>
        <v>0.02777777778</v>
      </c>
      <c r="L868" s="29" t="s">
        <v>81</v>
      </c>
    </row>
    <row r="869">
      <c r="A869" s="11" t="s">
        <v>1035</v>
      </c>
      <c r="B869" s="11" t="s">
        <v>220</v>
      </c>
      <c r="C869" s="25" t="s">
        <v>1036</v>
      </c>
      <c r="D869" s="11" t="s">
        <v>640</v>
      </c>
      <c r="E869" s="11" t="s">
        <v>74</v>
      </c>
      <c r="F869" s="27">
        <v>2021.0</v>
      </c>
      <c r="G869" s="27">
        <v>73.0</v>
      </c>
      <c r="H869" s="27">
        <f t="shared" ref="H869:I869" si="804">F869-F868</f>
        <v>1</v>
      </c>
      <c r="I869" s="27">
        <f t="shared" si="804"/>
        <v>-1</v>
      </c>
      <c r="J869" s="66">
        <f t="shared" si="758"/>
        <v>-0.01351351351</v>
      </c>
      <c r="K869" s="66">
        <f t="shared" si="759"/>
        <v>-0.01351351351</v>
      </c>
      <c r="L869" s="29" t="s">
        <v>81</v>
      </c>
    </row>
    <row r="870">
      <c r="A870" s="45" t="s">
        <v>353</v>
      </c>
      <c r="B870" s="45" t="s">
        <v>591</v>
      </c>
      <c r="C870" s="11" t="s">
        <v>1052</v>
      </c>
      <c r="D870" s="25" t="s">
        <v>257</v>
      </c>
      <c r="E870" s="45" t="s">
        <v>1053</v>
      </c>
      <c r="F870" s="47">
        <v>1991.0</v>
      </c>
      <c r="G870" s="48">
        <v>23739.0</v>
      </c>
      <c r="H870" s="48" t="s">
        <v>188</v>
      </c>
      <c r="I870" s="48" t="s">
        <v>188</v>
      </c>
      <c r="J870" s="78" t="s">
        <v>188</v>
      </c>
      <c r="K870" s="66" t="s">
        <v>188</v>
      </c>
      <c r="L870" s="29" t="s">
        <v>939</v>
      </c>
      <c r="M870" s="51"/>
      <c r="N870" s="51"/>
      <c r="O870" s="51"/>
      <c r="P870" s="51"/>
      <c r="Q870" s="51"/>
      <c r="R870" s="51"/>
      <c r="S870" s="51"/>
      <c r="T870" s="51"/>
      <c r="U870" s="51"/>
      <c r="V870" s="51"/>
      <c r="W870" s="51"/>
      <c r="X870" s="51"/>
      <c r="Y870" s="51"/>
      <c r="Z870" s="51"/>
      <c r="AA870" s="51"/>
      <c r="AB870" s="51"/>
      <c r="AC870" s="51"/>
      <c r="AD870" s="51"/>
      <c r="AE870" s="51"/>
    </row>
    <row r="871">
      <c r="A871" s="45" t="s">
        <v>353</v>
      </c>
      <c r="B871" s="45" t="s">
        <v>591</v>
      </c>
      <c r="C871" s="11" t="s">
        <v>1052</v>
      </c>
      <c r="D871" s="25" t="s">
        <v>257</v>
      </c>
      <c r="E871" s="45" t="s">
        <v>1053</v>
      </c>
      <c r="F871" s="47">
        <v>1993.0</v>
      </c>
      <c r="G871" s="48">
        <v>12729.0</v>
      </c>
      <c r="H871" s="48">
        <f t="shared" ref="H871:I871" si="805">F871-F870</f>
        <v>2</v>
      </c>
      <c r="I871" s="48">
        <f t="shared" si="805"/>
        <v>-11010</v>
      </c>
      <c r="J871" s="78">
        <f t="shared" ref="J871:J876" si="807">I871/G870</f>
        <v>-0.4637937571</v>
      </c>
      <c r="K871" s="66">
        <f t="shared" ref="K871:K876" si="808">J871/H871</f>
        <v>-0.2318968786</v>
      </c>
      <c r="L871" s="29" t="s">
        <v>939</v>
      </c>
      <c r="M871" s="51"/>
      <c r="N871" s="51"/>
      <c r="O871" s="51"/>
      <c r="P871" s="51"/>
      <c r="Q871" s="51"/>
      <c r="R871" s="51"/>
      <c r="S871" s="51"/>
      <c r="T871" s="51"/>
      <c r="U871" s="51"/>
      <c r="V871" s="51"/>
      <c r="W871" s="51"/>
      <c r="X871" s="51"/>
      <c r="Y871" s="51"/>
      <c r="Z871" s="51"/>
      <c r="AA871" s="51"/>
      <c r="AB871" s="51"/>
      <c r="AC871" s="51"/>
      <c r="AD871" s="51"/>
      <c r="AE871" s="51"/>
    </row>
    <row r="872">
      <c r="A872" s="45" t="s">
        <v>353</v>
      </c>
      <c r="B872" s="45" t="s">
        <v>591</v>
      </c>
      <c r="C872" s="11" t="s">
        <v>1052</v>
      </c>
      <c r="D872" s="25" t="s">
        <v>257</v>
      </c>
      <c r="E872" s="45" t="s">
        <v>1053</v>
      </c>
      <c r="F872" s="47">
        <v>1996.0</v>
      </c>
      <c r="G872" s="48">
        <v>70183.0</v>
      </c>
      <c r="H872" s="48">
        <f t="shared" ref="H872:I872" si="806">F872-F871</f>
        <v>3</v>
      </c>
      <c r="I872" s="48">
        <f t="shared" si="806"/>
        <v>57454</v>
      </c>
      <c r="J872" s="78">
        <f t="shared" si="807"/>
        <v>4.513630293</v>
      </c>
      <c r="K872" s="66">
        <f t="shared" si="808"/>
        <v>1.504543431</v>
      </c>
      <c r="L872" s="29" t="s">
        <v>939</v>
      </c>
      <c r="M872" s="51"/>
      <c r="N872" s="51"/>
      <c r="O872" s="51"/>
      <c r="P872" s="51"/>
      <c r="Q872" s="51"/>
      <c r="R872" s="51"/>
      <c r="S872" s="51"/>
      <c r="T872" s="51"/>
      <c r="U872" s="51"/>
      <c r="V872" s="51"/>
      <c r="W872" s="51"/>
      <c r="X872" s="51"/>
      <c r="Y872" s="51"/>
      <c r="Z872" s="51"/>
      <c r="AA872" s="51"/>
      <c r="AB872" s="51"/>
      <c r="AC872" s="51"/>
      <c r="AD872" s="51"/>
      <c r="AE872" s="51"/>
    </row>
    <row r="873">
      <c r="A873" s="45" t="s">
        <v>353</v>
      </c>
      <c r="B873" s="45" t="s">
        <v>591</v>
      </c>
      <c r="C873" s="11" t="s">
        <v>1052</v>
      </c>
      <c r="D873" s="25" t="s">
        <v>257</v>
      </c>
      <c r="E873" s="45" t="s">
        <v>1053</v>
      </c>
      <c r="F873" s="47">
        <v>2001.0</v>
      </c>
      <c r="G873" s="48">
        <v>34060.0</v>
      </c>
      <c r="H873" s="48">
        <f t="shared" ref="H873:I873" si="809">F873-F872</f>
        <v>5</v>
      </c>
      <c r="I873" s="48">
        <f t="shared" si="809"/>
        <v>-36123</v>
      </c>
      <c r="J873" s="78">
        <f t="shared" si="807"/>
        <v>-0.5146972914</v>
      </c>
      <c r="K873" s="66">
        <f t="shared" si="808"/>
        <v>-0.1029394583</v>
      </c>
      <c r="L873" s="29" t="s">
        <v>939</v>
      </c>
      <c r="M873" s="51"/>
      <c r="N873" s="51"/>
      <c r="O873" s="51"/>
      <c r="P873" s="51"/>
      <c r="Q873" s="51"/>
      <c r="R873" s="51"/>
      <c r="S873" s="51"/>
      <c r="T873" s="51"/>
      <c r="U873" s="51"/>
      <c r="V873" s="51"/>
      <c r="W873" s="51"/>
      <c r="X873" s="51"/>
      <c r="Y873" s="51"/>
      <c r="Z873" s="51"/>
      <c r="AA873" s="51"/>
      <c r="AB873" s="51"/>
      <c r="AC873" s="51"/>
      <c r="AD873" s="51"/>
      <c r="AE873" s="51"/>
    </row>
    <row r="874">
      <c r="A874" s="45" t="s">
        <v>353</v>
      </c>
      <c r="B874" s="45" t="s">
        <v>591</v>
      </c>
      <c r="C874" s="11" t="s">
        <v>1052</v>
      </c>
      <c r="D874" s="25" t="s">
        <v>257</v>
      </c>
      <c r="E874" s="45" t="s">
        <v>1053</v>
      </c>
      <c r="F874" s="47">
        <v>2005.0</v>
      </c>
      <c r="G874" s="48">
        <v>15138.0</v>
      </c>
      <c r="H874" s="48">
        <f t="shared" ref="H874:I874" si="810">F874-F873</f>
        <v>4</v>
      </c>
      <c r="I874" s="48">
        <f t="shared" si="810"/>
        <v>-18922</v>
      </c>
      <c r="J874" s="78">
        <f t="shared" si="807"/>
        <v>-0.5555490311</v>
      </c>
      <c r="K874" s="66">
        <f t="shared" si="808"/>
        <v>-0.1388872578</v>
      </c>
      <c r="L874" s="29" t="s">
        <v>939</v>
      </c>
      <c r="M874" s="51"/>
      <c r="N874" s="51"/>
      <c r="O874" s="51"/>
      <c r="P874" s="51"/>
      <c r="Q874" s="51"/>
      <c r="R874" s="51"/>
      <c r="S874" s="51"/>
      <c r="T874" s="51"/>
      <c r="U874" s="51"/>
      <c r="V874" s="51"/>
      <c r="W874" s="51"/>
      <c r="X874" s="51"/>
      <c r="Y874" s="51"/>
      <c r="Z874" s="51"/>
      <c r="AA874" s="51"/>
      <c r="AB874" s="51"/>
      <c r="AC874" s="51"/>
      <c r="AD874" s="51"/>
      <c r="AE874" s="51"/>
    </row>
    <row r="875">
      <c r="A875" s="45" t="s">
        <v>353</v>
      </c>
      <c r="B875" s="45" t="s">
        <v>591</v>
      </c>
      <c r="C875" s="11" t="s">
        <v>1052</v>
      </c>
      <c r="D875" s="25" t="s">
        <v>257</v>
      </c>
      <c r="E875" s="45" t="s">
        <v>1053</v>
      </c>
      <c r="F875" s="47">
        <v>2008.0</v>
      </c>
      <c r="G875" s="48">
        <v>113876.0</v>
      </c>
      <c r="H875" s="48">
        <f t="shared" ref="H875:I875" si="811">F875-F874</f>
        <v>3</v>
      </c>
      <c r="I875" s="48">
        <f t="shared" si="811"/>
        <v>98738</v>
      </c>
      <c r="J875" s="78">
        <f t="shared" si="807"/>
        <v>6.522526093</v>
      </c>
      <c r="K875" s="66">
        <f t="shared" si="808"/>
        <v>2.174175364</v>
      </c>
      <c r="L875" s="29" t="s">
        <v>939</v>
      </c>
      <c r="M875" s="51"/>
      <c r="N875" s="51"/>
      <c r="O875" s="51"/>
      <c r="P875" s="51"/>
      <c r="Q875" s="51"/>
      <c r="R875" s="51"/>
      <c r="S875" s="51"/>
      <c r="T875" s="51"/>
      <c r="U875" s="51"/>
      <c r="V875" s="51"/>
      <c r="W875" s="51"/>
      <c r="X875" s="51"/>
      <c r="Y875" s="51"/>
      <c r="Z875" s="51"/>
      <c r="AA875" s="51"/>
      <c r="AB875" s="51"/>
      <c r="AC875" s="51"/>
      <c r="AD875" s="51"/>
      <c r="AE875" s="51"/>
    </row>
    <row r="876">
      <c r="A876" s="45" t="s">
        <v>353</v>
      </c>
      <c r="B876" s="45" t="s">
        <v>591</v>
      </c>
      <c r="C876" s="11" t="s">
        <v>1052</v>
      </c>
      <c r="D876" s="25" t="s">
        <v>257</v>
      </c>
      <c r="E876" s="45" t="s">
        <v>1053</v>
      </c>
      <c r="F876" s="47">
        <v>2014.0</v>
      </c>
      <c r="G876" s="48">
        <v>89794.0</v>
      </c>
      <c r="H876" s="48">
        <f t="shared" ref="H876:I876" si="812">F876-F875</f>
        <v>6</v>
      </c>
      <c r="I876" s="48">
        <f t="shared" si="812"/>
        <v>-24082</v>
      </c>
      <c r="J876" s="78">
        <f t="shared" si="807"/>
        <v>-0.2114756402</v>
      </c>
      <c r="K876" s="66">
        <f t="shared" si="808"/>
        <v>-0.03524594003</v>
      </c>
      <c r="L876" s="29" t="s">
        <v>939</v>
      </c>
      <c r="M876" s="51"/>
      <c r="N876" s="51"/>
      <c r="O876" s="51"/>
      <c r="P876" s="51"/>
      <c r="Q876" s="51"/>
      <c r="R876" s="51"/>
      <c r="S876" s="51"/>
      <c r="T876" s="51"/>
      <c r="U876" s="51"/>
      <c r="V876" s="51"/>
      <c r="W876" s="51"/>
      <c r="X876" s="51"/>
      <c r="Y876" s="51"/>
      <c r="Z876" s="51"/>
      <c r="AA876" s="51"/>
      <c r="AB876" s="51"/>
      <c r="AC876" s="51"/>
      <c r="AD876" s="51"/>
      <c r="AE876" s="51"/>
    </row>
    <row r="877">
      <c r="A877" s="45" t="s">
        <v>353</v>
      </c>
      <c r="B877" s="11" t="s">
        <v>591</v>
      </c>
      <c r="C877" s="11" t="s">
        <v>1052</v>
      </c>
      <c r="D877" s="11" t="s">
        <v>157</v>
      </c>
      <c r="E877" s="11" t="s">
        <v>158</v>
      </c>
      <c r="F877" s="11">
        <v>1996.0</v>
      </c>
      <c r="G877" s="41">
        <v>57623.0</v>
      </c>
      <c r="H877" s="41" t="s">
        <v>188</v>
      </c>
      <c r="I877" s="41" t="s">
        <v>188</v>
      </c>
      <c r="J877" s="73" t="s">
        <v>188</v>
      </c>
      <c r="K877" s="66" t="s">
        <v>188</v>
      </c>
      <c r="L877" s="42" t="s">
        <v>160</v>
      </c>
    </row>
    <row r="878">
      <c r="A878" s="45" t="s">
        <v>353</v>
      </c>
      <c r="B878" s="11" t="s">
        <v>591</v>
      </c>
      <c r="C878" s="11" t="s">
        <v>1052</v>
      </c>
      <c r="D878" s="11" t="s">
        <v>157</v>
      </c>
      <c r="E878" s="11" t="s">
        <v>158</v>
      </c>
      <c r="F878" s="11">
        <v>2001.0</v>
      </c>
      <c r="G878" s="41">
        <v>53044.0</v>
      </c>
      <c r="H878" s="41">
        <f t="shared" ref="H878:I878" si="813">F878-F877</f>
        <v>5</v>
      </c>
      <c r="I878" s="41">
        <f t="shared" si="813"/>
        <v>-4579</v>
      </c>
      <c r="J878" s="73">
        <f t="shared" ref="J878:J882" si="815">I878/G877</f>
        <v>-0.07946479704</v>
      </c>
      <c r="K878" s="66">
        <f t="shared" ref="K878:K882" si="816">J878/H878</f>
        <v>-0.01589295941</v>
      </c>
      <c r="L878" s="42" t="s">
        <v>160</v>
      </c>
    </row>
    <row r="879">
      <c r="A879" s="45" t="s">
        <v>353</v>
      </c>
      <c r="B879" s="11" t="s">
        <v>591</v>
      </c>
      <c r="C879" s="11" t="s">
        <v>1052</v>
      </c>
      <c r="D879" s="11" t="s">
        <v>157</v>
      </c>
      <c r="E879" s="11" t="s">
        <v>158</v>
      </c>
      <c r="F879" s="11">
        <v>2005.0</v>
      </c>
      <c r="G879" s="41">
        <v>52356.0</v>
      </c>
      <c r="H879" s="41">
        <f t="shared" ref="H879:I879" si="814">F879-F878</f>
        <v>4</v>
      </c>
      <c r="I879" s="41">
        <f t="shared" si="814"/>
        <v>-688</v>
      </c>
      <c r="J879" s="73">
        <f t="shared" si="815"/>
        <v>-0.01297036423</v>
      </c>
      <c r="K879" s="66">
        <f t="shared" si="816"/>
        <v>-0.003242591056</v>
      </c>
      <c r="L879" s="42" t="s">
        <v>160</v>
      </c>
    </row>
    <row r="880">
      <c r="A880" s="45" t="s">
        <v>353</v>
      </c>
      <c r="B880" s="11" t="s">
        <v>591</v>
      </c>
      <c r="C880" s="11" t="s">
        <v>1052</v>
      </c>
      <c r="D880" s="11" t="s">
        <v>157</v>
      </c>
      <c r="E880" s="11" t="s">
        <v>158</v>
      </c>
      <c r="F880" s="11">
        <v>2008.0</v>
      </c>
      <c r="G880" s="41">
        <v>58624.0</v>
      </c>
      <c r="H880" s="41">
        <f t="shared" ref="H880:I880" si="817">F880-F879</f>
        <v>3</v>
      </c>
      <c r="I880" s="41">
        <f t="shared" si="817"/>
        <v>6268</v>
      </c>
      <c r="J880" s="73">
        <f t="shared" si="815"/>
        <v>0.1197188479</v>
      </c>
      <c r="K880" s="66">
        <f t="shared" si="816"/>
        <v>0.03990628263</v>
      </c>
      <c r="L880" s="42" t="s">
        <v>160</v>
      </c>
    </row>
    <row r="881">
      <c r="A881" s="45" t="s">
        <v>353</v>
      </c>
      <c r="B881" s="11" t="s">
        <v>591</v>
      </c>
      <c r="C881" s="11" t="s">
        <v>1052</v>
      </c>
      <c r="D881" s="11" t="s">
        <v>157</v>
      </c>
      <c r="E881" s="11" t="s">
        <v>158</v>
      </c>
      <c r="F881" s="11">
        <v>2014.0</v>
      </c>
      <c r="G881" s="41">
        <v>58794.0</v>
      </c>
      <c r="H881" s="41">
        <f t="shared" ref="H881:I881" si="818">F881-F880</f>
        <v>6</v>
      </c>
      <c r="I881" s="41">
        <f t="shared" si="818"/>
        <v>170</v>
      </c>
      <c r="J881" s="73">
        <f t="shared" si="815"/>
        <v>0.002899836245</v>
      </c>
      <c r="K881" s="66">
        <f t="shared" si="816"/>
        <v>0.0004833060408</v>
      </c>
      <c r="L881" s="42" t="s">
        <v>160</v>
      </c>
    </row>
    <row r="882">
      <c r="A882" s="45" t="s">
        <v>353</v>
      </c>
      <c r="B882" s="11" t="s">
        <v>591</v>
      </c>
      <c r="C882" s="11" t="s">
        <v>1052</v>
      </c>
      <c r="D882" s="11" t="s">
        <v>157</v>
      </c>
      <c r="E882" s="11" t="s">
        <v>158</v>
      </c>
      <c r="F882" s="11">
        <v>2018.0</v>
      </c>
      <c r="G882" s="41">
        <v>83379.0</v>
      </c>
      <c r="H882" s="41">
        <f t="shared" ref="H882:I882" si="819">F882-F881</f>
        <v>4</v>
      </c>
      <c r="I882" s="41">
        <f t="shared" si="819"/>
        <v>24585</v>
      </c>
      <c r="J882" s="73">
        <f t="shared" si="815"/>
        <v>0.4181549138</v>
      </c>
      <c r="K882" s="66">
        <f t="shared" si="816"/>
        <v>0.1045387284</v>
      </c>
      <c r="L882" s="42" t="s">
        <v>160</v>
      </c>
    </row>
    <row r="883">
      <c r="A883" s="11" t="s">
        <v>68</v>
      </c>
      <c r="B883" s="11" t="s">
        <v>301</v>
      </c>
      <c r="C883" s="11" t="s">
        <v>1062</v>
      </c>
      <c r="D883" s="11" t="s">
        <v>257</v>
      </c>
      <c r="E883" s="11" t="s">
        <v>74</v>
      </c>
      <c r="F883" s="11">
        <v>1991.0</v>
      </c>
      <c r="G883" s="40">
        <v>1702.0</v>
      </c>
      <c r="H883" s="40" t="s">
        <v>188</v>
      </c>
      <c r="I883" s="40" t="s">
        <v>188</v>
      </c>
      <c r="J883" s="73" t="s">
        <v>188</v>
      </c>
      <c r="K883" s="66" t="s">
        <v>188</v>
      </c>
      <c r="L883" s="29" t="s">
        <v>81</v>
      </c>
    </row>
    <row r="884">
      <c r="A884" s="11" t="s">
        <v>68</v>
      </c>
      <c r="B884" s="11" t="s">
        <v>301</v>
      </c>
      <c r="C884" s="11" t="s">
        <v>1062</v>
      </c>
      <c r="D884" s="11" t="s">
        <v>257</v>
      </c>
      <c r="E884" s="11" t="s">
        <v>74</v>
      </c>
      <c r="F884" s="11">
        <v>1993.0</v>
      </c>
      <c r="G884" s="40">
        <v>2438.0</v>
      </c>
      <c r="H884" s="40">
        <f t="shared" ref="H884:I884" si="820">F884-F883</f>
        <v>2</v>
      </c>
      <c r="I884" s="40">
        <f t="shared" si="820"/>
        <v>736</v>
      </c>
      <c r="J884" s="73">
        <f t="shared" ref="J884:J889" si="822">I884/G883</f>
        <v>0.4324324324</v>
      </c>
      <c r="K884" s="66">
        <f t="shared" ref="K884:K889" si="823">J884/H884</f>
        <v>0.2162162162</v>
      </c>
      <c r="L884" s="29" t="s">
        <v>81</v>
      </c>
    </row>
    <row r="885">
      <c r="A885" s="11" t="s">
        <v>68</v>
      </c>
      <c r="B885" s="11" t="s">
        <v>301</v>
      </c>
      <c r="C885" s="11" t="s">
        <v>1062</v>
      </c>
      <c r="D885" s="11" t="s">
        <v>257</v>
      </c>
      <c r="E885" s="11" t="s">
        <v>74</v>
      </c>
      <c r="F885" s="11">
        <v>1996.0</v>
      </c>
      <c r="G885" s="40">
        <v>2657.0</v>
      </c>
      <c r="H885" s="40">
        <f t="shared" ref="H885:I885" si="821">F885-F884</f>
        <v>3</v>
      </c>
      <c r="I885" s="40">
        <f t="shared" si="821"/>
        <v>219</v>
      </c>
      <c r="J885" s="73">
        <f t="shared" si="822"/>
        <v>0.08982772765</v>
      </c>
      <c r="K885" s="66">
        <f t="shared" si="823"/>
        <v>0.02994257588</v>
      </c>
      <c r="L885" s="29" t="s">
        <v>81</v>
      </c>
    </row>
    <row r="886">
      <c r="A886" s="11" t="s">
        <v>68</v>
      </c>
      <c r="B886" s="11" t="s">
        <v>301</v>
      </c>
      <c r="C886" s="11" t="s">
        <v>1062</v>
      </c>
      <c r="D886" s="11" t="s">
        <v>257</v>
      </c>
      <c r="E886" s="11" t="s">
        <v>74</v>
      </c>
      <c r="F886" s="11">
        <v>2001.0</v>
      </c>
      <c r="G886" s="40">
        <v>1078.0</v>
      </c>
      <c r="H886" s="40">
        <f t="shared" ref="H886:I886" si="824">F886-F885</f>
        <v>5</v>
      </c>
      <c r="I886" s="40">
        <f t="shared" si="824"/>
        <v>-1579</v>
      </c>
      <c r="J886" s="73">
        <f t="shared" si="822"/>
        <v>-0.5942792623</v>
      </c>
      <c r="K886" s="66">
        <f t="shared" si="823"/>
        <v>-0.1188558525</v>
      </c>
      <c r="L886" s="29" t="s">
        <v>81</v>
      </c>
    </row>
    <row r="887">
      <c r="A887" s="11" t="s">
        <v>68</v>
      </c>
      <c r="B887" s="11" t="s">
        <v>301</v>
      </c>
      <c r="C887" s="11" t="s">
        <v>1062</v>
      </c>
      <c r="D887" s="11" t="s">
        <v>257</v>
      </c>
      <c r="E887" s="11" t="s">
        <v>74</v>
      </c>
      <c r="F887" s="11">
        <v>2005.0</v>
      </c>
      <c r="G887" s="40">
        <v>1227.0</v>
      </c>
      <c r="H887" s="40">
        <f t="shared" ref="H887:I887" si="825">F887-F886</f>
        <v>4</v>
      </c>
      <c r="I887" s="40">
        <f t="shared" si="825"/>
        <v>149</v>
      </c>
      <c r="J887" s="73">
        <f t="shared" si="822"/>
        <v>0.1382189239</v>
      </c>
      <c r="K887" s="66">
        <f t="shared" si="823"/>
        <v>0.03455473098</v>
      </c>
      <c r="L887" s="29" t="s">
        <v>81</v>
      </c>
    </row>
    <row r="888">
      <c r="A888" s="11" t="s">
        <v>68</v>
      </c>
      <c r="B888" s="11" t="s">
        <v>301</v>
      </c>
      <c r="C888" s="11" t="s">
        <v>1062</v>
      </c>
      <c r="D888" s="11" t="s">
        <v>257</v>
      </c>
      <c r="E888" s="11" t="s">
        <v>74</v>
      </c>
      <c r="F888" s="11">
        <v>2008.0</v>
      </c>
      <c r="G888" s="40">
        <v>1148.0</v>
      </c>
      <c r="H888" s="40">
        <f t="shared" ref="H888:I888" si="826">F888-F887</f>
        <v>3</v>
      </c>
      <c r="I888" s="40">
        <f t="shared" si="826"/>
        <v>-79</v>
      </c>
      <c r="J888" s="73">
        <f t="shared" si="822"/>
        <v>-0.06438467808</v>
      </c>
      <c r="K888" s="66">
        <f t="shared" si="823"/>
        <v>-0.02146155936</v>
      </c>
      <c r="L888" s="29" t="s">
        <v>81</v>
      </c>
    </row>
    <row r="889">
      <c r="A889" s="11" t="s">
        <v>68</v>
      </c>
      <c r="B889" s="11" t="s">
        <v>301</v>
      </c>
      <c r="C889" s="11" t="s">
        <v>1062</v>
      </c>
      <c r="D889" s="11" t="s">
        <v>257</v>
      </c>
      <c r="E889" s="11" t="s">
        <v>74</v>
      </c>
      <c r="F889" s="11">
        <v>2014.0</v>
      </c>
      <c r="G889" s="40">
        <v>3044.0</v>
      </c>
      <c r="H889" s="40">
        <f t="shared" ref="H889:I889" si="827">F889-F888</f>
        <v>6</v>
      </c>
      <c r="I889" s="40">
        <f t="shared" si="827"/>
        <v>1896</v>
      </c>
      <c r="J889" s="73">
        <f t="shared" si="822"/>
        <v>1.651567944</v>
      </c>
      <c r="K889" s="66">
        <f t="shared" si="823"/>
        <v>0.275261324</v>
      </c>
      <c r="L889" s="29" t="s">
        <v>81</v>
      </c>
    </row>
    <row r="890">
      <c r="A890" s="11" t="s">
        <v>68</v>
      </c>
      <c r="B890" s="11" t="s">
        <v>610</v>
      </c>
      <c r="C890" s="11" t="s">
        <v>1074</v>
      </c>
      <c r="D890" s="11" t="s">
        <v>257</v>
      </c>
      <c r="E890" s="11" t="s">
        <v>74</v>
      </c>
      <c r="F890" s="11">
        <v>1991.0</v>
      </c>
      <c r="G890" s="116">
        <v>385.0</v>
      </c>
      <c r="H890" s="116" t="s">
        <v>188</v>
      </c>
      <c r="I890" s="116" t="s">
        <v>188</v>
      </c>
      <c r="J890" s="158" t="s">
        <v>188</v>
      </c>
      <c r="K890" s="66" t="s">
        <v>188</v>
      </c>
      <c r="L890" s="42" t="s">
        <v>939</v>
      </c>
    </row>
    <row r="891">
      <c r="A891" s="11" t="s">
        <v>68</v>
      </c>
      <c r="B891" s="11" t="s">
        <v>610</v>
      </c>
      <c r="C891" s="11" t="s">
        <v>1074</v>
      </c>
      <c r="D891" s="11" t="s">
        <v>257</v>
      </c>
      <c r="E891" s="11" t="s">
        <v>74</v>
      </c>
      <c r="F891" s="11">
        <v>1996.0</v>
      </c>
      <c r="G891" s="116">
        <v>1414.0</v>
      </c>
      <c r="H891" s="116">
        <f t="shared" ref="H891:I891" si="828">F891-F890</f>
        <v>5</v>
      </c>
      <c r="I891" s="116">
        <f t="shared" si="828"/>
        <v>1029</v>
      </c>
      <c r="J891" s="158">
        <f t="shared" ref="J891:J895" si="830">I891/G890</f>
        <v>2.672727273</v>
      </c>
      <c r="K891" s="66">
        <f t="shared" ref="K891:K895" si="831">J891/H891</f>
        <v>0.5345454545</v>
      </c>
      <c r="L891" s="42" t="s">
        <v>939</v>
      </c>
    </row>
    <row r="892">
      <c r="A892" s="11" t="s">
        <v>68</v>
      </c>
      <c r="B892" s="11" t="s">
        <v>610</v>
      </c>
      <c r="C892" s="11" t="s">
        <v>1074</v>
      </c>
      <c r="D892" s="11" t="s">
        <v>257</v>
      </c>
      <c r="E892" s="11" t="s">
        <v>74</v>
      </c>
      <c r="F892" s="11">
        <v>2001.0</v>
      </c>
      <c r="G892" s="116">
        <v>959.0</v>
      </c>
      <c r="H892" s="116">
        <f t="shared" ref="H892:I892" si="829">F892-F891</f>
        <v>5</v>
      </c>
      <c r="I892" s="116">
        <f t="shared" si="829"/>
        <v>-455</v>
      </c>
      <c r="J892" s="158">
        <f t="shared" si="830"/>
        <v>-0.3217821782</v>
      </c>
      <c r="K892" s="66">
        <f t="shared" si="831"/>
        <v>-0.06435643564</v>
      </c>
      <c r="L892" s="42" t="s">
        <v>939</v>
      </c>
    </row>
    <row r="893">
      <c r="A893" s="11" t="s">
        <v>68</v>
      </c>
      <c r="B893" s="11" t="s">
        <v>610</v>
      </c>
      <c r="C893" s="11" t="s">
        <v>1074</v>
      </c>
      <c r="D893" s="11" t="s">
        <v>257</v>
      </c>
      <c r="E893" s="11" t="s">
        <v>74</v>
      </c>
      <c r="F893" s="11">
        <v>2005.0</v>
      </c>
      <c r="G893" s="116">
        <v>1347.0</v>
      </c>
      <c r="H893" s="116">
        <f t="shared" ref="H893:I893" si="832">F893-F892</f>
        <v>4</v>
      </c>
      <c r="I893" s="116">
        <f t="shared" si="832"/>
        <v>388</v>
      </c>
      <c r="J893" s="158">
        <f t="shared" si="830"/>
        <v>0.4045881126</v>
      </c>
      <c r="K893" s="66">
        <f t="shared" si="831"/>
        <v>0.1011470282</v>
      </c>
      <c r="L893" s="42" t="s">
        <v>939</v>
      </c>
    </row>
    <row r="894">
      <c r="A894" s="11" t="s">
        <v>68</v>
      </c>
      <c r="B894" s="11" t="s">
        <v>610</v>
      </c>
      <c r="C894" s="11" t="s">
        <v>1074</v>
      </c>
      <c r="D894" s="11" t="s">
        <v>257</v>
      </c>
      <c r="E894" s="11" t="s">
        <v>74</v>
      </c>
      <c r="F894" s="11">
        <v>2008.0</v>
      </c>
      <c r="G894" s="116">
        <v>609.0</v>
      </c>
      <c r="H894" s="116">
        <f t="shared" ref="H894:I894" si="833">F894-F893</f>
        <v>3</v>
      </c>
      <c r="I894" s="116">
        <f t="shared" si="833"/>
        <v>-738</v>
      </c>
      <c r="J894" s="158">
        <f t="shared" si="830"/>
        <v>-0.5478841871</v>
      </c>
      <c r="K894" s="66">
        <f t="shared" si="831"/>
        <v>-0.1826280624</v>
      </c>
      <c r="L894" s="42" t="s">
        <v>939</v>
      </c>
    </row>
    <row r="895">
      <c r="A895" s="11" t="s">
        <v>68</v>
      </c>
      <c r="B895" s="11" t="s">
        <v>610</v>
      </c>
      <c r="C895" s="11" t="s">
        <v>1074</v>
      </c>
      <c r="D895" s="11" t="s">
        <v>257</v>
      </c>
      <c r="E895" s="11" t="s">
        <v>74</v>
      </c>
      <c r="F895" s="11">
        <v>2014.0</v>
      </c>
      <c r="G895" s="116">
        <v>692.0</v>
      </c>
      <c r="H895" s="116">
        <f t="shared" ref="H895:I895" si="834">F895-F894</f>
        <v>6</v>
      </c>
      <c r="I895" s="116">
        <f t="shared" si="834"/>
        <v>83</v>
      </c>
      <c r="J895" s="158">
        <f t="shared" si="830"/>
        <v>0.1362889984</v>
      </c>
      <c r="K895" s="66">
        <f t="shared" si="831"/>
        <v>0.02271483306</v>
      </c>
      <c r="L895" s="42" t="s">
        <v>939</v>
      </c>
    </row>
    <row r="896">
      <c r="A896" s="11" t="s">
        <v>68</v>
      </c>
      <c r="B896" s="11" t="s">
        <v>610</v>
      </c>
      <c r="C896" s="11" t="s">
        <v>1074</v>
      </c>
      <c r="D896" s="11" t="s">
        <v>157</v>
      </c>
      <c r="E896" s="11" t="s">
        <v>74</v>
      </c>
      <c r="F896" s="11">
        <v>1996.0</v>
      </c>
      <c r="G896" s="116">
        <v>847.0</v>
      </c>
      <c r="H896" s="116" t="s">
        <v>188</v>
      </c>
      <c r="I896" s="116" t="s">
        <v>188</v>
      </c>
      <c r="J896" s="158" t="s">
        <v>188</v>
      </c>
      <c r="K896" s="66" t="s">
        <v>188</v>
      </c>
      <c r="L896" s="42" t="s">
        <v>160</v>
      </c>
    </row>
    <row r="897">
      <c r="A897" s="11" t="s">
        <v>68</v>
      </c>
      <c r="B897" s="11" t="s">
        <v>610</v>
      </c>
      <c r="C897" s="11" t="s">
        <v>1074</v>
      </c>
      <c r="D897" s="11" t="s">
        <v>157</v>
      </c>
      <c r="E897" s="11" t="s">
        <v>158</v>
      </c>
      <c r="F897" s="11">
        <v>2001.0</v>
      </c>
      <c r="G897" s="40">
        <v>812.0</v>
      </c>
      <c r="H897" s="40">
        <f t="shared" ref="H897:I897" si="835">F897-F896</f>
        <v>5</v>
      </c>
      <c r="I897" s="40">
        <f t="shared" si="835"/>
        <v>-35</v>
      </c>
      <c r="J897" s="73">
        <f t="shared" ref="J897:J901" si="837">I897/G896</f>
        <v>-0.04132231405</v>
      </c>
      <c r="K897" s="66">
        <f t="shared" ref="K897:K901" si="838">J897/H897</f>
        <v>-0.00826446281</v>
      </c>
      <c r="L897" s="42" t="s">
        <v>160</v>
      </c>
    </row>
    <row r="898">
      <c r="A898" s="11" t="s">
        <v>68</v>
      </c>
      <c r="B898" s="11" t="s">
        <v>610</v>
      </c>
      <c r="C898" s="11" t="s">
        <v>1074</v>
      </c>
      <c r="D898" s="11" t="s">
        <v>157</v>
      </c>
      <c r="E898" s="11" t="s">
        <v>158</v>
      </c>
      <c r="F898" s="11">
        <v>2005.0</v>
      </c>
      <c r="G898" s="40">
        <v>819.0</v>
      </c>
      <c r="H898" s="40">
        <f t="shared" ref="H898:I898" si="836">F898-F897</f>
        <v>4</v>
      </c>
      <c r="I898" s="40">
        <f t="shared" si="836"/>
        <v>7</v>
      </c>
      <c r="J898" s="73">
        <f t="shared" si="837"/>
        <v>0.008620689655</v>
      </c>
      <c r="K898" s="66">
        <f t="shared" si="838"/>
        <v>0.002155172414</v>
      </c>
      <c r="L898" s="42" t="s">
        <v>160</v>
      </c>
    </row>
    <row r="899">
      <c r="A899" s="11" t="s">
        <v>68</v>
      </c>
      <c r="B899" s="11" t="s">
        <v>610</v>
      </c>
      <c r="C899" s="11" t="s">
        <v>1074</v>
      </c>
      <c r="D899" s="11" t="s">
        <v>157</v>
      </c>
      <c r="E899" s="11" t="s">
        <v>158</v>
      </c>
      <c r="F899" s="11">
        <v>2008.0</v>
      </c>
      <c r="G899" s="40">
        <v>804.0</v>
      </c>
      <c r="H899" s="40">
        <f t="shared" ref="H899:I899" si="839">F899-F898</f>
        <v>3</v>
      </c>
      <c r="I899" s="40">
        <f t="shared" si="839"/>
        <v>-15</v>
      </c>
      <c r="J899" s="73">
        <f t="shared" si="837"/>
        <v>-0.01831501832</v>
      </c>
      <c r="K899" s="66">
        <f t="shared" si="838"/>
        <v>-0.006105006105</v>
      </c>
      <c r="L899" s="42" t="s">
        <v>160</v>
      </c>
    </row>
    <row r="900">
      <c r="A900" s="11" t="s">
        <v>68</v>
      </c>
      <c r="B900" s="11" t="s">
        <v>610</v>
      </c>
      <c r="C900" s="11" t="s">
        <v>1074</v>
      </c>
      <c r="D900" s="11" t="s">
        <v>157</v>
      </c>
      <c r="E900" s="11" t="s">
        <v>158</v>
      </c>
      <c r="F900" s="11">
        <v>2014.0</v>
      </c>
      <c r="G900" s="40">
        <v>1062.0</v>
      </c>
      <c r="H900" s="40">
        <f t="shared" ref="H900:I900" si="840">F900-F899</f>
        <v>6</v>
      </c>
      <c r="I900" s="40">
        <f t="shared" si="840"/>
        <v>258</v>
      </c>
      <c r="J900" s="73">
        <f t="shared" si="837"/>
        <v>0.3208955224</v>
      </c>
      <c r="K900" s="66">
        <f t="shared" si="838"/>
        <v>0.05348258706</v>
      </c>
      <c r="L900" s="42" t="s">
        <v>160</v>
      </c>
    </row>
    <row r="901">
      <c r="A901" s="11" t="s">
        <v>68</v>
      </c>
      <c r="B901" s="11" t="s">
        <v>610</v>
      </c>
      <c r="C901" s="11" t="s">
        <v>1074</v>
      </c>
      <c r="D901" s="11" t="s">
        <v>157</v>
      </c>
      <c r="E901" s="11" t="s">
        <v>158</v>
      </c>
      <c r="F901" s="11">
        <v>2018.0</v>
      </c>
      <c r="G901" s="40">
        <v>915.0</v>
      </c>
      <c r="H901" s="40">
        <f t="shared" ref="H901:I901" si="841">F901-F900</f>
        <v>4</v>
      </c>
      <c r="I901" s="40">
        <f t="shared" si="841"/>
        <v>-147</v>
      </c>
      <c r="J901" s="73">
        <f t="shared" si="837"/>
        <v>-0.1384180791</v>
      </c>
      <c r="K901" s="66">
        <f t="shared" si="838"/>
        <v>-0.03460451977</v>
      </c>
      <c r="L901" s="42" t="s">
        <v>160</v>
      </c>
    </row>
    <row r="902">
      <c r="A902" s="11" t="s">
        <v>1082</v>
      </c>
      <c r="B902" s="11" t="s">
        <v>179</v>
      </c>
      <c r="C902" s="11" t="s">
        <v>1083</v>
      </c>
      <c r="D902" s="11" t="s">
        <v>1004</v>
      </c>
      <c r="E902" s="11" t="s">
        <v>1084</v>
      </c>
      <c r="F902" s="44">
        <v>1990.0</v>
      </c>
      <c r="G902" s="44">
        <v>117.460317460317</v>
      </c>
      <c r="H902" s="27" t="s">
        <v>188</v>
      </c>
      <c r="I902" s="27" t="s">
        <v>188</v>
      </c>
      <c r="J902" s="66" t="s">
        <v>188</v>
      </c>
      <c r="K902" s="66" t="s">
        <v>188</v>
      </c>
      <c r="L902" s="29" t="s">
        <v>260</v>
      </c>
    </row>
    <row r="903">
      <c r="A903" s="11" t="s">
        <v>1082</v>
      </c>
      <c r="B903" s="11" t="s">
        <v>179</v>
      </c>
      <c r="C903" s="11" t="s">
        <v>1083</v>
      </c>
      <c r="D903" s="11" t="s">
        <v>1004</v>
      </c>
      <c r="E903" s="11" t="s">
        <v>1084</v>
      </c>
      <c r="F903" s="44">
        <v>1991.03703703704</v>
      </c>
      <c r="G903" s="44">
        <v>121.428571428571</v>
      </c>
      <c r="H903" s="27" t="s">
        <v>188</v>
      </c>
      <c r="I903" s="27" t="s">
        <v>188</v>
      </c>
      <c r="J903" s="66" t="s">
        <v>188</v>
      </c>
      <c r="K903" s="66" t="s">
        <v>188</v>
      </c>
      <c r="L903" s="29" t="s">
        <v>260</v>
      </c>
    </row>
    <row r="904">
      <c r="A904" s="11" t="s">
        <v>1082</v>
      </c>
      <c r="B904" s="11" t="s">
        <v>179</v>
      </c>
      <c r="C904" s="11" t="s">
        <v>1083</v>
      </c>
      <c r="D904" s="11" t="s">
        <v>1004</v>
      </c>
      <c r="E904" s="11" t="s">
        <v>1084</v>
      </c>
      <c r="F904" s="44">
        <v>1992.03703703704</v>
      </c>
      <c r="G904" s="44">
        <v>123.809523809524</v>
      </c>
      <c r="H904" s="27" t="s">
        <v>188</v>
      </c>
      <c r="I904" s="27" t="s">
        <v>188</v>
      </c>
      <c r="J904" s="66" t="s">
        <v>188</v>
      </c>
      <c r="K904" s="66" t="s">
        <v>188</v>
      </c>
      <c r="L904" s="29" t="s">
        <v>260</v>
      </c>
    </row>
    <row r="905">
      <c r="A905" s="11" t="s">
        <v>1082</v>
      </c>
      <c r="B905" s="11" t="s">
        <v>179</v>
      </c>
      <c r="C905" s="11" t="s">
        <v>1083</v>
      </c>
      <c r="D905" s="11" t="s">
        <v>1004</v>
      </c>
      <c r="E905" s="11" t="s">
        <v>1084</v>
      </c>
      <c r="F905" s="44">
        <v>1993.0</v>
      </c>
      <c r="G905" s="44">
        <v>119.047619047619</v>
      </c>
      <c r="H905" s="27" t="s">
        <v>188</v>
      </c>
      <c r="I905" s="27" t="s">
        <v>188</v>
      </c>
      <c r="J905" s="66" t="s">
        <v>188</v>
      </c>
      <c r="K905" s="66" t="s">
        <v>188</v>
      </c>
      <c r="L905" s="29" t="s">
        <v>260</v>
      </c>
    </row>
    <row r="906">
      <c r="A906" s="11" t="s">
        <v>1082</v>
      </c>
      <c r="B906" s="11" t="s">
        <v>179</v>
      </c>
      <c r="C906" s="11" t="s">
        <v>1083</v>
      </c>
      <c r="D906" s="11" t="s">
        <v>1004</v>
      </c>
      <c r="E906" s="11" t="s">
        <v>1084</v>
      </c>
      <c r="F906" s="44">
        <v>1994.03703703704</v>
      </c>
      <c r="G906" s="44">
        <v>123.809523809524</v>
      </c>
      <c r="H906" s="27" t="s">
        <v>188</v>
      </c>
      <c r="I906" s="27" t="s">
        <v>188</v>
      </c>
      <c r="J906" s="66" t="s">
        <v>188</v>
      </c>
      <c r="K906" s="66" t="s">
        <v>188</v>
      </c>
      <c r="L906" s="29" t="s">
        <v>260</v>
      </c>
    </row>
    <row r="907">
      <c r="A907" s="11" t="s">
        <v>1082</v>
      </c>
      <c r="B907" s="11" t="s">
        <v>179</v>
      </c>
      <c r="C907" s="11" t="s">
        <v>1083</v>
      </c>
      <c r="D907" s="11" t="s">
        <v>1004</v>
      </c>
      <c r="E907" s="11" t="s">
        <v>1084</v>
      </c>
      <c r="F907" s="44">
        <v>1995.03703703704</v>
      </c>
      <c r="G907" s="44">
        <v>126.190476190476</v>
      </c>
      <c r="H907" s="27" t="s">
        <v>188</v>
      </c>
      <c r="I907" s="27" t="s">
        <v>188</v>
      </c>
      <c r="J907" s="66" t="s">
        <v>188</v>
      </c>
      <c r="K907" s="66" t="s">
        <v>188</v>
      </c>
      <c r="L907" s="29" t="s">
        <v>260</v>
      </c>
    </row>
    <row r="908">
      <c r="A908" s="11" t="s">
        <v>1082</v>
      </c>
      <c r="B908" s="11" t="s">
        <v>179</v>
      </c>
      <c r="C908" s="11" t="s">
        <v>1083</v>
      </c>
      <c r="D908" s="11" t="s">
        <v>1004</v>
      </c>
      <c r="E908" s="11" t="s">
        <v>1084</v>
      </c>
      <c r="F908" s="44">
        <v>1996.0</v>
      </c>
      <c r="G908" s="44">
        <v>134.126984126984</v>
      </c>
      <c r="H908" s="27" t="s">
        <v>188</v>
      </c>
      <c r="I908" s="27" t="s">
        <v>188</v>
      </c>
      <c r="J908" s="66" t="s">
        <v>188</v>
      </c>
      <c r="K908" s="66" t="s">
        <v>188</v>
      </c>
      <c r="L908" s="29" t="s">
        <v>260</v>
      </c>
    </row>
    <row r="909">
      <c r="A909" s="11" t="s">
        <v>1082</v>
      </c>
      <c r="B909" s="11" t="s">
        <v>179</v>
      </c>
      <c r="C909" s="11" t="s">
        <v>1083</v>
      </c>
      <c r="D909" s="11" t="s">
        <v>1004</v>
      </c>
      <c r="E909" s="11" t="s">
        <v>1084</v>
      </c>
      <c r="F909" s="44">
        <v>1997.0</v>
      </c>
      <c r="G909" s="44">
        <v>137.301587301587</v>
      </c>
      <c r="H909" s="27" t="s">
        <v>188</v>
      </c>
      <c r="I909" s="27" t="s">
        <v>188</v>
      </c>
      <c r="J909" s="66" t="s">
        <v>188</v>
      </c>
      <c r="K909" s="66" t="s">
        <v>188</v>
      </c>
      <c r="L909" s="29" t="s">
        <v>260</v>
      </c>
    </row>
    <row r="910">
      <c r="A910" s="11" t="s">
        <v>1082</v>
      </c>
      <c r="B910" s="11" t="s">
        <v>179</v>
      </c>
      <c r="C910" s="11" t="s">
        <v>1083</v>
      </c>
      <c r="D910" s="11" t="s">
        <v>1004</v>
      </c>
      <c r="E910" s="11" t="s">
        <v>1084</v>
      </c>
      <c r="F910" s="44">
        <v>1998.0</v>
      </c>
      <c r="G910" s="44">
        <v>134.126984126984</v>
      </c>
      <c r="H910" s="27" t="s">
        <v>188</v>
      </c>
      <c r="I910" s="27" t="s">
        <v>188</v>
      </c>
      <c r="J910" s="66" t="s">
        <v>188</v>
      </c>
      <c r="K910" s="66" t="s">
        <v>188</v>
      </c>
      <c r="L910" s="29" t="s">
        <v>260</v>
      </c>
    </row>
    <row r="911">
      <c r="A911" s="11" t="s">
        <v>1082</v>
      </c>
      <c r="B911" s="11" t="s">
        <v>179</v>
      </c>
      <c r="C911" s="11" t="s">
        <v>1083</v>
      </c>
      <c r="D911" s="11" t="s">
        <v>1004</v>
      </c>
      <c r="E911" s="11" t="s">
        <v>1084</v>
      </c>
      <c r="F911" s="44">
        <v>1999.03703703704</v>
      </c>
      <c r="G911" s="44">
        <v>130.952380952381</v>
      </c>
      <c r="H911" s="27" t="s">
        <v>188</v>
      </c>
      <c r="I911" s="27" t="s">
        <v>188</v>
      </c>
      <c r="J911" s="66" t="s">
        <v>188</v>
      </c>
      <c r="K911" s="66" t="s">
        <v>188</v>
      </c>
      <c r="L911" s="29" t="s">
        <v>260</v>
      </c>
    </row>
    <row r="912">
      <c r="A912" s="11" t="s">
        <v>1082</v>
      </c>
      <c r="B912" s="11" t="s">
        <v>179</v>
      </c>
      <c r="C912" s="11" t="s">
        <v>1083</v>
      </c>
      <c r="D912" s="11" t="s">
        <v>1004</v>
      </c>
      <c r="E912" s="11" t="s">
        <v>1084</v>
      </c>
      <c r="F912" s="44">
        <v>2000.0</v>
      </c>
      <c r="G912" s="44">
        <v>126.984126984127</v>
      </c>
      <c r="H912" s="27" t="s">
        <v>188</v>
      </c>
      <c r="I912" s="27" t="s">
        <v>188</v>
      </c>
      <c r="J912" s="66" t="s">
        <v>188</v>
      </c>
      <c r="K912" s="66" t="s">
        <v>188</v>
      </c>
      <c r="L912" s="29" t="s">
        <v>260</v>
      </c>
    </row>
    <row r="913">
      <c r="A913" s="11" t="s">
        <v>1082</v>
      </c>
      <c r="B913" s="11" t="s">
        <v>179</v>
      </c>
      <c r="C913" s="11" t="s">
        <v>1083</v>
      </c>
      <c r="D913" s="11" t="s">
        <v>1004</v>
      </c>
      <c r="E913" s="11" t="s">
        <v>1084</v>
      </c>
      <c r="F913" s="44">
        <v>2001.0</v>
      </c>
      <c r="G913" s="44">
        <v>140.47619047619</v>
      </c>
      <c r="H913" s="27" t="s">
        <v>188</v>
      </c>
      <c r="I913" s="27" t="s">
        <v>188</v>
      </c>
      <c r="J913" s="66" t="s">
        <v>188</v>
      </c>
      <c r="K913" s="66" t="s">
        <v>188</v>
      </c>
      <c r="L913" s="29" t="s">
        <v>260</v>
      </c>
    </row>
    <row r="914">
      <c r="A914" s="11" t="s">
        <v>1082</v>
      </c>
      <c r="B914" s="11" t="s">
        <v>179</v>
      </c>
      <c r="C914" s="11" t="s">
        <v>1083</v>
      </c>
      <c r="D914" s="11" t="s">
        <v>1004</v>
      </c>
      <c r="E914" s="11" t="s">
        <v>1084</v>
      </c>
      <c r="F914" s="44">
        <v>2002.03703703704</v>
      </c>
      <c r="G914" s="44">
        <v>146.031746031746</v>
      </c>
      <c r="H914" s="27" t="s">
        <v>188</v>
      </c>
      <c r="I914" s="27" t="s">
        <v>188</v>
      </c>
      <c r="J914" s="66" t="s">
        <v>188</v>
      </c>
      <c r="K914" s="66" t="s">
        <v>188</v>
      </c>
      <c r="L914" s="29" t="s">
        <v>260</v>
      </c>
    </row>
    <row r="915">
      <c r="A915" s="11" t="s">
        <v>1082</v>
      </c>
      <c r="B915" s="11" t="s">
        <v>179</v>
      </c>
      <c r="C915" s="11" t="s">
        <v>1083</v>
      </c>
      <c r="D915" s="11" t="s">
        <v>1004</v>
      </c>
      <c r="E915" s="11" t="s">
        <v>1084</v>
      </c>
      <c r="F915" s="44">
        <v>2003.03703703704</v>
      </c>
      <c r="G915" s="44">
        <v>148.412698412698</v>
      </c>
      <c r="H915" s="27" t="s">
        <v>188</v>
      </c>
      <c r="I915" s="27" t="s">
        <v>188</v>
      </c>
      <c r="J915" s="66" t="s">
        <v>188</v>
      </c>
      <c r="K915" s="66" t="s">
        <v>188</v>
      </c>
      <c r="L915" s="29" t="s">
        <v>260</v>
      </c>
    </row>
    <row r="916">
      <c r="A916" s="11" t="s">
        <v>1082</v>
      </c>
      <c r="B916" s="11" t="s">
        <v>179</v>
      </c>
      <c r="C916" s="11" t="s">
        <v>1083</v>
      </c>
      <c r="D916" s="11" t="s">
        <v>1004</v>
      </c>
      <c r="E916" s="11" t="s">
        <v>1084</v>
      </c>
      <c r="F916" s="44">
        <v>2004.0</v>
      </c>
      <c r="G916" s="44">
        <v>150.0</v>
      </c>
      <c r="H916" s="27" t="s">
        <v>188</v>
      </c>
      <c r="I916" s="27" t="s">
        <v>188</v>
      </c>
      <c r="J916" s="66" t="s">
        <v>188</v>
      </c>
      <c r="K916" s="66" t="s">
        <v>188</v>
      </c>
      <c r="L916" s="29" t="s">
        <v>260</v>
      </c>
    </row>
    <row r="917">
      <c r="A917" s="11" t="s">
        <v>1082</v>
      </c>
      <c r="B917" s="11" t="s">
        <v>179</v>
      </c>
      <c r="C917" s="11" t="s">
        <v>1083</v>
      </c>
      <c r="D917" s="11" t="s">
        <v>1004</v>
      </c>
      <c r="E917" s="11" t="s">
        <v>1084</v>
      </c>
      <c r="F917" s="44">
        <v>2005.0</v>
      </c>
      <c r="G917" s="44">
        <v>162.698412698413</v>
      </c>
      <c r="H917" s="27" t="s">
        <v>188</v>
      </c>
      <c r="I917" s="27" t="s">
        <v>188</v>
      </c>
      <c r="J917" s="66" t="s">
        <v>188</v>
      </c>
      <c r="K917" s="66" t="s">
        <v>188</v>
      </c>
      <c r="L917" s="29" t="s">
        <v>260</v>
      </c>
    </row>
    <row r="918">
      <c r="A918" s="11" t="s">
        <v>1082</v>
      </c>
      <c r="B918" s="11" t="s">
        <v>179</v>
      </c>
      <c r="C918" s="11" t="s">
        <v>1083</v>
      </c>
      <c r="D918" s="11" t="s">
        <v>1004</v>
      </c>
      <c r="E918" s="11" t="s">
        <v>1084</v>
      </c>
      <c r="F918" s="44">
        <v>2006.0</v>
      </c>
      <c r="G918" s="44">
        <v>161.904761904762</v>
      </c>
      <c r="H918" s="27" t="s">
        <v>188</v>
      </c>
      <c r="I918" s="27" t="s">
        <v>188</v>
      </c>
      <c r="J918" s="66" t="s">
        <v>188</v>
      </c>
      <c r="K918" s="66" t="s">
        <v>188</v>
      </c>
      <c r="L918" s="29" t="s">
        <v>260</v>
      </c>
    </row>
    <row r="919">
      <c r="A919" s="11" t="s">
        <v>1082</v>
      </c>
      <c r="B919" s="11" t="s">
        <v>179</v>
      </c>
      <c r="C919" s="11" t="s">
        <v>1083</v>
      </c>
      <c r="D919" s="11" t="s">
        <v>1004</v>
      </c>
      <c r="E919" s="11" t="s">
        <v>1084</v>
      </c>
      <c r="F919" s="44">
        <v>2007.0</v>
      </c>
      <c r="G919" s="44">
        <v>161.904761904762</v>
      </c>
      <c r="H919" s="27" t="s">
        <v>188</v>
      </c>
      <c r="I919" s="27" t="s">
        <v>188</v>
      </c>
      <c r="J919" s="66" t="s">
        <v>188</v>
      </c>
      <c r="K919" s="66" t="s">
        <v>188</v>
      </c>
      <c r="L919" s="29" t="s">
        <v>260</v>
      </c>
    </row>
    <row r="920">
      <c r="A920" s="11" t="s">
        <v>1082</v>
      </c>
      <c r="B920" s="11" t="s">
        <v>179</v>
      </c>
      <c r="C920" s="11" t="s">
        <v>1083</v>
      </c>
      <c r="D920" s="11" t="s">
        <v>1004</v>
      </c>
      <c r="E920" s="11" t="s">
        <v>1084</v>
      </c>
      <c r="F920" s="44">
        <v>2008.03703703704</v>
      </c>
      <c r="G920" s="44">
        <v>169.84126984127</v>
      </c>
      <c r="H920" s="27" t="s">
        <v>188</v>
      </c>
      <c r="I920" s="27" t="s">
        <v>188</v>
      </c>
      <c r="J920" s="66" t="s">
        <v>188</v>
      </c>
      <c r="K920" s="66" t="s">
        <v>188</v>
      </c>
      <c r="L920" s="29" t="s">
        <v>260</v>
      </c>
    </row>
    <row r="921">
      <c r="A921" s="11" t="s">
        <v>1082</v>
      </c>
      <c r="B921" s="11" t="s">
        <v>179</v>
      </c>
      <c r="C921" s="11" t="s">
        <v>1083</v>
      </c>
      <c r="D921" s="11" t="s">
        <v>1004</v>
      </c>
      <c r="E921" s="11" t="s">
        <v>1084</v>
      </c>
      <c r="F921" s="44">
        <v>2009.0</v>
      </c>
      <c r="G921" s="44">
        <v>188.095238095238</v>
      </c>
      <c r="H921" s="27" t="s">
        <v>188</v>
      </c>
      <c r="I921" s="27" t="s">
        <v>188</v>
      </c>
      <c r="J921" s="66" t="s">
        <v>188</v>
      </c>
      <c r="K921" s="66" t="s">
        <v>188</v>
      </c>
      <c r="L921" s="29" t="s">
        <v>260</v>
      </c>
    </row>
    <row r="922">
      <c r="A922" s="11" t="s">
        <v>1082</v>
      </c>
      <c r="B922" s="11" t="s">
        <v>179</v>
      </c>
      <c r="C922" s="11" t="s">
        <v>1083</v>
      </c>
      <c r="D922" s="11" t="s">
        <v>1004</v>
      </c>
      <c r="E922" s="11" t="s">
        <v>1084</v>
      </c>
      <c r="F922" s="44">
        <v>2010.0</v>
      </c>
      <c r="G922" s="44">
        <v>196.031746031746</v>
      </c>
      <c r="H922" s="27" t="s">
        <v>188</v>
      </c>
      <c r="I922" s="27" t="s">
        <v>188</v>
      </c>
      <c r="J922" s="66" t="s">
        <v>188</v>
      </c>
      <c r="K922" s="66" t="s">
        <v>188</v>
      </c>
      <c r="L922" s="29" t="s">
        <v>260</v>
      </c>
    </row>
    <row r="923">
      <c r="A923" s="11" t="s">
        <v>1082</v>
      </c>
      <c r="B923" s="11" t="s">
        <v>179</v>
      </c>
      <c r="C923" s="11" t="s">
        <v>1083</v>
      </c>
      <c r="D923" s="11" t="s">
        <v>1004</v>
      </c>
      <c r="E923" s="11" t="s">
        <v>1084</v>
      </c>
      <c r="F923" s="44">
        <v>2011.0</v>
      </c>
      <c r="G923" s="44">
        <v>200.0</v>
      </c>
      <c r="H923" s="27" t="s">
        <v>188</v>
      </c>
      <c r="I923" s="27" t="s">
        <v>188</v>
      </c>
      <c r="J923" s="66" t="s">
        <v>188</v>
      </c>
      <c r="K923" s="66" t="s">
        <v>188</v>
      </c>
      <c r="L923" s="29" t="s">
        <v>260</v>
      </c>
    </row>
    <row r="924">
      <c r="A924" s="11" t="s">
        <v>1082</v>
      </c>
      <c r="B924" s="11" t="s">
        <v>179</v>
      </c>
      <c r="C924" s="11" t="s">
        <v>1083</v>
      </c>
      <c r="D924" s="11" t="s">
        <v>1004</v>
      </c>
      <c r="E924" s="11" t="s">
        <v>1084</v>
      </c>
      <c r="F924" s="44">
        <v>2012.0</v>
      </c>
      <c r="G924" s="44">
        <v>193.650793650794</v>
      </c>
      <c r="H924" s="27" t="s">
        <v>188</v>
      </c>
      <c r="I924" s="27" t="s">
        <v>188</v>
      </c>
      <c r="J924" s="66" t="s">
        <v>188</v>
      </c>
      <c r="K924" s="66" t="s">
        <v>188</v>
      </c>
      <c r="L924" s="29" t="s">
        <v>260</v>
      </c>
    </row>
    <row r="925">
      <c r="A925" s="11" t="s">
        <v>1082</v>
      </c>
      <c r="B925" s="11" t="s">
        <v>179</v>
      </c>
      <c r="C925" s="11" t="s">
        <v>1083</v>
      </c>
      <c r="D925" s="11" t="s">
        <v>1004</v>
      </c>
      <c r="E925" s="11" t="s">
        <v>1084</v>
      </c>
      <c r="F925" s="44">
        <v>2013.03703703704</v>
      </c>
      <c r="G925" s="44">
        <v>199.206349206349</v>
      </c>
      <c r="H925" s="27" t="s">
        <v>188</v>
      </c>
      <c r="I925" s="27" t="s">
        <v>188</v>
      </c>
      <c r="J925" s="66" t="s">
        <v>188</v>
      </c>
      <c r="K925" s="66" t="s">
        <v>188</v>
      </c>
      <c r="L925" s="29" t="s">
        <v>260</v>
      </c>
    </row>
    <row r="926">
      <c r="A926" s="11" t="s">
        <v>1082</v>
      </c>
      <c r="B926" s="11" t="s">
        <v>179</v>
      </c>
      <c r="C926" s="11" t="s">
        <v>1083</v>
      </c>
      <c r="D926" s="11" t="s">
        <v>1004</v>
      </c>
      <c r="E926" s="11" t="s">
        <v>1084</v>
      </c>
      <c r="F926" s="44">
        <v>2014.0</v>
      </c>
      <c r="G926" s="44">
        <v>192.063492063492</v>
      </c>
      <c r="H926" s="27" t="s">
        <v>188</v>
      </c>
      <c r="I926" s="27" t="s">
        <v>188</v>
      </c>
      <c r="J926" s="66" t="s">
        <v>188</v>
      </c>
      <c r="K926" s="66" t="s">
        <v>188</v>
      </c>
      <c r="L926" s="29" t="s">
        <v>260</v>
      </c>
    </row>
    <row r="927">
      <c r="A927" s="11" t="s">
        <v>1082</v>
      </c>
      <c r="B927" s="11" t="s">
        <v>179</v>
      </c>
      <c r="C927" s="11" t="s">
        <v>1083</v>
      </c>
      <c r="D927" s="11" t="s">
        <v>1004</v>
      </c>
      <c r="E927" s="11" t="s">
        <v>1084</v>
      </c>
      <c r="F927" s="44">
        <v>2015.0</v>
      </c>
      <c r="G927" s="44">
        <v>192.063492063492</v>
      </c>
      <c r="H927" s="27" t="s">
        <v>188</v>
      </c>
      <c r="I927" s="27" t="s">
        <v>188</v>
      </c>
      <c r="J927" s="66" t="s">
        <v>188</v>
      </c>
      <c r="K927" s="66" t="s">
        <v>188</v>
      </c>
      <c r="L927" s="29" t="s">
        <v>260</v>
      </c>
    </row>
    <row r="928">
      <c r="A928" s="11" t="s">
        <v>1082</v>
      </c>
      <c r="B928" s="11" t="s">
        <v>179</v>
      </c>
      <c r="C928" s="11" t="s">
        <v>1083</v>
      </c>
      <c r="D928" s="11" t="s">
        <v>1004</v>
      </c>
      <c r="E928" s="11" t="s">
        <v>1084</v>
      </c>
      <c r="F928" s="44">
        <v>2016.03703703704</v>
      </c>
      <c r="G928" s="44">
        <v>184.920634920635</v>
      </c>
      <c r="H928" s="27" t="s">
        <v>188</v>
      </c>
      <c r="I928" s="27" t="s">
        <v>188</v>
      </c>
      <c r="J928" s="66" t="s">
        <v>188</v>
      </c>
      <c r="K928" s="66" t="s">
        <v>188</v>
      </c>
      <c r="L928" s="29" t="s">
        <v>260</v>
      </c>
    </row>
    <row r="929">
      <c r="A929" s="11" t="s">
        <v>1082</v>
      </c>
      <c r="B929" s="11" t="s">
        <v>179</v>
      </c>
      <c r="C929" s="11" t="s">
        <v>1083</v>
      </c>
      <c r="D929" s="11" t="s">
        <v>1004</v>
      </c>
      <c r="E929" s="11" t="s">
        <v>1084</v>
      </c>
      <c r="F929" s="44">
        <v>2017.0</v>
      </c>
      <c r="G929" s="44">
        <v>177.777777777778</v>
      </c>
      <c r="H929" s="27" t="s">
        <v>188</v>
      </c>
      <c r="I929" s="27" t="s">
        <v>188</v>
      </c>
      <c r="J929" s="66" t="s">
        <v>188</v>
      </c>
      <c r="K929" s="66" t="s">
        <v>188</v>
      </c>
      <c r="L929" s="29" t="s">
        <v>260</v>
      </c>
    </row>
    <row r="930">
      <c r="A930" s="11" t="s">
        <v>1082</v>
      </c>
      <c r="B930" s="11" t="s">
        <v>179</v>
      </c>
      <c r="C930" s="11" t="s">
        <v>1083</v>
      </c>
      <c r="D930" s="11" t="s">
        <v>1004</v>
      </c>
      <c r="E930" s="11" t="s">
        <v>1084</v>
      </c>
      <c r="F930" s="44">
        <v>2018.03703703704</v>
      </c>
      <c r="G930" s="44">
        <v>157.142857142857</v>
      </c>
      <c r="H930" s="27" t="s">
        <v>188</v>
      </c>
      <c r="I930" s="27" t="s">
        <v>188</v>
      </c>
      <c r="J930" s="66" t="s">
        <v>188</v>
      </c>
      <c r="K930" s="66" t="s">
        <v>188</v>
      </c>
      <c r="L930" s="29" t="s">
        <v>260</v>
      </c>
    </row>
    <row r="931">
      <c r="A931" s="11" t="s">
        <v>1082</v>
      </c>
      <c r="B931" s="11" t="s">
        <v>179</v>
      </c>
      <c r="C931" s="11" t="s">
        <v>1083</v>
      </c>
      <c r="D931" s="11" t="s">
        <v>1004</v>
      </c>
      <c r="E931" s="11" t="s">
        <v>1084</v>
      </c>
      <c r="F931" s="44">
        <v>2019.0</v>
      </c>
      <c r="G931" s="44">
        <v>150.793650793651</v>
      </c>
      <c r="H931" s="27" t="s">
        <v>188</v>
      </c>
      <c r="I931" s="27" t="s">
        <v>188</v>
      </c>
      <c r="J931" s="66" t="s">
        <v>188</v>
      </c>
      <c r="K931" s="66" t="s">
        <v>188</v>
      </c>
      <c r="L931" s="29" t="s">
        <v>260</v>
      </c>
    </row>
    <row r="932">
      <c r="A932" s="11" t="s">
        <v>1082</v>
      </c>
      <c r="B932" s="11" t="s">
        <v>179</v>
      </c>
      <c r="C932" s="11" t="s">
        <v>1083</v>
      </c>
      <c r="D932" s="11" t="s">
        <v>1004</v>
      </c>
      <c r="E932" s="11" t="s">
        <v>1084</v>
      </c>
      <c r="F932" s="44">
        <v>2020.0</v>
      </c>
      <c r="G932" s="44">
        <v>138.095238095238</v>
      </c>
      <c r="H932" s="27" t="s">
        <v>188</v>
      </c>
      <c r="I932" s="27" t="s">
        <v>188</v>
      </c>
      <c r="J932" s="66" t="s">
        <v>188</v>
      </c>
      <c r="K932" s="66" t="s">
        <v>188</v>
      </c>
      <c r="L932" s="29" t="s">
        <v>260</v>
      </c>
    </row>
    <row r="933">
      <c r="A933" s="11" t="s">
        <v>1082</v>
      </c>
      <c r="B933" s="11" t="s">
        <v>179</v>
      </c>
      <c r="C933" s="11" t="s">
        <v>1083</v>
      </c>
      <c r="D933" s="11" t="s">
        <v>1004</v>
      </c>
      <c r="E933" s="11" t="s">
        <v>1112</v>
      </c>
      <c r="F933" s="44">
        <v>1990.0</v>
      </c>
      <c r="G933" s="44">
        <v>145.238095238095</v>
      </c>
      <c r="H933" s="27" t="s">
        <v>188</v>
      </c>
      <c r="I933" s="27" t="s">
        <v>188</v>
      </c>
      <c r="J933" s="66" t="s">
        <v>188</v>
      </c>
      <c r="K933" s="66" t="s">
        <v>188</v>
      </c>
      <c r="L933" s="29" t="s">
        <v>260</v>
      </c>
    </row>
    <row r="934">
      <c r="A934" s="11" t="s">
        <v>1082</v>
      </c>
      <c r="B934" s="11" t="s">
        <v>179</v>
      </c>
      <c r="C934" s="11" t="s">
        <v>1083</v>
      </c>
      <c r="D934" s="11" t="s">
        <v>1004</v>
      </c>
      <c r="E934" s="11" t="s">
        <v>1112</v>
      </c>
      <c r="F934" s="44">
        <v>1991.03703703704</v>
      </c>
      <c r="G934" s="44">
        <v>149.206349206349</v>
      </c>
      <c r="H934" s="27" t="s">
        <v>188</v>
      </c>
      <c r="I934" s="27" t="s">
        <v>188</v>
      </c>
      <c r="J934" s="66" t="s">
        <v>188</v>
      </c>
      <c r="K934" s="66" t="s">
        <v>188</v>
      </c>
      <c r="L934" s="29" t="s">
        <v>260</v>
      </c>
    </row>
    <row r="935">
      <c r="A935" s="11" t="s">
        <v>1082</v>
      </c>
      <c r="B935" s="11" t="s">
        <v>179</v>
      </c>
      <c r="C935" s="11" t="s">
        <v>1083</v>
      </c>
      <c r="D935" s="11" t="s">
        <v>1004</v>
      </c>
      <c r="E935" s="11" t="s">
        <v>1112</v>
      </c>
      <c r="F935" s="44">
        <v>1992.03703703704</v>
      </c>
      <c r="G935" s="44">
        <v>155.555555555556</v>
      </c>
      <c r="H935" s="27" t="s">
        <v>188</v>
      </c>
      <c r="I935" s="27" t="s">
        <v>188</v>
      </c>
      <c r="J935" s="66" t="s">
        <v>188</v>
      </c>
      <c r="K935" s="66" t="s">
        <v>188</v>
      </c>
      <c r="L935" s="29" t="s">
        <v>260</v>
      </c>
    </row>
    <row r="936">
      <c r="A936" s="11" t="s">
        <v>1082</v>
      </c>
      <c r="B936" s="11" t="s">
        <v>179</v>
      </c>
      <c r="C936" s="11" t="s">
        <v>1083</v>
      </c>
      <c r="D936" s="11" t="s">
        <v>1004</v>
      </c>
      <c r="E936" s="11" t="s">
        <v>1112</v>
      </c>
      <c r="F936" s="44">
        <v>1993.03703703704</v>
      </c>
      <c r="G936" s="44">
        <v>157.936507936508</v>
      </c>
      <c r="H936" s="27" t="s">
        <v>188</v>
      </c>
      <c r="I936" s="27" t="s">
        <v>188</v>
      </c>
      <c r="J936" s="66" t="s">
        <v>188</v>
      </c>
      <c r="K936" s="66" t="s">
        <v>188</v>
      </c>
      <c r="L936" s="29" t="s">
        <v>260</v>
      </c>
    </row>
    <row r="937">
      <c r="A937" s="11" t="s">
        <v>1082</v>
      </c>
      <c r="B937" s="11" t="s">
        <v>179</v>
      </c>
      <c r="C937" s="11" t="s">
        <v>1083</v>
      </c>
      <c r="D937" s="11" t="s">
        <v>1004</v>
      </c>
      <c r="E937" s="11" t="s">
        <v>1112</v>
      </c>
      <c r="F937" s="44">
        <v>1994.03703703704</v>
      </c>
      <c r="G937" s="44">
        <v>161.904761904762</v>
      </c>
      <c r="H937" s="27" t="s">
        <v>188</v>
      </c>
      <c r="I937" s="27" t="s">
        <v>188</v>
      </c>
      <c r="J937" s="66" t="s">
        <v>188</v>
      </c>
      <c r="K937" s="66" t="s">
        <v>188</v>
      </c>
      <c r="L937" s="29" t="s">
        <v>260</v>
      </c>
    </row>
    <row r="938">
      <c r="A938" s="11" t="s">
        <v>1082</v>
      </c>
      <c r="B938" s="11" t="s">
        <v>179</v>
      </c>
      <c r="C938" s="11" t="s">
        <v>1083</v>
      </c>
      <c r="D938" s="11" t="s">
        <v>1004</v>
      </c>
      <c r="E938" s="11" t="s">
        <v>1112</v>
      </c>
      <c r="F938" s="44">
        <v>1995.0</v>
      </c>
      <c r="G938" s="44">
        <v>165.873015873016</v>
      </c>
      <c r="H938" s="27" t="s">
        <v>188</v>
      </c>
      <c r="I938" s="27" t="s">
        <v>188</v>
      </c>
      <c r="J938" s="66" t="s">
        <v>188</v>
      </c>
      <c r="K938" s="66" t="s">
        <v>188</v>
      </c>
      <c r="L938" s="29" t="s">
        <v>260</v>
      </c>
    </row>
    <row r="939">
      <c r="A939" s="11" t="s">
        <v>1082</v>
      </c>
      <c r="B939" s="11" t="s">
        <v>179</v>
      </c>
      <c r="C939" s="11" t="s">
        <v>1083</v>
      </c>
      <c r="D939" s="11" t="s">
        <v>1004</v>
      </c>
      <c r="E939" s="11" t="s">
        <v>1112</v>
      </c>
      <c r="F939" s="44">
        <v>1996.03703703704</v>
      </c>
      <c r="G939" s="44">
        <v>169.047619047619</v>
      </c>
      <c r="H939" s="27" t="s">
        <v>188</v>
      </c>
      <c r="I939" s="27" t="s">
        <v>188</v>
      </c>
      <c r="J939" s="66" t="s">
        <v>188</v>
      </c>
      <c r="K939" s="66" t="s">
        <v>188</v>
      </c>
      <c r="L939" s="29" t="s">
        <v>260</v>
      </c>
    </row>
    <row r="940">
      <c r="A940" s="11" t="s">
        <v>1082</v>
      </c>
      <c r="B940" s="11" t="s">
        <v>179</v>
      </c>
      <c r="C940" s="11" t="s">
        <v>1083</v>
      </c>
      <c r="D940" s="11" t="s">
        <v>1004</v>
      </c>
      <c r="E940" s="11" t="s">
        <v>1112</v>
      </c>
      <c r="F940" s="44">
        <v>1997.03703703704</v>
      </c>
      <c r="G940" s="44">
        <v>177.777777777778</v>
      </c>
      <c r="H940" s="27" t="s">
        <v>188</v>
      </c>
      <c r="I940" s="27" t="s">
        <v>188</v>
      </c>
      <c r="J940" s="66" t="s">
        <v>188</v>
      </c>
      <c r="K940" s="66" t="s">
        <v>188</v>
      </c>
      <c r="L940" s="29" t="s">
        <v>260</v>
      </c>
    </row>
    <row r="941">
      <c r="A941" s="11" t="s">
        <v>1082</v>
      </c>
      <c r="B941" s="11" t="s">
        <v>179</v>
      </c>
      <c r="C941" s="11" t="s">
        <v>1083</v>
      </c>
      <c r="D941" s="11" t="s">
        <v>1004</v>
      </c>
      <c r="E941" s="11" t="s">
        <v>1112</v>
      </c>
      <c r="F941" s="44">
        <v>1998.0</v>
      </c>
      <c r="G941" s="44">
        <v>179.365079365079</v>
      </c>
      <c r="H941" s="27" t="s">
        <v>188</v>
      </c>
      <c r="I941" s="27" t="s">
        <v>188</v>
      </c>
      <c r="J941" s="66" t="s">
        <v>188</v>
      </c>
      <c r="K941" s="66" t="s">
        <v>188</v>
      </c>
      <c r="L941" s="29" t="s">
        <v>260</v>
      </c>
    </row>
    <row r="942">
      <c r="A942" s="11" t="s">
        <v>1082</v>
      </c>
      <c r="B942" s="11" t="s">
        <v>179</v>
      </c>
      <c r="C942" s="11" t="s">
        <v>1083</v>
      </c>
      <c r="D942" s="11" t="s">
        <v>1004</v>
      </c>
      <c r="E942" s="11" t="s">
        <v>1112</v>
      </c>
      <c r="F942" s="44">
        <v>1999.03703703704</v>
      </c>
      <c r="G942" s="44">
        <v>179.365079365079</v>
      </c>
      <c r="H942" s="27" t="s">
        <v>188</v>
      </c>
      <c r="I942" s="27" t="s">
        <v>188</v>
      </c>
      <c r="J942" s="66" t="s">
        <v>188</v>
      </c>
      <c r="K942" s="66" t="s">
        <v>188</v>
      </c>
      <c r="L942" s="29" t="s">
        <v>260</v>
      </c>
    </row>
    <row r="943">
      <c r="A943" s="11" t="s">
        <v>1082</v>
      </c>
      <c r="B943" s="11" t="s">
        <v>179</v>
      </c>
      <c r="C943" s="11" t="s">
        <v>1083</v>
      </c>
      <c r="D943" s="11" t="s">
        <v>1004</v>
      </c>
      <c r="E943" s="11" t="s">
        <v>1112</v>
      </c>
      <c r="F943" s="44">
        <v>2000.0</v>
      </c>
      <c r="G943" s="44">
        <v>181.746031746032</v>
      </c>
      <c r="H943" s="27" t="s">
        <v>188</v>
      </c>
      <c r="I943" s="27" t="s">
        <v>188</v>
      </c>
      <c r="J943" s="66" t="s">
        <v>188</v>
      </c>
      <c r="K943" s="66" t="s">
        <v>188</v>
      </c>
      <c r="L943" s="29" t="s">
        <v>260</v>
      </c>
    </row>
    <row r="944">
      <c r="A944" s="11" t="s">
        <v>1082</v>
      </c>
      <c r="B944" s="11" t="s">
        <v>179</v>
      </c>
      <c r="C944" s="11" t="s">
        <v>1083</v>
      </c>
      <c r="D944" s="11" t="s">
        <v>1004</v>
      </c>
      <c r="E944" s="11" t="s">
        <v>1112</v>
      </c>
      <c r="F944" s="44">
        <v>2001.0</v>
      </c>
      <c r="G944" s="44">
        <v>192.063492063492</v>
      </c>
      <c r="H944" s="27" t="s">
        <v>188</v>
      </c>
      <c r="I944" s="27" t="s">
        <v>188</v>
      </c>
      <c r="J944" s="66" t="s">
        <v>188</v>
      </c>
      <c r="K944" s="66" t="s">
        <v>188</v>
      </c>
      <c r="L944" s="29" t="s">
        <v>260</v>
      </c>
    </row>
    <row r="945">
      <c r="A945" s="11" t="s">
        <v>1082</v>
      </c>
      <c r="B945" s="11" t="s">
        <v>179</v>
      </c>
      <c r="C945" s="11" t="s">
        <v>1083</v>
      </c>
      <c r="D945" s="11" t="s">
        <v>1004</v>
      </c>
      <c r="E945" s="11" t="s">
        <v>1112</v>
      </c>
      <c r="F945" s="44">
        <v>2002.0</v>
      </c>
      <c r="G945" s="44">
        <v>199.206349206349</v>
      </c>
      <c r="H945" s="27" t="s">
        <v>188</v>
      </c>
      <c r="I945" s="27" t="s">
        <v>188</v>
      </c>
      <c r="J945" s="66" t="s">
        <v>188</v>
      </c>
      <c r="K945" s="66" t="s">
        <v>188</v>
      </c>
      <c r="L945" s="29" t="s">
        <v>260</v>
      </c>
    </row>
    <row r="946">
      <c r="A946" s="11" t="s">
        <v>1082</v>
      </c>
      <c r="B946" s="11" t="s">
        <v>179</v>
      </c>
      <c r="C946" s="11" t="s">
        <v>1083</v>
      </c>
      <c r="D946" s="11" t="s">
        <v>1004</v>
      </c>
      <c r="E946" s="11" t="s">
        <v>1112</v>
      </c>
      <c r="F946" s="44">
        <v>2003.03703703704</v>
      </c>
      <c r="G946" s="44">
        <v>211.111111111111</v>
      </c>
      <c r="H946" s="27" t="s">
        <v>188</v>
      </c>
      <c r="I946" s="27" t="s">
        <v>188</v>
      </c>
      <c r="J946" s="66" t="s">
        <v>188</v>
      </c>
      <c r="K946" s="66" t="s">
        <v>188</v>
      </c>
      <c r="L946" s="29" t="s">
        <v>260</v>
      </c>
    </row>
    <row r="947">
      <c r="A947" s="11" t="s">
        <v>1082</v>
      </c>
      <c r="B947" s="11" t="s">
        <v>179</v>
      </c>
      <c r="C947" s="11" t="s">
        <v>1083</v>
      </c>
      <c r="D947" s="11" t="s">
        <v>1004</v>
      </c>
      <c r="E947" s="11" t="s">
        <v>1112</v>
      </c>
      <c r="F947" s="44">
        <v>2004.0</v>
      </c>
      <c r="G947" s="44">
        <v>218.253968253968</v>
      </c>
      <c r="H947" s="27" t="s">
        <v>188</v>
      </c>
      <c r="I947" s="27" t="s">
        <v>188</v>
      </c>
      <c r="J947" s="66" t="s">
        <v>188</v>
      </c>
      <c r="K947" s="66" t="s">
        <v>188</v>
      </c>
      <c r="L947" s="29" t="s">
        <v>260</v>
      </c>
    </row>
    <row r="948">
      <c r="A948" s="11" t="s">
        <v>1082</v>
      </c>
      <c r="B948" s="11" t="s">
        <v>179</v>
      </c>
      <c r="C948" s="11" t="s">
        <v>1083</v>
      </c>
      <c r="D948" s="11" t="s">
        <v>1004</v>
      </c>
      <c r="E948" s="11" t="s">
        <v>1112</v>
      </c>
      <c r="F948" s="44">
        <v>2005.0</v>
      </c>
      <c r="G948" s="44">
        <v>229.365079365079</v>
      </c>
      <c r="H948" s="27" t="s">
        <v>188</v>
      </c>
      <c r="I948" s="27" t="s">
        <v>188</v>
      </c>
      <c r="J948" s="66" t="s">
        <v>188</v>
      </c>
      <c r="K948" s="66" t="s">
        <v>188</v>
      </c>
      <c r="L948" s="29" t="s">
        <v>260</v>
      </c>
    </row>
    <row r="949">
      <c r="A949" s="11" t="s">
        <v>1082</v>
      </c>
      <c r="B949" s="11" t="s">
        <v>179</v>
      </c>
      <c r="C949" s="11" t="s">
        <v>1083</v>
      </c>
      <c r="D949" s="11" t="s">
        <v>1004</v>
      </c>
      <c r="E949" s="11" t="s">
        <v>1112</v>
      </c>
      <c r="F949" s="44">
        <v>2006.03703703704</v>
      </c>
      <c r="G949" s="44">
        <v>240.47619047619</v>
      </c>
      <c r="H949" s="27" t="s">
        <v>188</v>
      </c>
      <c r="I949" s="27" t="s">
        <v>188</v>
      </c>
      <c r="J949" s="66" t="s">
        <v>188</v>
      </c>
      <c r="K949" s="66" t="s">
        <v>188</v>
      </c>
      <c r="L949" s="29" t="s">
        <v>260</v>
      </c>
    </row>
    <row r="950">
      <c r="A950" s="11" t="s">
        <v>1082</v>
      </c>
      <c r="B950" s="11" t="s">
        <v>179</v>
      </c>
      <c r="C950" s="11" t="s">
        <v>1083</v>
      </c>
      <c r="D950" s="11" t="s">
        <v>1004</v>
      </c>
      <c r="E950" s="11" t="s">
        <v>1112</v>
      </c>
      <c r="F950" s="44">
        <v>2007.03703703704</v>
      </c>
      <c r="G950" s="44">
        <v>250.0</v>
      </c>
      <c r="H950" s="27" t="s">
        <v>188</v>
      </c>
      <c r="I950" s="27" t="s">
        <v>188</v>
      </c>
      <c r="J950" s="66" t="s">
        <v>188</v>
      </c>
      <c r="K950" s="66" t="s">
        <v>188</v>
      </c>
      <c r="L950" s="29" t="s">
        <v>260</v>
      </c>
    </row>
    <row r="951">
      <c r="A951" s="11" t="s">
        <v>1082</v>
      </c>
      <c r="B951" s="11" t="s">
        <v>179</v>
      </c>
      <c r="C951" s="11" t="s">
        <v>1083</v>
      </c>
      <c r="D951" s="11" t="s">
        <v>1004</v>
      </c>
      <c r="E951" s="11" t="s">
        <v>1112</v>
      </c>
      <c r="F951" s="44">
        <v>2008.03703703704</v>
      </c>
      <c r="G951" s="44">
        <v>261.111111111111</v>
      </c>
      <c r="H951" s="27" t="s">
        <v>188</v>
      </c>
      <c r="I951" s="27" t="s">
        <v>188</v>
      </c>
      <c r="J951" s="66" t="s">
        <v>188</v>
      </c>
      <c r="K951" s="66" t="s">
        <v>188</v>
      </c>
      <c r="L951" s="29" t="s">
        <v>260</v>
      </c>
    </row>
    <row r="952">
      <c r="A952" s="11" t="s">
        <v>1082</v>
      </c>
      <c r="B952" s="11" t="s">
        <v>179</v>
      </c>
      <c r="C952" s="11" t="s">
        <v>1083</v>
      </c>
      <c r="D952" s="11" t="s">
        <v>1004</v>
      </c>
      <c r="E952" s="11" t="s">
        <v>1112</v>
      </c>
      <c r="F952" s="44">
        <v>2009.03703703704</v>
      </c>
      <c r="G952" s="44">
        <v>273.015873015873</v>
      </c>
      <c r="H952" s="27" t="s">
        <v>188</v>
      </c>
      <c r="I952" s="27" t="s">
        <v>188</v>
      </c>
      <c r="J952" s="66" t="s">
        <v>188</v>
      </c>
      <c r="K952" s="66" t="s">
        <v>188</v>
      </c>
      <c r="L952" s="29" t="s">
        <v>260</v>
      </c>
    </row>
    <row r="953">
      <c r="A953" s="11" t="s">
        <v>1082</v>
      </c>
      <c r="B953" s="11" t="s">
        <v>179</v>
      </c>
      <c r="C953" s="11" t="s">
        <v>1083</v>
      </c>
      <c r="D953" s="11" t="s">
        <v>1004</v>
      </c>
      <c r="E953" s="11" t="s">
        <v>1112</v>
      </c>
      <c r="F953" s="44">
        <v>2010.0</v>
      </c>
      <c r="G953" s="44">
        <v>280.952380952381</v>
      </c>
      <c r="H953" s="27" t="s">
        <v>188</v>
      </c>
      <c r="I953" s="27" t="s">
        <v>188</v>
      </c>
      <c r="J953" s="66" t="s">
        <v>188</v>
      </c>
      <c r="K953" s="66" t="s">
        <v>188</v>
      </c>
      <c r="L953" s="29" t="s">
        <v>260</v>
      </c>
    </row>
    <row r="954">
      <c r="A954" s="11" t="s">
        <v>1082</v>
      </c>
      <c r="B954" s="11" t="s">
        <v>179</v>
      </c>
      <c r="C954" s="11" t="s">
        <v>1083</v>
      </c>
      <c r="D954" s="11" t="s">
        <v>1004</v>
      </c>
      <c r="E954" s="11" t="s">
        <v>1112</v>
      </c>
      <c r="F954" s="44">
        <v>2011.03703703704</v>
      </c>
      <c r="G954" s="44">
        <v>280.952380952381</v>
      </c>
      <c r="H954" s="27" t="s">
        <v>188</v>
      </c>
      <c r="I954" s="27" t="s">
        <v>188</v>
      </c>
      <c r="J954" s="66" t="s">
        <v>188</v>
      </c>
      <c r="K954" s="66" t="s">
        <v>188</v>
      </c>
      <c r="L954" s="29" t="s">
        <v>260</v>
      </c>
    </row>
    <row r="955">
      <c r="A955" s="11" t="s">
        <v>1082</v>
      </c>
      <c r="B955" s="11" t="s">
        <v>179</v>
      </c>
      <c r="C955" s="11" t="s">
        <v>1083</v>
      </c>
      <c r="D955" s="11" t="s">
        <v>1004</v>
      </c>
      <c r="E955" s="11" t="s">
        <v>1112</v>
      </c>
      <c r="F955" s="44">
        <v>2012.0</v>
      </c>
      <c r="G955" s="44">
        <v>278.571428571429</v>
      </c>
      <c r="H955" s="27" t="s">
        <v>188</v>
      </c>
      <c r="I955" s="27" t="s">
        <v>188</v>
      </c>
      <c r="J955" s="66" t="s">
        <v>188</v>
      </c>
      <c r="K955" s="66" t="s">
        <v>188</v>
      </c>
      <c r="L955" s="29" t="s">
        <v>260</v>
      </c>
    </row>
    <row r="956">
      <c r="A956" s="11" t="s">
        <v>1082</v>
      </c>
      <c r="B956" s="11" t="s">
        <v>179</v>
      </c>
      <c r="C956" s="11" t="s">
        <v>1083</v>
      </c>
      <c r="D956" s="11" t="s">
        <v>1004</v>
      </c>
      <c r="E956" s="11" t="s">
        <v>1112</v>
      </c>
      <c r="F956" s="44">
        <v>2013.0</v>
      </c>
      <c r="G956" s="44">
        <v>279.365079365079</v>
      </c>
      <c r="H956" s="27" t="s">
        <v>188</v>
      </c>
      <c r="I956" s="27" t="s">
        <v>188</v>
      </c>
      <c r="J956" s="66" t="s">
        <v>188</v>
      </c>
      <c r="K956" s="66" t="s">
        <v>188</v>
      </c>
      <c r="L956" s="29" t="s">
        <v>260</v>
      </c>
    </row>
    <row r="957">
      <c r="A957" s="11" t="s">
        <v>1082</v>
      </c>
      <c r="B957" s="11" t="s">
        <v>179</v>
      </c>
      <c r="C957" s="11" t="s">
        <v>1083</v>
      </c>
      <c r="D957" s="11" t="s">
        <v>1004</v>
      </c>
      <c r="E957" s="11" t="s">
        <v>1112</v>
      </c>
      <c r="F957" s="44">
        <v>2014.03703703704</v>
      </c>
      <c r="G957" s="44">
        <v>280.15873015873</v>
      </c>
      <c r="H957" s="27" t="s">
        <v>188</v>
      </c>
      <c r="I957" s="27" t="s">
        <v>188</v>
      </c>
      <c r="J957" s="66" t="s">
        <v>188</v>
      </c>
      <c r="K957" s="66" t="s">
        <v>188</v>
      </c>
      <c r="L957" s="29" t="s">
        <v>260</v>
      </c>
    </row>
    <row r="958">
      <c r="A958" s="11" t="s">
        <v>1082</v>
      </c>
      <c r="B958" s="11" t="s">
        <v>179</v>
      </c>
      <c r="C958" s="11" t="s">
        <v>1083</v>
      </c>
      <c r="D958" s="11" t="s">
        <v>1004</v>
      </c>
      <c r="E958" s="11" t="s">
        <v>1112</v>
      </c>
      <c r="F958" s="44">
        <v>2015.0</v>
      </c>
      <c r="G958" s="44">
        <v>275.396825396825</v>
      </c>
      <c r="H958" s="27" t="s">
        <v>188</v>
      </c>
      <c r="I958" s="27" t="s">
        <v>188</v>
      </c>
      <c r="J958" s="66" t="s">
        <v>188</v>
      </c>
      <c r="K958" s="66" t="s">
        <v>188</v>
      </c>
      <c r="L958" s="29" t="s">
        <v>260</v>
      </c>
    </row>
    <row r="959">
      <c r="A959" s="11" t="s">
        <v>1082</v>
      </c>
      <c r="B959" s="11" t="s">
        <v>179</v>
      </c>
      <c r="C959" s="11" t="s">
        <v>1083</v>
      </c>
      <c r="D959" s="11" t="s">
        <v>1004</v>
      </c>
      <c r="E959" s="11" t="s">
        <v>1112</v>
      </c>
      <c r="F959" s="44">
        <v>2016.03703703704</v>
      </c>
      <c r="G959" s="44">
        <v>265.873015873016</v>
      </c>
      <c r="H959" s="27" t="s">
        <v>188</v>
      </c>
      <c r="I959" s="27" t="s">
        <v>188</v>
      </c>
      <c r="J959" s="66" t="s">
        <v>188</v>
      </c>
      <c r="K959" s="66" t="s">
        <v>188</v>
      </c>
      <c r="L959" s="29" t="s">
        <v>260</v>
      </c>
    </row>
    <row r="960">
      <c r="A960" s="11" t="s">
        <v>1082</v>
      </c>
      <c r="B960" s="11" t="s">
        <v>179</v>
      </c>
      <c r="C960" s="11" t="s">
        <v>1083</v>
      </c>
      <c r="D960" s="11" t="s">
        <v>1004</v>
      </c>
      <c r="E960" s="11" t="s">
        <v>1112</v>
      </c>
      <c r="F960" s="44">
        <v>2017.0</v>
      </c>
      <c r="G960" s="44">
        <v>250.0</v>
      </c>
      <c r="H960" s="27" t="s">
        <v>188</v>
      </c>
      <c r="I960" s="27" t="s">
        <v>188</v>
      </c>
      <c r="J960" s="66" t="s">
        <v>188</v>
      </c>
      <c r="K960" s="66" t="s">
        <v>188</v>
      </c>
      <c r="L960" s="29" t="s">
        <v>260</v>
      </c>
    </row>
    <row r="961">
      <c r="A961" s="11" t="s">
        <v>1082</v>
      </c>
      <c r="B961" s="11" t="s">
        <v>179</v>
      </c>
      <c r="C961" s="11" t="s">
        <v>1083</v>
      </c>
      <c r="D961" s="11" t="s">
        <v>1004</v>
      </c>
      <c r="E961" s="11" t="s">
        <v>1112</v>
      </c>
      <c r="F961" s="44">
        <v>2018.03703703704</v>
      </c>
      <c r="G961" s="44">
        <v>227.777777777778</v>
      </c>
      <c r="H961" s="27" t="s">
        <v>188</v>
      </c>
      <c r="I961" s="27" t="s">
        <v>188</v>
      </c>
      <c r="J961" s="66" t="s">
        <v>188</v>
      </c>
      <c r="K961" s="66" t="s">
        <v>188</v>
      </c>
      <c r="L961" s="29" t="s">
        <v>260</v>
      </c>
    </row>
    <row r="962">
      <c r="A962" s="11" t="s">
        <v>1082</v>
      </c>
      <c r="B962" s="11" t="s">
        <v>179</v>
      </c>
      <c r="C962" s="11" t="s">
        <v>1083</v>
      </c>
      <c r="D962" s="11" t="s">
        <v>1004</v>
      </c>
      <c r="E962" s="11" t="s">
        <v>1112</v>
      </c>
      <c r="F962" s="44">
        <v>2019.03703703704</v>
      </c>
      <c r="G962" s="44">
        <v>215.079365079365</v>
      </c>
      <c r="H962" s="27" t="s">
        <v>188</v>
      </c>
      <c r="I962" s="27" t="s">
        <v>188</v>
      </c>
      <c r="J962" s="66" t="s">
        <v>188</v>
      </c>
      <c r="K962" s="66" t="s">
        <v>188</v>
      </c>
      <c r="L962" s="29" t="s">
        <v>260</v>
      </c>
    </row>
    <row r="963">
      <c r="A963" s="11" t="s">
        <v>1082</v>
      </c>
      <c r="B963" s="11" t="s">
        <v>179</v>
      </c>
      <c r="C963" s="11" t="s">
        <v>1083</v>
      </c>
      <c r="D963" s="11" t="s">
        <v>1004</v>
      </c>
      <c r="E963" s="11" t="s">
        <v>1112</v>
      </c>
      <c r="F963" s="44">
        <v>2020.0</v>
      </c>
      <c r="G963" s="44">
        <v>199.206349206349</v>
      </c>
      <c r="H963" s="27" t="s">
        <v>188</v>
      </c>
      <c r="I963" s="27" t="s">
        <v>188</v>
      </c>
      <c r="J963" s="66" t="s">
        <v>188</v>
      </c>
      <c r="K963" s="66" t="s">
        <v>188</v>
      </c>
      <c r="L963" s="29" t="s">
        <v>260</v>
      </c>
    </row>
    <row r="964">
      <c r="A964" s="11" t="s">
        <v>1082</v>
      </c>
      <c r="B964" s="11" t="s">
        <v>179</v>
      </c>
      <c r="C964" s="11" t="s">
        <v>1083</v>
      </c>
      <c r="D964" s="11" t="s">
        <v>1004</v>
      </c>
      <c r="E964" s="11" t="s">
        <v>158</v>
      </c>
      <c r="F964" s="11">
        <v>1990.0</v>
      </c>
      <c r="G964" s="40">
        <v>262.0</v>
      </c>
      <c r="H964" s="40" t="s">
        <v>188</v>
      </c>
      <c r="I964" s="27" t="s">
        <v>188</v>
      </c>
      <c r="J964" s="66" t="s">
        <v>188</v>
      </c>
      <c r="K964" s="66" t="s">
        <v>188</v>
      </c>
      <c r="L964" s="29" t="s">
        <v>260</v>
      </c>
    </row>
    <row r="965">
      <c r="A965" s="11" t="s">
        <v>1082</v>
      </c>
      <c r="B965" s="11" t="s">
        <v>179</v>
      </c>
      <c r="C965" s="11" t="s">
        <v>1083</v>
      </c>
      <c r="D965" s="11" t="s">
        <v>1004</v>
      </c>
      <c r="E965" s="11" t="s">
        <v>158</v>
      </c>
      <c r="F965" s="11">
        <v>1991.0</v>
      </c>
      <c r="G965" s="40">
        <v>270.0</v>
      </c>
      <c r="H965" s="40">
        <f t="shared" ref="H965:I965" si="842">F965-F964</f>
        <v>1</v>
      </c>
      <c r="I965" s="40">
        <f t="shared" si="842"/>
        <v>8</v>
      </c>
      <c r="J965" s="73">
        <f t="shared" ref="J965:J994" si="844">I965/G964</f>
        <v>0.03053435115</v>
      </c>
      <c r="K965" s="66">
        <f t="shared" ref="K965:K994" si="845">J965/H965</f>
        <v>0.03053435115</v>
      </c>
      <c r="L965" s="29" t="s">
        <v>260</v>
      </c>
    </row>
    <row r="966">
      <c r="A966" s="11" t="s">
        <v>1082</v>
      </c>
      <c r="B966" s="11" t="s">
        <v>179</v>
      </c>
      <c r="C966" s="11" t="s">
        <v>1083</v>
      </c>
      <c r="D966" s="11" t="s">
        <v>1004</v>
      </c>
      <c r="E966" s="11" t="s">
        <v>158</v>
      </c>
      <c r="F966" s="11">
        <v>1992.0</v>
      </c>
      <c r="G966" s="40">
        <v>281.0</v>
      </c>
      <c r="H966" s="40">
        <f t="shared" ref="H966:I966" si="843">F966-F965</f>
        <v>1</v>
      </c>
      <c r="I966" s="40">
        <f t="shared" si="843"/>
        <v>11</v>
      </c>
      <c r="J966" s="73">
        <f t="shared" si="844"/>
        <v>0.04074074074</v>
      </c>
      <c r="K966" s="66">
        <f t="shared" si="845"/>
        <v>0.04074074074</v>
      </c>
      <c r="L966" s="29" t="s">
        <v>260</v>
      </c>
    </row>
    <row r="967">
      <c r="A967" s="11" t="s">
        <v>1082</v>
      </c>
      <c r="B967" s="11" t="s">
        <v>179</v>
      </c>
      <c r="C967" s="11" t="s">
        <v>1083</v>
      </c>
      <c r="D967" s="11" t="s">
        <v>1004</v>
      </c>
      <c r="E967" s="11" t="s">
        <v>158</v>
      </c>
      <c r="F967" s="11">
        <v>1993.0</v>
      </c>
      <c r="G967" s="40">
        <v>276.0</v>
      </c>
      <c r="H967" s="40">
        <f t="shared" ref="H967:I967" si="846">F967-F966</f>
        <v>1</v>
      </c>
      <c r="I967" s="40">
        <f t="shared" si="846"/>
        <v>-5</v>
      </c>
      <c r="J967" s="73">
        <f t="shared" si="844"/>
        <v>-0.01779359431</v>
      </c>
      <c r="K967" s="66">
        <f t="shared" si="845"/>
        <v>-0.01779359431</v>
      </c>
      <c r="L967" s="29" t="s">
        <v>260</v>
      </c>
    </row>
    <row r="968">
      <c r="A968" s="11" t="s">
        <v>1082</v>
      </c>
      <c r="B968" s="11" t="s">
        <v>179</v>
      </c>
      <c r="C968" s="11" t="s">
        <v>1083</v>
      </c>
      <c r="D968" s="11" t="s">
        <v>1004</v>
      </c>
      <c r="E968" s="11" t="s">
        <v>158</v>
      </c>
      <c r="F968" s="11">
        <v>1994.0</v>
      </c>
      <c r="G968" s="40">
        <v>286.0</v>
      </c>
      <c r="H968" s="40">
        <f t="shared" ref="H968:I968" si="847">F968-F967</f>
        <v>1</v>
      </c>
      <c r="I968" s="40">
        <f t="shared" si="847"/>
        <v>10</v>
      </c>
      <c r="J968" s="73">
        <f t="shared" si="844"/>
        <v>0.03623188406</v>
      </c>
      <c r="K968" s="66">
        <f t="shared" si="845"/>
        <v>0.03623188406</v>
      </c>
      <c r="L968" s="29" t="s">
        <v>260</v>
      </c>
    </row>
    <row r="969">
      <c r="A969" s="11" t="s">
        <v>1082</v>
      </c>
      <c r="B969" s="11" t="s">
        <v>179</v>
      </c>
      <c r="C969" s="11" t="s">
        <v>1083</v>
      </c>
      <c r="D969" s="11" t="s">
        <v>1004</v>
      </c>
      <c r="E969" s="11" t="s">
        <v>158</v>
      </c>
      <c r="F969" s="11">
        <v>1995.0</v>
      </c>
      <c r="G969" s="40">
        <v>292.0</v>
      </c>
      <c r="H969" s="40">
        <f t="shared" ref="H969:I969" si="848">F969-F968</f>
        <v>1</v>
      </c>
      <c r="I969" s="40">
        <f t="shared" si="848"/>
        <v>6</v>
      </c>
      <c r="J969" s="73">
        <f t="shared" si="844"/>
        <v>0.02097902098</v>
      </c>
      <c r="K969" s="66">
        <f t="shared" si="845"/>
        <v>0.02097902098</v>
      </c>
      <c r="L969" s="29" t="s">
        <v>260</v>
      </c>
    </row>
    <row r="970">
      <c r="A970" s="11" t="s">
        <v>1082</v>
      </c>
      <c r="B970" s="11" t="s">
        <v>179</v>
      </c>
      <c r="C970" s="11" t="s">
        <v>1083</v>
      </c>
      <c r="D970" s="11" t="s">
        <v>1004</v>
      </c>
      <c r="E970" s="11" t="s">
        <v>158</v>
      </c>
      <c r="F970" s="11">
        <v>1996.0</v>
      </c>
      <c r="G970" s="40">
        <v>303.0</v>
      </c>
      <c r="H970" s="40">
        <f t="shared" ref="H970:I970" si="849">F970-F969</f>
        <v>1</v>
      </c>
      <c r="I970" s="40">
        <f t="shared" si="849"/>
        <v>11</v>
      </c>
      <c r="J970" s="73">
        <f t="shared" si="844"/>
        <v>0.03767123288</v>
      </c>
      <c r="K970" s="66">
        <f t="shared" si="845"/>
        <v>0.03767123288</v>
      </c>
      <c r="L970" s="29" t="s">
        <v>260</v>
      </c>
    </row>
    <row r="971">
      <c r="A971" s="11" t="s">
        <v>1082</v>
      </c>
      <c r="B971" s="11" t="s">
        <v>179</v>
      </c>
      <c r="C971" s="11" t="s">
        <v>1083</v>
      </c>
      <c r="D971" s="11" t="s">
        <v>1004</v>
      </c>
      <c r="E971" s="11" t="s">
        <v>158</v>
      </c>
      <c r="F971" s="11">
        <v>1997.0</v>
      </c>
      <c r="G971" s="40">
        <v>313.0</v>
      </c>
      <c r="H971" s="40">
        <f t="shared" ref="H971:I971" si="850">F971-F970</f>
        <v>1</v>
      </c>
      <c r="I971" s="40">
        <f t="shared" si="850"/>
        <v>10</v>
      </c>
      <c r="J971" s="73">
        <f t="shared" si="844"/>
        <v>0.03300330033</v>
      </c>
      <c r="K971" s="66">
        <f t="shared" si="845"/>
        <v>0.03300330033</v>
      </c>
      <c r="L971" s="29" t="s">
        <v>260</v>
      </c>
    </row>
    <row r="972">
      <c r="A972" s="11" t="s">
        <v>1082</v>
      </c>
      <c r="B972" s="11" t="s">
        <v>179</v>
      </c>
      <c r="C972" s="11" t="s">
        <v>1083</v>
      </c>
      <c r="D972" s="11" t="s">
        <v>1004</v>
      </c>
      <c r="E972" s="11" t="s">
        <v>158</v>
      </c>
      <c r="F972" s="11">
        <v>1998.0</v>
      </c>
      <c r="G972" s="40">
        <v>312.0</v>
      </c>
      <c r="H972" s="40">
        <f t="shared" ref="H972:I972" si="851">F972-F971</f>
        <v>1</v>
      </c>
      <c r="I972" s="40">
        <f t="shared" si="851"/>
        <v>-1</v>
      </c>
      <c r="J972" s="73">
        <f t="shared" si="844"/>
        <v>-0.003194888179</v>
      </c>
      <c r="K972" s="66">
        <f t="shared" si="845"/>
        <v>-0.003194888179</v>
      </c>
      <c r="L972" s="29" t="s">
        <v>260</v>
      </c>
    </row>
    <row r="973">
      <c r="A973" s="11" t="s">
        <v>1082</v>
      </c>
      <c r="B973" s="11" t="s">
        <v>179</v>
      </c>
      <c r="C973" s="11" t="s">
        <v>1083</v>
      </c>
      <c r="D973" s="11" t="s">
        <v>1004</v>
      </c>
      <c r="E973" s="11" t="s">
        <v>158</v>
      </c>
      <c r="F973" s="11">
        <v>1999.0</v>
      </c>
      <c r="G973" s="40">
        <v>311.0</v>
      </c>
      <c r="H973" s="40">
        <f t="shared" ref="H973:I973" si="852">F973-F972</f>
        <v>1</v>
      </c>
      <c r="I973" s="40">
        <f t="shared" si="852"/>
        <v>-1</v>
      </c>
      <c r="J973" s="73">
        <f t="shared" si="844"/>
        <v>-0.003205128205</v>
      </c>
      <c r="K973" s="66">
        <f t="shared" si="845"/>
        <v>-0.003205128205</v>
      </c>
      <c r="L973" s="29" t="s">
        <v>260</v>
      </c>
    </row>
    <row r="974">
      <c r="A974" s="11" t="s">
        <v>1082</v>
      </c>
      <c r="B974" s="11" t="s">
        <v>179</v>
      </c>
      <c r="C974" s="11" t="s">
        <v>1083</v>
      </c>
      <c r="D974" s="11" t="s">
        <v>1004</v>
      </c>
      <c r="E974" s="11" t="s">
        <v>158</v>
      </c>
      <c r="F974" s="11">
        <v>2000.0</v>
      </c>
      <c r="G974" s="40">
        <v>308.0</v>
      </c>
      <c r="H974" s="40">
        <f t="shared" ref="H974:I974" si="853">F974-F973</f>
        <v>1</v>
      </c>
      <c r="I974" s="40">
        <f t="shared" si="853"/>
        <v>-3</v>
      </c>
      <c r="J974" s="73">
        <f t="shared" si="844"/>
        <v>-0.009646302251</v>
      </c>
      <c r="K974" s="66">
        <f t="shared" si="845"/>
        <v>-0.009646302251</v>
      </c>
      <c r="L974" s="29" t="s">
        <v>260</v>
      </c>
    </row>
    <row r="975">
      <c r="A975" s="11" t="s">
        <v>1082</v>
      </c>
      <c r="B975" s="11" t="s">
        <v>179</v>
      </c>
      <c r="C975" s="11" t="s">
        <v>1083</v>
      </c>
      <c r="D975" s="11" t="s">
        <v>1004</v>
      </c>
      <c r="E975" s="11" t="s">
        <v>158</v>
      </c>
      <c r="F975" s="11">
        <v>2001.0</v>
      </c>
      <c r="G975" s="40">
        <v>333.0</v>
      </c>
      <c r="H975" s="40">
        <f t="shared" ref="H975:I975" si="854">F975-F974</f>
        <v>1</v>
      </c>
      <c r="I975" s="40">
        <f t="shared" si="854"/>
        <v>25</v>
      </c>
      <c r="J975" s="73">
        <f t="shared" si="844"/>
        <v>0.08116883117</v>
      </c>
      <c r="K975" s="66">
        <f t="shared" si="845"/>
        <v>0.08116883117</v>
      </c>
      <c r="L975" s="29" t="s">
        <v>260</v>
      </c>
    </row>
    <row r="976">
      <c r="A976" s="11" t="s">
        <v>1082</v>
      </c>
      <c r="B976" s="11" t="s">
        <v>179</v>
      </c>
      <c r="C976" s="11" t="s">
        <v>1083</v>
      </c>
      <c r="D976" s="11" t="s">
        <v>1004</v>
      </c>
      <c r="E976" s="11" t="s">
        <v>158</v>
      </c>
      <c r="F976" s="11">
        <v>2002.0</v>
      </c>
      <c r="G976" s="40">
        <v>346.0</v>
      </c>
      <c r="H976" s="40">
        <f t="shared" ref="H976:I976" si="855">F976-F975</f>
        <v>1</v>
      </c>
      <c r="I976" s="40">
        <f t="shared" si="855"/>
        <v>13</v>
      </c>
      <c r="J976" s="73">
        <f t="shared" si="844"/>
        <v>0.03903903904</v>
      </c>
      <c r="K976" s="66">
        <f t="shared" si="845"/>
        <v>0.03903903904</v>
      </c>
      <c r="L976" s="29" t="s">
        <v>260</v>
      </c>
    </row>
    <row r="977">
      <c r="A977" s="11" t="s">
        <v>1082</v>
      </c>
      <c r="B977" s="11" t="s">
        <v>179</v>
      </c>
      <c r="C977" s="11" t="s">
        <v>1083</v>
      </c>
      <c r="D977" s="11" t="s">
        <v>1004</v>
      </c>
      <c r="E977" s="11" t="s">
        <v>158</v>
      </c>
      <c r="F977" s="11">
        <v>2003.0</v>
      </c>
      <c r="G977" s="40">
        <v>359.0</v>
      </c>
      <c r="H977" s="40">
        <f t="shared" ref="H977:I977" si="856">F977-F976</f>
        <v>1</v>
      </c>
      <c r="I977" s="40">
        <f t="shared" si="856"/>
        <v>13</v>
      </c>
      <c r="J977" s="73">
        <f t="shared" si="844"/>
        <v>0.03757225434</v>
      </c>
      <c r="K977" s="66">
        <f t="shared" si="845"/>
        <v>0.03757225434</v>
      </c>
      <c r="L977" s="29" t="s">
        <v>260</v>
      </c>
    </row>
    <row r="978">
      <c r="A978" s="11" t="s">
        <v>1082</v>
      </c>
      <c r="B978" s="11" t="s">
        <v>179</v>
      </c>
      <c r="C978" s="11" t="s">
        <v>1083</v>
      </c>
      <c r="D978" s="11" t="s">
        <v>1004</v>
      </c>
      <c r="E978" s="11" t="s">
        <v>158</v>
      </c>
      <c r="F978" s="11">
        <v>2004.0</v>
      </c>
      <c r="G978" s="40">
        <v>368.0</v>
      </c>
      <c r="H978" s="40">
        <f t="shared" ref="H978:I978" si="857">F978-F977</f>
        <v>1</v>
      </c>
      <c r="I978" s="40">
        <f t="shared" si="857"/>
        <v>9</v>
      </c>
      <c r="J978" s="73">
        <f t="shared" si="844"/>
        <v>0.02506963788</v>
      </c>
      <c r="K978" s="66">
        <f t="shared" si="845"/>
        <v>0.02506963788</v>
      </c>
      <c r="L978" s="29" t="s">
        <v>260</v>
      </c>
    </row>
    <row r="979">
      <c r="A979" s="11" t="s">
        <v>1082</v>
      </c>
      <c r="B979" s="11" t="s">
        <v>179</v>
      </c>
      <c r="C979" s="11" t="s">
        <v>1083</v>
      </c>
      <c r="D979" s="11" t="s">
        <v>1004</v>
      </c>
      <c r="E979" s="11" t="s">
        <v>158</v>
      </c>
      <c r="F979" s="11">
        <v>2005.0</v>
      </c>
      <c r="G979" s="40">
        <v>391.0</v>
      </c>
      <c r="H979" s="40">
        <f t="shared" ref="H979:I979" si="858">F979-F978</f>
        <v>1</v>
      </c>
      <c r="I979" s="40">
        <f t="shared" si="858"/>
        <v>23</v>
      </c>
      <c r="J979" s="73">
        <f t="shared" si="844"/>
        <v>0.0625</v>
      </c>
      <c r="K979" s="66">
        <f t="shared" si="845"/>
        <v>0.0625</v>
      </c>
      <c r="L979" s="29" t="s">
        <v>260</v>
      </c>
    </row>
    <row r="980">
      <c r="A980" s="11" t="s">
        <v>1082</v>
      </c>
      <c r="B980" s="11" t="s">
        <v>179</v>
      </c>
      <c r="C980" s="11" t="s">
        <v>1083</v>
      </c>
      <c r="D980" s="11" t="s">
        <v>1004</v>
      </c>
      <c r="E980" s="11" t="s">
        <v>158</v>
      </c>
      <c r="F980" s="11">
        <v>2006.0</v>
      </c>
      <c r="G980" s="40">
        <v>403.0</v>
      </c>
      <c r="H980" s="40">
        <f t="shared" ref="H980:I980" si="859">F980-F979</f>
        <v>1</v>
      </c>
      <c r="I980" s="40">
        <f t="shared" si="859"/>
        <v>12</v>
      </c>
      <c r="J980" s="73">
        <f t="shared" si="844"/>
        <v>0.03069053708</v>
      </c>
      <c r="K980" s="66">
        <f t="shared" si="845"/>
        <v>0.03069053708</v>
      </c>
      <c r="L980" s="29" t="s">
        <v>260</v>
      </c>
    </row>
    <row r="981">
      <c r="A981" s="11" t="s">
        <v>1082</v>
      </c>
      <c r="B981" s="11" t="s">
        <v>179</v>
      </c>
      <c r="C981" s="11" t="s">
        <v>1083</v>
      </c>
      <c r="D981" s="11" t="s">
        <v>1004</v>
      </c>
      <c r="E981" s="11" t="s">
        <v>158</v>
      </c>
      <c r="F981" s="11">
        <v>2007.0</v>
      </c>
      <c r="G981" s="40">
        <v>412.0</v>
      </c>
      <c r="H981" s="40">
        <f t="shared" ref="H981:I981" si="860">F981-F980</f>
        <v>1</v>
      </c>
      <c r="I981" s="40">
        <f t="shared" si="860"/>
        <v>9</v>
      </c>
      <c r="J981" s="73">
        <f t="shared" si="844"/>
        <v>0.0223325062</v>
      </c>
      <c r="K981" s="66">
        <f t="shared" si="845"/>
        <v>0.0223325062</v>
      </c>
      <c r="L981" s="29" t="s">
        <v>260</v>
      </c>
    </row>
    <row r="982">
      <c r="A982" s="11" t="s">
        <v>1082</v>
      </c>
      <c r="B982" s="11" t="s">
        <v>179</v>
      </c>
      <c r="C982" s="11" t="s">
        <v>1083</v>
      </c>
      <c r="D982" s="11" t="s">
        <v>1004</v>
      </c>
      <c r="E982" s="11" t="s">
        <v>158</v>
      </c>
      <c r="F982" s="11">
        <v>2008.0</v>
      </c>
      <c r="G982" s="40">
        <v>432.0</v>
      </c>
      <c r="H982" s="40">
        <f t="shared" ref="H982:I982" si="861">F982-F981</f>
        <v>1</v>
      </c>
      <c r="I982" s="40">
        <f t="shared" si="861"/>
        <v>20</v>
      </c>
      <c r="J982" s="73">
        <f t="shared" si="844"/>
        <v>0.04854368932</v>
      </c>
      <c r="K982" s="66">
        <f t="shared" si="845"/>
        <v>0.04854368932</v>
      </c>
      <c r="L982" s="29" t="s">
        <v>260</v>
      </c>
    </row>
    <row r="983">
      <c r="A983" s="11" t="s">
        <v>1082</v>
      </c>
      <c r="B983" s="11" t="s">
        <v>179</v>
      </c>
      <c r="C983" s="11" t="s">
        <v>1083</v>
      </c>
      <c r="D983" s="11" t="s">
        <v>1004</v>
      </c>
      <c r="E983" s="11" t="s">
        <v>158</v>
      </c>
      <c r="F983" s="11">
        <v>2009.0</v>
      </c>
      <c r="G983" s="40">
        <v>461.0</v>
      </c>
      <c r="H983" s="40">
        <f t="shared" ref="H983:I983" si="862">F983-F982</f>
        <v>1</v>
      </c>
      <c r="I983" s="40">
        <f t="shared" si="862"/>
        <v>29</v>
      </c>
      <c r="J983" s="73">
        <f t="shared" si="844"/>
        <v>0.06712962963</v>
      </c>
      <c r="K983" s="66">
        <f t="shared" si="845"/>
        <v>0.06712962963</v>
      </c>
      <c r="L983" s="29" t="s">
        <v>260</v>
      </c>
    </row>
    <row r="984">
      <c r="A984" s="11" t="s">
        <v>1082</v>
      </c>
      <c r="B984" s="11" t="s">
        <v>179</v>
      </c>
      <c r="C984" s="11" t="s">
        <v>1083</v>
      </c>
      <c r="D984" s="11" t="s">
        <v>1004</v>
      </c>
      <c r="E984" s="11" t="s">
        <v>158</v>
      </c>
      <c r="F984" s="11">
        <v>2010.0</v>
      </c>
      <c r="G984" s="40">
        <v>475.0</v>
      </c>
      <c r="H984" s="40">
        <f t="shared" ref="H984:I984" si="863">F984-F983</f>
        <v>1</v>
      </c>
      <c r="I984" s="40">
        <f t="shared" si="863"/>
        <v>14</v>
      </c>
      <c r="J984" s="73">
        <f t="shared" si="844"/>
        <v>0.03036876356</v>
      </c>
      <c r="K984" s="66">
        <f t="shared" si="845"/>
        <v>0.03036876356</v>
      </c>
      <c r="L984" s="29" t="s">
        <v>260</v>
      </c>
    </row>
    <row r="985">
      <c r="A985" s="11" t="s">
        <v>1082</v>
      </c>
      <c r="B985" s="11" t="s">
        <v>179</v>
      </c>
      <c r="C985" s="11" t="s">
        <v>1083</v>
      </c>
      <c r="D985" s="11" t="s">
        <v>1004</v>
      </c>
      <c r="E985" s="11" t="s">
        <v>158</v>
      </c>
      <c r="F985" s="11">
        <v>2011.0</v>
      </c>
      <c r="G985" s="40">
        <v>481.0</v>
      </c>
      <c r="H985" s="40">
        <f t="shared" ref="H985:I985" si="864">F985-F984</f>
        <v>1</v>
      </c>
      <c r="I985" s="40">
        <f t="shared" si="864"/>
        <v>6</v>
      </c>
      <c r="J985" s="73">
        <f t="shared" si="844"/>
        <v>0.01263157895</v>
      </c>
      <c r="K985" s="66">
        <f t="shared" si="845"/>
        <v>0.01263157895</v>
      </c>
      <c r="L985" s="29" t="s">
        <v>260</v>
      </c>
    </row>
    <row r="986">
      <c r="A986" s="11" t="s">
        <v>1082</v>
      </c>
      <c r="B986" s="11" t="s">
        <v>179</v>
      </c>
      <c r="C986" s="11" t="s">
        <v>1083</v>
      </c>
      <c r="D986" s="11" t="s">
        <v>1004</v>
      </c>
      <c r="E986" s="11" t="s">
        <v>158</v>
      </c>
      <c r="F986" s="11">
        <v>2012.0</v>
      </c>
      <c r="G986" s="40">
        <v>473.0</v>
      </c>
      <c r="H986" s="40">
        <f t="shared" ref="H986:I986" si="865">F986-F985</f>
        <v>1</v>
      </c>
      <c r="I986" s="40">
        <f t="shared" si="865"/>
        <v>-8</v>
      </c>
      <c r="J986" s="73">
        <f t="shared" si="844"/>
        <v>-0.01663201663</v>
      </c>
      <c r="K986" s="66">
        <f t="shared" si="845"/>
        <v>-0.01663201663</v>
      </c>
      <c r="L986" s="29" t="s">
        <v>260</v>
      </c>
    </row>
    <row r="987">
      <c r="A987" s="11" t="s">
        <v>1082</v>
      </c>
      <c r="B987" s="11" t="s">
        <v>179</v>
      </c>
      <c r="C987" s="11" t="s">
        <v>1083</v>
      </c>
      <c r="D987" s="11" t="s">
        <v>1004</v>
      </c>
      <c r="E987" s="11" t="s">
        <v>158</v>
      </c>
      <c r="F987" s="11">
        <v>2013.0</v>
      </c>
      <c r="G987" s="40">
        <v>478.0</v>
      </c>
      <c r="H987" s="40">
        <f t="shared" ref="H987:I987" si="866">F987-F986</f>
        <v>1</v>
      </c>
      <c r="I987" s="40">
        <f t="shared" si="866"/>
        <v>5</v>
      </c>
      <c r="J987" s="73">
        <f t="shared" si="844"/>
        <v>0.01057082452</v>
      </c>
      <c r="K987" s="66">
        <f t="shared" si="845"/>
        <v>0.01057082452</v>
      </c>
      <c r="L987" s="29" t="s">
        <v>260</v>
      </c>
    </row>
    <row r="988">
      <c r="A988" s="11" t="s">
        <v>1082</v>
      </c>
      <c r="B988" s="11" t="s">
        <v>179</v>
      </c>
      <c r="C988" s="11" t="s">
        <v>1083</v>
      </c>
      <c r="D988" s="11" t="s">
        <v>1004</v>
      </c>
      <c r="E988" s="11" t="s">
        <v>158</v>
      </c>
      <c r="F988" s="11">
        <v>2014.0</v>
      </c>
      <c r="G988" s="40">
        <v>473.0</v>
      </c>
      <c r="H988" s="40">
        <f t="shared" ref="H988:I988" si="867">F988-F987</f>
        <v>1</v>
      </c>
      <c r="I988" s="40">
        <f t="shared" si="867"/>
        <v>-5</v>
      </c>
      <c r="J988" s="73">
        <f t="shared" si="844"/>
        <v>-0.01046025105</v>
      </c>
      <c r="K988" s="66">
        <f t="shared" si="845"/>
        <v>-0.01046025105</v>
      </c>
      <c r="L988" s="29" t="s">
        <v>260</v>
      </c>
    </row>
    <row r="989">
      <c r="A989" s="11" t="s">
        <v>1082</v>
      </c>
      <c r="B989" s="11" t="s">
        <v>179</v>
      </c>
      <c r="C989" s="11" t="s">
        <v>1083</v>
      </c>
      <c r="D989" s="11" t="s">
        <v>1004</v>
      </c>
      <c r="E989" s="11" t="s">
        <v>158</v>
      </c>
      <c r="F989" s="11">
        <v>2015.0</v>
      </c>
      <c r="G989" s="40">
        <v>469.0</v>
      </c>
      <c r="H989" s="40">
        <f t="shared" ref="H989:I989" si="868">F989-F988</f>
        <v>1</v>
      </c>
      <c r="I989" s="40">
        <f t="shared" si="868"/>
        <v>-4</v>
      </c>
      <c r="J989" s="73">
        <f t="shared" si="844"/>
        <v>-0.008456659619</v>
      </c>
      <c r="K989" s="66">
        <f t="shared" si="845"/>
        <v>-0.008456659619</v>
      </c>
      <c r="L989" s="29" t="s">
        <v>260</v>
      </c>
    </row>
    <row r="990">
      <c r="A990" s="11" t="s">
        <v>1082</v>
      </c>
      <c r="B990" s="11" t="s">
        <v>179</v>
      </c>
      <c r="C990" s="11" t="s">
        <v>1083</v>
      </c>
      <c r="D990" s="11" t="s">
        <v>1004</v>
      </c>
      <c r="E990" s="11" t="s">
        <v>158</v>
      </c>
      <c r="F990" s="11">
        <v>2016.0</v>
      </c>
      <c r="G990" s="40">
        <v>452.0</v>
      </c>
      <c r="H990" s="40">
        <f t="shared" ref="H990:I990" si="869">F990-F989</f>
        <v>1</v>
      </c>
      <c r="I990" s="40">
        <f t="shared" si="869"/>
        <v>-17</v>
      </c>
      <c r="J990" s="73">
        <f t="shared" si="844"/>
        <v>-0.03624733475</v>
      </c>
      <c r="K990" s="66">
        <f t="shared" si="845"/>
        <v>-0.03624733475</v>
      </c>
      <c r="L990" s="29" t="s">
        <v>260</v>
      </c>
    </row>
    <row r="991">
      <c r="A991" s="11" t="s">
        <v>1082</v>
      </c>
      <c r="B991" s="11" t="s">
        <v>179</v>
      </c>
      <c r="C991" s="11" t="s">
        <v>1083</v>
      </c>
      <c r="D991" s="11" t="s">
        <v>1004</v>
      </c>
      <c r="E991" s="11" t="s">
        <v>158</v>
      </c>
      <c r="F991" s="11">
        <v>2017.0</v>
      </c>
      <c r="G991" s="40">
        <v>429.0</v>
      </c>
      <c r="H991" s="40">
        <f t="shared" ref="H991:I991" si="870">F991-F990</f>
        <v>1</v>
      </c>
      <c r="I991" s="40">
        <f t="shared" si="870"/>
        <v>-23</v>
      </c>
      <c r="J991" s="73">
        <f t="shared" si="844"/>
        <v>-0.05088495575</v>
      </c>
      <c r="K991" s="66">
        <f t="shared" si="845"/>
        <v>-0.05088495575</v>
      </c>
      <c r="L991" s="29" t="s">
        <v>260</v>
      </c>
    </row>
    <row r="992">
      <c r="A992" s="11" t="s">
        <v>1082</v>
      </c>
      <c r="B992" s="11" t="s">
        <v>179</v>
      </c>
      <c r="C992" s="11" t="s">
        <v>1083</v>
      </c>
      <c r="D992" s="11" t="s">
        <v>1004</v>
      </c>
      <c r="E992" s="11" t="s">
        <v>158</v>
      </c>
      <c r="F992" s="11">
        <v>2018.0</v>
      </c>
      <c r="G992" s="40">
        <v>385.0</v>
      </c>
      <c r="H992" s="40">
        <f t="shared" ref="H992:I992" si="871">F992-F991</f>
        <v>1</v>
      </c>
      <c r="I992" s="40">
        <f t="shared" si="871"/>
        <v>-44</v>
      </c>
      <c r="J992" s="73">
        <f t="shared" si="844"/>
        <v>-0.1025641026</v>
      </c>
      <c r="K992" s="66">
        <f t="shared" si="845"/>
        <v>-0.1025641026</v>
      </c>
      <c r="L992" s="29" t="s">
        <v>260</v>
      </c>
    </row>
    <row r="993">
      <c r="A993" s="11" t="s">
        <v>1082</v>
      </c>
      <c r="B993" s="11" t="s">
        <v>179</v>
      </c>
      <c r="C993" s="11" t="s">
        <v>1083</v>
      </c>
      <c r="D993" s="11" t="s">
        <v>1004</v>
      </c>
      <c r="E993" s="11" t="s">
        <v>158</v>
      </c>
      <c r="F993" s="11">
        <v>2019.0</v>
      </c>
      <c r="G993" s="40">
        <v>366.0</v>
      </c>
      <c r="H993" s="40">
        <f t="shared" ref="H993:I993" si="872">F993-F992</f>
        <v>1</v>
      </c>
      <c r="I993" s="40">
        <f t="shared" si="872"/>
        <v>-19</v>
      </c>
      <c r="J993" s="73">
        <f t="shared" si="844"/>
        <v>-0.04935064935</v>
      </c>
      <c r="K993" s="66">
        <f t="shared" si="845"/>
        <v>-0.04935064935</v>
      </c>
      <c r="L993" s="29" t="s">
        <v>260</v>
      </c>
    </row>
    <row r="994">
      <c r="A994" s="11" t="s">
        <v>1082</v>
      </c>
      <c r="B994" s="11" t="s">
        <v>179</v>
      </c>
      <c r="C994" s="11" t="s">
        <v>1083</v>
      </c>
      <c r="D994" s="11" t="s">
        <v>1004</v>
      </c>
      <c r="E994" s="11" t="s">
        <v>158</v>
      </c>
      <c r="F994" s="11">
        <v>2020.0</v>
      </c>
      <c r="G994" s="40">
        <v>339.0</v>
      </c>
      <c r="H994" s="40">
        <f t="shared" ref="H994:I994" si="873">F994-F993</f>
        <v>1</v>
      </c>
      <c r="I994" s="40">
        <f t="shared" si="873"/>
        <v>-27</v>
      </c>
      <c r="J994" s="73">
        <f t="shared" si="844"/>
        <v>-0.0737704918</v>
      </c>
      <c r="K994" s="66">
        <f t="shared" si="845"/>
        <v>-0.0737704918</v>
      </c>
      <c r="L994" s="29" t="s">
        <v>260</v>
      </c>
    </row>
    <row r="995">
      <c r="A995" s="11" t="s">
        <v>1128</v>
      </c>
      <c r="B995" s="11" t="s">
        <v>226</v>
      </c>
      <c r="C995" s="11" t="s">
        <v>1129</v>
      </c>
      <c r="D995" s="11" t="s">
        <v>1130</v>
      </c>
      <c r="E995" s="11" t="s">
        <v>1131</v>
      </c>
      <c r="F995" s="44">
        <v>1957.92560232316</v>
      </c>
      <c r="G995" s="27" t="s">
        <v>188</v>
      </c>
      <c r="H995" s="27" t="s">
        <v>188</v>
      </c>
      <c r="I995" s="27" t="s">
        <v>188</v>
      </c>
      <c r="J995" s="27" t="s">
        <v>188</v>
      </c>
      <c r="K995" s="66" t="s">
        <v>188</v>
      </c>
      <c r="L995" s="28" t="s">
        <v>81</v>
      </c>
    </row>
    <row r="996">
      <c r="A996" s="11" t="s">
        <v>1128</v>
      </c>
      <c r="B996" s="11" t="s">
        <v>226</v>
      </c>
      <c r="C996" s="11" t="s">
        <v>1129</v>
      </c>
      <c r="D996" s="11" t="s">
        <v>1130</v>
      </c>
      <c r="E996" s="11" t="s">
        <v>1131</v>
      </c>
      <c r="F996" s="27">
        <v>1959.0</v>
      </c>
      <c r="G996" s="27" t="s">
        <v>188</v>
      </c>
      <c r="H996" s="27" t="s">
        <v>188</v>
      </c>
      <c r="I996" s="27" t="s">
        <v>188</v>
      </c>
      <c r="J996" s="27" t="s">
        <v>188</v>
      </c>
      <c r="K996" s="66" t="s">
        <v>188</v>
      </c>
      <c r="L996" s="28" t="s">
        <v>81</v>
      </c>
    </row>
    <row r="997">
      <c r="A997" s="11" t="s">
        <v>1128</v>
      </c>
      <c r="B997" s="11" t="s">
        <v>226</v>
      </c>
      <c r="C997" s="11" t="s">
        <v>1129</v>
      </c>
      <c r="D997" s="11" t="s">
        <v>1130</v>
      </c>
      <c r="E997" s="11" t="s">
        <v>1131</v>
      </c>
      <c r="F997" s="27">
        <v>1960.0</v>
      </c>
      <c r="G997" s="27" t="s">
        <v>188</v>
      </c>
      <c r="H997" s="27" t="s">
        <v>188</v>
      </c>
      <c r="I997" s="27" t="s">
        <v>188</v>
      </c>
      <c r="J997" s="27" t="s">
        <v>188</v>
      </c>
      <c r="K997" s="66" t="s">
        <v>188</v>
      </c>
      <c r="L997" s="28" t="s">
        <v>81</v>
      </c>
    </row>
    <row r="998">
      <c r="A998" s="11" t="s">
        <v>1128</v>
      </c>
      <c r="B998" s="11" t="s">
        <v>226</v>
      </c>
      <c r="C998" s="11" t="s">
        <v>1129</v>
      </c>
      <c r="D998" s="11" t="s">
        <v>1130</v>
      </c>
      <c r="E998" s="11" t="s">
        <v>1131</v>
      </c>
      <c r="F998" s="27">
        <v>1961.0</v>
      </c>
      <c r="G998" s="27">
        <v>12.0</v>
      </c>
      <c r="H998" s="27" t="s">
        <v>188</v>
      </c>
      <c r="I998" s="27" t="s">
        <v>188</v>
      </c>
      <c r="J998" s="27" t="s">
        <v>188</v>
      </c>
      <c r="K998" s="66" t="s">
        <v>188</v>
      </c>
      <c r="L998" s="28" t="s">
        <v>81</v>
      </c>
    </row>
    <row r="999">
      <c r="A999" s="11" t="s">
        <v>1128</v>
      </c>
      <c r="B999" s="11" t="s">
        <v>226</v>
      </c>
      <c r="C999" s="11" t="s">
        <v>1129</v>
      </c>
      <c r="D999" s="11" t="s">
        <v>1130</v>
      </c>
      <c r="E999" s="11" t="s">
        <v>1131</v>
      </c>
      <c r="F999" s="44">
        <v>1961.97513471765</v>
      </c>
      <c r="G999" s="27">
        <v>23.0</v>
      </c>
      <c r="H999" s="27" t="s">
        <v>188</v>
      </c>
      <c r="I999" s="27" t="s">
        <v>188</v>
      </c>
      <c r="J999" s="27" t="s">
        <v>188</v>
      </c>
      <c r="K999" s="66" t="s">
        <v>188</v>
      </c>
      <c r="L999" s="28" t="s">
        <v>81</v>
      </c>
    </row>
    <row r="1000">
      <c r="A1000" s="11" t="s">
        <v>1128</v>
      </c>
      <c r="B1000" s="11" t="s">
        <v>226</v>
      </c>
      <c r="C1000" s="11" t="s">
        <v>1129</v>
      </c>
      <c r="D1000" s="11" t="s">
        <v>1130</v>
      </c>
      <c r="E1000" s="11" t="s">
        <v>1131</v>
      </c>
      <c r="F1000" s="44">
        <v>1962.87513243107</v>
      </c>
      <c r="G1000" s="27">
        <v>32.0</v>
      </c>
      <c r="H1000" s="27" t="s">
        <v>188</v>
      </c>
      <c r="I1000" s="27" t="s">
        <v>188</v>
      </c>
      <c r="J1000" s="27" t="s">
        <v>188</v>
      </c>
      <c r="K1000" s="66" t="s">
        <v>188</v>
      </c>
      <c r="L1000" s="28" t="s">
        <v>81</v>
      </c>
    </row>
    <row r="1001">
      <c r="A1001" s="11" t="s">
        <v>1128</v>
      </c>
      <c r="B1001" s="11" t="s">
        <v>226</v>
      </c>
      <c r="C1001" s="11" t="s">
        <v>1129</v>
      </c>
      <c r="D1001" s="11" t="s">
        <v>1130</v>
      </c>
      <c r="E1001" s="11" t="s">
        <v>1131</v>
      </c>
      <c r="F1001" s="44">
        <v>1963.70013033503</v>
      </c>
      <c r="G1001" s="27">
        <v>60.0</v>
      </c>
      <c r="H1001" s="27" t="s">
        <v>188</v>
      </c>
      <c r="I1001" s="27" t="s">
        <v>188</v>
      </c>
      <c r="J1001" s="27" t="s">
        <v>188</v>
      </c>
      <c r="K1001" s="66" t="s">
        <v>188</v>
      </c>
      <c r="L1001" s="28" t="s">
        <v>81</v>
      </c>
    </row>
    <row r="1002">
      <c r="A1002" s="11" t="s">
        <v>1128</v>
      </c>
      <c r="B1002" s="11" t="s">
        <v>226</v>
      </c>
      <c r="C1002" s="11" t="s">
        <v>1129</v>
      </c>
      <c r="D1002" s="11" t="s">
        <v>1130</v>
      </c>
      <c r="E1002" s="11" t="s">
        <v>1131</v>
      </c>
      <c r="F1002" s="44">
        <v>1964.90012728626</v>
      </c>
      <c r="G1002" s="27">
        <v>75.0</v>
      </c>
      <c r="H1002" s="27" t="s">
        <v>188</v>
      </c>
      <c r="I1002" s="27" t="s">
        <v>188</v>
      </c>
      <c r="J1002" s="27" t="s">
        <v>188</v>
      </c>
      <c r="K1002" s="66" t="s">
        <v>188</v>
      </c>
      <c r="L1002" s="28" t="s">
        <v>81</v>
      </c>
    </row>
    <row r="1003">
      <c r="A1003" s="11" t="s">
        <v>1128</v>
      </c>
      <c r="B1003" s="11" t="s">
        <v>226</v>
      </c>
      <c r="C1003" s="11" t="s">
        <v>1129</v>
      </c>
      <c r="D1003" s="11" t="s">
        <v>1130</v>
      </c>
      <c r="E1003" s="11" t="s">
        <v>1131</v>
      </c>
      <c r="F1003" s="44">
        <v>1965.87512480913</v>
      </c>
      <c r="G1003" s="27">
        <v>100.0</v>
      </c>
      <c r="H1003" s="27" t="s">
        <v>188</v>
      </c>
      <c r="I1003" s="27" t="s">
        <v>188</v>
      </c>
      <c r="J1003" s="27" t="s">
        <v>188</v>
      </c>
      <c r="K1003" s="66" t="s">
        <v>188</v>
      </c>
      <c r="L1003" s="28" t="s">
        <v>81</v>
      </c>
    </row>
    <row r="1004">
      <c r="A1004" s="11" t="s">
        <v>1128</v>
      </c>
      <c r="B1004" s="11" t="s">
        <v>226</v>
      </c>
      <c r="C1004" s="11" t="s">
        <v>1129</v>
      </c>
      <c r="D1004" s="11" t="s">
        <v>1130</v>
      </c>
      <c r="E1004" s="11" t="s">
        <v>1131</v>
      </c>
      <c r="F1004" s="44">
        <v>1966.85012233201</v>
      </c>
      <c r="G1004" s="27">
        <v>143.0</v>
      </c>
      <c r="H1004" s="27" t="s">
        <v>188</v>
      </c>
      <c r="I1004" s="27" t="s">
        <v>188</v>
      </c>
      <c r="J1004" s="27" t="s">
        <v>188</v>
      </c>
      <c r="K1004" s="66" t="s">
        <v>188</v>
      </c>
      <c r="L1004" s="28" t="s">
        <v>81</v>
      </c>
    </row>
    <row r="1005">
      <c r="A1005" s="11" t="s">
        <v>1128</v>
      </c>
      <c r="B1005" s="11" t="s">
        <v>226</v>
      </c>
      <c r="C1005" s="11" t="s">
        <v>1129</v>
      </c>
      <c r="D1005" s="11" t="s">
        <v>1130</v>
      </c>
      <c r="E1005" s="11" t="s">
        <v>1131</v>
      </c>
      <c r="F1005" s="44">
        <v>1967.82511985488</v>
      </c>
      <c r="G1005" s="27">
        <v>187.0</v>
      </c>
      <c r="H1005" s="27" t="s">
        <v>188</v>
      </c>
      <c r="I1005" s="27" t="s">
        <v>188</v>
      </c>
      <c r="J1005" s="27" t="s">
        <v>188</v>
      </c>
      <c r="K1005" s="66" t="s">
        <v>188</v>
      </c>
      <c r="L1005" s="28" t="s">
        <v>81</v>
      </c>
    </row>
    <row r="1006">
      <c r="A1006" s="11" t="s">
        <v>1128</v>
      </c>
      <c r="B1006" s="11" t="s">
        <v>226</v>
      </c>
      <c r="C1006" s="11" t="s">
        <v>1129</v>
      </c>
      <c r="D1006" s="11" t="s">
        <v>1130</v>
      </c>
      <c r="E1006" s="11" t="s">
        <v>1131</v>
      </c>
      <c r="F1006" s="44">
        <v>1968.95026943529</v>
      </c>
      <c r="G1006" s="27">
        <v>238.0</v>
      </c>
      <c r="H1006" s="27" t="s">
        <v>188</v>
      </c>
      <c r="I1006" s="27" t="s">
        <v>188</v>
      </c>
      <c r="J1006" s="27" t="s">
        <v>188</v>
      </c>
      <c r="K1006" s="66" t="s">
        <v>188</v>
      </c>
      <c r="L1006" s="28" t="s">
        <v>81</v>
      </c>
    </row>
    <row r="1007">
      <c r="A1007" s="11" t="s">
        <v>1128</v>
      </c>
      <c r="B1007" s="11" t="s">
        <v>226</v>
      </c>
      <c r="C1007" s="11" t="s">
        <v>1129</v>
      </c>
      <c r="D1007" s="11" t="s">
        <v>1130</v>
      </c>
      <c r="E1007" s="11" t="s">
        <v>1131</v>
      </c>
      <c r="F1007" s="44">
        <v>1969.85030525837</v>
      </c>
      <c r="G1007" s="27">
        <v>307.0</v>
      </c>
      <c r="H1007" s="27" t="s">
        <v>188</v>
      </c>
      <c r="I1007" s="27" t="s">
        <v>188</v>
      </c>
      <c r="J1007" s="27" t="s">
        <v>188</v>
      </c>
      <c r="K1007" s="66" t="s">
        <v>188</v>
      </c>
      <c r="L1007" s="28" t="s">
        <v>81</v>
      </c>
    </row>
    <row r="1008">
      <c r="A1008" s="11" t="s">
        <v>1128</v>
      </c>
      <c r="B1008" s="11" t="s">
        <v>226</v>
      </c>
      <c r="C1008" s="11" t="s">
        <v>1129</v>
      </c>
      <c r="D1008" s="11" t="s">
        <v>1130</v>
      </c>
      <c r="E1008" s="11" t="s">
        <v>1131</v>
      </c>
      <c r="F1008" s="44">
        <v>1970.97541672912</v>
      </c>
      <c r="G1008" s="27">
        <v>326.0</v>
      </c>
      <c r="H1008" s="27" t="s">
        <v>188</v>
      </c>
      <c r="I1008" s="27" t="s">
        <v>188</v>
      </c>
      <c r="J1008" s="27" t="s">
        <v>188</v>
      </c>
      <c r="K1008" s="66" t="s">
        <v>188</v>
      </c>
      <c r="L1008" s="28" t="s">
        <v>81</v>
      </c>
    </row>
    <row r="1009">
      <c r="A1009" s="11" t="s">
        <v>1128</v>
      </c>
      <c r="B1009" s="11" t="s">
        <v>226</v>
      </c>
      <c r="C1009" s="11" t="s">
        <v>1129</v>
      </c>
      <c r="D1009" s="11" t="s">
        <v>1130</v>
      </c>
      <c r="E1009" s="11" t="s">
        <v>1131</v>
      </c>
      <c r="F1009" s="44">
        <v>1971.950414252</v>
      </c>
      <c r="G1009" s="27">
        <v>391.0</v>
      </c>
      <c r="H1009" s="27" t="s">
        <v>188</v>
      </c>
      <c r="I1009" s="27" t="s">
        <v>188</v>
      </c>
      <c r="J1009" s="27" t="s">
        <v>188</v>
      </c>
      <c r="K1009" s="66" t="s">
        <v>188</v>
      </c>
      <c r="L1009" s="28" t="s">
        <v>81</v>
      </c>
    </row>
    <row r="1010">
      <c r="A1010" s="11" t="s">
        <v>1128</v>
      </c>
      <c r="B1010" s="11" t="s">
        <v>226</v>
      </c>
      <c r="C1010" s="11" t="s">
        <v>1129</v>
      </c>
      <c r="D1010" s="11" t="s">
        <v>1130</v>
      </c>
      <c r="E1010" s="11" t="s">
        <v>1131</v>
      </c>
      <c r="F1010" s="44">
        <v>1972.92541177487</v>
      </c>
      <c r="G1010" s="27">
        <v>437.0</v>
      </c>
      <c r="H1010" s="27" t="s">
        <v>188</v>
      </c>
      <c r="I1010" s="27" t="s">
        <v>188</v>
      </c>
      <c r="J1010" s="27" t="s">
        <v>188</v>
      </c>
      <c r="K1010" s="66" t="s">
        <v>188</v>
      </c>
      <c r="L1010" s="28" t="s">
        <v>81</v>
      </c>
    </row>
    <row r="1011">
      <c r="A1011" s="11" t="s">
        <v>1128</v>
      </c>
      <c r="B1011" s="11" t="s">
        <v>226</v>
      </c>
      <c r="C1011" s="11" t="s">
        <v>1129</v>
      </c>
      <c r="D1011" s="11" t="s">
        <v>1130</v>
      </c>
      <c r="E1011" s="11" t="s">
        <v>1131</v>
      </c>
      <c r="F1011" s="44">
        <v>1973.90056173638</v>
      </c>
      <c r="G1011" s="27">
        <v>512.0</v>
      </c>
      <c r="H1011" s="27" t="s">
        <v>188</v>
      </c>
      <c r="I1011" s="27" t="s">
        <v>188</v>
      </c>
      <c r="J1011" s="27" t="s">
        <v>188</v>
      </c>
      <c r="K1011" s="66" t="s">
        <v>188</v>
      </c>
      <c r="L1011" s="28" t="s">
        <v>81</v>
      </c>
    </row>
    <row r="1012">
      <c r="A1012" s="11" t="s">
        <v>1128</v>
      </c>
      <c r="B1012" s="11" t="s">
        <v>226</v>
      </c>
      <c r="C1012" s="11" t="s">
        <v>1129</v>
      </c>
      <c r="D1012" s="11" t="s">
        <v>1130</v>
      </c>
      <c r="E1012" s="11" t="s">
        <v>1131</v>
      </c>
      <c r="F1012" s="44">
        <v>1974.8005594498</v>
      </c>
      <c r="G1012" s="27">
        <v>657.0</v>
      </c>
      <c r="H1012" s="27" t="s">
        <v>188</v>
      </c>
      <c r="I1012" s="27" t="s">
        <v>188</v>
      </c>
      <c r="J1012" s="27" t="s">
        <v>188</v>
      </c>
      <c r="K1012" s="66" t="s">
        <v>188</v>
      </c>
      <c r="L1012" s="28" t="s">
        <v>81</v>
      </c>
    </row>
    <row r="1013">
      <c r="A1013" s="11" t="s">
        <v>1128</v>
      </c>
      <c r="B1013" s="11" t="s">
        <v>226</v>
      </c>
      <c r="C1013" s="11" t="s">
        <v>1129</v>
      </c>
      <c r="D1013" s="11" t="s">
        <v>1130</v>
      </c>
      <c r="E1013" s="11" t="s">
        <v>1131</v>
      </c>
      <c r="F1013" s="44">
        <v>1975.92586146885</v>
      </c>
      <c r="G1013" s="27">
        <v>815.0</v>
      </c>
      <c r="H1013" s="27" t="s">
        <v>188</v>
      </c>
      <c r="I1013" s="27" t="s">
        <v>188</v>
      </c>
      <c r="J1013" s="27" t="s">
        <v>188</v>
      </c>
      <c r="K1013" s="66" t="s">
        <v>188</v>
      </c>
      <c r="L1013" s="28" t="s">
        <v>81</v>
      </c>
    </row>
    <row r="1014">
      <c r="A1014" s="11" t="s">
        <v>1128</v>
      </c>
      <c r="B1014" s="11" t="s">
        <v>226</v>
      </c>
      <c r="C1014" s="11" t="s">
        <v>1129</v>
      </c>
      <c r="D1014" s="11" t="s">
        <v>1130</v>
      </c>
      <c r="E1014" s="11" t="s">
        <v>1131</v>
      </c>
      <c r="F1014" s="44">
        <v>1976.90116386899</v>
      </c>
      <c r="G1014" s="27">
        <v>995.0</v>
      </c>
      <c r="H1014" s="27" t="s">
        <v>188</v>
      </c>
      <c r="I1014" s="27" t="s">
        <v>188</v>
      </c>
      <c r="J1014" s="27" t="s">
        <v>188</v>
      </c>
      <c r="K1014" s="66" t="s">
        <v>188</v>
      </c>
      <c r="L1014" s="28" t="s">
        <v>81</v>
      </c>
    </row>
    <row r="1015">
      <c r="A1015" s="11" t="s">
        <v>1128</v>
      </c>
      <c r="B1015" s="11" t="s">
        <v>226</v>
      </c>
      <c r="C1015" s="11" t="s">
        <v>1129</v>
      </c>
      <c r="D1015" s="11" t="s">
        <v>1130</v>
      </c>
      <c r="E1015" s="11" t="s">
        <v>1131</v>
      </c>
      <c r="F1015" s="44">
        <v>1977.95146607859</v>
      </c>
      <c r="G1015" s="27">
        <v>1131.0</v>
      </c>
      <c r="H1015" s="27" t="s">
        <v>188</v>
      </c>
      <c r="I1015" s="27" t="s">
        <v>188</v>
      </c>
      <c r="J1015" s="27" t="s">
        <v>188</v>
      </c>
      <c r="K1015" s="66" t="s">
        <v>188</v>
      </c>
      <c r="L1015" s="28" t="s">
        <v>81</v>
      </c>
    </row>
    <row r="1016">
      <c r="A1016" s="11" t="s">
        <v>1128</v>
      </c>
      <c r="B1016" s="11" t="s">
        <v>226</v>
      </c>
      <c r="C1016" s="11" t="s">
        <v>1129</v>
      </c>
      <c r="D1016" s="11" t="s">
        <v>1130</v>
      </c>
      <c r="E1016" s="11" t="s">
        <v>1131</v>
      </c>
      <c r="F1016" s="44">
        <v>1978.92676847874</v>
      </c>
      <c r="G1016" s="27">
        <v>1330.0</v>
      </c>
      <c r="H1016" s="27" t="s">
        <v>188</v>
      </c>
      <c r="I1016" s="27" t="s">
        <v>188</v>
      </c>
      <c r="J1016" s="27" t="s">
        <v>188</v>
      </c>
      <c r="K1016" s="66" t="s">
        <v>188</v>
      </c>
      <c r="L1016" s="28" t="s">
        <v>81</v>
      </c>
    </row>
    <row r="1017">
      <c r="A1017" s="11" t="s">
        <v>1128</v>
      </c>
      <c r="B1017" s="11" t="s">
        <v>226</v>
      </c>
      <c r="C1017" s="11" t="s">
        <v>1129</v>
      </c>
      <c r="D1017" s="11" t="s">
        <v>1130</v>
      </c>
      <c r="E1017" s="11" t="s">
        <v>1131</v>
      </c>
      <c r="F1017" s="44">
        <v>1979.97737556561</v>
      </c>
      <c r="G1017" s="27">
        <v>1600.0</v>
      </c>
      <c r="H1017" s="27" t="s">
        <v>188</v>
      </c>
      <c r="I1017" s="27" t="s">
        <v>188</v>
      </c>
      <c r="J1017" s="27" t="s">
        <v>188</v>
      </c>
      <c r="K1017" s="66" t="s">
        <v>188</v>
      </c>
      <c r="L1017" s="28" t="s">
        <v>81</v>
      </c>
    </row>
    <row r="1018">
      <c r="A1018" s="11" t="s">
        <v>1128</v>
      </c>
      <c r="B1018" s="11" t="s">
        <v>226</v>
      </c>
      <c r="C1018" s="11" t="s">
        <v>1129</v>
      </c>
      <c r="D1018" s="11" t="s">
        <v>1130</v>
      </c>
      <c r="E1018" s="11" t="s">
        <v>1131</v>
      </c>
      <c r="F1018" s="44">
        <v>1980.95237308848</v>
      </c>
      <c r="G1018" s="27">
        <v>1609.0</v>
      </c>
      <c r="H1018" s="27" t="s">
        <v>188</v>
      </c>
      <c r="I1018" s="27" t="s">
        <v>188</v>
      </c>
      <c r="J1018" s="27" t="s">
        <v>188</v>
      </c>
      <c r="K1018" s="66" t="s">
        <v>188</v>
      </c>
      <c r="L1018" s="28" t="s">
        <v>81</v>
      </c>
    </row>
    <row r="1019">
      <c r="A1019" s="11" t="s">
        <v>1128</v>
      </c>
      <c r="B1019" s="11" t="s">
        <v>226</v>
      </c>
      <c r="C1019" s="11" t="s">
        <v>1129</v>
      </c>
      <c r="D1019" s="11" t="s">
        <v>1130</v>
      </c>
      <c r="E1019" s="11" t="s">
        <v>1131</v>
      </c>
      <c r="F1019" s="44">
        <v>1981.92782792727</v>
      </c>
      <c r="G1019" s="27">
        <v>1897.0</v>
      </c>
      <c r="H1019" s="27" t="s">
        <v>188</v>
      </c>
      <c r="I1019" s="27" t="s">
        <v>188</v>
      </c>
      <c r="J1019" s="27" t="s">
        <v>188</v>
      </c>
      <c r="K1019" s="66" t="s">
        <v>188</v>
      </c>
      <c r="L1019" s="28" t="s">
        <v>81</v>
      </c>
    </row>
    <row r="1020">
      <c r="A1020" s="11" t="s">
        <v>1128</v>
      </c>
      <c r="B1020" s="11" t="s">
        <v>226</v>
      </c>
      <c r="C1020" s="11" t="s">
        <v>1129</v>
      </c>
      <c r="D1020" s="11" t="s">
        <v>1130</v>
      </c>
      <c r="E1020" s="11" t="s">
        <v>1131</v>
      </c>
      <c r="F1020" s="44">
        <v>1982.90313032741</v>
      </c>
      <c r="G1020" s="27">
        <v>2123.0</v>
      </c>
      <c r="H1020" s="27" t="s">
        <v>188</v>
      </c>
      <c r="I1020" s="27" t="s">
        <v>188</v>
      </c>
      <c r="J1020" s="27" t="s">
        <v>188</v>
      </c>
      <c r="K1020" s="66" t="s">
        <v>188</v>
      </c>
      <c r="L1020" s="28" t="s">
        <v>81</v>
      </c>
    </row>
    <row r="1021">
      <c r="A1021" s="11" t="s">
        <v>1128</v>
      </c>
      <c r="B1021" s="11" t="s">
        <v>226</v>
      </c>
      <c r="C1021" s="11" t="s">
        <v>1129</v>
      </c>
      <c r="D1021" s="11" t="s">
        <v>1130</v>
      </c>
      <c r="E1021" s="11" t="s">
        <v>1131</v>
      </c>
      <c r="F1021" s="44">
        <v>1983.95328009837</v>
      </c>
      <c r="G1021" s="27">
        <v>2338.0</v>
      </c>
      <c r="H1021" s="27" t="s">
        <v>188</v>
      </c>
      <c r="I1021" s="27" t="s">
        <v>188</v>
      </c>
      <c r="J1021" s="27" t="s">
        <v>188</v>
      </c>
      <c r="K1021" s="66" t="s">
        <v>188</v>
      </c>
      <c r="L1021" s="28" t="s">
        <v>81</v>
      </c>
    </row>
    <row r="1022">
      <c r="A1022" s="11" t="s">
        <v>1128</v>
      </c>
      <c r="B1022" s="11" t="s">
        <v>226</v>
      </c>
      <c r="C1022" s="11" t="s">
        <v>1129</v>
      </c>
      <c r="D1022" s="11" t="s">
        <v>1130</v>
      </c>
      <c r="E1022" s="11" t="s">
        <v>1131</v>
      </c>
      <c r="F1022" s="44">
        <v>1985.00282011479</v>
      </c>
      <c r="G1022" s="27">
        <v>1940.0</v>
      </c>
      <c r="H1022" s="27" t="s">
        <v>188</v>
      </c>
      <c r="I1022" s="27" t="s">
        <v>188</v>
      </c>
      <c r="J1022" s="27" t="s">
        <v>188</v>
      </c>
      <c r="K1022" s="66" t="s">
        <v>188</v>
      </c>
      <c r="L1022" s="28" t="s">
        <v>81</v>
      </c>
    </row>
    <row r="1023">
      <c r="A1023" s="11" t="s">
        <v>1128</v>
      </c>
      <c r="B1023" s="11" t="s">
        <v>226</v>
      </c>
      <c r="C1023" s="11" t="s">
        <v>1129</v>
      </c>
      <c r="D1023" s="11" t="s">
        <v>1130</v>
      </c>
      <c r="E1023" s="11" t="s">
        <v>1131</v>
      </c>
      <c r="F1023" s="44">
        <v>1985.90312270548</v>
      </c>
      <c r="G1023" s="27">
        <v>2183.0</v>
      </c>
      <c r="H1023" s="27" t="s">
        <v>188</v>
      </c>
      <c r="I1023" s="27" t="s">
        <v>188</v>
      </c>
      <c r="J1023" s="27" t="s">
        <v>188</v>
      </c>
      <c r="K1023" s="66" t="s">
        <v>188</v>
      </c>
      <c r="L1023" s="28" t="s">
        <v>81</v>
      </c>
    </row>
    <row r="1024">
      <c r="A1024" s="11" t="s">
        <v>1128</v>
      </c>
      <c r="B1024" s="11" t="s">
        <v>226</v>
      </c>
      <c r="C1024" s="11" t="s">
        <v>1129</v>
      </c>
      <c r="D1024" s="11" t="s">
        <v>1130</v>
      </c>
      <c r="E1024" s="11" t="s">
        <v>1131</v>
      </c>
      <c r="F1024" s="44">
        <v>1986.87781535108</v>
      </c>
      <c r="G1024" s="27">
        <v>1976.0</v>
      </c>
      <c r="H1024" s="27" t="s">
        <v>188</v>
      </c>
      <c r="I1024" s="27" t="s">
        <v>188</v>
      </c>
      <c r="J1024" s="27" t="s">
        <v>188</v>
      </c>
      <c r="K1024" s="66" t="s">
        <v>188</v>
      </c>
      <c r="L1024" s="28" t="s">
        <v>81</v>
      </c>
    </row>
    <row r="1025">
      <c r="A1025" s="11" t="s">
        <v>1128</v>
      </c>
      <c r="B1025" s="11" t="s">
        <v>226</v>
      </c>
      <c r="C1025" s="11" t="s">
        <v>1129</v>
      </c>
      <c r="D1025" s="11" t="s">
        <v>1130</v>
      </c>
      <c r="E1025" s="11" t="s">
        <v>1131</v>
      </c>
      <c r="F1025" s="44">
        <v>1987.92826999931</v>
      </c>
      <c r="G1025" s="27">
        <v>2178.0</v>
      </c>
      <c r="H1025" s="27" t="s">
        <v>188</v>
      </c>
      <c r="I1025" s="27" t="s">
        <v>188</v>
      </c>
      <c r="J1025" s="27" t="s">
        <v>188</v>
      </c>
      <c r="K1025" s="66" t="s">
        <v>188</v>
      </c>
      <c r="L1025" s="28" t="s">
        <v>81</v>
      </c>
    </row>
    <row r="1026">
      <c r="A1026" s="11" t="s">
        <v>1128</v>
      </c>
      <c r="B1026" s="11" t="s">
        <v>226</v>
      </c>
      <c r="C1026" s="11" t="s">
        <v>1129</v>
      </c>
      <c r="D1026" s="11" t="s">
        <v>1130</v>
      </c>
      <c r="E1026" s="11" t="s">
        <v>1131</v>
      </c>
      <c r="F1026" s="44">
        <v>1988.97872464755</v>
      </c>
      <c r="G1026" s="27">
        <v>2396.0</v>
      </c>
      <c r="H1026" s="27" t="s">
        <v>188</v>
      </c>
      <c r="I1026" s="27" t="s">
        <v>188</v>
      </c>
      <c r="J1026" s="27" t="s">
        <v>188</v>
      </c>
      <c r="K1026" s="66" t="s">
        <v>188</v>
      </c>
      <c r="L1026" s="28" t="s">
        <v>81</v>
      </c>
    </row>
    <row r="1027">
      <c r="A1027" s="11" t="s">
        <v>1128</v>
      </c>
      <c r="B1027" s="11" t="s">
        <v>226</v>
      </c>
      <c r="C1027" s="11" t="s">
        <v>1129</v>
      </c>
      <c r="D1027" s="11" t="s">
        <v>1130</v>
      </c>
      <c r="E1027" s="11" t="s">
        <v>1131</v>
      </c>
      <c r="F1027" s="44">
        <v>1989.87887479961</v>
      </c>
      <c r="G1027" s="27">
        <v>2517.0</v>
      </c>
      <c r="H1027" s="27" t="s">
        <v>188</v>
      </c>
      <c r="I1027" s="27" t="s">
        <v>188</v>
      </c>
      <c r="J1027" s="27" t="s">
        <v>188</v>
      </c>
      <c r="K1027" s="66" t="s">
        <v>188</v>
      </c>
      <c r="L1027" s="28" t="s">
        <v>81</v>
      </c>
    </row>
    <row r="1028">
      <c r="A1028" s="11" t="s">
        <v>1128</v>
      </c>
      <c r="B1028" s="11" t="s">
        <v>226</v>
      </c>
      <c r="C1028" s="11" t="s">
        <v>1129</v>
      </c>
      <c r="D1028" s="11" t="s">
        <v>1130</v>
      </c>
      <c r="E1028" s="11" t="s">
        <v>1131</v>
      </c>
      <c r="F1028" s="44">
        <v>1990.92932944784</v>
      </c>
      <c r="G1028" s="27">
        <v>2896.0</v>
      </c>
      <c r="H1028" s="27" t="s">
        <v>188</v>
      </c>
      <c r="I1028" s="27" t="s">
        <v>188</v>
      </c>
      <c r="J1028" s="27" t="s">
        <v>188</v>
      </c>
      <c r="K1028" s="66" t="s">
        <v>188</v>
      </c>
      <c r="L1028" s="28" t="s">
        <v>81</v>
      </c>
    </row>
    <row r="1029">
      <c r="A1029" s="11" t="s">
        <v>1128</v>
      </c>
      <c r="B1029" s="11" t="s">
        <v>226</v>
      </c>
      <c r="C1029" s="11" t="s">
        <v>1129</v>
      </c>
      <c r="D1029" s="11" t="s">
        <v>1130</v>
      </c>
      <c r="E1029" s="11" t="s">
        <v>1131</v>
      </c>
      <c r="F1029" s="44">
        <v>1991.98008897335</v>
      </c>
      <c r="G1029" s="27">
        <v>3224.0</v>
      </c>
      <c r="H1029" s="27" t="s">
        <v>188</v>
      </c>
      <c r="I1029" s="27" t="s">
        <v>188</v>
      </c>
      <c r="J1029" s="27" t="s">
        <v>188</v>
      </c>
      <c r="K1029" s="66" t="s">
        <v>188</v>
      </c>
      <c r="L1029" s="28" t="s">
        <v>81</v>
      </c>
    </row>
    <row r="1030">
      <c r="A1030" s="11" t="s">
        <v>1128</v>
      </c>
      <c r="B1030" s="11" t="s">
        <v>226</v>
      </c>
      <c r="C1030" s="11" t="s">
        <v>1129</v>
      </c>
      <c r="D1030" s="11" t="s">
        <v>1130</v>
      </c>
      <c r="E1030" s="11" t="s">
        <v>1131</v>
      </c>
      <c r="F1030" s="44">
        <v>1993.02993386704</v>
      </c>
      <c r="G1030" s="27">
        <v>3116.0</v>
      </c>
      <c r="H1030" s="27" t="s">
        <v>188</v>
      </c>
      <c r="I1030" s="27" t="s">
        <v>188</v>
      </c>
      <c r="J1030" s="27" t="s">
        <v>188</v>
      </c>
      <c r="K1030" s="66" t="s">
        <v>188</v>
      </c>
      <c r="L1030" s="28" t="s">
        <v>81</v>
      </c>
    </row>
    <row r="1031">
      <c r="A1031" s="11" t="s">
        <v>1128</v>
      </c>
      <c r="B1031" s="11" t="s">
        <v>226</v>
      </c>
      <c r="C1031" s="11" t="s">
        <v>1129</v>
      </c>
      <c r="D1031" s="11" t="s">
        <v>1130</v>
      </c>
      <c r="E1031" s="11" t="s">
        <v>1131</v>
      </c>
      <c r="F1031" s="44">
        <v>1993.85569396419</v>
      </c>
      <c r="G1031" s="27">
        <v>3555.0</v>
      </c>
      <c r="H1031" s="27" t="s">
        <v>188</v>
      </c>
      <c r="I1031" s="27" t="s">
        <v>188</v>
      </c>
      <c r="J1031" s="27" t="s">
        <v>188</v>
      </c>
      <c r="K1031" s="66" t="s">
        <v>188</v>
      </c>
      <c r="L1031" s="28" t="s">
        <v>81</v>
      </c>
    </row>
    <row r="1032">
      <c r="A1032" s="11" t="s">
        <v>1128</v>
      </c>
      <c r="B1032" s="11" t="s">
        <v>226</v>
      </c>
      <c r="C1032" s="11" t="s">
        <v>1129</v>
      </c>
      <c r="D1032" s="11" t="s">
        <v>1130</v>
      </c>
      <c r="E1032" s="11" t="s">
        <v>1131</v>
      </c>
      <c r="F1032" s="44">
        <v>1994.9064534897</v>
      </c>
      <c r="G1032" s="27">
        <v>4062.0</v>
      </c>
      <c r="H1032" s="27" t="s">
        <v>188</v>
      </c>
      <c r="I1032" s="27" t="s">
        <v>188</v>
      </c>
      <c r="J1032" s="27" t="s">
        <v>188</v>
      </c>
      <c r="K1032" s="66" t="s">
        <v>188</v>
      </c>
      <c r="L1032" s="28" t="s">
        <v>81</v>
      </c>
    </row>
    <row r="1033">
      <c r="A1033" s="11" t="s">
        <v>1128</v>
      </c>
      <c r="B1033" s="11" t="s">
        <v>226</v>
      </c>
      <c r="C1033" s="11" t="s">
        <v>1129</v>
      </c>
      <c r="D1033" s="11" t="s">
        <v>1130</v>
      </c>
      <c r="E1033" s="11" t="s">
        <v>1131</v>
      </c>
      <c r="F1033" s="44">
        <v>1995.8823656444</v>
      </c>
      <c r="G1033" s="27">
        <v>4586.0</v>
      </c>
      <c r="H1033" s="27" t="s">
        <v>188</v>
      </c>
      <c r="I1033" s="27" t="s">
        <v>188</v>
      </c>
      <c r="J1033" s="27" t="s">
        <v>188</v>
      </c>
      <c r="K1033" s="66" t="s">
        <v>188</v>
      </c>
      <c r="L1033" s="28" t="s">
        <v>81</v>
      </c>
    </row>
    <row r="1034">
      <c r="A1034" s="11" t="s">
        <v>1128</v>
      </c>
      <c r="B1034" s="11" t="s">
        <v>226</v>
      </c>
      <c r="C1034" s="11" t="s">
        <v>1129</v>
      </c>
      <c r="D1034" s="11" t="s">
        <v>1130</v>
      </c>
      <c r="E1034" s="11" t="s">
        <v>1131</v>
      </c>
      <c r="F1034" s="44">
        <v>1996.78282067373</v>
      </c>
      <c r="G1034" s="27">
        <v>5052.0</v>
      </c>
      <c r="H1034" s="27" t="s">
        <v>188</v>
      </c>
      <c r="I1034" s="27" t="s">
        <v>188</v>
      </c>
      <c r="J1034" s="27" t="s">
        <v>188</v>
      </c>
      <c r="K1034" s="66" t="s">
        <v>188</v>
      </c>
      <c r="L1034" s="28" t="s">
        <v>81</v>
      </c>
    </row>
    <row r="1035">
      <c r="A1035" s="11" t="s">
        <v>1128</v>
      </c>
      <c r="B1035" s="11" t="s">
        <v>226</v>
      </c>
      <c r="C1035" s="11" t="s">
        <v>1129</v>
      </c>
      <c r="D1035" s="11" t="s">
        <v>1130</v>
      </c>
      <c r="E1035" s="11" t="s">
        <v>1131</v>
      </c>
      <c r="F1035" s="44">
        <v>1997.83297044469</v>
      </c>
      <c r="G1035" s="27">
        <v>4978.0</v>
      </c>
      <c r="H1035" s="27" t="s">
        <v>188</v>
      </c>
      <c r="I1035" s="27" t="s">
        <v>188</v>
      </c>
      <c r="J1035" s="27" t="s">
        <v>188</v>
      </c>
      <c r="K1035" s="66" t="s">
        <v>188</v>
      </c>
      <c r="L1035" s="28" t="s">
        <v>81</v>
      </c>
    </row>
    <row r="1036">
      <c r="A1036" s="11" t="s">
        <v>1128</v>
      </c>
      <c r="B1036" s="11" t="s">
        <v>226</v>
      </c>
      <c r="C1036" s="11" t="s">
        <v>1129</v>
      </c>
      <c r="D1036" s="11" t="s">
        <v>1130</v>
      </c>
      <c r="E1036" s="11" t="s">
        <v>1131</v>
      </c>
      <c r="F1036" s="44">
        <v>1998.88357753156</v>
      </c>
      <c r="G1036" s="27">
        <v>5524.0</v>
      </c>
      <c r="H1036" s="27" t="s">
        <v>188</v>
      </c>
      <c r="I1036" s="27" t="s">
        <v>188</v>
      </c>
      <c r="J1036" s="27" t="s">
        <v>188</v>
      </c>
      <c r="K1036" s="66" t="s">
        <v>188</v>
      </c>
      <c r="L1036" s="28" t="s">
        <v>81</v>
      </c>
    </row>
    <row r="1037">
      <c r="A1037" s="11" t="s">
        <v>1128</v>
      </c>
      <c r="B1037" s="11" t="s">
        <v>226</v>
      </c>
      <c r="C1037" s="11" t="s">
        <v>1129</v>
      </c>
      <c r="D1037" s="11" t="s">
        <v>1130</v>
      </c>
      <c r="E1037" s="11" t="s">
        <v>1131</v>
      </c>
      <c r="F1037" s="44">
        <v>1999.85811773852</v>
      </c>
      <c r="G1037" s="27">
        <v>5036.0</v>
      </c>
      <c r="H1037" s="27" t="s">
        <v>188</v>
      </c>
      <c r="I1037" s="27" t="s">
        <v>188</v>
      </c>
      <c r="J1037" s="27" t="s">
        <v>188</v>
      </c>
      <c r="K1037" s="66" t="s">
        <v>188</v>
      </c>
      <c r="L1037" s="28" t="s">
        <v>81</v>
      </c>
    </row>
    <row r="1038">
      <c r="A1038" s="11" t="s">
        <v>1128</v>
      </c>
      <c r="B1038" s="11" t="s">
        <v>226</v>
      </c>
      <c r="C1038" s="11" t="s">
        <v>1129</v>
      </c>
      <c r="D1038" s="11" t="s">
        <v>1130</v>
      </c>
      <c r="E1038" s="11" t="s">
        <v>1131</v>
      </c>
      <c r="F1038" s="44">
        <v>2000.75842032922</v>
      </c>
      <c r="G1038" s="27">
        <v>5238.0</v>
      </c>
      <c r="H1038" s="27" t="s">
        <v>188</v>
      </c>
      <c r="I1038" s="27" t="s">
        <v>188</v>
      </c>
      <c r="J1038" s="27" t="s">
        <v>188</v>
      </c>
      <c r="K1038" s="66" t="s">
        <v>188</v>
      </c>
      <c r="L1038" s="28" t="s">
        <v>81</v>
      </c>
    </row>
    <row r="1039">
      <c r="A1039" s="11" t="s">
        <v>1128</v>
      </c>
      <c r="B1039" s="11" t="s">
        <v>226</v>
      </c>
      <c r="C1039" s="11" t="s">
        <v>1129</v>
      </c>
      <c r="D1039" s="11" t="s">
        <v>1130</v>
      </c>
      <c r="E1039" s="11" t="s">
        <v>1131</v>
      </c>
      <c r="F1039" s="44">
        <v>2001.95887459636</v>
      </c>
      <c r="G1039" s="27">
        <v>5567.0</v>
      </c>
      <c r="H1039" s="27" t="s">
        <v>188</v>
      </c>
      <c r="I1039" s="27" t="s">
        <v>188</v>
      </c>
      <c r="J1039" s="27" t="s">
        <v>188</v>
      </c>
      <c r="K1039" s="66" t="s">
        <v>188</v>
      </c>
      <c r="L1039" s="28" t="s">
        <v>81</v>
      </c>
    </row>
    <row r="1040">
      <c r="A1040" s="11" t="s">
        <v>1128</v>
      </c>
      <c r="B1040" s="11" t="s">
        <v>226</v>
      </c>
      <c r="C1040" s="11" t="s">
        <v>1129</v>
      </c>
      <c r="D1040" s="11" t="s">
        <v>1130</v>
      </c>
      <c r="E1040" s="11" t="s">
        <v>1131</v>
      </c>
      <c r="F1040" s="44">
        <v>2002.93493918969</v>
      </c>
      <c r="G1040" s="27">
        <v>6192.0</v>
      </c>
      <c r="H1040" s="27" t="s">
        <v>188</v>
      </c>
      <c r="I1040" s="27" t="s">
        <v>188</v>
      </c>
      <c r="J1040" s="27" t="s">
        <v>188</v>
      </c>
      <c r="K1040" s="66" t="s">
        <v>188</v>
      </c>
      <c r="L1040" s="28" t="s">
        <v>81</v>
      </c>
    </row>
    <row r="1041">
      <c r="A1041" s="11" t="s">
        <v>1128</v>
      </c>
      <c r="B1041" s="11" t="s">
        <v>226</v>
      </c>
      <c r="C1041" s="11" t="s">
        <v>1129</v>
      </c>
      <c r="D1041" s="11" t="s">
        <v>1130</v>
      </c>
      <c r="E1041" s="11" t="s">
        <v>1131</v>
      </c>
      <c r="F1041" s="44">
        <v>2004.06069852465</v>
      </c>
      <c r="G1041" s="27">
        <v>6662.0</v>
      </c>
      <c r="H1041" s="27" t="s">
        <v>188</v>
      </c>
      <c r="I1041" s="27" t="s">
        <v>188</v>
      </c>
      <c r="J1041" s="27" t="s">
        <v>188</v>
      </c>
      <c r="K1041" s="66" t="s">
        <v>188</v>
      </c>
      <c r="L1041" s="28" t="s">
        <v>81</v>
      </c>
    </row>
    <row r="1042">
      <c r="A1042" s="11" t="s">
        <v>1128</v>
      </c>
      <c r="B1042" s="11" t="s">
        <v>226</v>
      </c>
      <c r="C1042" s="11" t="s">
        <v>1129</v>
      </c>
      <c r="D1042" s="11" t="s">
        <v>1130</v>
      </c>
      <c r="E1042" s="11" t="s">
        <v>1131</v>
      </c>
      <c r="F1042" s="44">
        <v>2004.96161086989</v>
      </c>
      <c r="G1042" s="27">
        <v>7171.0</v>
      </c>
      <c r="H1042" s="27" t="s">
        <v>188</v>
      </c>
      <c r="I1042" s="27" t="s">
        <v>188</v>
      </c>
      <c r="J1042" s="27" t="s">
        <v>188</v>
      </c>
      <c r="K1042" s="66" t="s">
        <v>188</v>
      </c>
      <c r="L1042" s="28" t="s">
        <v>81</v>
      </c>
    </row>
    <row r="1043">
      <c r="A1043" s="11" t="s">
        <v>1128</v>
      </c>
      <c r="B1043" s="11" t="s">
        <v>226</v>
      </c>
      <c r="C1043" s="11" t="s">
        <v>1129</v>
      </c>
      <c r="D1043" s="11" t="s">
        <v>1130</v>
      </c>
      <c r="E1043" s="11" t="s">
        <v>1131</v>
      </c>
      <c r="F1043" s="44">
        <v>2005.93706570867</v>
      </c>
      <c r="G1043" s="27">
        <v>7580.0</v>
      </c>
      <c r="H1043" s="27" t="s">
        <v>188</v>
      </c>
      <c r="I1043" s="27" t="s">
        <v>188</v>
      </c>
      <c r="J1043" s="27" t="s">
        <v>188</v>
      </c>
      <c r="K1043" s="66" t="s">
        <v>188</v>
      </c>
      <c r="L1043" s="28" t="s">
        <v>81</v>
      </c>
    </row>
    <row r="1044">
      <c r="A1044" s="11" t="s">
        <v>1128</v>
      </c>
      <c r="B1044" s="11" t="s">
        <v>226</v>
      </c>
      <c r="C1044" s="11" t="s">
        <v>1129</v>
      </c>
      <c r="D1044" s="11" t="s">
        <v>1130</v>
      </c>
      <c r="E1044" s="11" t="s">
        <v>1131</v>
      </c>
      <c r="F1044" s="44">
        <v>2006.83736829937</v>
      </c>
      <c r="G1044" s="27">
        <v>7673.0</v>
      </c>
      <c r="H1044" s="27" t="s">
        <v>188</v>
      </c>
      <c r="I1044" s="27" t="s">
        <v>188</v>
      </c>
      <c r="J1044" s="27" t="s">
        <v>188</v>
      </c>
      <c r="K1044" s="66" t="s">
        <v>188</v>
      </c>
      <c r="L1044" s="28" t="s">
        <v>81</v>
      </c>
    </row>
    <row r="1045">
      <c r="A1045" s="11" t="s">
        <v>1128</v>
      </c>
      <c r="B1045" s="11" t="s">
        <v>226</v>
      </c>
      <c r="C1045" s="11" t="s">
        <v>1129</v>
      </c>
      <c r="D1045" s="11" t="s">
        <v>1130</v>
      </c>
      <c r="E1045" s="11" t="s">
        <v>1131</v>
      </c>
      <c r="F1045" s="44">
        <v>2007.88706075442</v>
      </c>
      <c r="G1045" s="27">
        <v>7392.0</v>
      </c>
      <c r="H1045" s="27" t="s">
        <v>188</v>
      </c>
      <c r="I1045" s="27" t="s">
        <v>188</v>
      </c>
      <c r="J1045" s="27" t="s">
        <v>188</v>
      </c>
      <c r="K1045" s="66" t="s">
        <v>188</v>
      </c>
      <c r="L1045" s="28" t="s">
        <v>81</v>
      </c>
    </row>
    <row r="1046">
      <c r="A1046" s="11" t="s">
        <v>1128</v>
      </c>
      <c r="B1046" s="11" t="s">
        <v>226</v>
      </c>
      <c r="C1046" s="11" t="s">
        <v>1129</v>
      </c>
      <c r="D1046" s="11" t="s">
        <v>1130</v>
      </c>
      <c r="E1046" s="11" t="s">
        <v>1131</v>
      </c>
      <c r="F1046" s="44">
        <v>2009.01114326437</v>
      </c>
      <c r="G1046" s="27">
        <v>7015.0</v>
      </c>
      <c r="H1046" s="27" t="s">
        <v>188</v>
      </c>
      <c r="I1046" s="27" t="s">
        <v>188</v>
      </c>
      <c r="J1046" s="27" t="s">
        <v>188</v>
      </c>
      <c r="K1046" s="66" t="s">
        <v>188</v>
      </c>
      <c r="L1046" s="28" t="s">
        <v>81</v>
      </c>
    </row>
    <row r="1047">
      <c r="A1047" s="11" t="s">
        <v>1128</v>
      </c>
      <c r="B1047" s="11" t="s">
        <v>226</v>
      </c>
      <c r="C1047" s="11" t="s">
        <v>1129</v>
      </c>
      <c r="D1047" s="11" t="s">
        <v>1130</v>
      </c>
      <c r="E1047" s="11" t="s">
        <v>1131</v>
      </c>
      <c r="F1047" s="44">
        <v>2009.83705580016</v>
      </c>
      <c r="G1047" s="27">
        <v>7540.0</v>
      </c>
      <c r="H1047" s="27" t="s">
        <v>188</v>
      </c>
      <c r="I1047" s="27" t="s">
        <v>188</v>
      </c>
      <c r="J1047" s="27" t="s">
        <v>188</v>
      </c>
      <c r="K1047" s="66" t="s">
        <v>188</v>
      </c>
      <c r="L1047" s="28" t="s">
        <v>81</v>
      </c>
    </row>
    <row r="1048">
      <c r="A1048" s="11" t="s">
        <v>936</v>
      </c>
      <c r="B1048" s="11" t="s">
        <v>226</v>
      </c>
      <c r="C1048" s="11" t="s">
        <v>1139</v>
      </c>
      <c r="D1048" s="11" t="s">
        <v>1130</v>
      </c>
      <c r="E1048" s="11" t="s">
        <v>1131</v>
      </c>
      <c r="F1048" s="87">
        <v>1958.00029725534</v>
      </c>
      <c r="G1048" s="27">
        <v>84.0</v>
      </c>
      <c r="H1048" s="27" t="s">
        <v>188</v>
      </c>
      <c r="I1048" s="27" t="s">
        <v>188</v>
      </c>
      <c r="J1048" s="27" t="s">
        <v>188</v>
      </c>
      <c r="K1048" s="66" t="s">
        <v>188</v>
      </c>
      <c r="L1048" s="28" t="s">
        <v>81</v>
      </c>
    </row>
    <row r="1049">
      <c r="A1049" s="11" t="s">
        <v>936</v>
      </c>
      <c r="B1049" s="11" t="s">
        <v>226</v>
      </c>
      <c r="C1049" s="11" t="s">
        <v>1139</v>
      </c>
      <c r="D1049" s="11" t="s">
        <v>1130</v>
      </c>
      <c r="E1049" s="11" t="s">
        <v>1131</v>
      </c>
      <c r="F1049" s="28">
        <v>1959.0</v>
      </c>
      <c r="G1049" s="27" t="s">
        <v>188</v>
      </c>
      <c r="H1049" s="27" t="s">
        <v>188</v>
      </c>
      <c r="I1049" s="27" t="s">
        <v>188</v>
      </c>
      <c r="J1049" s="27" t="s">
        <v>188</v>
      </c>
      <c r="K1049" s="66" t="s">
        <v>188</v>
      </c>
      <c r="L1049" s="28" t="s">
        <v>81</v>
      </c>
    </row>
    <row r="1050">
      <c r="A1050" s="11" t="s">
        <v>936</v>
      </c>
      <c r="B1050" s="11" t="s">
        <v>226</v>
      </c>
      <c r="C1050" s="11" t="s">
        <v>1139</v>
      </c>
      <c r="D1050" s="11" t="s">
        <v>1130</v>
      </c>
      <c r="E1050" s="11" t="s">
        <v>1131</v>
      </c>
      <c r="F1050" s="28">
        <v>1960.0</v>
      </c>
      <c r="G1050" s="27" t="s">
        <v>188</v>
      </c>
      <c r="H1050" s="27" t="s">
        <v>188</v>
      </c>
      <c r="I1050" s="27" t="s">
        <v>188</v>
      </c>
      <c r="J1050" s="27" t="s">
        <v>188</v>
      </c>
      <c r="K1050" s="66" t="s">
        <v>188</v>
      </c>
      <c r="L1050" s="28" t="s">
        <v>81</v>
      </c>
    </row>
    <row r="1051">
      <c r="A1051" s="11" t="s">
        <v>936</v>
      </c>
      <c r="B1051" s="11" t="s">
        <v>226</v>
      </c>
      <c r="C1051" s="11" t="s">
        <v>1139</v>
      </c>
      <c r="D1051" s="11" t="s">
        <v>1130</v>
      </c>
      <c r="E1051" s="11" t="s">
        <v>1131</v>
      </c>
      <c r="F1051" s="28">
        <v>1961.0</v>
      </c>
      <c r="G1051" s="27" t="s">
        <v>188</v>
      </c>
      <c r="H1051" s="27" t="s">
        <v>188</v>
      </c>
      <c r="I1051" s="27" t="s">
        <v>188</v>
      </c>
      <c r="J1051" s="27" t="s">
        <v>188</v>
      </c>
      <c r="K1051" s="66" t="s">
        <v>188</v>
      </c>
      <c r="L1051" s="28" t="s">
        <v>81</v>
      </c>
    </row>
    <row r="1052">
      <c r="A1052" s="11" t="s">
        <v>936</v>
      </c>
      <c r="B1052" s="11" t="s">
        <v>226</v>
      </c>
      <c r="C1052" s="11" t="s">
        <v>1139</v>
      </c>
      <c r="D1052" s="11" t="s">
        <v>1130</v>
      </c>
      <c r="E1052" s="11" t="s">
        <v>1131</v>
      </c>
      <c r="F1052" s="28">
        <v>1962.0</v>
      </c>
      <c r="G1052" s="27" t="s">
        <v>188</v>
      </c>
      <c r="H1052" s="27" t="s">
        <v>188</v>
      </c>
      <c r="I1052" s="27" t="s">
        <v>188</v>
      </c>
      <c r="J1052" s="27" t="s">
        <v>188</v>
      </c>
      <c r="K1052" s="66" t="s">
        <v>188</v>
      </c>
      <c r="L1052" s="28" t="s">
        <v>81</v>
      </c>
    </row>
    <row r="1053">
      <c r="A1053" s="11" t="s">
        <v>936</v>
      </c>
      <c r="B1053" s="11" t="s">
        <v>226</v>
      </c>
      <c r="C1053" s="11" t="s">
        <v>1139</v>
      </c>
      <c r="D1053" s="11" t="s">
        <v>1130</v>
      </c>
      <c r="E1053" s="11" t="s">
        <v>1131</v>
      </c>
      <c r="F1053" s="28">
        <v>1963.0</v>
      </c>
      <c r="G1053" s="27" t="s">
        <v>188</v>
      </c>
      <c r="H1053" s="27" t="s">
        <v>188</v>
      </c>
      <c r="I1053" s="27" t="s">
        <v>188</v>
      </c>
      <c r="J1053" s="27" t="s">
        <v>188</v>
      </c>
      <c r="K1053" s="66" t="s">
        <v>188</v>
      </c>
      <c r="L1053" s="28" t="s">
        <v>81</v>
      </c>
    </row>
    <row r="1054">
      <c r="A1054" s="11" t="s">
        <v>936</v>
      </c>
      <c r="B1054" s="11" t="s">
        <v>226</v>
      </c>
      <c r="C1054" s="11" t="s">
        <v>1139</v>
      </c>
      <c r="D1054" s="11" t="s">
        <v>1130</v>
      </c>
      <c r="E1054" s="11" t="s">
        <v>1131</v>
      </c>
      <c r="F1054" s="87">
        <v>1963.85150190167</v>
      </c>
      <c r="G1054" s="27">
        <v>972.0</v>
      </c>
      <c r="H1054" s="27" t="s">
        <v>188</v>
      </c>
      <c r="I1054" s="27" t="s">
        <v>188</v>
      </c>
      <c r="J1054" s="27" t="s">
        <v>188</v>
      </c>
      <c r="K1054" s="66" t="s">
        <v>188</v>
      </c>
      <c r="L1054" s="28" t="s">
        <v>81</v>
      </c>
    </row>
    <row r="1055">
      <c r="A1055" s="11" t="s">
        <v>936</v>
      </c>
      <c r="B1055" s="11" t="s">
        <v>226</v>
      </c>
      <c r="C1055" s="11" t="s">
        <v>1139</v>
      </c>
      <c r="D1055" s="11" t="s">
        <v>1130</v>
      </c>
      <c r="E1055" s="11" t="s">
        <v>1131</v>
      </c>
      <c r="F1055" s="28">
        <v>1965.0</v>
      </c>
      <c r="G1055" s="27" t="s">
        <v>188</v>
      </c>
      <c r="H1055" s="27" t="s">
        <v>188</v>
      </c>
      <c r="I1055" s="27" t="s">
        <v>188</v>
      </c>
      <c r="J1055" s="27" t="s">
        <v>188</v>
      </c>
      <c r="K1055" s="66" t="s">
        <v>188</v>
      </c>
      <c r="L1055" s="28" t="s">
        <v>81</v>
      </c>
    </row>
    <row r="1056">
      <c r="A1056" s="11" t="s">
        <v>936</v>
      </c>
      <c r="B1056" s="11" t="s">
        <v>226</v>
      </c>
      <c r="C1056" s="11" t="s">
        <v>1139</v>
      </c>
      <c r="D1056" s="11" t="s">
        <v>1130</v>
      </c>
      <c r="E1056" s="11" t="s">
        <v>1131</v>
      </c>
      <c r="F1056" s="28">
        <v>1966.0</v>
      </c>
      <c r="G1056" s="27" t="s">
        <v>188</v>
      </c>
      <c r="H1056" s="27" t="s">
        <v>188</v>
      </c>
      <c r="I1056" s="27" t="s">
        <v>188</v>
      </c>
      <c r="J1056" s="27" t="s">
        <v>188</v>
      </c>
      <c r="K1056" s="66" t="s">
        <v>188</v>
      </c>
      <c r="L1056" s="28" t="s">
        <v>81</v>
      </c>
    </row>
    <row r="1057">
      <c r="A1057" s="11" t="s">
        <v>936</v>
      </c>
      <c r="B1057" s="11" t="s">
        <v>226</v>
      </c>
      <c r="C1057" s="11" t="s">
        <v>1139</v>
      </c>
      <c r="D1057" s="11" t="s">
        <v>1130</v>
      </c>
      <c r="E1057" s="11" t="s">
        <v>1131</v>
      </c>
      <c r="F1057" s="28">
        <v>1967.0</v>
      </c>
      <c r="G1057" s="27" t="s">
        <v>188</v>
      </c>
      <c r="H1057" s="27" t="s">
        <v>188</v>
      </c>
      <c r="I1057" s="27" t="s">
        <v>188</v>
      </c>
      <c r="J1057" s="27" t="s">
        <v>188</v>
      </c>
      <c r="K1057" s="66" t="s">
        <v>188</v>
      </c>
      <c r="L1057" s="28" t="s">
        <v>81</v>
      </c>
    </row>
    <row r="1058">
      <c r="A1058" s="11" t="s">
        <v>936</v>
      </c>
      <c r="B1058" s="11" t="s">
        <v>226</v>
      </c>
      <c r="C1058" s="11" t="s">
        <v>1139</v>
      </c>
      <c r="D1058" s="11" t="s">
        <v>1130</v>
      </c>
      <c r="E1058" s="11" t="s">
        <v>1131</v>
      </c>
      <c r="F1058" s="87">
        <v>1967.97786336925</v>
      </c>
      <c r="G1058" s="27">
        <v>1823.0</v>
      </c>
      <c r="H1058" s="27" t="s">
        <v>188</v>
      </c>
      <c r="I1058" s="27" t="s">
        <v>188</v>
      </c>
      <c r="J1058" s="27" t="s">
        <v>188</v>
      </c>
      <c r="K1058" s="66" t="s">
        <v>188</v>
      </c>
      <c r="L1058" s="28" t="s">
        <v>81</v>
      </c>
    </row>
    <row r="1059">
      <c r="A1059" s="11" t="s">
        <v>936</v>
      </c>
      <c r="B1059" s="11" t="s">
        <v>226</v>
      </c>
      <c r="C1059" s="11" t="s">
        <v>1139</v>
      </c>
      <c r="D1059" s="11" t="s">
        <v>1130</v>
      </c>
      <c r="E1059" s="11" t="s">
        <v>1131</v>
      </c>
      <c r="F1059" s="28">
        <v>1969.0</v>
      </c>
      <c r="G1059" s="27"/>
      <c r="H1059" s="27" t="s">
        <v>188</v>
      </c>
      <c r="I1059" s="27" t="s">
        <v>188</v>
      </c>
      <c r="J1059" s="27" t="s">
        <v>188</v>
      </c>
      <c r="K1059" s="66" t="s">
        <v>188</v>
      </c>
      <c r="L1059" s="28" t="s">
        <v>81</v>
      </c>
    </row>
    <row r="1060">
      <c r="A1060" s="11" t="s">
        <v>936</v>
      </c>
      <c r="B1060" s="11" t="s">
        <v>226</v>
      </c>
      <c r="C1060" s="11" t="s">
        <v>1139</v>
      </c>
      <c r="D1060" s="11" t="s">
        <v>1130</v>
      </c>
      <c r="E1060" s="11" t="s">
        <v>1131</v>
      </c>
      <c r="F1060" s="28">
        <v>1970.0</v>
      </c>
      <c r="G1060" s="27"/>
      <c r="H1060" s="27" t="s">
        <v>188</v>
      </c>
      <c r="I1060" s="27" t="s">
        <v>188</v>
      </c>
      <c r="J1060" s="27" t="s">
        <v>188</v>
      </c>
      <c r="K1060" s="66" t="s">
        <v>188</v>
      </c>
      <c r="L1060" s="28" t="s">
        <v>81</v>
      </c>
    </row>
    <row r="1061">
      <c r="A1061" s="11" t="s">
        <v>936</v>
      </c>
      <c r="B1061" s="11" t="s">
        <v>226</v>
      </c>
      <c r="C1061" s="11" t="s">
        <v>1139</v>
      </c>
      <c r="D1061" s="11" t="s">
        <v>1130</v>
      </c>
      <c r="E1061" s="11" t="s">
        <v>1131</v>
      </c>
      <c r="F1061" s="28">
        <v>1971.0</v>
      </c>
      <c r="G1061" s="27"/>
      <c r="H1061" s="27" t="s">
        <v>188</v>
      </c>
      <c r="I1061" s="27" t="s">
        <v>188</v>
      </c>
      <c r="J1061" s="27" t="s">
        <v>188</v>
      </c>
      <c r="K1061" s="66" t="s">
        <v>188</v>
      </c>
      <c r="L1061" s="28" t="s">
        <v>81</v>
      </c>
    </row>
    <row r="1062">
      <c r="A1062" s="11" t="s">
        <v>936</v>
      </c>
      <c r="B1062" s="11" t="s">
        <v>226</v>
      </c>
      <c r="C1062" s="11" t="s">
        <v>1139</v>
      </c>
      <c r="D1062" s="11" t="s">
        <v>1130</v>
      </c>
      <c r="E1062" s="11" t="s">
        <v>1131</v>
      </c>
      <c r="F1062" s="87">
        <v>1972.02983478192</v>
      </c>
      <c r="G1062" s="27">
        <v>2938.0</v>
      </c>
      <c r="H1062" s="27" t="s">
        <v>188</v>
      </c>
      <c r="I1062" s="27" t="s">
        <v>188</v>
      </c>
      <c r="J1062" s="27" t="s">
        <v>188</v>
      </c>
      <c r="K1062" s="66" t="s">
        <v>188</v>
      </c>
      <c r="L1062" s="28" t="s">
        <v>81</v>
      </c>
    </row>
    <row r="1063">
      <c r="A1063" s="11" t="s">
        <v>936</v>
      </c>
      <c r="B1063" s="11" t="s">
        <v>226</v>
      </c>
      <c r="C1063" s="11" t="s">
        <v>1139</v>
      </c>
      <c r="D1063" s="11" t="s">
        <v>1130</v>
      </c>
      <c r="E1063" s="11" t="s">
        <v>1131</v>
      </c>
      <c r="F1063" s="28">
        <v>1973.0</v>
      </c>
      <c r="G1063" s="27" t="s">
        <v>188</v>
      </c>
      <c r="H1063" s="27" t="s">
        <v>188</v>
      </c>
      <c r="I1063" s="27" t="s">
        <v>188</v>
      </c>
      <c r="J1063" s="27" t="s">
        <v>188</v>
      </c>
      <c r="K1063" s="66" t="s">
        <v>188</v>
      </c>
      <c r="L1063" s="28" t="s">
        <v>81</v>
      </c>
    </row>
    <row r="1064">
      <c r="A1064" s="11" t="s">
        <v>936</v>
      </c>
      <c r="B1064" s="11" t="s">
        <v>226</v>
      </c>
      <c r="C1064" s="11" t="s">
        <v>1139</v>
      </c>
      <c r="D1064" s="11" t="s">
        <v>1130</v>
      </c>
      <c r="E1064" s="11" t="s">
        <v>1131</v>
      </c>
      <c r="F1064" s="28">
        <v>1974.0</v>
      </c>
      <c r="G1064" s="27" t="s">
        <v>188</v>
      </c>
      <c r="H1064" s="27" t="s">
        <v>188</v>
      </c>
      <c r="I1064" s="27" t="s">
        <v>188</v>
      </c>
      <c r="J1064" s="27" t="s">
        <v>188</v>
      </c>
      <c r="K1064" s="66" t="s">
        <v>188</v>
      </c>
      <c r="L1064" s="28" t="s">
        <v>81</v>
      </c>
    </row>
    <row r="1065">
      <c r="A1065" s="11" t="s">
        <v>936</v>
      </c>
      <c r="B1065" s="11" t="s">
        <v>226</v>
      </c>
      <c r="C1065" s="11" t="s">
        <v>1139</v>
      </c>
      <c r="D1065" s="11" t="s">
        <v>1130</v>
      </c>
      <c r="E1065" s="11" t="s">
        <v>1131</v>
      </c>
      <c r="F1065" s="28">
        <v>1975.0</v>
      </c>
      <c r="G1065" s="27" t="s">
        <v>188</v>
      </c>
      <c r="H1065" s="27" t="s">
        <v>188</v>
      </c>
      <c r="I1065" s="27" t="s">
        <v>188</v>
      </c>
      <c r="J1065" s="27" t="s">
        <v>188</v>
      </c>
      <c r="K1065" s="66" t="s">
        <v>188</v>
      </c>
      <c r="L1065" s="28" t="s">
        <v>81</v>
      </c>
    </row>
    <row r="1066">
      <c r="A1066" s="11" t="s">
        <v>936</v>
      </c>
      <c r="B1066" s="11" t="s">
        <v>226</v>
      </c>
      <c r="C1066" s="11" t="s">
        <v>1139</v>
      </c>
      <c r="D1066" s="11" t="s">
        <v>1130</v>
      </c>
      <c r="E1066" s="11" t="s">
        <v>1131</v>
      </c>
      <c r="F1066" s="28">
        <v>1976.0</v>
      </c>
      <c r="G1066" s="27" t="s">
        <v>188</v>
      </c>
      <c r="H1066" s="27" t="s">
        <v>188</v>
      </c>
      <c r="I1066" s="27" t="s">
        <v>188</v>
      </c>
      <c r="J1066" s="27" t="s">
        <v>188</v>
      </c>
      <c r="K1066" s="66" t="s">
        <v>188</v>
      </c>
      <c r="L1066" s="28" t="s">
        <v>81</v>
      </c>
    </row>
    <row r="1067">
      <c r="A1067" s="11" t="s">
        <v>936</v>
      </c>
      <c r="B1067" s="11" t="s">
        <v>226</v>
      </c>
      <c r="C1067" s="11" t="s">
        <v>1139</v>
      </c>
      <c r="D1067" s="11" t="s">
        <v>1130</v>
      </c>
      <c r="E1067" s="11" t="s">
        <v>1131</v>
      </c>
      <c r="F1067" s="87">
        <v>1976.90909067812</v>
      </c>
      <c r="G1067" s="27">
        <v>5528.0</v>
      </c>
      <c r="H1067" s="27" t="s">
        <v>188</v>
      </c>
      <c r="I1067" s="27" t="s">
        <v>188</v>
      </c>
      <c r="J1067" s="27" t="s">
        <v>188</v>
      </c>
      <c r="K1067" s="66" t="s">
        <v>188</v>
      </c>
      <c r="L1067" s="28" t="s">
        <v>81</v>
      </c>
    </row>
    <row r="1068">
      <c r="A1068" s="11" t="s">
        <v>936</v>
      </c>
      <c r="B1068" s="11" t="s">
        <v>226</v>
      </c>
      <c r="C1068" s="11" t="s">
        <v>1139</v>
      </c>
      <c r="D1068" s="11" t="s">
        <v>1130</v>
      </c>
      <c r="E1068" s="11" t="s">
        <v>1131</v>
      </c>
      <c r="F1068" s="28">
        <v>1978.0</v>
      </c>
      <c r="G1068" s="27" t="s">
        <v>188</v>
      </c>
      <c r="H1068" s="27" t="s">
        <v>188</v>
      </c>
      <c r="I1068" s="27" t="s">
        <v>188</v>
      </c>
      <c r="J1068" s="27" t="s">
        <v>188</v>
      </c>
      <c r="K1068" s="66" t="s">
        <v>188</v>
      </c>
      <c r="L1068" s="28" t="s">
        <v>81</v>
      </c>
    </row>
    <row r="1069">
      <c r="A1069" s="11" t="s">
        <v>936</v>
      </c>
      <c r="B1069" s="11" t="s">
        <v>226</v>
      </c>
      <c r="C1069" s="11" t="s">
        <v>1139</v>
      </c>
      <c r="D1069" s="11" t="s">
        <v>1130</v>
      </c>
      <c r="E1069" s="11" t="s">
        <v>1131</v>
      </c>
      <c r="F1069" s="28">
        <v>1979.0</v>
      </c>
      <c r="G1069" s="27" t="s">
        <v>188</v>
      </c>
      <c r="H1069" s="27" t="s">
        <v>188</v>
      </c>
      <c r="I1069" s="27" t="s">
        <v>188</v>
      </c>
      <c r="J1069" s="27" t="s">
        <v>188</v>
      </c>
      <c r="K1069" s="66" t="s">
        <v>188</v>
      </c>
      <c r="L1069" s="28" t="s">
        <v>81</v>
      </c>
    </row>
    <row r="1070">
      <c r="A1070" s="11" t="s">
        <v>936</v>
      </c>
      <c r="B1070" s="25" t="s">
        <v>226</v>
      </c>
      <c r="C1070" s="25" t="s">
        <v>1139</v>
      </c>
      <c r="D1070" s="11" t="s">
        <v>1130</v>
      </c>
      <c r="E1070" s="11" t="s">
        <v>1131</v>
      </c>
      <c r="F1070" s="87">
        <v>1979.9875889543</v>
      </c>
      <c r="G1070" s="27">
        <v>7762.0</v>
      </c>
      <c r="H1070" s="27" t="s">
        <v>188</v>
      </c>
      <c r="I1070" s="27" t="s">
        <v>188</v>
      </c>
      <c r="J1070" s="27" t="s">
        <v>188</v>
      </c>
      <c r="K1070" s="66" t="s">
        <v>188</v>
      </c>
      <c r="L1070" s="28" t="s">
        <v>81</v>
      </c>
    </row>
    <row r="1071">
      <c r="A1071" s="11" t="s">
        <v>936</v>
      </c>
      <c r="B1071" s="25" t="s">
        <v>226</v>
      </c>
      <c r="C1071" s="25" t="s">
        <v>1139</v>
      </c>
      <c r="D1071" s="11" t="s">
        <v>1130</v>
      </c>
      <c r="E1071" s="11" t="s">
        <v>1131</v>
      </c>
      <c r="F1071" s="87">
        <v>1981.0395679889</v>
      </c>
      <c r="G1071" s="27">
        <v>8818.0</v>
      </c>
      <c r="H1071" s="27" t="s">
        <v>188</v>
      </c>
      <c r="I1071" s="27" t="s">
        <v>188</v>
      </c>
      <c r="J1071" s="27" t="s">
        <v>188</v>
      </c>
      <c r="K1071" s="66" t="s">
        <v>188</v>
      </c>
      <c r="L1071" s="28" t="s">
        <v>81</v>
      </c>
    </row>
    <row r="1072">
      <c r="A1072" s="11" t="s">
        <v>936</v>
      </c>
      <c r="B1072" s="25" t="s">
        <v>226</v>
      </c>
      <c r="C1072" s="25" t="s">
        <v>1139</v>
      </c>
      <c r="D1072" s="11" t="s">
        <v>1130</v>
      </c>
      <c r="E1072" s="11" t="s">
        <v>1131</v>
      </c>
      <c r="F1072" s="87">
        <v>1982.01624233678</v>
      </c>
      <c r="G1072" s="27">
        <v>9692.0</v>
      </c>
      <c r="H1072" s="27" t="s">
        <v>188</v>
      </c>
      <c r="I1072" s="27" t="s">
        <v>188</v>
      </c>
      <c r="J1072" s="27" t="s">
        <v>188</v>
      </c>
      <c r="K1072" s="66" t="s">
        <v>188</v>
      </c>
      <c r="L1072" s="28" t="s">
        <v>81</v>
      </c>
    </row>
    <row r="1073">
      <c r="A1073" s="11" t="s">
        <v>936</v>
      </c>
      <c r="B1073" s="25" t="s">
        <v>226</v>
      </c>
      <c r="C1073" s="25" t="s">
        <v>1139</v>
      </c>
      <c r="D1073" s="11" t="s">
        <v>1130</v>
      </c>
      <c r="E1073" s="11" t="s">
        <v>1131</v>
      </c>
      <c r="F1073" s="87">
        <v>1982.91700224339</v>
      </c>
      <c r="G1073" s="27">
        <v>10332.0</v>
      </c>
      <c r="H1073" s="27" t="s">
        <v>188</v>
      </c>
      <c r="I1073" s="27" t="s">
        <v>188</v>
      </c>
      <c r="J1073" s="27" t="s">
        <v>188</v>
      </c>
      <c r="K1073" s="66" t="s">
        <v>188</v>
      </c>
      <c r="L1073" s="28" t="s">
        <v>81</v>
      </c>
    </row>
    <row r="1074">
      <c r="A1074" s="11" t="s">
        <v>936</v>
      </c>
      <c r="B1074" s="25" t="s">
        <v>226</v>
      </c>
      <c r="C1074" s="25" t="s">
        <v>1139</v>
      </c>
      <c r="D1074" s="11" t="s">
        <v>1130</v>
      </c>
      <c r="E1074" s="11" t="s">
        <v>1131</v>
      </c>
      <c r="F1074" s="87">
        <v>1983.89398146854</v>
      </c>
      <c r="G1074" s="27">
        <v>11499.0</v>
      </c>
      <c r="H1074" s="27" t="s">
        <v>188</v>
      </c>
      <c r="I1074" s="27" t="s">
        <v>188</v>
      </c>
      <c r="J1074" s="27" t="s">
        <v>188</v>
      </c>
      <c r="K1074" s="66" t="s">
        <v>188</v>
      </c>
      <c r="L1074" s="28" t="s">
        <v>81</v>
      </c>
    </row>
    <row r="1075">
      <c r="A1075" s="11" t="s">
        <v>936</v>
      </c>
      <c r="B1075" s="25" t="s">
        <v>226</v>
      </c>
      <c r="C1075" s="25" t="s">
        <v>1139</v>
      </c>
      <c r="D1075" s="11" t="s">
        <v>1130</v>
      </c>
      <c r="E1075" s="11" t="s">
        <v>1131</v>
      </c>
      <c r="F1075" s="87">
        <v>1985.02202738306</v>
      </c>
      <c r="G1075" s="27">
        <v>13139.0</v>
      </c>
      <c r="H1075" s="27" t="s">
        <v>188</v>
      </c>
      <c r="I1075" s="27" t="s">
        <v>188</v>
      </c>
      <c r="J1075" s="27" t="s">
        <v>188</v>
      </c>
      <c r="K1075" s="66" t="s">
        <v>188</v>
      </c>
      <c r="L1075" s="28" t="s">
        <v>81</v>
      </c>
    </row>
    <row r="1076">
      <c r="A1076" s="11" t="s">
        <v>936</v>
      </c>
      <c r="B1076" s="25" t="s">
        <v>226</v>
      </c>
      <c r="C1076" s="25" t="s">
        <v>1139</v>
      </c>
      <c r="D1076" s="11" t="s">
        <v>1130</v>
      </c>
      <c r="E1076" s="11" t="s">
        <v>1131</v>
      </c>
      <c r="F1076" s="87">
        <v>1985.92080558738</v>
      </c>
      <c r="G1076" s="27">
        <v>12507.0</v>
      </c>
      <c r="H1076" s="27" t="s">
        <v>188</v>
      </c>
      <c r="I1076" s="27" t="s">
        <v>188</v>
      </c>
      <c r="J1076" s="27" t="s">
        <v>188</v>
      </c>
      <c r="K1076" s="66" t="s">
        <v>188</v>
      </c>
      <c r="L1076" s="28" t="s">
        <v>81</v>
      </c>
    </row>
    <row r="1077">
      <c r="A1077" s="11" t="s">
        <v>936</v>
      </c>
      <c r="B1077" s="25" t="s">
        <v>226</v>
      </c>
      <c r="C1077" s="25" t="s">
        <v>1139</v>
      </c>
      <c r="D1077" s="11" t="s">
        <v>1130</v>
      </c>
      <c r="E1077" s="11" t="s">
        <v>1131</v>
      </c>
      <c r="F1077" s="87">
        <v>1986.89656530344</v>
      </c>
      <c r="G1077" s="27">
        <v>13033.0</v>
      </c>
      <c r="H1077" s="27" t="s">
        <v>188</v>
      </c>
      <c r="I1077" s="27" t="s">
        <v>188</v>
      </c>
      <c r="J1077" s="27" t="s">
        <v>188</v>
      </c>
      <c r="K1077" s="66" t="s">
        <v>188</v>
      </c>
      <c r="L1077" s="28" t="s">
        <v>81</v>
      </c>
    </row>
    <row r="1078">
      <c r="A1078" s="11" t="s">
        <v>936</v>
      </c>
      <c r="B1078" s="25" t="s">
        <v>226</v>
      </c>
      <c r="C1078" s="25" t="s">
        <v>1139</v>
      </c>
      <c r="D1078" s="11" t="s">
        <v>1130</v>
      </c>
      <c r="E1078" s="11" t="s">
        <v>1131</v>
      </c>
      <c r="F1078" s="87">
        <v>1988.02430634069</v>
      </c>
      <c r="G1078" s="27">
        <v>14724.0</v>
      </c>
      <c r="H1078" s="27" t="s">
        <v>188</v>
      </c>
      <c r="I1078" s="27" t="s">
        <v>188</v>
      </c>
      <c r="J1078" s="27" t="s">
        <v>188</v>
      </c>
      <c r="K1078" s="66" t="s">
        <v>188</v>
      </c>
      <c r="L1078" s="28" t="s">
        <v>81</v>
      </c>
    </row>
    <row r="1079">
      <c r="A1079" s="11" t="s">
        <v>936</v>
      </c>
      <c r="B1079" s="25" t="s">
        <v>226</v>
      </c>
      <c r="C1079" s="25" t="s">
        <v>1139</v>
      </c>
      <c r="D1079" s="11" t="s">
        <v>1130</v>
      </c>
      <c r="E1079" s="11" t="s">
        <v>1131</v>
      </c>
      <c r="F1079" s="87">
        <v>1989.00296239085</v>
      </c>
      <c r="G1079" s="27">
        <v>16833.0</v>
      </c>
      <c r="H1079" s="27" t="s">
        <v>188</v>
      </c>
      <c r="I1079" s="27" t="s">
        <v>188</v>
      </c>
      <c r="J1079" s="27" t="s">
        <v>188</v>
      </c>
      <c r="K1079" s="66" t="s">
        <v>188</v>
      </c>
      <c r="L1079" s="28" t="s">
        <v>81</v>
      </c>
    </row>
    <row r="1080">
      <c r="A1080" s="11" t="s">
        <v>936</v>
      </c>
      <c r="B1080" s="25" t="s">
        <v>226</v>
      </c>
      <c r="C1080" s="25" t="s">
        <v>1139</v>
      </c>
      <c r="D1080" s="11" t="s">
        <v>1130</v>
      </c>
      <c r="E1080" s="11" t="s">
        <v>1131</v>
      </c>
      <c r="F1080" s="87">
        <v>1989.90356985882</v>
      </c>
      <c r="G1080" s="27">
        <v>17287.0</v>
      </c>
      <c r="H1080" s="27" t="s">
        <v>188</v>
      </c>
      <c r="I1080" s="27" t="s">
        <v>188</v>
      </c>
      <c r="J1080" s="27" t="s">
        <v>188</v>
      </c>
      <c r="K1080" s="66" t="s">
        <v>188</v>
      </c>
      <c r="L1080" s="28" t="s">
        <v>81</v>
      </c>
    </row>
    <row r="1081">
      <c r="A1081" s="11" t="s">
        <v>936</v>
      </c>
      <c r="B1081" s="25" t="s">
        <v>226</v>
      </c>
      <c r="C1081" s="25" t="s">
        <v>1139</v>
      </c>
      <c r="D1081" s="11" t="s">
        <v>1130</v>
      </c>
      <c r="E1081" s="11" t="s">
        <v>1131</v>
      </c>
      <c r="F1081" s="87">
        <v>1991.03085358015</v>
      </c>
      <c r="G1081" s="27">
        <v>18511.0</v>
      </c>
      <c r="H1081" s="27" t="s">
        <v>188</v>
      </c>
      <c r="I1081" s="27" t="s">
        <v>188</v>
      </c>
      <c r="J1081" s="27" t="s">
        <v>188</v>
      </c>
      <c r="K1081" s="66" t="s">
        <v>188</v>
      </c>
      <c r="L1081" s="28" t="s">
        <v>81</v>
      </c>
    </row>
    <row r="1082">
      <c r="A1082" s="11" t="s">
        <v>936</v>
      </c>
      <c r="B1082" s="25" t="s">
        <v>226</v>
      </c>
      <c r="C1082" s="25" t="s">
        <v>1139</v>
      </c>
      <c r="D1082" s="11" t="s">
        <v>1130</v>
      </c>
      <c r="E1082" s="11" t="s">
        <v>1131</v>
      </c>
      <c r="F1082" s="87">
        <v>1992.00813768258</v>
      </c>
      <c r="G1082" s="27">
        <v>19833.0</v>
      </c>
      <c r="H1082" s="27" t="s">
        <v>188</v>
      </c>
      <c r="I1082" s="27" t="s">
        <v>188</v>
      </c>
      <c r="J1082" s="27" t="s">
        <v>188</v>
      </c>
      <c r="K1082" s="66" t="s">
        <v>188</v>
      </c>
      <c r="L1082" s="28" t="s">
        <v>81</v>
      </c>
    </row>
    <row r="1083">
      <c r="A1083" s="11" t="s">
        <v>936</v>
      </c>
      <c r="B1083" s="25" t="s">
        <v>226</v>
      </c>
      <c r="C1083" s="25" t="s">
        <v>1139</v>
      </c>
      <c r="D1083" s="11" t="s">
        <v>1130</v>
      </c>
      <c r="E1083" s="11" t="s">
        <v>1131</v>
      </c>
      <c r="F1083" s="87">
        <v>1992.98313520545</v>
      </c>
      <c r="G1083" s="27">
        <v>19938.0</v>
      </c>
      <c r="H1083" s="27" t="s">
        <v>188</v>
      </c>
      <c r="I1083" s="27" t="s">
        <v>188</v>
      </c>
      <c r="J1083" s="27" t="s">
        <v>188</v>
      </c>
      <c r="K1083" s="66" t="s">
        <v>188</v>
      </c>
      <c r="L1083" s="28" t="s">
        <v>81</v>
      </c>
    </row>
    <row r="1084">
      <c r="A1084" s="11" t="s">
        <v>936</v>
      </c>
      <c r="B1084" s="25" t="s">
        <v>226</v>
      </c>
      <c r="C1084" s="25" t="s">
        <v>1139</v>
      </c>
      <c r="D1084" s="11" t="s">
        <v>1130</v>
      </c>
      <c r="E1084" s="11" t="s">
        <v>1131</v>
      </c>
      <c r="F1084" s="87">
        <v>1994.03633374915</v>
      </c>
      <c r="G1084" s="27">
        <v>21777.0</v>
      </c>
      <c r="H1084" s="27" t="s">
        <v>188</v>
      </c>
      <c r="I1084" s="27" t="s">
        <v>188</v>
      </c>
      <c r="J1084" s="27" t="s">
        <v>188</v>
      </c>
      <c r="K1084" s="66" t="s">
        <v>188</v>
      </c>
      <c r="L1084" s="28" t="s">
        <v>81</v>
      </c>
    </row>
    <row r="1085">
      <c r="A1085" s="11" t="s">
        <v>936</v>
      </c>
      <c r="B1085" s="25" t="s">
        <v>226</v>
      </c>
      <c r="C1085" s="25" t="s">
        <v>1139</v>
      </c>
      <c r="D1085" s="11" t="s">
        <v>1130</v>
      </c>
      <c r="E1085" s="11" t="s">
        <v>1131</v>
      </c>
      <c r="F1085" s="87">
        <v>1995.01133127202</v>
      </c>
      <c r="G1085" s="27">
        <v>21833.0</v>
      </c>
      <c r="H1085" s="27" t="s">
        <v>188</v>
      </c>
      <c r="I1085" s="27" t="s">
        <v>188</v>
      </c>
      <c r="J1085" s="27" t="s">
        <v>188</v>
      </c>
      <c r="K1085" s="66" t="s">
        <v>188</v>
      </c>
      <c r="L1085" s="28" t="s">
        <v>81</v>
      </c>
    </row>
    <row r="1086">
      <c r="A1086" s="11" t="s">
        <v>936</v>
      </c>
      <c r="B1086" s="25" t="s">
        <v>226</v>
      </c>
      <c r="C1086" s="25" t="s">
        <v>1139</v>
      </c>
      <c r="D1086" s="11" t="s">
        <v>1130</v>
      </c>
      <c r="E1086" s="11" t="s">
        <v>1131</v>
      </c>
      <c r="F1086" s="87">
        <v>1995.98541416307</v>
      </c>
      <c r="G1086" s="27">
        <v>21337.0</v>
      </c>
      <c r="H1086" s="27" t="s">
        <v>188</v>
      </c>
      <c r="I1086" s="27" t="s">
        <v>188</v>
      </c>
      <c r="J1086" s="27" t="s">
        <v>188</v>
      </c>
      <c r="K1086" s="66" t="s">
        <v>188</v>
      </c>
      <c r="L1086" s="28" t="s">
        <v>81</v>
      </c>
    </row>
    <row r="1087">
      <c r="A1087" s="11" t="s">
        <v>936</v>
      </c>
      <c r="B1087" s="25" t="s">
        <v>226</v>
      </c>
      <c r="C1087" s="25" t="s">
        <v>1139</v>
      </c>
      <c r="D1087" s="11" t="s">
        <v>1130</v>
      </c>
      <c r="E1087" s="11" t="s">
        <v>1131</v>
      </c>
      <c r="F1087" s="28">
        <v>1997.0</v>
      </c>
      <c r="G1087" s="27" t="s">
        <v>188</v>
      </c>
      <c r="H1087" s="27" t="s">
        <v>188</v>
      </c>
      <c r="I1087" s="27" t="s">
        <v>188</v>
      </c>
      <c r="J1087" s="27" t="s">
        <v>188</v>
      </c>
      <c r="K1087" s="66" t="s">
        <v>188</v>
      </c>
      <c r="L1087" s="28" t="s">
        <v>81</v>
      </c>
    </row>
    <row r="1088">
      <c r="A1088" s="11" t="s">
        <v>936</v>
      </c>
      <c r="B1088" s="25" t="s">
        <v>226</v>
      </c>
      <c r="C1088" s="25" t="s">
        <v>1139</v>
      </c>
      <c r="D1088" s="11" t="s">
        <v>1130</v>
      </c>
      <c r="E1088" s="11" t="s">
        <v>1131</v>
      </c>
      <c r="F1088" s="87">
        <v>1998.01254315919</v>
      </c>
      <c r="G1088" s="27">
        <v>22631.0</v>
      </c>
      <c r="H1088" s="27" t="s">
        <v>188</v>
      </c>
      <c r="I1088" s="27" t="s">
        <v>188</v>
      </c>
      <c r="J1088" s="27" t="s">
        <v>188</v>
      </c>
      <c r="K1088" s="66" t="s">
        <v>188</v>
      </c>
      <c r="L1088" s="28" t="s">
        <v>81</v>
      </c>
    </row>
    <row r="1089">
      <c r="A1089" s="11" t="s">
        <v>936</v>
      </c>
      <c r="B1089" s="25" t="s">
        <v>226</v>
      </c>
      <c r="C1089" s="25" t="s">
        <v>1139</v>
      </c>
      <c r="D1089" s="11" t="s">
        <v>1130</v>
      </c>
      <c r="E1089" s="11" t="s">
        <v>1131</v>
      </c>
      <c r="F1089" s="28">
        <v>1999.0</v>
      </c>
      <c r="G1089" s="27" t="s">
        <v>188</v>
      </c>
      <c r="H1089" s="27" t="s">
        <v>188</v>
      </c>
      <c r="I1089" s="27" t="s">
        <v>188</v>
      </c>
      <c r="J1089" s="27" t="s">
        <v>188</v>
      </c>
      <c r="K1089" s="66" t="s">
        <v>188</v>
      </c>
      <c r="L1089" s="28" t="s">
        <v>81</v>
      </c>
    </row>
    <row r="1090">
      <c r="A1090" s="11" t="s">
        <v>936</v>
      </c>
      <c r="B1090" s="25" t="s">
        <v>226</v>
      </c>
      <c r="C1090" s="25" t="s">
        <v>1139</v>
      </c>
      <c r="D1090" s="11" t="s">
        <v>1130</v>
      </c>
      <c r="E1090" s="11" t="s">
        <v>1131</v>
      </c>
      <c r="F1090" s="87">
        <v>1999.96512966176</v>
      </c>
      <c r="G1090" s="27">
        <v>24160.0</v>
      </c>
      <c r="H1090" s="27" t="s">
        <v>188</v>
      </c>
      <c r="I1090" s="27" t="s">
        <v>188</v>
      </c>
      <c r="J1090" s="27" t="s">
        <v>188</v>
      </c>
      <c r="K1090" s="66" t="s">
        <v>188</v>
      </c>
      <c r="L1090" s="28" t="s">
        <v>81</v>
      </c>
    </row>
    <row r="1091">
      <c r="A1091" s="11" t="s">
        <v>936</v>
      </c>
      <c r="B1091" s="25" t="s">
        <v>226</v>
      </c>
      <c r="C1091" s="25" t="s">
        <v>1139</v>
      </c>
      <c r="D1091" s="11" t="s">
        <v>1130</v>
      </c>
      <c r="E1091" s="11" t="s">
        <v>1131</v>
      </c>
      <c r="F1091" s="87">
        <v>2001.01558431</v>
      </c>
      <c r="G1091" s="27">
        <v>24410.0</v>
      </c>
      <c r="H1091" s="27" t="s">
        <v>188</v>
      </c>
      <c r="I1091" s="27" t="s">
        <v>188</v>
      </c>
      <c r="J1091" s="27" t="s">
        <v>188</v>
      </c>
      <c r="K1091" s="66" t="s">
        <v>188</v>
      </c>
      <c r="L1091" s="28" t="s">
        <v>81</v>
      </c>
    </row>
    <row r="1092">
      <c r="A1092" s="11" t="s">
        <v>936</v>
      </c>
      <c r="B1092" s="25" t="s">
        <v>226</v>
      </c>
      <c r="C1092" s="25" t="s">
        <v>1139</v>
      </c>
      <c r="D1092" s="11" t="s">
        <v>1130</v>
      </c>
      <c r="E1092" s="11" t="s">
        <v>1131</v>
      </c>
      <c r="F1092" s="28">
        <v>2002.0</v>
      </c>
      <c r="G1092" s="27" t="s">
        <v>188</v>
      </c>
      <c r="H1092" s="27" t="s">
        <v>188</v>
      </c>
      <c r="I1092" s="27" t="s">
        <v>188</v>
      </c>
      <c r="J1092" s="27" t="s">
        <v>188</v>
      </c>
      <c r="K1092" s="66" t="s">
        <v>188</v>
      </c>
      <c r="L1092" s="28" t="s">
        <v>81</v>
      </c>
    </row>
    <row r="1093">
      <c r="A1093" s="11" t="s">
        <v>936</v>
      </c>
      <c r="B1093" s="25" t="s">
        <v>226</v>
      </c>
      <c r="C1093" s="25" t="s">
        <v>1139</v>
      </c>
      <c r="D1093" s="11" t="s">
        <v>1130</v>
      </c>
      <c r="E1093" s="11" t="s">
        <v>1131</v>
      </c>
      <c r="F1093" s="28">
        <v>2003.0</v>
      </c>
      <c r="G1093" s="27" t="s">
        <v>188</v>
      </c>
      <c r="H1093" s="27" t="s">
        <v>188</v>
      </c>
      <c r="I1093" s="27" t="s">
        <v>188</v>
      </c>
      <c r="J1093" s="27" t="s">
        <v>188</v>
      </c>
      <c r="K1093" s="66" t="s">
        <v>188</v>
      </c>
      <c r="L1093" s="28" t="s">
        <v>81</v>
      </c>
    </row>
    <row r="1094">
      <c r="A1094" s="11" t="s">
        <v>936</v>
      </c>
      <c r="B1094" s="25" t="s">
        <v>226</v>
      </c>
      <c r="C1094" s="25" t="s">
        <v>1139</v>
      </c>
      <c r="D1094" s="11" t="s">
        <v>1130</v>
      </c>
      <c r="E1094" s="11" t="s">
        <v>1131</v>
      </c>
      <c r="F1094" s="28">
        <v>2004.0</v>
      </c>
      <c r="G1094" s="27" t="s">
        <v>188</v>
      </c>
      <c r="H1094" s="27" t="s">
        <v>188</v>
      </c>
      <c r="I1094" s="27" t="s">
        <v>188</v>
      </c>
      <c r="J1094" s="27" t="s">
        <v>188</v>
      </c>
      <c r="K1094" s="66" t="s">
        <v>188</v>
      </c>
      <c r="L1094" s="28" t="s">
        <v>81</v>
      </c>
    </row>
    <row r="1095">
      <c r="A1095" s="11" t="s">
        <v>936</v>
      </c>
      <c r="B1095" s="25" t="s">
        <v>226</v>
      </c>
      <c r="C1095" s="25" t="s">
        <v>1139</v>
      </c>
      <c r="D1095" s="11" t="s">
        <v>1130</v>
      </c>
      <c r="E1095" s="11" t="s">
        <v>1131</v>
      </c>
      <c r="F1095" s="87">
        <v>2005.07533009317</v>
      </c>
      <c r="G1095" s="27">
        <v>30207.0</v>
      </c>
      <c r="H1095" s="27" t="s">
        <v>188</v>
      </c>
      <c r="I1095" s="27" t="s">
        <v>188</v>
      </c>
      <c r="J1095" s="27" t="s">
        <v>188</v>
      </c>
      <c r="K1095" s="66" t="s">
        <v>188</v>
      </c>
      <c r="L1095" s="28" t="s">
        <v>81</v>
      </c>
    </row>
    <row r="1096">
      <c r="A1096" s="11" t="s">
        <v>936</v>
      </c>
      <c r="B1096" s="25" t="s">
        <v>226</v>
      </c>
      <c r="C1096" s="25" t="s">
        <v>1139</v>
      </c>
      <c r="D1096" s="11" t="s">
        <v>1130</v>
      </c>
      <c r="E1096" s="11" t="s">
        <v>1131</v>
      </c>
      <c r="F1096" s="28">
        <v>2006.0</v>
      </c>
      <c r="G1096" s="27" t="s">
        <v>188</v>
      </c>
      <c r="H1096" s="27" t="s">
        <v>188</v>
      </c>
      <c r="I1096" s="27" t="s">
        <v>188</v>
      </c>
      <c r="J1096" s="27" t="s">
        <v>188</v>
      </c>
      <c r="K1096" s="66" t="s">
        <v>188</v>
      </c>
      <c r="L1096" s="28" t="s">
        <v>81</v>
      </c>
    </row>
    <row r="1097">
      <c r="A1097" s="11" t="s">
        <v>936</v>
      </c>
      <c r="B1097" s="25" t="s">
        <v>226</v>
      </c>
      <c r="C1097" s="25" t="s">
        <v>1139</v>
      </c>
      <c r="D1097" s="11" t="s">
        <v>1130</v>
      </c>
      <c r="E1097" s="11" t="s">
        <v>1131</v>
      </c>
      <c r="F1097" s="28">
        <v>2007.0</v>
      </c>
      <c r="G1097" s="27" t="s">
        <v>188</v>
      </c>
      <c r="H1097" s="27" t="s">
        <v>188</v>
      </c>
      <c r="I1097" s="27" t="s">
        <v>188</v>
      </c>
      <c r="J1097" s="27" t="s">
        <v>188</v>
      </c>
      <c r="K1097" s="66" t="s">
        <v>188</v>
      </c>
      <c r="L1097" s="28" t="s">
        <v>81</v>
      </c>
    </row>
    <row r="1098">
      <c r="A1098" s="11" t="s">
        <v>936</v>
      </c>
      <c r="B1098" s="25" t="s">
        <v>226</v>
      </c>
      <c r="C1098" s="25" t="s">
        <v>1139</v>
      </c>
      <c r="D1098" s="11" t="s">
        <v>1130</v>
      </c>
      <c r="E1098" s="11" t="s">
        <v>1131</v>
      </c>
      <c r="F1098" s="28">
        <v>2008.0</v>
      </c>
      <c r="G1098" s="27" t="s">
        <v>188</v>
      </c>
      <c r="H1098" s="27" t="s">
        <v>188</v>
      </c>
      <c r="I1098" s="27" t="s">
        <v>188</v>
      </c>
      <c r="J1098" s="27" t="s">
        <v>188</v>
      </c>
      <c r="K1098" s="66" t="s">
        <v>188</v>
      </c>
      <c r="L1098" s="28" t="s">
        <v>81</v>
      </c>
    </row>
    <row r="1099">
      <c r="A1099" s="11" t="s">
        <v>936</v>
      </c>
      <c r="B1099" s="25" t="s">
        <v>226</v>
      </c>
      <c r="C1099" s="25" t="s">
        <v>1139</v>
      </c>
      <c r="D1099" s="11" t="s">
        <v>1130</v>
      </c>
      <c r="E1099" s="11" t="s">
        <v>1131</v>
      </c>
      <c r="F1099" s="28">
        <v>2009.0</v>
      </c>
      <c r="G1099" s="27" t="s">
        <v>188</v>
      </c>
      <c r="H1099" s="27" t="s">
        <v>188</v>
      </c>
      <c r="I1099" s="27" t="s">
        <v>188</v>
      </c>
      <c r="J1099" s="27" t="s">
        <v>188</v>
      </c>
      <c r="K1099" s="66" t="s">
        <v>188</v>
      </c>
      <c r="L1099" s="28" t="s">
        <v>81</v>
      </c>
    </row>
    <row r="1100">
      <c r="A1100" s="11" t="s">
        <v>936</v>
      </c>
      <c r="B1100" s="25" t="s">
        <v>226</v>
      </c>
      <c r="C1100" s="25" t="s">
        <v>1139</v>
      </c>
      <c r="D1100" s="11" t="s">
        <v>1130</v>
      </c>
      <c r="E1100" s="11" t="s">
        <v>1131</v>
      </c>
      <c r="F1100" s="87">
        <v>2010.03004311473</v>
      </c>
      <c r="G1100" s="27">
        <v>33144.0</v>
      </c>
      <c r="H1100" s="27" t="s">
        <v>188</v>
      </c>
      <c r="I1100" s="27" t="s">
        <v>188</v>
      </c>
      <c r="J1100" s="27" t="s">
        <v>188</v>
      </c>
      <c r="K1100" s="66" t="s">
        <v>188</v>
      </c>
      <c r="L1100" s="28" t="s">
        <v>81</v>
      </c>
    </row>
    <row r="1101">
      <c r="A1101" s="11" t="s">
        <v>1144</v>
      </c>
      <c r="B1101" s="25" t="s">
        <v>226</v>
      </c>
      <c r="C1101" s="11" t="s">
        <v>1145</v>
      </c>
      <c r="D1101" s="11" t="s">
        <v>1130</v>
      </c>
      <c r="E1101" s="11" t="s">
        <v>1131</v>
      </c>
      <c r="F1101" s="28">
        <v>1958.0</v>
      </c>
      <c r="G1101" s="27">
        <v>132.0</v>
      </c>
      <c r="H1101" s="27" t="s">
        <v>188</v>
      </c>
      <c r="I1101" s="27" t="s">
        <v>188</v>
      </c>
      <c r="J1101" s="27" t="s">
        <v>188</v>
      </c>
      <c r="K1101" s="66" t="s">
        <v>188</v>
      </c>
      <c r="L1101" s="28" t="s">
        <v>81</v>
      </c>
    </row>
    <row r="1102">
      <c r="A1102" s="11" t="s">
        <v>1144</v>
      </c>
      <c r="B1102" s="25" t="s">
        <v>226</v>
      </c>
      <c r="C1102" s="11" t="s">
        <v>1145</v>
      </c>
      <c r="D1102" s="11" t="s">
        <v>1130</v>
      </c>
      <c r="E1102" s="11" t="s">
        <v>1131</v>
      </c>
      <c r="F1102" s="28">
        <v>1964.0</v>
      </c>
      <c r="G1102" s="27">
        <v>1032.0</v>
      </c>
      <c r="H1102" s="27">
        <f t="shared" ref="H1102:I1102" si="874">F1102-F1101</f>
        <v>6</v>
      </c>
      <c r="I1102" s="27">
        <f t="shared" si="874"/>
        <v>900</v>
      </c>
      <c r="J1102" s="66">
        <f t="shared" ref="J1102:J1127" si="876">I1102/G1101</f>
        <v>6.818181818</v>
      </c>
      <c r="K1102" s="66">
        <f t="shared" ref="K1102:K1127" si="877">J1102/H1102</f>
        <v>1.136363636</v>
      </c>
      <c r="L1102" s="28" t="s">
        <v>81</v>
      </c>
    </row>
    <row r="1103">
      <c r="A1103" s="11" t="s">
        <v>1144</v>
      </c>
      <c r="B1103" s="25" t="s">
        <v>226</v>
      </c>
      <c r="C1103" s="11" t="s">
        <v>1145</v>
      </c>
      <c r="D1103" s="11" t="s">
        <v>1130</v>
      </c>
      <c r="E1103" s="11" t="s">
        <v>1131</v>
      </c>
      <c r="F1103" s="28">
        <v>1968.0</v>
      </c>
      <c r="G1103" s="27">
        <v>2010.0</v>
      </c>
      <c r="H1103" s="27">
        <f t="shared" ref="H1103:I1103" si="875">F1103-F1102</f>
        <v>4</v>
      </c>
      <c r="I1103" s="27">
        <f t="shared" si="875"/>
        <v>978</v>
      </c>
      <c r="J1103" s="66">
        <f t="shared" si="876"/>
        <v>0.9476744186</v>
      </c>
      <c r="K1103" s="66">
        <f t="shared" si="877"/>
        <v>0.2369186047</v>
      </c>
      <c r="L1103" s="28" t="s">
        <v>81</v>
      </c>
    </row>
    <row r="1104">
      <c r="A1104" s="11" t="s">
        <v>1144</v>
      </c>
      <c r="B1104" s="25" t="s">
        <v>226</v>
      </c>
      <c r="C1104" s="11" t="s">
        <v>1145</v>
      </c>
      <c r="D1104" s="11" t="s">
        <v>1130</v>
      </c>
      <c r="E1104" s="11" t="s">
        <v>1131</v>
      </c>
      <c r="F1104" s="87">
        <v>1971.95559716566</v>
      </c>
      <c r="G1104" s="27">
        <v>3329.0</v>
      </c>
      <c r="H1104" s="27">
        <f t="shared" ref="H1104:I1104" si="878">F1104-F1103</f>
        <v>3.955597166</v>
      </c>
      <c r="I1104" s="27">
        <f t="shared" si="878"/>
        <v>1319</v>
      </c>
      <c r="J1104" s="66">
        <f t="shared" si="876"/>
        <v>0.6562189055</v>
      </c>
      <c r="K1104" s="66">
        <f t="shared" si="877"/>
        <v>0.1658962928</v>
      </c>
      <c r="L1104" s="28" t="s">
        <v>81</v>
      </c>
    </row>
    <row r="1105">
      <c r="A1105" s="11" t="s">
        <v>1144</v>
      </c>
      <c r="B1105" s="25" t="s">
        <v>226</v>
      </c>
      <c r="C1105" s="11" t="s">
        <v>1145</v>
      </c>
      <c r="D1105" s="11" t="s">
        <v>1130</v>
      </c>
      <c r="E1105" s="11" t="s">
        <v>1131</v>
      </c>
      <c r="F1105" s="87">
        <v>1976.91076750313</v>
      </c>
      <c r="G1105" s="27">
        <v>6523.0</v>
      </c>
      <c r="H1105" s="27">
        <f t="shared" ref="H1105:I1105" si="879">F1105-F1104</f>
        <v>4.955170337</v>
      </c>
      <c r="I1105" s="27">
        <f t="shared" si="879"/>
        <v>3194</v>
      </c>
      <c r="J1105" s="66">
        <f t="shared" si="876"/>
        <v>0.9594472815</v>
      </c>
      <c r="K1105" s="66">
        <f t="shared" si="877"/>
        <v>0.1936254894</v>
      </c>
      <c r="L1105" s="28" t="s">
        <v>81</v>
      </c>
    </row>
    <row r="1106">
      <c r="A1106" s="11" t="s">
        <v>1144</v>
      </c>
      <c r="B1106" s="11" t="s">
        <v>226</v>
      </c>
      <c r="C1106" s="11" t="s">
        <v>1145</v>
      </c>
      <c r="D1106" s="11" t="s">
        <v>1130</v>
      </c>
      <c r="E1106" s="11" t="s">
        <v>1131</v>
      </c>
      <c r="F1106" s="87">
        <v>1979.91548547895</v>
      </c>
      <c r="G1106" s="27">
        <v>9262.0</v>
      </c>
      <c r="H1106" s="27">
        <f t="shared" ref="H1106:I1106" si="880">F1106-F1105</f>
        <v>3.004717976</v>
      </c>
      <c r="I1106" s="27">
        <f t="shared" si="880"/>
        <v>2739</v>
      </c>
      <c r="J1106" s="66">
        <f t="shared" si="876"/>
        <v>0.4198988196</v>
      </c>
      <c r="K1106" s="66">
        <f t="shared" si="877"/>
        <v>0.1397464997</v>
      </c>
      <c r="L1106" s="28" t="s">
        <v>81</v>
      </c>
    </row>
    <row r="1107">
      <c r="A1107" s="11" t="s">
        <v>1144</v>
      </c>
      <c r="B1107" s="11" t="s">
        <v>226</v>
      </c>
      <c r="C1107" s="11" t="s">
        <v>1145</v>
      </c>
      <c r="D1107" s="11" t="s">
        <v>1130</v>
      </c>
      <c r="E1107" s="11" t="s">
        <v>1131</v>
      </c>
      <c r="F1107" s="87">
        <v>1980.96731207492</v>
      </c>
      <c r="G1107" s="27">
        <v>10427.0</v>
      </c>
      <c r="H1107" s="27">
        <f t="shared" ref="H1107:I1107" si="881">F1107-F1106</f>
        <v>1.051826596</v>
      </c>
      <c r="I1107" s="27">
        <f t="shared" si="881"/>
        <v>1165</v>
      </c>
      <c r="J1107" s="66">
        <f t="shared" si="876"/>
        <v>0.1257827683</v>
      </c>
      <c r="K1107" s="66">
        <f t="shared" si="877"/>
        <v>0.1195850806</v>
      </c>
      <c r="L1107" s="28" t="s">
        <v>81</v>
      </c>
    </row>
    <row r="1108">
      <c r="A1108" s="11" t="s">
        <v>1144</v>
      </c>
      <c r="B1108" s="11" t="s">
        <v>226</v>
      </c>
      <c r="C1108" s="11" t="s">
        <v>1145</v>
      </c>
      <c r="D1108" s="11" t="s">
        <v>1130</v>
      </c>
      <c r="E1108" s="11" t="s">
        <v>1131</v>
      </c>
      <c r="F1108" s="87">
        <v>1982.01929110952</v>
      </c>
      <c r="G1108" s="27">
        <v>11589.0</v>
      </c>
      <c r="H1108" s="27">
        <f t="shared" ref="H1108:I1108" si="882">F1108-F1107</f>
        <v>1.051979035</v>
      </c>
      <c r="I1108" s="27">
        <f t="shared" si="882"/>
        <v>1162</v>
      </c>
      <c r="J1108" s="66">
        <f t="shared" si="876"/>
        <v>0.1114414501</v>
      </c>
      <c r="K1108" s="66">
        <f t="shared" si="877"/>
        <v>0.1059350485</v>
      </c>
      <c r="L1108" s="28" t="s">
        <v>81</v>
      </c>
    </row>
    <row r="1109">
      <c r="A1109" s="11" t="s">
        <v>1144</v>
      </c>
      <c r="B1109" s="11" t="s">
        <v>226</v>
      </c>
      <c r="C1109" s="11" t="s">
        <v>1145</v>
      </c>
      <c r="D1109" s="11" t="s">
        <v>1130</v>
      </c>
      <c r="E1109" s="11" t="s">
        <v>1131</v>
      </c>
      <c r="F1109" s="87">
        <v>1982.92050833204</v>
      </c>
      <c r="G1109" s="27">
        <v>12355.0</v>
      </c>
      <c r="H1109" s="27">
        <f t="shared" ref="H1109:I1109" si="883">F1109-F1108</f>
        <v>0.9012172225</v>
      </c>
      <c r="I1109" s="27">
        <f t="shared" si="883"/>
        <v>766</v>
      </c>
      <c r="J1109" s="66">
        <f t="shared" si="876"/>
        <v>0.0660971611</v>
      </c>
      <c r="K1109" s="66">
        <f t="shared" si="877"/>
        <v>0.07334209717</v>
      </c>
      <c r="L1109" s="28" t="s">
        <v>81</v>
      </c>
    </row>
    <row r="1110">
      <c r="A1110" s="11" t="s">
        <v>1144</v>
      </c>
      <c r="B1110" s="11" t="s">
        <v>226</v>
      </c>
      <c r="C1110" s="11" t="s">
        <v>1145</v>
      </c>
      <c r="D1110" s="11" t="s">
        <v>1130</v>
      </c>
      <c r="E1110" s="11" t="s">
        <v>1131</v>
      </c>
      <c r="F1110" s="87">
        <v>1983.89809731174</v>
      </c>
      <c r="G1110" s="27">
        <v>13837.0</v>
      </c>
      <c r="H1110" s="27">
        <f t="shared" ref="H1110:I1110" si="884">F1110-F1109</f>
        <v>0.9775889797</v>
      </c>
      <c r="I1110" s="27">
        <f t="shared" si="884"/>
        <v>1482</v>
      </c>
      <c r="J1110" s="66">
        <f t="shared" si="876"/>
        <v>0.1199514367</v>
      </c>
      <c r="K1110" s="66">
        <f t="shared" si="877"/>
        <v>0.1227012979</v>
      </c>
      <c r="L1110" s="28" t="s">
        <v>81</v>
      </c>
    </row>
    <row r="1111">
      <c r="A1111" s="11" t="s">
        <v>1144</v>
      </c>
      <c r="B1111" s="11" t="s">
        <v>226</v>
      </c>
      <c r="C1111" s="11" t="s">
        <v>1145</v>
      </c>
      <c r="D1111" s="11" t="s">
        <v>1130</v>
      </c>
      <c r="E1111" s="11" t="s">
        <v>1131</v>
      </c>
      <c r="F1111" s="87">
        <v>1984.95007634635</v>
      </c>
      <c r="G1111" s="27">
        <v>15079.0</v>
      </c>
      <c r="H1111" s="27">
        <f t="shared" ref="H1111:I1111" si="885">F1111-F1110</f>
        <v>1.051979035</v>
      </c>
      <c r="I1111" s="27">
        <f t="shared" si="885"/>
        <v>1242</v>
      </c>
      <c r="J1111" s="66">
        <f t="shared" si="876"/>
        <v>0.0897593409</v>
      </c>
      <c r="K1111" s="66">
        <f t="shared" si="877"/>
        <v>0.08532426783</v>
      </c>
      <c r="L1111" s="28" t="s">
        <v>81</v>
      </c>
    </row>
    <row r="1112">
      <c r="A1112" s="11" t="s">
        <v>1144</v>
      </c>
      <c r="B1112" s="11" t="s">
        <v>226</v>
      </c>
      <c r="C1112" s="11" t="s">
        <v>1145</v>
      </c>
      <c r="D1112" s="11" t="s">
        <v>1130</v>
      </c>
      <c r="E1112" s="11" t="s">
        <v>1131</v>
      </c>
      <c r="F1112" s="87">
        <v>1985.92461655331</v>
      </c>
      <c r="G1112" s="27">
        <v>14690.0</v>
      </c>
      <c r="H1112" s="27">
        <f t="shared" ref="H1112:I1112" si="886">F1112-F1111</f>
        <v>0.974540207</v>
      </c>
      <c r="I1112" s="27">
        <f t="shared" si="886"/>
        <v>-389</v>
      </c>
      <c r="J1112" s="66">
        <f t="shared" si="876"/>
        <v>-0.02579746668</v>
      </c>
      <c r="K1112" s="66">
        <f t="shared" si="877"/>
        <v>-0.02647142364</v>
      </c>
      <c r="L1112" s="28" t="s">
        <v>81</v>
      </c>
    </row>
    <row r="1113">
      <c r="A1113" s="11" t="s">
        <v>1144</v>
      </c>
      <c r="B1113" s="11" t="s">
        <v>226</v>
      </c>
      <c r="C1113" s="11" t="s">
        <v>1145</v>
      </c>
      <c r="D1113" s="11" t="s">
        <v>1130</v>
      </c>
      <c r="E1113" s="11" t="s">
        <v>1131</v>
      </c>
      <c r="F1113" s="87">
        <v>1986.97491876291</v>
      </c>
      <c r="G1113" s="27">
        <v>15009.0</v>
      </c>
      <c r="H1113" s="27">
        <f t="shared" ref="H1113:I1113" si="887">F1113-F1112</f>
        <v>1.05030221</v>
      </c>
      <c r="I1113" s="27">
        <f t="shared" si="887"/>
        <v>319</v>
      </c>
      <c r="J1113" s="66">
        <f t="shared" si="876"/>
        <v>0.02171545269</v>
      </c>
      <c r="K1113" s="66">
        <f t="shared" si="877"/>
        <v>0.02067543274</v>
      </c>
      <c r="L1113" s="28" t="s">
        <v>81</v>
      </c>
    </row>
    <row r="1114">
      <c r="A1114" s="11" t="s">
        <v>1144</v>
      </c>
      <c r="B1114" s="11" t="s">
        <v>226</v>
      </c>
      <c r="C1114" s="11" t="s">
        <v>1145</v>
      </c>
      <c r="D1114" s="11" t="s">
        <v>1130</v>
      </c>
      <c r="E1114" s="11" t="s">
        <v>1131</v>
      </c>
      <c r="F1114" s="87">
        <v>1987.95311749716</v>
      </c>
      <c r="G1114" s="27">
        <v>16902.0</v>
      </c>
      <c r="H1114" s="27">
        <f t="shared" ref="H1114:I1114" si="888">F1114-F1113</f>
        <v>0.9781987343</v>
      </c>
      <c r="I1114" s="27">
        <f t="shared" si="888"/>
        <v>1893</v>
      </c>
      <c r="J1114" s="66">
        <f t="shared" si="876"/>
        <v>0.1261243254</v>
      </c>
      <c r="K1114" s="66">
        <f t="shared" si="877"/>
        <v>0.1289352777</v>
      </c>
      <c r="L1114" s="28" t="s">
        <v>81</v>
      </c>
    </row>
    <row r="1115">
      <c r="A1115" s="11" t="s">
        <v>1144</v>
      </c>
      <c r="B1115" s="11" t="s">
        <v>226</v>
      </c>
      <c r="C1115" s="11" t="s">
        <v>1145</v>
      </c>
      <c r="D1115" s="11" t="s">
        <v>1130</v>
      </c>
      <c r="E1115" s="11" t="s">
        <v>1131</v>
      </c>
      <c r="F1115" s="87">
        <v>1989.00707823405</v>
      </c>
      <c r="G1115" s="27">
        <v>19229.0</v>
      </c>
      <c r="H1115" s="27">
        <f t="shared" ref="H1115:I1115" si="889">F1115-F1114</f>
        <v>1.053960737</v>
      </c>
      <c r="I1115" s="27">
        <f t="shared" si="889"/>
        <v>2327</v>
      </c>
      <c r="J1115" s="66">
        <f t="shared" si="876"/>
        <v>0.1376760147</v>
      </c>
      <c r="K1115" s="66">
        <f t="shared" si="877"/>
        <v>0.1306272709</v>
      </c>
      <c r="L1115" s="28" t="s">
        <v>81</v>
      </c>
    </row>
    <row r="1116">
      <c r="A1116" s="11" t="s">
        <v>1144</v>
      </c>
      <c r="B1116" s="11" t="s">
        <v>226</v>
      </c>
      <c r="C1116" s="11" t="s">
        <v>1145</v>
      </c>
      <c r="D1116" s="11" t="s">
        <v>1130</v>
      </c>
      <c r="E1116" s="11" t="s">
        <v>1131</v>
      </c>
      <c r="F1116" s="87">
        <v>1989.90799057929</v>
      </c>
      <c r="G1116" s="27">
        <v>19804.0</v>
      </c>
      <c r="H1116" s="27">
        <f t="shared" ref="H1116:I1116" si="890">F1116-F1115</f>
        <v>0.9009123452</v>
      </c>
      <c r="I1116" s="27">
        <f t="shared" si="890"/>
        <v>575</v>
      </c>
      <c r="J1116" s="66">
        <f t="shared" si="876"/>
        <v>0.02990275105</v>
      </c>
      <c r="K1116" s="66">
        <f t="shared" si="877"/>
        <v>0.03319163203</v>
      </c>
      <c r="L1116" s="28" t="s">
        <v>81</v>
      </c>
    </row>
    <row r="1117">
      <c r="A1117" s="11" t="s">
        <v>1144</v>
      </c>
      <c r="B1117" s="11" t="s">
        <v>226</v>
      </c>
      <c r="C1117" s="11" t="s">
        <v>1145</v>
      </c>
      <c r="D1117" s="11" t="s">
        <v>1130</v>
      </c>
      <c r="E1117" s="11" t="s">
        <v>1131</v>
      </c>
      <c r="F1117" s="87">
        <v>1991.0355791779</v>
      </c>
      <c r="G1117" s="27">
        <v>21407.0</v>
      </c>
      <c r="H1117" s="27">
        <f t="shared" ref="H1117:I1117" si="891">F1117-F1116</f>
        <v>1.127588599</v>
      </c>
      <c r="I1117" s="27">
        <f t="shared" si="891"/>
        <v>1603</v>
      </c>
      <c r="J1117" s="66">
        <f t="shared" si="876"/>
        <v>0.08094324379</v>
      </c>
      <c r="K1117" s="66">
        <f t="shared" si="877"/>
        <v>0.07178437587</v>
      </c>
      <c r="L1117" s="28" t="s">
        <v>81</v>
      </c>
    </row>
    <row r="1118">
      <c r="A1118" s="11" t="s">
        <v>1144</v>
      </c>
      <c r="B1118" s="11" t="s">
        <v>226</v>
      </c>
      <c r="C1118" s="11" t="s">
        <v>1145</v>
      </c>
      <c r="D1118" s="11" t="s">
        <v>1130</v>
      </c>
      <c r="E1118" s="11" t="s">
        <v>1131</v>
      </c>
      <c r="F1118" s="87">
        <v>1991.93847322542</v>
      </c>
      <c r="G1118" s="27">
        <v>23057.0</v>
      </c>
      <c r="H1118" s="27">
        <f t="shared" ref="H1118:I1118" si="892">F1118-F1117</f>
        <v>0.9028940475</v>
      </c>
      <c r="I1118" s="27">
        <f t="shared" si="892"/>
        <v>1650</v>
      </c>
      <c r="J1118" s="66">
        <f t="shared" si="876"/>
        <v>0.07707759144</v>
      </c>
      <c r="K1118" s="66">
        <f t="shared" si="877"/>
        <v>0.08536726059</v>
      </c>
      <c r="L1118" s="28" t="s">
        <v>81</v>
      </c>
    </row>
    <row r="1119">
      <c r="A1119" s="11" t="s">
        <v>1144</v>
      </c>
      <c r="B1119" s="11" t="s">
        <v>226</v>
      </c>
      <c r="C1119" s="11" t="s">
        <v>1145</v>
      </c>
      <c r="D1119" s="11" t="s">
        <v>1130</v>
      </c>
      <c r="E1119" s="11" t="s">
        <v>1131</v>
      </c>
      <c r="F1119" s="87">
        <v>1992.98847055775</v>
      </c>
      <c r="G1119" s="27">
        <v>23054.0</v>
      </c>
      <c r="H1119" s="27">
        <f t="shared" ref="H1119:I1119" si="893">F1119-F1118</f>
        <v>1.049997332</v>
      </c>
      <c r="I1119" s="27">
        <f t="shared" si="893"/>
        <v>-3</v>
      </c>
      <c r="J1119" s="66">
        <f t="shared" si="876"/>
        <v>-0.0001301123303</v>
      </c>
      <c r="K1119" s="66">
        <f t="shared" si="877"/>
        <v>-0.0001239168199</v>
      </c>
      <c r="L1119" s="28" t="s">
        <v>81</v>
      </c>
    </row>
    <row r="1120">
      <c r="A1120" s="11" t="s">
        <v>1144</v>
      </c>
      <c r="B1120" s="11" t="s">
        <v>226</v>
      </c>
      <c r="C1120" s="11" t="s">
        <v>1145</v>
      </c>
      <c r="D1120" s="11" t="s">
        <v>1130</v>
      </c>
      <c r="E1120" s="11" t="s">
        <v>1131</v>
      </c>
      <c r="F1120" s="87">
        <v>1993.96697416927</v>
      </c>
      <c r="G1120" s="27">
        <v>25332.0</v>
      </c>
      <c r="H1120" s="27">
        <f t="shared" ref="H1120:I1120" si="894">F1120-F1119</f>
        <v>0.9785036115</v>
      </c>
      <c r="I1120" s="27">
        <f t="shared" si="894"/>
        <v>2278</v>
      </c>
      <c r="J1120" s="66">
        <f t="shared" si="876"/>
        <v>0.09881148608</v>
      </c>
      <c r="K1120" s="66">
        <f t="shared" si="877"/>
        <v>0.1009822395</v>
      </c>
      <c r="L1120" s="28" t="s">
        <v>81</v>
      </c>
    </row>
    <row r="1121">
      <c r="A1121" s="11" t="s">
        <v>1144</v>
      </c>
      <c r="B1121" s="11" t="s">
        <v>226</v>
      </c>
      <c r="C1121" s="11" t="s">
        <v>1145</v>
      </c>
      <c r="D1121" s="11" t="s">
        <v>1130</v>
      </c>
      <c r="E1121" s="11" t="s">
        <v>1131</v>
      </c>
      <c r="F1121" s="87">
        <v>1995.01803857206</v>
      </c>
      <c r="G1121" s="27">
        <v>25895.0</v>
      </c>
      <c r="H1121" s="27">
        <f t="shared" ref="H1121:I1121" si="895">F1121-F1120</f>
        <v>1.051064403</v>
      </c>
      <c r="I1121" s="27">
        <f t="shared" si="895"/>
        <v>563</v>
      </c>
      <c r="J1121" s="66">
        <f t="shared" si="876"/>
        <v>0.02222485394</v>
      </c>
      <c r="K1121" s="66">
        <f t="shared" si="877"/>
        <v>0.02114509242</v>
      </c>
      <c r="L1121" s="28" t="s">
        <v>81</v>
      </c>
    </row>
    <row r="1122">
      <c r="A1122" s="11" t="s">
        <v>1144</v>
      </c>
      <c r="B1122" s="11" t="s">
        <v>226</v>
      </c>
      <c r="C1122" s="11" t="s">
        <v>1145</v>
      </c>
      <c r="D1122" s="11" t="s">
        <v>1130</v>
      </c>
      <c r="E1122" s="11" t="s">
        <v>1131</v>
      </c>
      <c r="F1122" s="87">
        <v>1995.99318853357</v>
      </c>
      <c r="G1122" s="27">
        <v>25923.0</v>
      </c>
      <c r="H1122" s="27">
        <f t="shared" ref="H1122:I1122" si="896">F1122-F1121</f>
        <v>0.9751499615</v>
      </c>
      <c r="I1122" s="27">
        <f t="shared" si="896"/>
        <v>28</v>
      </c>
      <c r="J1122" s="66">
        <f t="shared" si="876"/>
        <v>0.001081289824</v>
      </c>
      <c r="K1122" s="66">
        <f t="shared" si="877"/>
        <v>0.001108844657</v>
      </c>
      <c r="L1122" s="28" t="s">
        <v>81</v>
      </c>
    </row>
    <row r="1123">
      <c r="A1123" s="11" t="s">
        <v>1144</v>
      </c>
      <c r="B1123" s="11" t="s">
        <v>226</v>
      </c>
      <c r="C1123" s="11" t="s">
        <v>1145</v>
      </c>
      <c r="D1123" s="11" t="s">
        <v>1130</v>
      </c>
      <c r="E1123" s="11" t="s">
        <v>1131</v>
      </c>
      <c r="F1123" s="87">
        <v>1998.02107972287</v>
      </c>
      <c r="G1123" s="27">
        <v>27609.0</v>
      </c>
      <c r="H1123" s="27">
        <f t="shared" ref="H1123:I1123" si="897">F1123-F1122</f>
        <v>2.027891189</v>
      </c>
      <c r="I1123" s="27">
        <f t="shared" si="897"/>
        <v>1686</v>
      </c>
      <c r="J1123" s="66">
        <f t="shared" si="876"/>
        <v>0.06503876866</v>
      </c>
      <c r="K1123" s="66">
        <f t="shared" si="877"/>
        <v>0.03207211955</v>
      </c>
      <c r="L1123" s="28" t="s">
        <v>81</v>
      </c>
    </row>
    <row r="1124">
      <c r="A1124" s="11" t="s">
        <v>1144</v>
      </c>
      <c r="B1124" s="11" t="s">
        <v>226</v>
      </c>
      <c r="C1124" s="11" t="s">
        <v>1145</v>
      </c>
      <c r="D1124" s="11" t="s">
        <v>1130</v>
      </c>
      <c r="E1124" s="11" t="s">
        <v>1131</v>
      </c>
      <c r="F1124" s="87">
        <v>2000.04866603489</v>
      </c>
      <c r="G1124" s="27">
        <v>29196.0</v>
      </c>
      <c r="H1124" s="27">
        <f t="shared" ref="H1124:I1124" si="898">F1124-F1123</f>
        <v>2.027586312</v>
      </c>
      <c r="I1124" s="27">
        <f t="shared" si="898"/>
        <v>1587</v>
      </c>
      <c r="J1124" s="66">
        <f t="shared" si="876"/>
        <v>0.05748125611</v>
      </c>
      <c r="K1124" s="66">
        <f t="shared" si="877"/>
        <v>0.02834959763</v>
      </c>
      <c r="L1124" s="28" t="s">
        <v>81</v>
      </c>
    </row>
    <row r="1125">
      <c r="A1125" s="11" t="s">
        <v>1144</v>
      </c>
      <c r="B1125" s="11" t="s">
        <v>226</v>
      </c>
      <c r="C1125" s="11" t="s">
        <v>1145</v>
      </c>
      <c r="D1125" s="11" t="s">
        <v>1130</v>
      </c>
      <c r="E1125" s="11" t="s">
        <v>1131</v>
      </c>
      <c r="F1125" s="87">
        <v>2000.9494259415</v>
      </c>
      <c r="G1125" s="27">
        <v>29648.0</v>
      </c>
      <c r="H1125" s="27">
        <f t="shared" ref="H1125:I1125" si="899">F1125-F1124</f>
        <v>0.9007599066</v>
      </c>
      <c r="I1125" s="27">
        <f t="shared" si="899"/>
        <v>452</v>
      </c>
      <c r="J1125" s="66">
        <f t="shared" si="876"/>
        <v>0.01548157282</v>
      </c>
      <c r="K1125" s="66">
        <f t="shared" si="877"/>
        <v>0.01718723569</v>
      </c>
      <c r="L1125" s="28" t="s">
        <v>81</v>
      </c>
    </row>
    <row r="1126">
      <c r="A1126" s="11" t="s">
        <v>1144</v>
      </c>
      <c r="B1126" s="11" t="s">
        <v>226</v>
      </c>
      <c r="C1126" s="11" t="s">
        <v>1145</v>
      </c>
      <c r="D1126" s="11" t="s">
        <v>1130</v>
      </c>
      <c r="E1126" s="11" t="s">
        <v>1131</v>
      </c>
      <c r="F1126" s="87">
        <v>2005.01222049741</v>
      </c>
      <c r="G1126" s="27">
        <v>37378.0</v>
      </c>
      <c r="H1126" s="27">
        <f t="shared" ref="H1126:I1126" si="900">F1126-F1125</f>
        <v>4.062794556</v>
      </c>
      <c r="I1126" s="27">
        <f t="shared" si="900"/>
        <v>7730</v>
      </c>
      <c r="J1126" s="66">
        <f t="shared" si="876"/>
        <v>0.26072585</v>
      </c>
      <c r="K1126" s="66">
        <f t="shared" si="877"/>
        <v>0.06417401776</v>
      </c>
      <c r="L1126" s="28" t="s">
        <v>81</v>
      </c>
    </row>
    <row r="1127">
      <c r="A1127" s="11" t="s">
        <v>1144</v>
      </c>
      <c r="B1127" s="11" t="s">
        <v>226</v>
      </c>
      <c r="C1127" s="11" t="s">
        <v>1145</v>
      </c>
      <c r="D1127" s="11" t="s">
        <v>1130</v>
      </c>
      <c r="E1127" s="11" t="s">
        <v>1131</v>
      </c>
      <c r="F1127" s="87">
        <v>2009.96784815079</v>
      </c>
      <c r="G1127" s="27">
        <v>40684.0</v>
      </c>
      <c r="H1127" s="27">
        <f t="shared" ref="H1127:I1127" si="901">F1127-F1126</f>
        <v>4.955627653</v>
      </c>
      <c r="I1127" s="27">
        <f t="shared" si="901"/>
        <v>3306</v>
      </c>
      <c r="J1127" s="66">
        <f t="shared" si="876"/>
        <v>0.08844775001</v>
      </c>
      <c r="K1127" s="66">
        <f t="shared" si="877"/>
        <v>0.01784794101</v>
      </c>
      <c r="L1127" s="28" t="s">
        <v>81</v>
      </c>
    </row>
    <row r="1128">
      <c r="A1128" s="11" t="s">
        <v>1151</v>
      </c>
      <c r="B1128" s="11" t="s">
        <v>235</v>
      </c>
      <c r="C1128" s="25" t="s">
        <v>1152</v>
      </c>
      <c r="D1128" s="11" t="s">
        <v>1153</v>
      </c>
      <c r="E1128" s="11" t="s">
        <v>555</v>
      </c>
      <c r="F1128" s="11">
        <v>1980.0</v>
      </c>
      <c r="G1128" s="40">
        <v>0.0</v>
      </c>
      <c r="H1128" s="40" t="s">
        <v>188</v>
      </c>
      <c r="I1128" s="40" t="s">
        <v>188</v>
      </c>
      <c r="J1128" s="40" t="s">
        <v>188</v>
      </c>
      <c r="K1128" s="66" t="s">
        <v>188</v>
      </c>
      <c r="L1128" s="29" t="s">
        <v>260</v>
      </c>
    </row>
    <row r="1129">
      <c r="A1129" s="11" t="s">
        <v>1151</v>
      </c>
      <c r="B1129" s="11" t="s">
        <v>235</v>
      </c>
      <c r="C1129" s="25" t="s">
        <v>1152</v>
      </c>
      <c r="D1129" s="11" t="s">
        <v>1153</v>
      </c>
      <c r="E1129" s="11" t="s">
        <v>555</v>
      </c>
      <c r="F1129" s="11">
        <v>1982.0</v>
      </c>
      <c r="G1129" s="40">
        <v>0.0</v>
      </c>
      <c r="H1129" s="40" t="s">
        <v>188</v>
      </c>
      <c r="I1129" s="40" t="s">
        <v>188</v>
      </c>
      <c r="J1129" s="40" t="s">
        <v>188</v>
      </c>
      <c r="K1129" s="66" t="s">
        <v>188</v>
      </c>
      <c r="L1129" s="29" t="s">
        <v>260</v>
      </c>
    </row>
    <row r="1130">
      <c r="A1130" s="11" t="s">
        <v>1151</v>
      </c>
      <c r="B1130" s="11" t="s">
        <v>235</v>
      </c>
      <c r="C1130" s="25" t="s">
        <v>1152</v>
      </c>
      <c r="D1130" s="11" t="s">
        <v>1153</v>
      </c>
      <c r="E1130" s="11" t="s">
        <v>555</v>
      </c>
      <c r="F1130" s="11">
        <v>1983.0</v>
      </c>
      <c r="G1130" s="40">
        <v>0.0</v>
      </c>
      <c r="H1130" s="40" t="s">
        <v>188</v>
      </c>
      <c r="I1130" s="40" t="s">
        <v>188</v>
      </c>
      <c r="J1130" s="40" t="s">
        <v>188</v>
      </c>
      <c r="K1130" s="66" t="s">
        <v>188</v>
      </c>
      <c r="L1130" s="29" t="s">
        <v>260</v>
      </c>
    </row>
    <row r="1131">
      <c r="A1131" s="11" t="s">
        <v>1151</v>
      </c>
      <c r="B1131" s="11" t="s">
        <v>235</v>
      </c>
      <c r="C1131" s="25" t="s">
        <v>1152</v>
      </c>
      <c r="D1131" s="11" t="s">
        <v>1153</v>
      </c>
      <c r="E1131" s="11" t="s">
        <v>555</v>
      </c>
      <c r="F1131" s="11">
        <v>1984.0</v>
      </c>
      <c r="G1131" s="40">
        <v>0.0</v>
      </c>
      <c r="H1131" s="40" t="s">
        <v>188</v>
      </c>
      <c r="I1131" s="40" t="s">
        <v>188</v>
      </c>
      <c r="J1131" s="40" t="s">
        <v>188</v>
      </c>
      <c r="K1131" s="66" t="s">
        <v>188</v>
      </c>
      <c r="L1131" s="29" t="s">
        <v>260</v>
      </c>
    </row>
    <row r="1132">
      <c r="A1132" s="11" t="s">
        <v>1151</v>
      </c>
      <c r="B1132" s="11" t="s">
        <v>235</v>
      </c>
      <c r="C1132" s="25" t="s">
        <v>1152</v>
      </c>
      <c r="D1132" s="11" t="s">
        <v>1153</v>
      </c>
      <c r="E1132" s="11" t="s">
        <v>555</v>
      </c>
      <c r="F1132" s="11">
        <v>1985.0</v>
      </c>
      <c r="G1132" s="40">
        <v>0.0</v>
      </c>
      <c r="H1132" s="40" t="s">
        <v>188</v>
      </c>
      <c r="I1132" s="40" t="s">
        <v>188</v>
      </c>
      <c r="J1132" s="40" t="s">
        <v>188</v>
      </c>
      <c r="K1132" s="66" t="s">
        <v>188</v>
      </c>
      <c r="L1132" s="29" t="s">
        <v>260</v>
      </c>
    </row>
    <row r="1133">
      <c r="A1133" s="11" t="s">
        <v>1151</v>
      </c>
      <c r="B1133" s="11" t="s">
        <v>235</v>
      </c>
      <c r="C1133" s="25" t="s">
        <v>1152</v>
      </c>
      <c r="D1133" s="11" t="s">
        <v>1153</v>
      </c>
      <c r="E1133" s="11" t="s">
        <v>555</v>
      </c>
      <c r="F1133" s="11">
        <v>1988.0</v>
      </c>
      <c r="G1133" s="40">
        <v>0.0</v>
      </c>
      <c r="H1133" s="40" t="s">
        <v>188</v>
      </c>
      <c r="I1133" s="40" t="s">
        <v>188</v>
      </c>
      <c r="J1133" s="40" t="s">
        <v>188</v>
      </c>
      <c r="K1133" s="66" t="s">
        <v>188</v>
      </c>
      <c r="L1133" s="29" t="s">
        <v>260</v>
      </c>
    </row>
    <row r="1134">
      <c r="A1134" s="11" t="s">
        <v>1151</v>
      </c>
      <c r="B1134" s="11" t="s">
        <v>235</v>
      </c>
      <c r="C1134" s="25" t="s">
        <v>1152</v>
      </c>
      <c r="D1134" s="11" t="s">
        <v>1153</v>
      </c>
      <c r="E1134" s="11" t="s">
        <v>555</v>
      </c>
      <c r="F1134" s="11">
        <v>1989.0</v>
      </c>
      <c r="G1134" s="40">
        <v>0.0</v>
      </c>
      <c r="H1134" s="40" t="s">
        <v>188</v>
      </c>
      <c r="I1134" s="40" t="s">
        <v>188</v>
      </c>
      <c r="J1134" s="40" t="s">
        <v>188</v>
      </c>
      <c r="K1134" s="66" t="s">
        <v>188</v>
      </c>
      <c r="L1134" s="29" t="s">
        <v>260</v>
      </c>
    </row>
    <row r="1135">
      <c r="A1135" s="11" t="s">
        <v>1151</v>
      </c>
      <c r="B1135" s="11" t="s">
        <v>235</v>
      </c>
      <c r="C1135" s="25" t="s">
        <v>1152</v>
      </c>
      <c r="D1135" s="11" t="s">
        <v>1153</v>
      </c>
      <c r="E1135" s="11" t="s">
        <v>555</v>
      </c>
      <c r="F1135" s="11">
        <v>1990.0</v>
      </c>
      <c r="G1135" s="40">
        <v>0.0</v>
      </c>
      <c r="H1135" s="40" t="s">
        <v>188</v>
      </c>
      <c r="I1135" s="40" t="s">
        <v>188</v>
      </c>
      <c r="J1135" s="40" t="s">
        <v>188</v>
      </c>
      <c r="K1135" s="66" t="s">
        <v>188</v>
      </c>
      <c r="L1135" s="29" t="s">
        <v>260</v>
      </c>
    </row>
    <row r="1136">
      <c r="A1136" s="11" t="s">
        <v>1151</v>
      </c>
      <c r="B1136" s="11" t="s">
        <v>235</v>
      </c>
      <c r="C1136" s="25" t="s">
        <v>1152</v>
      </c>
      <c r="D1136" s="11" t="s">
        <v>1153</v>
      </c>
      <c r="E1136" s="11" t="s">
        <v>555</v>
      </c>
      <c r="F1136" s="11">
        <v>1991.0</v>
      </c>
      <c r="G1136" s="40">
        <v>0.0</v>
      </c>
      <c r="H1136" s="40" t="s">
        <v>188</v>
      </c>
      <c r="I1136" s="40" t="s">
        <v>188</v>
      </c>
      <c r="J1136" s="40" t="s">
        <v>188</v>
      </c>
      <c r="K1136" s="66" t="s">
        <v>188</v>
      </c>
      <c r="L1136" s="29" t="s">
        <v>260</v>
      </c>
    </row>
    <row r="1137">
      <c r="A1137" s="11" t="s">
        <v>1151</v>
      </c>
      <c r="B1137" s="11" t="s">
        <v>235</v>
      </c>
      <c r="C1137" s="25" t="s">
        <v>1152</v>
      </c>
      <c r="D1137" s="11" t="s">
        <v>1153</v>
      </c>
      <c r="E1137" s="11" t="s">
        <v>555</v>
      </c>
      <c r="F1137" s="11">
        <v>1993.0</v>
      </c>
      <c r="G1137" s="40">
        <v>1000.0</v>
      </c>
      <c r="H1137" s="40" t="s">
        <v>188</v>
      </c>
      <c r="I1137" s="40" t="s">
        <v>188</v>
      </c>
      <c r="J1137" s="40" t="s">
        <v>188</v>
      </c>
      <c r="K1137" s="66" t="s">
        <v>188</v>
      </c>
      <c r="L1137" s="29" t="s">
        <v>260</v>
      </c>
    </row>
    <row r="1138">
      <c r="A1138" s="11" t="s">
        <v>1151</v>
      </c>
      <c r="B1138" s="11" t="s">
        <v>235</v>
      </c>
      <c r="C1138" s="25" t="s">
        <v>1152</v>
      </c>
      <c r="D1138" s="11" t="s">
        <v>1153</v>
      </c>
      <c r="E1138" s="11" t="s">
        <v>555</v>
      </c>
      <c r="F1138" s="11">
        <v>1994.0</v>
      </c>
      <c r="G1138" s="40">
        <v>1472.0</v>
      </c>
      <c r="H1138" s="40" t="s">
        <v>188</v>
      </c>
      <c r="I1138" s="40" t="s">
        <v>188</v>
      </c>
      <c r="J1138" s="40" t="s">
        <v>188</v>
      </c>
      <c r="K1138" s="66" t="s">
        <v>188</v>
      </c>
      <c r="L1138" s="29" t="s">
        <v>81</v>
      </c>
    </row>
    <row r="1139">
      <c r="A1139" s="11" t="s">
        <v>1151</v>
      </c>
      <c r="B1139" s="11" t="s">
        <v>235</v>
      </c>
      <c r="C1139" s="25" t="s">
        <v>1152</v>
      </c>
      <c r="D1139" s="11" t="s">
        <v>1153</v>
      </c>
      <c r="E1139" s="11" t="s">
        <v>555</v>
      </c>
      <c r="F1139" s="11">
        <v>1995.0</v>
      </c>
      <c r="G1139" s="40">
        <v>1272.0</v>
      </c>
      <c r="H1139" s="40" t="s">
        <v>188</v>
      </c>
      <c r="I1139" s="40" t="s">
        <v>188</v>
      </c>
      <c r="J1139" s="40" t="s">
        <v>188</v>
      </c>
      <c r="K1139" s="66" t="s">
        <v>188</v>
      </c>
      <c r="L1139" s="29" t="s">
        <v>81</v>
      </c>
    </row>
    <row r="1140">
      <c r="A1140" s="11" t="s">
        <v>1151</v>
      </c>
      <c r="B1140" s="11" t="s">
        <v>235</v>
      </c>
      <c r="C1140" s="25" t="s">
        <v>1152</v>
      </c>
      <c r="D1140" s="11" t="s">
        <v>1153</v>
      </c>
      <c r="E1140" s="11" t="s">
        <v>555</v>
      </c>
      <c r="F1140" s="11">
        <v>1997.0</v>
      </c>
      <c r="G1140" s="40">
        <v>5096.0</v>
      </c>
      <c r="H1140" s="40" t="s">
        <v>188</v>
      </c>
      <c r="I1140" s="40" t="s">
        <v>188</v>
      </c>
      <c r="J1140" s="40" t="s">
        <v>188</v>
      </c>
      <c r="K1140" s="66" t="s">
        <v>188</v>
      </c>
      <c r="L1140" s="29" t="s">
        <v>81</v>
      </c>
    </row>
    <row r="1141">
      <c r="A1141" s="11" t="s">
        <v>1151</v>
      </c>
      <c r="B1141" s="11" t="s">
        <v>235</v>
      </c>
      <c r="C1141" s="25" t="s">
        <v>1152</v>
      </c>
      <c r="D1141" s="11" t="s">
        <v>1153</v>
      </c>
      <c r="E1141" s="11" t="s">
        <v>555</v>
      </c>
      <c r="F1141" s="11">
        <v>2005.0</v>
      </c>
      <c r="G1141" s="40">
        <v>12631.0</v>
      </c>
      <c r="H1141" s="40" t="s">
        <v>188</v>
      </c>
      <c r="I1141" s="40" t="s">
        <v>188</v>
      </c>
      <c r="J1141" s="40" t="s">
        <v>188</v>
      </c>
      <c r="K1141" s="66" t="s">
        <v>188</v>
      </c>
      <c r="L1141" s="29" t="s">
        <v>81</v>
      </c>
    </row>
    <row r="1142">
      <c r="A1142" s="11" t="s">
        <v>1151</v>
      </c>
      <c r="B1142" s="11" t="s">
        <v>235</v>
      </c>
      <c r="C1142" s="25" t="s">
        <v>1152</v>
      </c>
      <c r="D1142" s="11" t="s">
        <v>1153</v>
      </c>
      <c r="E1142" s="11" t="s">
        <v>555</v>
      </c>
      <c r="F1142" s="11">
        <v>2007.0</v>
      </c>
      <c r="G1142" s="40">
        <v>17574.0</v>
      </c>
      <c r="H1142" s="40" t="s">
        <v>188</v>
      </c>
      <c r="I1142" s="40" t="s">
        <v>188</v>
      </c>
      <c r="J1142" s="40" t="s">
        <v>188</v>
      </c>
      <c r="K1142" s="66" t="s">
        <v>188</v>
      </c>
      <c r="L1142" s="29" t="s">
        <v>81</v>
      </c>
    </row>
    <row r="1143">
      <c r="A1143" s="11" t="s">
        <v>1151</v>
      </c>
      <c r="B1143" s="11" t="s">
        <v>235</v>
      </c>
      <c r="C1143" s="25" t="s">
        <v>1152</v>
      </c>
      <c r="D1143" s="11" t="s">
        <v>1153</v>
      </c>
      <c r="E1143" s="11" t="s">
        <v>555</v>
      </c>
      <c r="F1143" s="11">
        <v>2011.0</v>
      </c>
      <c r="G1143" s="40">
        <v>22905.0</v>
      </c>
      <c r="H1143" s="40" t="s">
        <v>188</v>
      </c>
      <c r="I1143" s="40" t="s">
        <v>188</v>
      </c>
      <c r="J1143" s="40" t="s">
        <v>188</v>
      </c>
      <c r="K1143" s="66" t="s">
        <v>188</v>
      </c>
      <c r="L1143" s="29" t="s">
        <v>81</v>
      </c>
    </row>
    <row r="1144">
      <c r="A1144" s="11" t="s">
        <v>1151</v>
      </c>
      <c r="B1144" s="11" t="s">
        <v>235</v>
      </c>
      <c r="C1144" s="25" t="s">
        <v>1152</v>
      </c>
      <c r="D1144" s="11" t="s">
        <v>1153</v>
      </c>
      <c r="E1144" s="11" t="s">
        <v>555</v>
      </c>
      <c r="F1144" s="11">
        <v>2015.0</v>
      </c>
      <c r="G1144" s="40">
        <v>27750.0</v>
      </c>
      <c r="H1144" s="40" t="s">
        <v>188</v>
      </c>
      <c r="I1144" s="40" t="s">
        <v>188</v>
      </c>
      <c r="J1144" s="40" t="s">
        <v>188</v>
      </c>
      <c r="K1144" s="66" t="s">
        <v>188</v>
      </c>
      <c r="L1144" s="29" t="s">
        <v>81</v>
      </c>
    </row>
    <row r="1145">
      <c r="A1145" s="11" t="s">
        <v>1151</v>
      </c>
      <c r="B1145" s="11" t="s">
        <v>235</v>
      </c>
      <c r="C1145" s="25" t="s">
        <v>1152</v>
      </c>
      <c r="D1145" s="11" t="s">
        <v>1153</v>
      </c>
      <c r="E1145" s="11" t="s">
        <v>555</v>
      </c>
      <c r="F1145" s="11">
        <v>2019.0</v>
      </c>
      <c r="G1145" s="40">
        <v>36015.0</v>
      </c>
      <c r="H1145" s="40" t="s">
        <v>188</v>
      </c>
      <c r="I1145" s="40" t="s">
        <v>188</v>
      </c>
      <c r="J1145" s="40" t="s">
        <v>188</v>
      </c>
      <c r="K1145" s="66" t="s">
        <v>188</v>
      </c>
      <c r="L1145" s="29" t="s">
        <v>81</v>
      </c>
    </row>
    <row r="1146">
      <c r="A1146" s="11" t="s">
        <v>1156</v>
      </c>
      <c r="B1146" s="11" t="s">
        <v>235</v>
      </c>
      <c r="C1146" s="25" t="s">
        <v>1157</v>
      </c>
      <c r="D1146" s="11" t="s">
        <v>1153</v>
      </c>
      <c r="E1146" s="11" t="s">
        <v>555</v>
      </c>
      <c r="F1146" s="87">
        <v>1981.02047244095</v>
      </c>
      <c r="G1146" s="27">
        <v>38000.0</v>
      </c>
      <c r="H1146" s="40" t="s">
        <v>188</v>
      </c>
      <c r="I1146" s="40" t="s">
        <v>188</v>
      </c>
      <c r="J1146" s="40" t="s">
        <v>188</v>
      </c>
      <c r="K1146" s="66" t="s">
        <v>188</v>
      </c>
      <c r="L1146" s="29" t="s">
        <v>260</v>
      </c>
    </row>
    <row r="1147">
      <c r="A1147" s="11" t="s">
        <v>1156</v>
      </c>
      <c r="B1147" s="11" t="s">
        <v>235</v>
      </c>
      <c r="C1147" s="25" t="s">
        <v>1157</v>
      </c>
      <c r="D1147" s="11" t="s">
        <v>1153</v>
      </c>
      <c r="E1147" s="11" t="s">
        <v>555</v>
      </c>
      <c r="F1147" s="87">
        <v>1983.06141732283</v>
      </c>
      <c r="G1147" s="27">
        <v>31000.0</v>
      </c>
      <c r="H1147" s="40" t="s">
        <v>188</v>
      </c>
      <c r="I1147" s="40" t="s">
        <v>188</v>
      </c>
      <c r="J1147" s="40" t="s">
        <v>188</v>
      </c>
      <c r="K1147" s="66" t="s">
        <v>188</v>
      </c>
      <c r="L1147" s="29" t="s">
        <v>260</v>
      </c>
    </row>
    <row r="1148">
      <c r="A1148" s="11" t="s">
        <v>1156</v>
      </c>
      <c r="B1148" s="11" t="s">
        <v>235</v>
      </c>
      <c r="C1148" s="25" t="s">
        <v>1157</v>
      </c>
      <c r="D1148" s="11" t="s">
        <v>1153</v>
      </c>
      <c r="E1148" s="11" t="s">
        <v>555</v>
      </c>
      <c r="F1148" s="87">
        <v>1985.04566929134</v>
      </c>
      <c r="G1148" s="27">
        <v>29000.0</v>
      </c>
      <c r="H1148" s="40" t="s">
        <v>188</v>
      </c>
      <c r="I1148" s="40" t="s">
        <v>188</v>
      </c>
      <c r="J1148" s="40" t="s">
        <v>188</v>
      </c>
      <c r="K1148" s="66" t="s">
        <v>188</v>
      </c>
      <c r="L1148" s="29" t="s">
        <v>260</v>
      </c>
    </row>
    <row r="1149">
      <c r="A1149" s="11" t="s">
        <v>1156</v>
      </c>
      <c r="B1149" s="11" t="s">
        <v>235</v>
      </c>
      <c r="C1149" s="25" t="s">
        <v>1157</v>
      </c>
      <c r="D1149" s="11" t="s">
        <v>1153</v>
      </c>
      <c r="E1149" s="11" t="s">
        <v>555</v>
      </c>
      <c r="F1149" s="87">
        <v>1988.05039370079</v>
      </c>
      <c r="G1149" s="27">
        <v>25000.0</v>
      </c>
      <c r="H1149" s="40" t="s">
        <v>188</v>
      </c>
      <c r="I1149" s="40" t="s">
        <v>188</v>
      </c>
      <c r="J1149" s="40" t="s">
        <v>188</v>
      </c>
      <c r="K1149" s="66" t="s">
        <v>188</v>
      </c>
      <c r="L1149" s="29" t="s">
        <v>260</v>
      </c>
    </row>
    <row r="1150">
      <c r="A1150" s="11" t="s">
        <v>1156</v>
      </c>
      <c r="B1150" s="11" t="s">
        <v>235</v>
      </c>
      <c r="C1150" s="25" t="s">
        <v>1157</v>
      </c>
      <c r="D1150" s="11" t="s">
        <v>1153</v>
      </c>
      <c r="E1150" s="11" t="s">
        <v>555</v>
      </c>
      <c r="F1150" s="87">
        <v>1989.97795275591</v>
      </c>
      <c r="G1150" s="27">
        <v>23000.0</v>
      </c>
      <c r="H1150" s="40" t="s">
        <v>188</v>
      </c>
      <c r="I1150" s="40" t="s">
        <v>188</v>
      </c>
      <c r="J1150" s="40" t="s">
        <v>188</v>
      </c>
      <c r="K1150" s="66" t="s">
        <v>188</v>
      </c>
      <c r="L1150" s="29" t="s">
        <v>260</v>
      </c>
    </row>
    <row r="1151">
      <c r="A1151" s="11" t="s">
        <v>1156</v>
      </c>
      <c r="B1151" s="11" t="s">
        <v>235</v>
      </c>
      <c r="C1151" s="25" t="s">
        <v>1157</v>
      </c>
      <c r="D1151" s="11" t="s">
        <v>1153</v>
      </c>
      <c r="E1151" s="11" t="s">
        <v>555</v>
      </c>
      <c r="F1151" s="87">
        <v>1992.07559055118</v>
      </c>
      <c r="G1151" s="27">
        <v>25000.0</v>
      </c>
      <c r="H1151" s="40" t="s">
        <v>188</v>
      </c>
      <c r="I1151" s="40" t="s">
        <v>188</v>
      </c>
      <c r="J1151" s="40" t="s">
        <v>188</v>
      </c>
      <c r="K1151" s="66" t="s">
        <v>188</v>
      </c>
      <c r="L1151" s="29" t="s">
        <v>260</v>
      </c>
    </row>
    <row r="1152">
      <c r="A1152" s="11" t="s">
        <v>1156</v>
      </c>
      <c r="B1152" s="11" t="s">
        <v>235</v>
      </c>
      <c r="C1152" s="25" t="s">
        <v>1157</v>
      </c>
      <c r="D1152" s="11" t="s">
        <v>1153</v>
      </c>
      <c r="E1152" s="11" t="s">
        <v>555</v>
      </c>
      <c r="F1152" s="87">
        <v>1994.05984251969</v>
      </c>
      <c r="G1152" s="27">
        <v>22244.0</v>
      </c>
      <c r="H1152" s="40" t="s">
        <v>188</v>
      </c>
      <c r="I1152" s="40" t="s">
        <v>188</v>
      </c>
      <c r="J1152" s="40" t="s">
        <v>188</v>
      </c>
      <c r="K1152" s="66" t="s">
        <v>188</v>
      </c>
      <c r="L1152" s="29" t="s">
        <v>81</v>
      </c>
    </row>
    <row r="1153">
      <c r="A1153" s="11" t="s">
        <v>1156</v>
      </c>
      <c r="B1153" s="11" t="s">
        <v>235</v>
      </c>
      <c r="C1153" s="25" t="s">
        <v>1157</v>
      </c>
      <c r="D1153" s="11" t="s">
        <v>1153</v>
      </c>
      <c r="E1153" s="11" t="s">
        <v>555</v>
      </c>
      <c r="F1153" s="87">
        <v>1996.04409448819</v>
      </c>
      <c r="G1153" s="27">
        <v>27385.0</v>
      </c>
      <c r="H1153" s="40" t="s">
        <v>188</v>
      </c>
      <c r="I1153" s="40" t="s">
        <v>188</v>
      </c>
      <c r="J1153" s="40" t="s">
        <v>188</v>
      </c>
      <c r="K1153" s="66" t="s">
        <v>188</v>
      </c>
      <c r="L1153" s="29" t="s">
        <v>81</v>
      </c>
    </row>
    <row r="1154">
      <c r="A1154" s="11" t="s">
        <v>1156</v>
      </c>
      <c r="B1154" s="11" t="s">
        <v>235</v>
      </c>
      <c r="C1154" s="25" t="s">
        <v>1157</v>
      </c>
      <c r="D1154" s="11" t="s">
        <v>1153</v>
      </c>
      <c r="E1154" s="11" t="s">
        <v>555</v>
      </c>
      <c r="F1154" s="87">
        <v>1998.02834645669</v>
      </c>
      <c r="G1154" s="27">
        <v>22090.0</v>
      </c>
      <c r="H1154" s="40" t="s">
        <v>188</v>
      </c>
      <c r="I1154" s="40" t="s">
        <v>188</v>
      </c>
      <c r="J1154" s="40" t="s">
        <v>188</v>
      </c>
      <c r="K1154" s="66" t="s">
        <v>188</v>
      </c>
      <c r="L1154" s="29" t="s">
        <v>81</v>
      </c>
    </row>
    <row r="1155">
      <c r="A1155" s="11" t="s">
        <v>1156</v>
      </c>
      <c r="B1155" s="11" t="s">
        <v>235</v>
      </c>
      <c r="C1155" s="25" t="s">
        <v>1157</v>
      </c>
      <c r="D1155" s="11" t="s">
        <v>1153</v>
      </c>
      <c r="E1155" s="11" t="s">
        <v>555</v>
      </c>
      <c r="F1155" s="87">
        <v>2000.0125984252</v>
      </c>
      <c r="G1155" s="27">
        <v>20176.0</v>
      </c>
      <c r="H1155" s="40" t="s">
        <v>188</v>
      </c>
      <c r="I1155" s="40" t="s">
        <v>188</v>
      </c>
      <c r="J1155" s="40" t="s">
        <v>188</v>
      </c>
      <c r="K1155" s="66" t="s">
        <v>188</v>
      </c>
      <c r="L1155" s="29" t="s">
        <v>81</v>
      </c>
    </row>
    <row r="1156">
      <c r="A1156" s="11" t="s">
        <v>1156</v>
      </c>
      <c r="B1156" s="11" t="s">
        <v>235</v>
      </c>
      <c r="C1156" s="25" t="s">
        <v>1157</v>
      </c>
      <c r="D1156" s="11" t="s">
        <v>1153</v>
      </c>
      <c r="E1156" s="11" t="s">
        <v>555</v>
      </c>
      <c r="F1156" s="87">
        <v>2001.9968503937</v>
      </c>
      <c r="G1156" s="27">
        <v>17593.0</v>
      </c>
      <c r="H1156" s="40" t="s">
        <v>188</v>
      </c>
      <c r="I1156" s="40" t="s">
        <v>188</v>
      </c>
      <c r="J1156" s="40" t="s">
        <v>188</v>
      </c>
      <c r="K1156" s="66" t="s">
        <v>188</v>
      </c>
      <c r="L1156" s="29" t="s">
        <v>81</v>
      </c>
    </row>
    <row r="1157">
      <c r="A1157" s="11" t="s">
        <v>1156</v>
      </c>
      <c r="B1157" s="11" t="s">
        <v>235</v>
      </c>
      <c r="C1157" s="25" t="s">
        <v>1157</v>
      </c>
      <c r="D1157" s="11" t="s">
        <v>1153</v>
      </c>
      <c r="E1157" s="11" t="s">
        <v>555</v>
      </c>
      <c r="F1157" s="87">
        <v>2004.09448818898</v>
      </c>
      <c r="G1157" s="27">
        <v>16876.0</v>
      </c>
      <c r="H1157" s="40" t="s">
        <v>188</v>
      </c>
      <c r="I1157" s="40" t="s">
        <v>188</v>
      </c>
      <c r="J1157" s="40" t="s">
        <v>188</v>
      </c>
      <c r="K1157" s="66" t="s">
        <v>188</v>
      </c>
      <c r="L1157" s="29" t="s">
        <v>81</v>
      </c>
    </row>
    <row r="1158">
      <c r="A1158" s="11" t="s">
        <v>1156</v>
      </c>
      <c r="B1158" s="11" t="s">
        <v>235</v>
      </c>
      <c r="C1158" s="25" t="s">
        <v>1157</v>
      </c>
      <c r="D1158" s="11" t="s">
        <v>1153</v>
      </c>
      <c r="E1158" s="11" t="s">
        <v>555</v>
      </c>
      <c r="F1158" s="87">
        <v>2006.07874015748</v>
      </c>
      <c r="G1158" s="27">
        <v>17072.0</v>
      </c>
      <c r="H1158" s="40" t="s">
        <v>188</v>
      </c>
      <c r="I1158" s="40" t="s">
        <v>188</v>
      </c>
      <c r="J1158" s="40" t="s">
        <v>188</v>
      </c>
      <c r="K1158" s="66" t="s">
        <v>188</v>
      </c>
      <c r="L1158" s="29" t="s">
        <v>81</v>
      </c>
    </row>
    <row r="1159">
      <c r="A1159" s="11" t="s">
        <v>1156</v>
      </c>
      <c r="B1159" s="11" t="s">
        <v>235</v>
      </c>
      <c r="C1159" s="25" t="s">
        <v>1157</v>
      </c>
      <c r="D1159" s="11" t="s">
        <v>1153</v>
      </c>
      <c r="E1159" s="11" t="s">
        <v>555</v>
      </c>
      <c r="F1159" s="87">
        <v>2008.0062992126</v>
      </c>
      <c r="G1159" s="27">
        <v>18160.0</v>
      </c>
      <c r="H1159" s="40" t="s">
        <v>188</v>
      </c>
      <c r="I1159" s="40" t="s">
        <v>188</v>
      </c>
      <c r="J1159" s="40" t="s">
        <v>188</v>
      </c>
      <c r="K1159" s="66" t="s">
        <v>188</v>
      </c>
      <c r="L1159" s="29" t="s">
        <v>81</v>
      </c>
    </row>
    <row r="1160">
      <c r="A1160" s="11" t="s">
        <v>1156</v>
      </c>
      <c r="B1160" s="11" t="s">
        <v>235</v>
      </c>
      <c r="C1160" s="25" t="s">
        <v>1157</v>
      </c>
      <c r="D1160" s="11" t="s">
        <v>1153</v>
      </c>
      <c r="E1160" s="11" t="s">
        <v>555</v>
      </c>
      <c r="F1160" s="87">
        <v>2009.9905511811</v>
      </c>
      <c r="G1160" s="27">
        <v>17973.0</v>
      </c>
      <c r="H1160" s="40" t="s">
        <v>188</v>
      </c>
      <c r="I1160" s="40" t="s">
        <v>188</v>
      </c>
      <c r="J1160" s="40" t="s">
        <v>188</v>
      </c>
      <c r="K1160" s="66" t="s">
        <v>188</v>
      </c>
      <c r="L1160" s="29" t="s">
        <v>81</v>
      </c>
    </row>
    <row r="1161">
      <c r="A1161" s="11" t="s">
        <v>1156</v>
      </c>
      <c r="B1161" s="11" t="s">
        <v>235</v>
      </c>
      <c r="C1161" s="25" t="s">
        <v>1157</v>
      </c>
      <c r="D1161" s="11" t="s">
        <v>1153</v>
      </c>
      <c r="E1161" s="11" t="s">
        <v>555</v>
      </c>
      <c r="F1161" s="87">
        <v>2011.97480314961</v>
      </c>
      <c r="G1161" s="27">
        <v>16184.0</v>
      </c>
      <c r="H1161" s="40" t="s">
        <v>188</v>
      </c>
      <c r="I1161" s="40" t="s">
        <v>188</v>
      </c>
      <c r="J1161" s="40" t="s">
        <v>188</v>
      </c>
      <c r="K1161" s="66" t="s">
        <v>188</v>
      </c>
      <c r="L1161" s="29" t="s">
        <v>81</v>
      </c>
    </row>
    <row r="1162">
      <c r="A1162" s="11" t="s">
        <v>1156</v>
      </c>
      <c r="B1162" s="11" t="s">
        <v>235</v>
      </c>
      <c r="C1162" s="25" t="s">
        <v>1157</v>
      </c>
      <c r="D1162" s="11" t="s">
        <v>1153</v>
      </c>
      <c r="E1162" s="11" t="s">
        <v>555</v>
      </c>
      <c r="F1162" s="87">
        <v>2013.95905511811</v>
      </c>
      <c r="G1162" s="27">
        <v>18937.0</v>
      </c>
      <c r="H1162" s="40" t="s">
        <v>188</v>
      </c>
      <c r="I1162" s="40" t="s">
        <v>188</v>
      </c>
      <c r="J1162" s="40" t="s">
        <v>188</v>
      </c>
      <c r="K1162" s="66" t="s">
        <v>188</v>
      </c>
      <c r="L1162" s="29" t="s">
        <v>81</v>
      </c>
    </row>
    <row r="1163">
      <c r="A1163" s="11" t="s">
        <v>1156</v>
      </c>
      <c r="B1163" s="11" t="s">
        <v>235</v>
      </c>
      <c r="C1163" s="25" t="s">
        <v>1157</v>
      </c>
      <c r="D1163" s="11" t="s">
        <v>1153</v>
      </c>
      <c r="E1163" s="11" t="s">
        <v>555</v>
      </c>
      <c r="F1163" s="87">
        <v>2015.94330708661</v>
      </c>
      <c r="G1163" s="27">
        <v>20490.0</v>
      </c>
      <c r="H1163" s="40" t="s">
        <v>188</v>
      </c>
      <c r="I1163" s="40" t="s">
        <v>188</v>
      </c>
      <c r="J1163" s="40" t="s">
        <v>188</v>
      </c>
      <c r="K1163" s="66" t="s">
        <v>188</v>
      </c>
      <c r="L1163" s="29" t="s">
        <v>81</v>
      </c>
    </row>
    <row r="1164">
      <c r="A1164" s="11" t="s">
        <v>1156</v>
      </c>
      <c r="B1164" s="11" t="s">
        <v>235</v>
      </c>
      <c r="C1164" s="25" t="s">
        <v>1157</v>
      </c>
      <c r="D1164" s="11" t="s">
        <v>1153</v>
      </c>
      <c r="E1164" s="11" t="s">
        <v>555</v>
      </c>
      <c r="F1164" s="87">
        <v>2017.9842519685</v>
      </c>
      <c r="G1164" s="27">
        <v>21625.0</v>
      </c>
      <c r="H1164" s="40" t="s">
        <v>188</v>
      </c>
      <c r="I1164" s="40" t="s">
        <v>188</v>
      </c>
      <c r="J1164" s="40" t="s">
        <v>188</v>
      </c>
      <c r="K1164" s="66" t="s">
        <v>188</v>
      </c>
      <c r="L1164" s="29" t="s">
        <v>81</v>
      </c>
    </row>
    <row r="1165">
      <c r="A1165" s="11" t="s">
        <v>1169</v>
      </c>
      <c r="B1165" s="11" t="s">
        <v>235</v>
      </c>
      <c r="C1165" s="25" t="s">
        <v>1170</v>
      </c>
      <c r="D1165" s="11" t="s">
        <v>1153</v>
      </c>
      <c r="E1165" s="11" t="s">
        <v>555</v>
      </c>
      <c r="F1165" s="87">
        <v>1980.05084048886</v>
      </c>
      <c r="G1165" s="27">
        <v>200000.0</v>
      </c>
      <c r="H1165" s="40" t="s">
        <v>188</v>
      </c>
      <c r="I1165" s="40" t="s">
        <v>188</v>
      </c>
      <c r="J1165" s="40" t="s">
        <v>188</v>
      </c>
      <c r="K1165" s="66" t="s">
        <v>188</v>
      </c>
      <c r="L1165" s="29" t="s">
        <v>81</v>
      </c>
    </row>
    <row r="1166">
      <c r="A1166" s="11" t="s">
        <v>1169</v>
      </c>
      <c r="B1166" s="11" t="s">
        <v>235</v>
      </c>
      <c r="C1166" s="25" t="s">
        <v>1170</v>
      </c>
      <c r="D1166" s="11" t="s">
        <v>1153</v>
      </c>
      <c r="E1166" s="11" t="s">
        <v>555</v>
      </c>
      <c r="F1166" s="87">
        <v>1981.13500855088</v>
      </c>
      <c r="G1166" s="27">
        <v>179000.0</v>
      </c>
      <c r="H1166" s="40" t="s">
        <v>188</v>
      </c>
      <c r="I1166" s="40" t="s">
        <v>188</v>
      </c>
      <c r="J1166" s="40" t="s">
        <v>188</v>
      </c>
      <c r="K1166" s="66" t="s">
        <v>188</v>
      </c>
      <c r="L1166" s="29" t="s">
        <v>81</v>
      </c>
    </row>
    <row r="1167">
      <c r="A1167" s="11" t="s">
        <v>1169</v>
      </c>
      <c r="B1167" s="11" t="s">
        <v>235</v>
      </c>
      <c r="C1167" s="25" t="s">
        <v>1170</v>
      </c>
      <c r="D1167" s="11" t="s">
        <v>1153</v>
      </c>
      <c r="E1167" s="11" t="s">
        <v>555</v>
      </c>
      <c r="F1167" s="87">
        <v>1982.05550027113</v>
      </c>
      <c r="G1167" s="27">
        <v>203000.0</v>
      </c>
      <c r="H1167" s="40" t="s">
        <v>188</v>
      </c>
      <c r="I1167" s="40" t="s">
        <v>188</v>
      </c>
      <c r="J1167" s="40" t="s">
        <v>188</v>
      </c>
      <c r="K1167" s="66" t="s">
        <v>188</v>
      </c>
      <c r="L1167" s="29" t="s">
        <v>81</v>
      </c>
    </row>
    <row r="1168">
      <c r="A1168" s="11" t="s">
        <v>1169</v>
      </c>
      <c r="B1168" s="11" t="s">
        <v>235</v>
      </c>
      <c r="C1168" s="25" t="s">
        <v>1170</v>
      </c>
      <c r="D1168" s="11" t="s">
        <v>1153</v>
      </c>
      <c r="E1168" s="11" t="s">
        <v>555</v>
      </c>
      <c r="F1168" s="87">
        <v>1983.01160178526</v>
      </c>
      <c r="G1168" s="27">
        <v>166000.0</v>
      </c>
      <c r="H1168" s="40" t="s">
        <v>188</v>
      </c>
      <c r="I1168" s="40" t="s">
        <v>188</v>
      </c>
      <c r="J1168" s="40" t="s">
        <v>188</v>
      </c>
      <c r="K1168" s="66" t="s">
        <v>188</v>
      </c>
      <c r="L1168" s="29" t="s">
        <v>81</v>
      </c>
    </row>
    <row r="1169">
      <c r="A1169" s="11" t="s">
        <v>1169</v>
      </c>
      <c r="B1169" s="11" t="s">
        <v>235</v>
      </c>
      <c r="C1169" s="25" t="s">
        <v>1170</v>
      </c>
      <c r="D1169" s="11" t="s">
        <v>1153</v>
      </c>
      <c r="E1169" s="11" t="s">
        <v>555</v>
      </c>
      <c r="F1169" s="87">
        <v>1984.04643097623</v>
      </c>
      <c r="G1169" s="27">
        <v>173000.0</v>
      </c>
      <c r="H1169" s="40" t="s">
        <v>188</v>
      </c>
      <c r="I1169" s="40" t="s">
        <v>188</v>
      </c>
      <c r="J1169" s="40" t="s">
        <v>188</v>
      </c>
      <c r="K1169" s="66" t="s">
        <v>188</v>
      </c>
      <c r="L1169" s="29" t="s">
        <v>81</v>
      </c>
    </row>
    <row r="1170">
      <c r="A1170" s="11" t="s">
        <v>1169</v>
      </c>
      <c r="B1170" s="11" t="s">
        <v>235</v>
      </c>
      <c r="C1170" s="25" t="s">
        <v>1170</v>
      </c>
      <c r="D1170" s="11" t="s">
        <v>1153</v>
      </c>
      <c r="E1170" s="11" t="s">
        <v>555</v>
      </c>
      <c r="F1170" s="87">
        <v>1985.08233275136</v>
      </c>
      <c r="G1170" s="27">
        <v>182000.0</v>
      </c>
      <c r="H1170" s="40" t="s">
        <v>188</v>
      </c>
      <c r="I1170" s="40" t="s">
        <v>188</v>
      </c>
      <c r="J1170" s="40" t="s">
        <v>188</v>
      </c>
      <c r="K1170" s="66" t="s">
        <v>188</v>
      </c>
      <c r="L1170" s="29" t="s">
        <v>81</v>
      </c>
    </row>
    <row r="1171">
      <c r="A1171" s="11" t="s">
        <v>1169</v>
      </c>
      <c r="B1171" s="11" t="s">
        <v>235</v>
      </c>
      <c r="C1171" s="25" t="s">
        <v>1170</v>
      </c>
      <c r="D1171" s="11" t="s">
        <v>1153</v>
      </c>
      <c r="E1171" s="11" t="s">
        <v>555</v>
      </c>
      <c r="F1171" s="87">
        <v>1986.10879578594</v>
      </c>
      <c r="G1171" s="27">
        <v>168000.0</v>
      </c>
      <c r="H1171" s="40" t="s">
        <v>188</v>
      </c>
      <c r="I1171" s="40" t="s">
        <v>188</v>
      </c>
      <c r="J1171" s="40" t="s">
        <v>188</v>
      </c>
      <c r="K1171" s="66" t="s">
        <v>188</v>
      </c>
      <c r="L1171" s="29" t="s">
        <v>81</v>
      </c>
    </row>
    <row r="1172">
      <c r="A1172" s="11" t="s">
        <v>1169</v>
      </c>
      <c r="B1172" s="11" t="s">
        <v>235</v>
      </c>
      <c r="C1172" s="25" t="s">
        <v>1170</v>
      </c>
      <c r="D1172" s="11" t="s">
        <v>1153</v>
      </c>
      <c r="E1172" s="11" t="s">
        <v>555</v>
      </c>
      <c r="F1172" s="87">
        <v>1987.14233787593</v>
      </c>
      <c r="G1172" s="27">
        <v>172000.0</v>
      </c>
      <c r="H1172" s="40" t="s">
        <v>188</v>
      </c>
      <c r="I1172" s="40" t="s">
        <v>188</v>
      </c>
      <c r="J1172" s="40" t="s">
        <v>188</v>
      </c>
      <c r="K1172" s="66" t="s">
        <v>188</v>
      </c>
      <c r="L1172" s="29" t="s">
        <v>81</v>
      </c>
    </row>
    <row r="1173">
      <c r="A1173" s="11" t="s">
        <v>1169</v>
      </c>
      <c r="B1173" s="11" t="s">
        <v>235</v>
      </c>
      <c r="C1173" s="25" t="s">
        <v>1170</v>
      </c>
      <c r="D1173" s="11" t="s">
        <v>1153</v>
      </c>
      <c r="E1173" s="11" t="s">
        <v>555</v>
      </c>
      <c r="F1173" s="87">
        <v>1988.00469553507</v>
      </c>
      <c r="G1173" s="27">
        <v>203000.0</v>
      </c>
      <c r="H1173" s="40" t="s">
        <v>188</v>
      </c>
      <c r="I1173" s="40" t="s">
        <v>188</v>
      </c>
      <c r="J1173" s="40" t="s">
        <v>188</v>
      </c>
      <c r="K1173" s="66" t="s">
        <v>188</v>
      </c>
      <c r="L1173" s="29" t="s">
        <v>81</v>
      </c>
    </row>
    <row r="1174">
      <c r="A1174" s="11" t="s">
        <v>1169</v>
      </c>
      <c r="B1174" s="11" t="s">
        <v>235</v>
      </c>
      <c r="C1174" s="25" t="s">
        <v>1170</v>
      </c>
      <c r="D1174" s="11" t="s">
        <v>1153</v>
      </c>
      <c r="E1174" s="11" t="s">
        <v>555</v>
      </c>
      <c r="F1174" s="87">
        <v>1989.0245085479</v>
      </c>
      <c r="G1174" s="27">
        <v>173000.0</v>
      </c>
      <c r="H1174" s="40" t="s">
        <v>188</v>
      </c>
      <c r="I1174" s="40" t="s">
        <v>188</v>
      </c>
      <c r="J1174" s="40" t="s">
        <v>188</v>
      </c>
      <c r="K1174" s="66" t="s">
        <v>188</v>
      </c>
      <c r="L1174" s="29" t="s">
        <v>81</v>
      </c>
    </row>
    <row r="1175">
      <c r="A1175" s="11" t="s">
        <v>1169</v>
      </c>
      <c r="B1175" s="11" t="s">
        <v>235</v>
      </c>
      <c r="C1175" s="25" t="s">
        <v>1170</v>
      </c>
      <c r="D1175" s="11" t="s">
        <v>1153</v>
      </c>
      <c r="E1175" s="11" t="s">
        <v>555</v>
      </c>
      <c r="F1175" s="87">
        <v>1990.12905570883</v>
      </c>
      <c r="G1175" s="27">
        <v>202000.0</v>
      </c>
      <c r="H1175" s="40" t="s">
        <v>188</v>
      </c>
      <c r="I1175" s="40" t="s">
        <v>188</v>
      </c>
      <c r="J1175" s="40" t="s">
        <v>188</v>
      </c>
      <c r="K1175" s="66" t="s">
        <v>188</v>
      </c>
      <c r="L1175" s="29" t="s">
        <v>81</v>
      </c>
    </row>
    <row r="1176">
      <c r="A1176" s="11" t="s">
        <v>1169</v>
      </c>
      <c r="B1176" s="11" t="s">
        <v>235</v>
      </c>
      <c r="C1176" s="25" t="s">
        <v>1170</v>
      </c>
      <c r="D1176" s="11" t="s">
        <v>1153</v>
      </c>
      <c r="E1176" s="11" t="s">
        <v>555</v>
      </c>
      <c r="F1176" s="87">
        <v>1992.06421203797</v>
      </c>
      <c r="G1176" s="27">
        <v>183000.0</v>
      </c>
      <c r="H1176" s="40" t="s">
        <v>188</v>
      </c>
      <c r="I1176" s="40" t="s">
        <v>188</v>
      </c>
      <c r="J1176" s="40" t="s">
        <v>188</v>
      </c>
      <c r="K1176" s="66" t="s">
        <v>188</v>
      </c>
      <c r="L1176" s="29" t="s">
        <v>81</v>
      </c>
    </row>
    <row r="1177">
      <c r="A1177" s="11" t="s">
        <v>1169</v>
      </c>
      <c r="B1177" s="11" t="s">
        <v>235</v>
      </c>
      <c r="C1177" s="25" t="s">
        <v>1170</v>
      </c>
      <c r="D1177" s="11" t="s">
        <v>1153</v>
      </c>
      <c r="E1177" s="11" t="s">
        <v>555</v>
      </c>
      <c r="F1177" s="87">
        <v>1994.07123150537</v>
      </c>
      <c r="G1177" s="27">
        <v>192104.0</v>
      </c>
      <c r="H1177" s="40" t="s">
        <v>188</v>
      </c>
      <c r="I1177" s="40" t="s">
        <v>188</v>
      </c>
      <c r="J1177" s="40" t="s">
        <v>188</v>
      </c>
      <c r="K1177" s="66" t="s">
        <v>188</v>
      </c>
      <c r="L1177" s="29" t="s">
        <v>81</v>
      </c>
    </row>
    <row r="1178">
      <c r="A1178" s="11" t="s">
        <v>1169</v>
      </c>
      <c r="B1178" s="11" t="s">
        <v>235</v>
      </c>
      <c r="C1178" s="25" t="s">
        <v>1170</v>
      </c>
      <c r="D1178" s="11" t="s">
        <v>1153</v>
      </c>
      <c r="E1178" s="11" t="s">
        <v>555</v>
      </c>
      <c r="F1178" s="87">
        <v>1996.0658089966</v>
      </c>
      <c r="G1178" s="27">
        <v>170125.0</v>
      </c>
      <c r="H1178" s="40" t="s">
        <v>188</v>
      </c>
      <c r="I1178" s="40" t="s">
        <v>188</v>
      </c>
      <c r="J1178" s="40" t="s">
        <v>188</v>
      </c>
      <c r="K1178" s="66" t="s">
        <v>188</v>
      </c>
      <c r="L1178" s="29" t="s">
        <v>81</v>
      </c>
    </row>
    <row r="1179">
      <c r="A1179" s="11" t="s">
        <v>1169</v>
      </c>
      <c r="B1179" s="11" t="s">
        <v>235</v>
      </c>
      <c r="C1179" s="25" t="s">
        <v>1170</v>
      </c>
      <c r="D1179" s="11" t="s">
        <v>1153</v>
      </c>
      <c r="E1179" s="11" t="s">
        <v>555</v>
      </c>
      <c r="F1179" s="87">
        <v>1998.07261394717</v>
      </c>
      <c r="G1179" s="27">
        <v>179149.0</v>
      </c>
      <c r="H1179" s="40" t="s">
        <v>188</v>
      </c>
      <c r="I1179" s="40" t="s">
        <v>188</v>
      </c>
      <c r="J1179" s="40" t="s">
        <v>188</v>
      </c>
      <c r="K1179" s="66" t="s">
        <v>188</v>
      </c>
      <c r="L1179" s="29" t="s">
        <v>81</v>
      </c>
    </row>
    <row r="1180">
      <c r="A1180" s="11" t="s">
        <v>1169</v>
      </c>
      <c r="B1180" s="11" t="s">
        <v>235</v>
      </c>
      <c r="C1180" s="25" t="s">
        <v>1170</v>
      </c>
      <c r="D1180" s="11" t="s">
        <v>1153</v>
      </c>
      <c r="E1180" s="11" t="s">
        <v>555</v>
      </c>
      <c r="F1180" s="87">
        <v>2000.06783498889</v>
      </c>
      <c r="G1180" s="27">
        <v>158736.0</v>
      </c>
      <c r="H1180" s="40" t="s">
        <v>188</v>
      </c>
      <c r="I1180" s="40" t="s">
        <v>188</v>
      </c>
      <c r="J1180" s="40" t="s">
        <v>188</v>
      </c>
      <c r="K1180" s="66" t="s">
        <v>188</v>
      </c>
      <c r="L1180" s="29" t="s">
        <v>81</v>
      </c>
    </row>
    <row r="1181">
      <c r="A1181" s="11" t="s">
        <v>1169</v>
      </c>
      <c r="B1181" s="11" t="s">
        <v>235</v>
      </c>
      <c r="C1181" s="25" t="s">
        <v>1170</v>
      </c>
      <c r="D1181" s="11" t="s">
        <v>1153</v>
      </c>
      <c r="E1181" s="11" t="s">
        <v>555</v>
      </c>
      <c r="F1181" s="87">
        <v>2002.0658447494</v>
      </c>
      <c r="G1181" s="27">
        <v>145716.0</v>
      </c>
      <c r="H1181" s="40" t="s">
        <v>188</v>
      </c>
      <c r="I1181" s="40" t="s">
        <v>188</v>
      </c>
      <c r="J1181" s="40" t="s">
        <v>188</v>
      </c>
      <c r="K1181" s="66" t="s">
        <v>188</v>
      </c>
      <c r="L1181" s="29" t="s">
        <v>81</v>
      </c>
    </row>
    <row r="1182">
      <c r="A1182" s="11" t="s">
        <v>1169</v>
      </c>
      <c r="B1182" s="11" t="s">
        <v>235</v>
      </c>
      <c r="C1182" s="25" t="s">
        <v>1170</v>
      </c>
      <c r="D1182" s="11" t="s">
        <v>1153</v>
      </c>
      <c r="E1182" s="11" t="s">
        <v>555</v>
      </c>
      <c r="F1182" s="87">
        <v>2004.12048695321</v>
      </c>
      <c r="G1182" s="27">
        <v>122825.0</v>
      </c>
      <c r="H1182" s="40" t="s">
        <v>188</v>
      </c>
      <c r="I1182" s="40" t="s">
        <v>188</v>
      </c>
      <c r="J1182" s="40" t="s">
        <v>188</v>
      </c>
      <c r="K1182" s="66" t="s">
        <v>188</v>
      </c>
      <c r="L1182" s="29" t="s">
        <v>81</v>
      </c>
    </row>
    <row r="1183">
      <c r="A1183" s="11" t="s">
        <v>1169</v>
      </c>
      <c r="B1183" s="11" t="s">
        <v>235</v>
      </c>
      <c r="C1183" s="25" t="s">
        <v>1170</v>
      </c>
      <c r="D1183" s="11" t="s">
        <v>1153</v>
      </c>
      <c r="E1183" s="11" t="s">
        <v>555</v>
      </c>
      <c r="F1183" s="87">
        <v>2006.11892574738</v>
      </c>
      <c r="G1183" s="27">
        <v>109961.0</v>
      </c>
      <c r="H1183" s="40" t="s">
        <v>188</v>
      </c>
      <c r="I1183" s="40" t="s">
        <v>188</v>
      </c>
      <c r="J1183" s="40" t="s">
        <v>188</v>
      </c>
      <c r="K1183" s="66" t="s">
        <v>188</v>
      </c>
      <c r="L1183" s="29" t="s">
        <v>81</v>
      </c>
    </row>
    <row r="1184">
      <c r="A1184" s="11" t="s">
        <v>1169</v>
      </c>
      <c r="B1184" s="11" t="s">
        <v>235</v>
      </c>
      <c r="C1184" s="25" t="s">
        <v>1170</v>
      </c>
      <c r="D1184" s="11" t="s">
        <v>1153</v>
      </c>
      <c r="E1184" s="11" t="s">
        <v>555</v>
      </c>
      <c r="F1184" s="87">
        <v>2008.05837241314</v>
      </c>
      <c r="G1184" s="27">
        <v>102674.0</v>
      </c>
      <c r="H1184" s="40" t="s">
        <v>188</v>
      </c>
      <c r="I1184" s="40" t="s">
        <v>188</v>
      </c>
      <c r="J1184" s="40" t="s">
        <v>188</v>
      </c>
      <c r="K1184" s="66" t="s">
        <v>188</v>
      </c>
      <c r="L1184" s="29" t="s">
        <v>81</v>
      </c>
    </row>
    <row r="1185">
      <c r="A1185" s="11" t="s">
        <v>1169</v>
      </c>
      <c r="B1185" s="11" t="s">
        <v>235</v>
      </c>
      <c r="C1185" s="25" t="s">
        <v>1170</v>
      </c>
      <c r="D1185" s="11" t="s">
        <v>1153</v>
      </c>
      <c r="E1185" s="11" t="s">
        <v>555</v>
      </c>
      <c r="F1185" s="87">
        <v>2010.05831282513</v>
      </c>
      <c r="G1185" s="27">
        <v>94502.0</v>
      </c>
      <c r="H1185" s="40" t="s">
        <v>188</v>
      </c>
      <c r="I1185" s="40" t="s">
        <v>188</v>
      </c>
      <c r="J1185" s="40" t="s">
        <v>188</v>
      </c>
      <c r="K1185" s="66" t="s">
        <v>188</v>
      </c>
      <c r="L1185" s="29" t="s">
        <v>81</v>
      </c>
    </row>
    <row r="1186">
      <c r="A1186" s="11" t="s">
        <v>1169</v>
      </c>
      <c r="B1186" s="11" t="s">
        <v>235</v>
      </c>
      <c r="C1186" s="25" t="s">
        <v>1170</v>
      </c>
      <c r="D1186" s="11" t="s">
        <v>1153</v>
      </c>
      <c r="E1186" s="11" t="s">
        <v>555</v>
      </c>
      <c r="F1186" s="87">
        <v>2012.1841746167</v>
      </c>
      <c r="G1186" s="27">
        <v>96828.0</v>
      </c>
      <c r="H1186" s="40" t="s">
        <v>188</v>
      </c>
      <c r="I1186" s="40" t="s">
        <v>188</v>
      </c>
      <c r="J1186" s="40" t="s">
        <v>188</v>
      </c>
      <c r="K1186" s="66" t="s">
        <v>188</v>
      </c>
      <c r="L1186" s="29" t="s">
        <v>81</v>
      </c>
    </row>
    <row r="1187">
      <c r="A1187" s="11" t="s">
        <v>1169</v>
      </c>
      <c r="B1187" s="11" t="s">
        <v>235</v>
      </c>
      <c r="C1187" s="25" t="s">
        <v>1170</v>
      </c>
      <c r="D1187" s="11" t="s">
        <v>1153</v>
      </c>
      <c r="E1187" s="11" t="s">
        <v>555</v>
      </c>
      <c r="F1187" s="87">
        <v>2014.06420012037</v>
      </c>
      <c r="G1187" s="27">
        <v>91737.0</v>
      </c>
      <c r="H1187" s="40" t="s">
        <v>188</v>
      </c>
      <c r="I1187" s="40" t="s">
        <v>188</v>
      </c>
      <c r="J1187" s="40" t="s">
        <v>188</v>
      </c>
      <c r="K1187" s="66" t="s">
        <v>188</v>
      </c>
      <c r="L1187" s="29" t="s">
        <v>81</v>
      </c>
    </row>
    <row r="1188">
      <c r="A1188" s="11" t="s">
        <v>1169</v>
      </c>
      <c r="B1188" s="11" t="s">
        <v>235</v>
      </c>
      <c r="C1188" s="25" t="s">
        <v>1170</v>
      </c>
      <c r="D1188" s="11" t="s">
        <v>1153</v>
      </c>
      <c r="E1188" s="11" t="s">
        <v>555</v>
      </c>
      <c r="F1188" s="87">
        <v>2016.06328246504</v>
      </c>
      <c r="G1188" s="27">
        <v>80641.0</v>
      </c>
      <c r="H1188" s="40" t="s">
        <v>188</v>
      </c>
      <c r="I1188" s="40" t="s">
        <v>188</v>
      </c>
      <c r="J1188" s="40" t="s">
        <v>188</v>
      </c>
      <c r="K1188" s="66" t="s">
        <v>188</v>
      </c>
      <c r="L1188" s="29" t="s">
        <v>81</v>
      </c>
    </row>
    <row r="1189">
      <c r="A1189" s="11" t="s">
        <v>1169</v>
      </c>
      <c r="B1189" s="11" t="s">
        <v>235</v>
      </c>
      <c r="C1189" s="25" t="s">
        <v>1170</v>
      </c>
      <c r="D1189" s="11" t="s">
        <v>1153</v>
      </c>
      <c r="E1189" s="11" t="s">
        <v>555</v>
      </c>
      <c r="F1189" s="87">
        <v>2018.06450997801</v>
      </c>
      <c r="G1189" s="27">
        <v>75719.0</v>
      </c>
      <c r="H1189" s="40" t="s">
        <v>188</v>
      </c>
      <c r="I1189" s="40" t="s">
        <v>188</v>
      </c>
      <c r="J1189" s="40" t="s">
        <v>188</v>
      </c>
      <c r="K1189" s="66" t="s">
        <v>188</v>
      </c>
      <c r="L1189" s="29" t="s">
        <v>81</v>
      </c>
    </row>
    <row r="1190">
      <c r="A1190" s="11" t="s">
        <v>1216</v>
      </c>
      <c r="B1190" s="11" t="s">
        <v>235</v>
      </c>
      <c r="C1190" s="25" t="s">
        <v>1217</v>
      </c>
      <c r="D1190" s="11" t="s">
        <v>1153</v>
      </c>
      <c r="E1190" s="11" t="s">
        <v>555</v>
      </c>
      <c r="F1190" s="87">
        <v>1990.0</v>
      </c>
      <c r="G1190" s="27">
        <v>238000.0</v>
      </c>
      <c r="H1190" s="40" t="s">
        <v>188</v>
      </c>
      <c r="I1190" s="40" t="s">
        <v>188</v>
      </c>
      <c r="J1190" s="40" t="s">
        <v>188</v>
      </c>
      <c r="K1190" s="66" t="s">
        <v>188</v>
      </c>
      <c r="L1190" s="29" t="s">
        <v>260</v>
      </c>
    </row>
    <row r="1191">
      <c r="A1191" s="11" t="s">
        <v>1216</v>
      </c>
      <c r="B1191" s="11" t="s">
        <v>235</v>
      </c>
      <c r="C1191" s="25" t="s">
        <v>1217</v>
      </c>
      <c r="D1191" s="11" t="s">
        <v>1153</v>
      </c>
      <c r="E1191" s="11" t="s">
        <v>555</v>
      </c>
      <c r="F1191" s="87">
        <v>1990.99290780142</v>
      </c>
      <c r="G1191" s="27">
        <v>233000.0</v>
      </c>
      <c r="H1191" s="27">
        <f t="shared" ref="H1191:I1191" si="902">F1191-F1190</f>
        <v>0.9929078014</v>
      </c>
      <c r="I1191" s="27">
        <f t="shared" si="902"/>
        <v>-5000</v>
      </c>
      <c r="J1191" s="66">
        <f t="shared" ref="J1191:J1213" si="904">I1191/G1190</f>
        <v>-0.02100840336</v>
      </c>
      <c r="K1191" s="66">
        <f t="shared" ref="K1191:K1213" si="905">J1191/H1191</f>
        <v>-0.02115846339</v>
      </c>
      <c r="L1191" s="29" t="s">
        <v>260</v>
      </c>
    </row>
    <row r="1192">
      <c r="A1192" s="11" t="s">
        <v>1216</v>
      </c>
      <c r="B1192" s="11" t="s">
        <v>235</v>
      </c>
      <c r="C1192" s="25" t="s">
        <v>1217</v>
      </c>
      <c r="D1192" s="11" t="s">
        <v>1153</v>
      </c>
      <c r="E1192" s="11" t="s">
        <v>555</v>
      </c>
      <c r="F1192" s="87">
        <v>1992.02127659574</v>
      </c>
      <c r="G1192" s="27">
        <v>224000.0</v>
      </c>
      <c r="H1192" s="27">
        <f t="shared" ref="H1192:I1192" si="903">F1192-F1191</f>
        <v>1.028368794</v>
      </c>
      <c r="I1192" s="27">
        <f t="shared" si="903"/>
        <v>-9000</v>
      </c>
      <c r="J1192" s="66">
        <f t="shared" si="904"/>
        <v>-0.03862660944</v>
      </c>
      <c r="K1192" s="66">
        <f t="shared" si="905"/>
        <v>-0.0375610478</v>
      </c>
      <c r="L1192" s="29" t="s">
        <v>260</v>
      </c>
    </row>
    <row r="1193">
      <c r="A1193" s="11" t="s">
        <v>1216</v>
      </c>
      <c r="B1193" s="11" t="s">
        <v>235</v>
      </c>
      <c r="C1193" s="25" t="s">
        <v>1217</v>
      </c>
      <c r="D1193" s="11" t="s">
        <v>1153</v>
      </c>
      <c r="E1193" s="11" t="s">
        <v>555</v>
      </c>
      <c r="F1193" s="87">
        <v>1993.01418439716</v>
      </c>
      <c r="G1193" s="27">
        <v>225000.0</v>
      </c>
      <c r="H1193" s="27">
        <f t="shared" ref="H1193:I1193" si="906">F1193-F1192</f>
        <v>0.9929078014</v>
      </c>
      <c r="I1193" s="27">
        <f t="shared" si="906"/>
        <v>1000</v>
      </c>
      <c r="J1193" s="66">
        <f t="shared" si="904"/>
        <v>0.004464285714</v>
      </c>
      <c r="K1193" s="66">
        <f t="shared" si="905"/>
        <v>0.004496173469</v>
      </c>
      <c r="L1193" s="29" t="s">
        <v>260</v>
      </c>
    </row>
    <row r="1194">
      <c r="A1194" s="11" t="s">
        <v>1216</v>
      </c>
      <c r="B1194" s="11" t="s">
        <v>235</v>
      </c>
      <c r="C1194" s="25" t="s">
        <v>1217</v>
      </c>
      <c r="D1194" s="11" t="s">
        <v>1153</v>
      </c>
      <c r="E1194" s="11" t="s">
        <v>555</v>
      </c>
      <c r="F1194" s="87">
        <v>1994.00709219858</v>
      </c>
      <c r="G1194" s="27">
        <v>228771.0</v>
      </c>
      <c r="H1194" s="27">
        <f t="shared" ref="H1194:I1194" si="907">F1194-F1193</f>
        <v>0.9929078014</v>
      </c>
      <c r="I1194" s="27">
        <f t="shared" si="907"/>
        <v>3771</v>
      </c>
      <c r="J1194" s="66">
        <f t="shared" si="904"/>
        <v>0.01676</v>
      </c>
      <c r="K1194" s="66">
        <f t="shared" si="905"/>
        <v>0.01687971429</v>
      </c>
      <c r="L1194" s="29" t="s">
        <v>81</v>
      </c>
    </row>
    <row r="1195">
      <c r="A1195" s="11" t="s">
        <v>1216</v>
      </c>
      <c r="B1195" s="11" t="s">
        <v>235</v>
      </c>
      <c r="C1195" s="25" t="s">
        <v>1217</v>
      </c>
      <c r="D1195" s="11" t="s">
        <v>1153</v>
      </c>
      <c r="E1195" s="11" t="s">
        <v>555</v>
      </c>
      <c r="F1195" s="87">
        <v>1995.03546099291</v>
      </c>
      <c r="G1195" s="27">
        <v>229511.0</v>
      </c>
      <c r="H1195" s="27">
        <f t="shared" ref="H1195:I1195" si="908">F1195-F1194</f>
        <v>1.028368794</v>
      </c>
      <c r="I1195" s="27">
        <f t="shared" si="908"/>
        <v>740</v>
      </c>
      <c r="J1195" s="66">
        <f t="shared" si="904"/>
        <v>0.003234675724</v>
      </c>
      <c r="K1195" s="66">
        <f t="shared" si="905"/>
        <v>0.00314544329</v>
      </c>
      <c r="L1195" s="29" t="s">
        <v>81</v>
      </c>
    </row>
    <row r="1196">
      <c r="A1196" s="11" t="s">
        <v>1216</v>
      </c>
      <c r="B1196" s="11" t="s">
        <v>235</v>
      </c>
      <c r="C1196" s="25" t="s">
        <v>1217</v>
      </c>
      <c r="D1196" s="11" t="s">
        <v>1153</v>
      </c>
      <c r="E1196" s="11" t="s">
        <v>555</v>
      </c>
      <c r="F1196" s="87">
        <v>1996.02836879433</v>
      </c>
      <c r="G1196" s="27">
        <v>211673.0</v>
      </c>
      <c r="H1196" s="27">
        <f t="shared" ref="H1196:I1196" si="909">F1196-F1195</f>
        <v>0.9929078014</v>
      </c>
      <c r="I1196" s="27">
        <f t="shared" si="909"/>
        <v>-17838</v>
      </c>
      <c r="J1196" s="66">
        <f t="shared" si="904"/>
        <v>-0.07772176497</v>
      </c>
      <c r="K1196" s="66">
        <f t="shared" si="905"/>
        <v>-0.07827692043</v>
      </c>
      <c r="L1196" s="29" t="s">
        <v>81</v>
      </c>
    </row>
    <row r="1197">
      <c r="A1197" s="11" t="s">
        <v>1216</v>
      </c>
      <c r="B1197" s="11" t="s">
        <v>235</v>
      </c>
      <c r="C1197" s="25" t="s">
        <v>1217</v>
      </c>
      <c r="D1197" s="11" t="s">
        <v>1153</v>
      </c>
      <c r="E1197" s="11" t="s">
        <v>555</v>
      </c>
      <c r="F1197" s="87">
        <v>1997.02127659574</v>
      </c>
      <c r="G1197" s="27">
        <v>215497.0</v>
      </c>
      <c r="H1197" s="27">
        <f t="shared" ref="H1197:I1197" si="910">F1197-F1196</f>
        <v>0.9929078014</v>
      </c>
      <c r="I1197" s="27">
        <f t="shared" si="910"/>
        <v>3824</v>
      </c>
      <c r="J1197" s="66">
        <f t="shared" si="904"/>
        <v>0.01806560119</v>
      </c>
      <c r="K1197" s="66">
        <f t="shared" si="905"/>
        <v>0.0181946412</v>
      </c>
      <c r="L1197" s="29" t="s">
        <v>81</v>
      </c>
    </row>
    <row r="1198">
      <c r="A1198" s="11" t="s">
        <v>1216</v>
      </c>
      <c r="B1198" s="11" t="s">
        <v>235</v>
      </c>
      <c r="C1198" s="25" t="s">
        <v>1217</v>
      </c>
      <c r="D1198" s="11" t="s">
        <v>1153</v>
      </c>
      <c r="E1198" s="11" t="s">
        <v>555</v>
      </c>
      <c r="F1198" s="87">
        <v>1998.04964539007</v>
      </c>
      <c r="G1198" s="27">
        <v>219226.0</v>
      </c>
      <c r="H1198" s="27">
        <f t="shared" ref="H1198:I1198" si="911">F1198-F1197</f>
        <v>1.028368794</v>
      </c>
      <c r="I1198" s="27">
        <f t="shared" si="911"/>
        <v>3729</v>
      </c>
      <c r="J1198" s="66">
        <f t="shared" si="904"/>
        <v>0.01730418521</v>
      </c>
      <c r="K1198" s="66">
        <f t="shared" si="905"/>
        <v>0.01682682838</v>
      </c>
      <c r="L1198" s="29" t="s">
        <v>81</v>
      </c>
    </row>
    <row r="1199">
      <c r="A1199" s="11" t="s">
        <v>1216</v>
      </c>
      <c r="B1199" s="11" t="s">
        <v>235</v>
      </c>
      <c r="C1199" s="25" t="s">
        <v>1217</v>
      </c>
      <c r="D1199" s="11" t="s">
        <v>1153</v>
      </c>
      <c r="E1199" s="11" t="s">
        <v>555</v>
      </c>
      <c r="F1199" s="87">
        <v>2000.03546099291</v>
      </c>
      <c r="G1199" s="27">
        <v>196899.0</v>
      </c>
      <c r="H1199" s="27">
        <f t="shared" ref="H1199:I1199" si="912">F1199-F1198</f>
        <v>1.985815603</v>
      </c>
      <c r="I1199" s="27">
        <f t="shared" si="912"/>
        <v>-22327</v>
      </c>
      <c r="J1199" s="66">
        <f t="shared" si="904"/>
        <v>-0.1018446717</v>
      </c>
      <c r="K1199" s="66">
        <f t="shared" si="905"/>
        <v>-0.05128606682</v>
      </c>
      <c r="L1199" s="29" t="s">
        <v>81</v>
      </c>
    </row>
    <row r="1200">
      <c r="A1200" s="11" t="s">
        <v>1216</v>
      </c>
      <c r="B1200" s="11" t="s">
        <v>235</v>
      </c>
      <c r="C1200" s="25" t="s">
        <v>1217</v>
      </c>
      <c r="D1200" s="11" t="s">
        <v>1153</v>
      </c>
      <c r="E1200" s="11" t="s">
        <v>555</v>
      </c>
      <c r="F1200" s="87">
        <v>2002.02127659574</v>
      </c>
      <c r="G1200" s="27">
        <v>176667.0</v>
      </c>
      <c r="H1200" s="27">
        <f t="shared" ref="H1200:I1200" si="913">F1200-F1199</f>
        <v>1.985815603</v>
      </c>
      <c r="I1200" s="27">
        <f t="shared" si="913"/>
        <v>-20232</v>
      </c>
      <c r="J1200" s="66">
        <f t="shared" si="904"/>
        <v>-0.1027531882</v>
      </c>
      <c r="K1200" s="66">
        <f t="shared" si="905"/>
        <v>-0.05174356976</v>
      </c>
      <c r="L1200" s="29" t="s">
        <v>81</v>
      </c>
    </row>
    <row r="1201">
      <c r="A1201" s="11" t="s">
        <v>1216</v>
      </c>
      <c r="B1201" s="11" t="s">
        <v>235</v>
      </c>
      <c r="C1201" s="25" t="s">
        <v>1217</v>
      </c>
      <c r="D1201" s="11" t="s">
        <v>1153</v>
      </c>
      <c r="E1201" s="11" t="s">
        <v>555</v>
      </c>
      <c r="F1201" s="87">
        <v>2004.04255319149</v>
      </c>
      <c r="G1201" s="27">
        <v>153059.0</v>
      </c>
      <c r="H1201" s="27">
        <f t="shared" ref="H1201:I1201" si="914">F1201-F1200</f>
        <v>2.021276596</v>
      </c>
      <c r="I1201" s="27">
        <f t="shared" si="914"/>
        <v>-23608</v>
      </c>
      <c r="J1201" s="66">
        <f t="shared" si="904"/>
        <v>-0.1336299365</v>
      </c>
      <c r="K1201" s="66">
        <f t="shared" si="905"/>
        <v>-0.06611165282</v>
      </c>
      <c r="L1201" s="29" t="s">
        <v>81</v>
      </c>
    </row>
    <row r="1202">
      <c r="A1202" s="11" t="s">
        <v>1216</v>
      </c>
      <c r="B1202" s="11" t="s">
        <v>235</v>
      </c>
      <c r="C1202" s="25" t="s">
        <v>1217</v>
      </c>
      <c r="D1202" s="11" t="s">
        <v>1153</v>
      </c>
      <c r="E1202" s="11" t="s">
        <v>555</v>
      </c>
      <c r="F1202" s="87">
        <v>2005.0</v>
      </c>
      <c r="G1202" s="27">
        <v>160594.0</v>
      </c>
      <c r="H1202" s="27">
        <f t="shared" ref="H1202:I1202" si="915">F1202-F1201</f>
        <v>0.9574468085</v>
      </c>
      <c r="I1202" s="27">
        <f t="shared" si="915"/>
        <v>7535</v>
      </c>
      <c r="J1202" s="66">
        <f t="shared" si="904"/>
        <v>0.04922938213</v>
      </c>
      <c r="K1202" s="66">
        <f t="shared" si="905"/>
        <v>0.05141735467</v>
      </c>
      <c r="L1202" s="29" t="s">
        <v>81</v>
      </c>
    </row>
    <row r="1203">
      <c r="A1203" s="11" t="s">
        <v>1216</v>
      </c>
      <c r="B1203" s="11" t="s">
        <v>235</v>
      </c>
      <c r="C1203" s="25" t="s">
        <v>1217</v>
      </c>
      <c r="D1203" s="11" t="s">
        <v>1153</v>
      </c>
      <c r="E1203" s="11" t="s">
        <v>555</v>
      </c>
      <c r="F1203" s="87">
        <v>2006.02836879433</v>
      </c>
      <c r="G1203" s="27">
        <v>147900.0</v>
      </c>
      <c r="H1203" s="27">
        <f t="shared" ref="H1203:I1203" si="916">F1203-F1202</f>
        <v>1.028368794</v>
      </c>
      <c r="I1203" s="27">
        <f t="shared" si="916"/>
        <v>-12694</v>
      </c>
      <c r="J1203" s="66">
        <f t="shared" si="904"/>
        <v>-0.07904404897</v>
      </c>
      <c r="K1203" s="66">
        <f t="shared" si="905"/>
        <v>-0.07686352348</v>
      </c>
      <c r="L1203" s="29" t="s">
        <v>81</v>
      </c>
    </row>
    <row r="1204">
      <c r="A1204" s="11" t="s">
        <v>1216</v>
      </c>
      <c r="B1204" s="11" t="s">
        <v>235</v>
      </c>
      <c r="C1204" s="25" t="s">
        <v>1217</v>
      </c>
      <c r="D1204" s="11" t="s">
        <v>1153</v>
      </c>
      <c r="E1204" s="11" t="s">
        <v>555</v>
      </c>
      <c r="F1204" s="87">
        <v>2007.02127659574</v>
      </c>
      <c r="G1204" s="27">
        <v>152867.0</v>
      </c>
      <c r="H1204" s="27">
        <f t="shared" ref="H1204:I1204" si="917">F1204-F1203</f>
        <v>0.9929078014</v>
      </c>
      <c r="I1204" s="27">
        <f t="shared" si="917"/>
        <v>4967</v>
      </c>
      <c r="J1204" s="66">
        <f t="shared" si="904"/>
        <v>0.03358350237</v>
      </c>
      <c r="K1204" s="66">
        <f t="shared" si="905"/>
        <v>0.03382338453</v>
      </c>
      <c r="L1204" s="29" t="s">
        <v>81</v>
      </c>
    </row>
    <row r="1205">
      <c r="A1205" s="11" t="s">
        <v>1216</v>
      </c>
      <c r="B1205" s="11" t="s">
        <v>235</v>
      </c>
      <c r="C1205" s="25" t="s">
        <v>1217</v>
      </c>
      <c r="D1205" s="11" t="s">
        <v>1153</v>
      </c>
      <c r="E1205" s="11" t="s">
        <v>555</v>
      </c>
      <c r="F1205" s="87">
        <v>2008.04964539007</v>
      </c>
      <c r="G1205" s="27">
        <v>145149.0</v>
      </c>
      <c r="H1205" s="27">
        <f t="shared" ref="H1205:I1205" si="918">F1205-F1204</f>
        <v>1.028368794</v>
      </c>
      <c r="I1205" s="27">
        <f t="shared" si="918"/>
        <v>-7718</v>
      </c>
      <c r="J1205" s="66">
        <f t="shared" si="904"/>
        <v>-0.050488333</v>
      </c>
      <c r="K1205" s="66">
        <f t="shared" si="905"/>
        <v>-0.0490955514</v>
      </c>
      <c r="L1205" s="29" t="s">
        <v>81</v>
      </c>
    </row>
    <row r="1206">
      <c r="A1206" s="11" t="s">
        <v>1216</v>
      </c>
      <c r="B1206" s="11" t="s">
        <v>235</v>
      </c>
      <c r="C1206" s="25" t="s">
        <v>1217</v>
      </c>
      <c r="D1206" s="11" t="s">
        <v>1153</v>
      </c>
      <c r="E1206" s="11" t="s">
        <v>555</v>
      </c>
      <c r="F1206" s="87">
        <v>2010.03546099291</v>
      </c>
      <c r="G1206" s="27">
        <v>136790.0</v>
      </c>
      <c r="H1206" s="27">
        <f t="shared" ref="H1206:I1206" si="919">F1206-F1205</f>
        <v>1.985815603</v>
      </c>
      <c r="I1206" s="27">
        <f t="shared" si="919"/>
        <v>-8359</v>
      </c>
      <c r="J1206" s="66">
        <f t="shared" si="904"/>
        <v>-0.0575890981</v>
      </c>
      <c r="K1206" s="66">
        <f t="shared" si="905"/>
        <v>-0.0290002244</v>
      </c>
      <c r="L1206" s="29" t="s">
        <v>81</v>
      </c>
    </row>
    <row r="1207">
      <c r="A1207" s="11" t="s">
        <v>1216</v>
      </c>
      <c r="B1207" s="11" t="s">
        <v>235</v>
      </c>
      <c r="C1207" s="25" t="s">
        <v>1217</v>
      </c>
      <c r="D1207" s="11" t="s">
        <v>1153</v>
      </c>
      <c r="E1207" s="11" t="s">
        <v>555</v>
      </c>
      <c r="F1207" s="87">
        <v>2011.02836879433</v>
      </c>
      <c r="G1207" s="27">
        <v>142121.0</v>
      </c>
      <c r="H1207" s="27">
        <f t="shared" ref="H1207:I1207" si="920">F1207-F1206</f>
        <v>0.9929078014</v>
      </c>
      <c r="I1207" s="27">
        <f t="shared" si="920"/>
        <v>5331</v>
      </c>
      <c r="J1207" s="66">
        <f t="shared" si="904"/>
        <v>0.03897214709</v>
      </c>
      <c r="K1207" s="66">
        <f t="shared" si="905"/>
        <v>0.03925051957</v>
      </c>
      <c r="L1207" s="29" t="s">
        <v>81</v>
      </c>
    </row>
    <row r="1208">
      <c r="A1208" s="11" t="s">
        <v>1216</v>
      </c>
      <c r="B1208" s="11" t="s">
        <v>235</v>
      </c>
      <c r="C1208" s="25" t="s">
        <v>1217</v>
      </c>
      <c r="D1208" s="11" t="s">
        <v>1153</v>
      </c>
      <c r="E1208" s="11" t="s">
        <v>555</v>
      </c>
      <c r="F1208" s="87">
        <v>2012.02127659574</v>
      </c>
      <c r="G1208" s="27">
        <v>142658.0</v>
      </c>
      <c r="H1208" s="27">
        <f t="shared" ref="H1208:I1208" si="921">F1208-F1207</f>
        <v>0.9929078014</v>
      </c>
      <c r="I1208" s="27">
        <f t="shared" si="921"/>
        <v>537</v>
      </c>
      <c r="J1208" s="66">
        <f t="shared" si="904"/>
        <v>0.003778470458</v>
      </c>
      <c r="K1208" s="66">
        <f t="shared" si="905"/>
        <v>0.003805459533</v>
      </c>
      <c r="L1208" s="29" t="s">
        <v>81</v>
      </c>
    </row>
    <row r="1209">
      <c r="A1209" s="11" t="s">
        <v>1216</v>
      </c>
      <c r="B1209" s="11" t="s">
        <v>235</v>
      </c>
      <c r="C1209" s="25" t="s">
        <v>1217</v>
      </c>
      <c r="D1209" s="11" t="s">
        <v>1153</v>
      </c>
      <c r="E1209" s="11" t="s">
        <v>555</v>
      </c>
      <c r="F1209" s="87">
        <v>2014.0780141844</v>
      </c>
      <c r="G1209" s="27">
        <v>138829.0</v>
      </c>
      <c r="H1209" s="27">
        <f t="shared" ref="H1209:I1209" si="922">F1209-F1208</f>
        <v>2.056737589</v>
      </c>
      <c r="I1209" s="27">
        <f t="shared" si="922"/>
        <v>-3829</v>
      </c>
      <c r="J1209" s="66">
        <f t="shared" si="904"/>
        <v>-0.02684041554</v>
      </c>
      <c r="K1209" s="66">
        <f t="shared" si="905"/>
        <v>-0.01304999514</v>
      </c>
      <c r="L1209" s="29" t="s">
        <v>81</v>
      </c>
    </row>
    <row r="1210">
      <c r="A1210" s="11" t="s">
        <v>1216</v>
      </c>
      <c r="B1210" s="11" t="s">
        <v>235</v>
      </c>
      <c r="C1210" s="25" t="s">
        <v>1217</v>
      </c>
      <c r="D1210" s="11" t="s">
        <v>1153</v>
      </c>
      <c r="E1210" s="11" t="s">
        <v>555</v>
      </c>
      <c r="F1210" s="87">
        <v>2015.03546099291</v>
      </c>
      <c r="G1210" s="27">
        <v>143674.0</v>
      </c>
      <c r="H1210" s="27">
        <f t="shared" ref="H1210:I1210" si="923">F1210-F1209</f>
        <v>0.9574468085</v>
      </c>
      <c r="I1210" s="27">
        <f t="shared" si="923"/>
        <v>4845</v>
      </c>
      <c r="J1210" s="66">
        <f t="shared" si="904"/>
        <v>0.03489904847</v>
      </c>
      <c r="K1210" s="66">
        <f t="shared" si="905"/>
        <v>0.03645011729</v>
      </c>
      <c r="L1210" s="29" t="s">
        <v>81</v>
      </c>
    </row>
    <row r="1211">
      <c r="A1211" s="11" t="s">
        <v>1216</v>
      </c>
      <c r="B1211" s="11" t="s">
        <v>235</v>
      </c>
      <c r="C1211" s="25" t="s">
        <v>1217</v>
      </c>
      <c r="D1211" s="11" t="s">
        <v>1153</v>
      </c>
      <c r="E1211" s="11" t="s">
        <v>555</v>
      </c>
      <c r="F1211" s="87">
        <v>2016.06382978723</v>
      </c>
      <c r="G1211" s="27">
        <v>134131.0</v>
      </c>
      <c r="H1211" s="27">
        <f t="shared" ref="H1211:I1211" si="924">F1211-F1210</f>
        <v>1.028368794</v>
      </c>
      <c r="I1211" s="27">
        <f t="shared" si="924"/>
        <v>-9543</v>
      </c>
      <c r="J1211" s="66">
        <f t="shared" si="904"/>
        <v>-0.06642120356</v>
      </c>
      <c r="K1211" s="66">
        <f t="shared" si="905"/>
        <v>-0.06458889449</v>
      </c>
      <c r="L1211" s="29" t="s">
        <v>81</v>
      </c>
    </row>
    <row r="1212">
      <c r="A1212" s="11" t="s">
        <v>1216</v>
      </c>
      <c r="B1212" s="11" t="s">
        <v>235</v>
      </c>
      <c r="C1212" s="25" t="s">
        <v>1217</v>
      </c>
      <c r="D1212" s="11" t="s">
        <v>1153</v>
      </c>
      <c r="E1212" s="11" t="s">
        <v>555</v>
      </c>
      <c r="F1212" s="87">
        <v>2018.04964539007</v>
      </c>
      <c r="G1212" s="27">
        <v>130344.0</v>
      </c>
      <c r="H1212" s="27">
        <f t="shared" ref="H1212:I1212" si="925">F1212-F1211</f>
        <v>1.985815603</v>
      </c>
      <c r="I1212" s="27">
        <f t="shared" si="925"/>
        <v>-3787</v>
      </c>
      <c r="J1212" s="66">
        <f t="shared" si="904"/>
        <v>-0.02823359253</v>
      </c>
      <c r="K1212" s="66">
        <f t="shared" si="905"/>
        <v>-0.01421763053</v>
      </c>
      <c r="L1212" s="29" t="s">
        <v>81</v>
      </c>
    </row>
    <row r="1213">
      <c r="A1213" s="11" t="s">
        <v>1216</v>
      </c>
      <c r="B1213" s="11" t="s">
        <v>235</v>
      </c>
      <c r="C1213" s="25" t="s">
        <v>1217</v>
      </c>
      <c r="D1213" s="11" t="s">
        <v>1153</v>
      </c>
      <c r="E1213" s="11" t="s">
        <v>555</v>
      </c>
      <c r="F1213" s="87">
        <v>2019.0780141844</v>
      </c>
      <c r="G1213" s="27">
        <v>138609.0</v>
      </c>
      <c r="H1213" s="27">
        <f t="shared" ref="H1213:I1213" si="926">F1213-F1212</f>
        <v>1.028368794</v>
      </c>
      <c r="I1213" s="27">
        <f t="shared" si="926"/>
        <v>8265</v>
      </c>
      <c r="J1213" s="66">
        <f t="shared" si="904"/>
        <v>0.06340913276</v>
      </c>
      <c r="K1213" s="66">
        <f t="shared" si="905"/>
        <v>0.0616599153</v>
      </c>
      <c r="L1213" s="29" t="s">
        <v>81</v>
      </c>
    </row>
    <row r="1214">
      <c r="A1214" s="45" t="s">
        <v>1229</v>
      </c>
      <c r="B1214" s="45" t="s">
        <v>1230</v>
      </c>
      <c r="C1214" s="11" t="s">
        <v>1231</v>
      </c>
      <c r="D1214" s="25" t="s">
        <v>257</v>
      </c>
      <c r="E1214" s="45" t="s">
        <v>1053</v>
      </c>
      <c r="F1214" s="127">
        <v>1991.0</v>
      </c>
      <c r="G1214" s="116">
        <v>4578.0</v>
      </c>
      <c r="H1214" s="116" t="s">
        <v>188</v>
      </c>
      <c r="I1214" s="116" t="s">
        <v>188</v>
      </c>
      <c r="J1214" s="158" t="s">
        <v>188</v>
      </c>
      <c r="K1214" s="66" t="s">
        <v>188</v>
      </c>
      <c r="L1214" s="29" t="s">
        <v>939</v>
      </c>
      <c r="M1214" s="51"/>
      <c r="N1214" s="51"/>
      <c r="O1214" s="51"/>
      <c r="P1214" s="51"/>
      <c r="Q1214" s="51"/>
      <c r="R1214" s="51"/>
      <c r="S1214" s="51"/>
      <c r="T1214" s="51"/>
      <c r="U1214" s="51"/>
      <c r="V1214" s="51"/>
      <c r="W1214" s="51"/>
      <c r="X1214" s="51"/>
      <c r="Y1214" s="51"/>
      <c r="Z1214" s="51"/>
      <c r="AA1214" s="51"/>
      <c r="AB1214" s="51"/>
      <c r="AC1214" s="51"/>
      <c r="AD1214" s="51"/>
      <c r="AE1214" s="51"/>
    </row>
    <row r="1215">
      <c r="A1215" s="45" t="s">
        <v>1229</v>
      </c>
      <c r="B1215" s="45" t="s">
        <v>1230</v>
      </c>
      <c r="C1215" s="11" t="s">
        <v>1231</v>
      </c>
      <c r="D1215" s="25" t="s">
        <v>257</v>
      </c>
      <c r="E1215" s="45" t="s">
        <v>1053</v>
      </c>
      <c r="F1215" s="127">
        <v>1993.0</v>
      </c>
      <c r="G1215" s="116">
        <v>5110.0</v>
      </c>
      <c r="H1215" s="116">
        <f t="shared" ref="H1215:I1215" si="927">F1215-F1214</f>
        <v>2</v>
      </c>
      <c r="I1215" s="116">
        <f t="shared" si="927"/>
        <v>532</v>
      </c>
      <c r="J1215" s="158">
        <f t="shared" ref="J1215:J1220" si="929">I1215/G1214</f>
        <v>0.1162079511</v>
      </c>
      <c r="K1215" s="66">
        <f t="shared" ref="K1215:K1220" si="930">J1215/H1215</f>
        <v>0.05810397554</v>
      </c>
      <c r="L1215" s="29" t="s">
        <v>939</v>
      </c>
      <c r="M1215" s="51"/>
      <c r="N1215" s="51"/>
      <c r="O1215" s="51"/>
      <c r="P1215" s="51"/>
      <c r="Q1215" s="51"/>
      <c r="R1215" s="51"/>
      <c r="S1215" s="51"/>
      <c r="T1215" s="51"/>
      <c r="U1215" s="51"/>
      <c r="V1215" s="51"/>
      <c r="W1215" s="51"/>
      <c r="X1215" s="51"/>
      <c r="Y1215" s="51"/>
      <c r="Z1215" s="51"/>
      <c r="AA1215" s="51"/>
      <c r="AB1215" s="51"/>
      <c r="AC1215" s="51"/>
      <c r="AD1215" s="51"/>
      <c r="AE1215" s="51"/>
    </row>
    <row r="1216">
      <c r="A1216" s="45" t="s">
        <v>1229</v>
      </c>
      <c r="B1216" s="45" t="s">
        <v>1230</v>
      </c>
      <c r="C1216" s="11" t="s">
        <v>1231</v>
      </c>
      <c r="D1216" s="25" t="s">
        <v>257</v>
      </c>
      <c r="E1216" s="45" t="s">
        <v>1053</v>
      </c>
      <c r="F1216" s="127">
        <v>1996.0</v>
      </c>
      <c r="G1216" s="116">
        <v>28811.0</v>
      </c>
      <c r="H1216" s="116">
        <f t="shared" ref="H1216:I1216" si="928">F1216-F1215</f>
        <v>3</v>
      </c>
      <c r="I1216" s="116">
        <f t="shared" si="928"/>
        <v>23701</v>
      </c>
      <c r="J1216" s="158">
        <f t="shared" si="929"/>
        <v>4.63816047</v>
      </c>
      <c r="K1216" s="66">
        <f t="shared" si="930"/>
        <v>1.54605349</v>
      </c>
      <c r="L1216" s="29" t="s">
        <v>939</v>
      </c>
      <c r="M1216" s="51"/>
      <c r="N1216" s="51"/>
      <c r="O1216" s="51"/>
      <c r="P1216" s="51"/>
      <c r="Q1216" s="51"/>
      <c r="R1216" s="51"/>
      <c r="S1216" s="51"/>
      <c r="T1216" s="51"/>
      <c r="U1216" s="51"/>
      <c r="V1216" s="51"/>
      <c r="W1216" s="51"/>
      <c r="X1216" s="51"/>
      <c r="Y1216" s="51"/>
      <c r="Z1216" s="51"/>
      <c r="AA1216" s="51"/>
      <c r="AB1216" s="51"/>
      <c r="AC1216" s="51"/>
      <c r="AD1216" s="51"/>
      <c r="AE1216" s="51"/>
    </row>
    <row r="1217">
      <c r="A1217" s="45" t="s">
        <v>1229</v>
      </c>
      <c r="B1217" s="45" t="s">
        <v>1230</v>
      </c>
      <c r="C1217" s="11" t="s">
        <v>1231</v>
      </c>
      <c r="D1217" s="25" t="s">
        <v>257</v>
      </c>
      <c r="E1217" s="45" t="s">
        <v>1053</v>
      </c>
      <c r="F1217" s="127">
        <v>2001.0</v>
      </c>
      <c r="G1217" s="116">
        <v>18124.0</v>
      </c>
      <c r="H1217" s="116">
        <f t="shared" ref="H1217:I1217" si="931">F1217-F1216</f>
        <v>5</v>
      </c>
      <c r="I1217" s="116">
        <f t="shared" si="931"/>
        <v>-10687</v>
      </c>
      <c r="J1217" s="158">
        <f t="shared" si="929"/>
        <v>-0.3709347124</v>
      </c>
      <c r="K1217" s="66">
        <f t="shared" si="930"/>
        <v>-0.07418694249</v>
      </c>
      <c r="L1217" s="29" t="s">
        <v>939</v>
      </c>
      <c r="M1217" s="51"/>
      <c r="N1217" s="51"/>
      <c r="O1217" s="51"/>
      <c r="P1217" s="51"/>
      <c r="Q1217" s="51"/>
      <c r="R1217" s="51"/>
      <c r="S1217" s="51"/>
      <c r="T1217" s="51"/>
      <c r="U1217" s="51"/>
      <c r="V1217" s="51"/>
      <c r="W1217" s="51"/>
      <c r="X1217" s="51"/>
      <c r="Y1217" s="51"/>
      <c r="Z1217" s="51"/>
      <c r="AA1217" s="51"/>
      <c r="AB1217" s="51"/>
      <c r="AC1217" s="51"/>
      <c r="AD1217" s="51"/>
      <c r="AE1217" s="51"/>
    </row>
    <row r="1218">
      <c r="A1218" s="45" t="s">
        <v>1229</v>
      </c>
      <c r="B1218" s="45" t="s">
        <v>1230</v>
      </c>
      <c r="C1218" s="11" t="s">
        <v>1231</v>
      </c>
      <c r="D1218" s="25" t="s">
        <v>257</v>
      </c>
      <c r="E1218" s="45" t="s">
        <v>1053</v>
      </c>
      <c r="F1218" s="127">
        <v>2005.0</v>
      </c>
      <c r="G1218" s="116">
        <v>42317.0</v>
      </c>
      <c r="H1218" s="116">
        <f t="shared" ref="H1218:I1218" si="932">F1218-F1217</f>
        <v>4</v>
      </c>
      <c r="I1218" s="116">
        <f t="shared" si="932"/>
        <v>24193</v>
      </c>
      <c r="J1218" s="158">
        <f t="shared" si="929"/>
        <v>1.334859854</v>
      </c>
      <c r="K1218" s="66">
        <f t="shared" si="930"/>
        <v>0.3337149636</v>
      </c>
      <c r="L1218" s="29" t="s">
        <v>939</v>
      </c>
      <c r="M1218" s="51"/>
      <c r="N1218" s="51"/>
      <c r="O1218" s="51"/>
      <c r="P1218" s="51"/>
      <c r="Q1218" s="51"/>
      <c r="R1218" s="51"/>
      <c r="S1218" s="51"/>
      <c r="T1218" s="51"/>
      <c r="U1218" s="51"/>
      <c r="V1218" s="51"/>
      <c r="W1218" s="51"/>
      <c r="X1218" s="51"/>
      <c r="Y1218" s="51"/>
      <c r="Z1218" s="51"/>
      <c r="AA1218" s="51"/>
      <c r="AB1218" s="51"/>
      <c r="AC1218" s="51"/>
      <c r="AD1218" s="51"/>
      <c r="AE1218" s="51"/>
    </row>
    <row r="1219">
      <c r="A1219" s="45" t="s">
        <v>1229</v>
      </c>
      <c r="B1219" s="45" t="s">
        <v>1230</v>
      </c>
      <c r="C1219" s="11" t="s">
        <v>1231</v>
      </c>
      <c r="D1219" s="25" t="s">
        <v>257</v>
      </c>
      <c r="E1219" s="45" t="s">
        <v>1053</v>
      </c>
      <c r="F1219" s="127">
        <v>2008.0</v>
      </c>
      <c r="G1219" s="116">
        <v>12958.0</v>
      </c>
      <c r="H1219" s="116">
        <f t="shared" ref="H1219:I1219" si="933">F1219-F1218</f>
        <v>3</v>
      </c>
      <c r="I1219" s="116">
        <f t="shared" si="933"/>
        <v>-29359</v>
      </c>
      <c r="J1219" s="158">
        <f t="shared" si="929"/>
        <v>-0.6937873668</v>
      </c>
      <c r="K1219" s="66">
        <f t="shared" si="930"/>
        <v>-0.2312624556</v>
      </c>
      <c r="L1219" s="29" t="s">
        <v>939</v>
      </c>
      <c r="M1219" s="51"/>
      <c r="N1219" s="51"/>
      <c r="O1219" s="51"/>
      <c r="P1219" s="51"/>
      <c r="Q1219" s="51"/>
      <c r="R1219" s="51"/>
      <c r="S1219" s="51"/>
      <c r="T1219" s="51"/>
      <c r="U1219" s="51"/>
      <c r="V1219" s="51"/>
      <c r="W1219" s="51"/>
      <c r="X1219" s="51"/>
      <c r="Y1219" s="51"/>
      <c r="Z1219" s="51"/>
      <c r="AA1219" s="51"/>
      <c r="AB1219" s="51"/>
      <c r="AC1219" s="51"/>
      <c r="AD1219" s="51"/>
      <c r="AE1219" s="51"/>
    </row>
    <row r="1220">
      <c r="A1220" s="45" t="s">
        <v>1229</v>
      </c>
      <c r="B1220" s="45" t="s">
        <v>1230</v>
      </c>
      <c r="C1220" s="11" t="s">
        <v>1231</v>
      </c>
      <c r="D1220" s="25" t="s">
        <v>257</v>
      </c>
      <c r="E1220" s="45" t="s">
        <v>1053</v>
      </c>
      <c r="F1220" s="127">
        <v>2014.0</v>
      </c>
      <c r="G1220" s="116">
        <v>55370.0</v>
      </c>
      <c r="H1220" s="116">
        <f t="shared" ref="H1220:I1220" si="934">F1220-F1219</f>
        <v>6</v>
      </c>
      <c r="I1220" s="116">
        <f t="shared" si="934"/>
        <v>42412</v>
      </c>
      <c r="J1220" s="158">
        <f t="shared" si="929"/>
        <v>3.273035962</v>
      </c>
      <c r="K1220" s="66">
        <f t="shared" si="930"/>
        <v>0.5455059937</v>
      </c>
      <c r="L1220" s="29" t="s">
        <v>939</v>
      </c>
      <c r="M1220" s="51"/>
      <c r="N1220" s="51"/>
      <c r="O1220" s="51"/>
      <c r="P1220" s="51"/>
      <c r="Q1220" s="51"/>
      <c r="R1220" s="51"/>
      <c r="S1220" s="51"/>
      <c r="T1220" s="51"/>
      <c r="U1220" s="51"/>
      <c r="V1220" s="51"/>
      <c r="W1220" s="51"/>
      <c r="X1220" s="51"/>
      <c r="Y1220" s="51"/>
      <c r="Z1220" s="51"/>
      <c r="AA1220" s="51"/>
      <c r="AB1220" s="51"/>
      <c r="AC1220" s="51"/>
      <c r="AD1220" s="51"/>
      <c r="AE1220" s="51"/>
    </row>
    <row r="1221">
      <c r="A1221" s="45" t="s">
        <v>1229</v>
      </c>
      <c r="B1221" s="11" t="s">
        <v>1230</v>
      </c>
      <c r="C1221" s="11" t="s">
        <v>1231</v>
      </c>
      <c r="D1221" s="11" t="s">
        <v>157</v>
      </c>
      <c r="E1221" s="11" t="s">
        <v>158</v>
      </c>
      <c r="F1221" s="11">
        <v>1996.0</v>
      </c>
      <c r="G1221" s="40">
        <v>33893.0</v>
      </c>
      <c r="H1221" s="40" t="s">
        <v>188</v>
      </c>
      <c r="I1221" s="40" t="s">
        <v>188</v>
      </c>
      <c r="J1221" s="73" t="s">
        <v>188</v>
      </c>
      <c r="K1221" s="66" t="s">
        <v>188</v>
      </c>
      <c r="L1221" s="42" t="s">
        <v>160</v>
      </c>
    </row>
    <row r="1222">
      <c r="A1222" s="45" t="s">
        <v>1229</v>
      </c>
      <c r="B1222" s="11" t="s">
        <v>1230</v>
      </c>
      <c r="C1222" s="11" t="s">
        <v>1231</v>
      </c>
      <c r="D1222" s="11" t="s">
        <v>157</v>
      </c>
      <c r="E1222" s="11" t="s">
        <v>158</v>
      </c>
      <c r="F1222" s="11">
        <v>2001.0</v>
      </c>
      <c r="G1222" s="40">
        <v>39697.0</v>
      </c>
      <c r="H1222" s="40">
        <f t="shared" ref="H1222:I1222" si="935">F1222-F1221</f>
        <v>5</v>
      </c>
      <c r="I1222" s="40">
        <f t="shared" si="935"/>
        <v>5804</v>
      </c>
      <c r="J1222" s="73">
        <f t="shared" ref="J1222:J1226" si="937">I1222/G1221</f>
        <v>0.1712447998</v>
      </c>
      <c r="K1222" s="66">
        <f t="shared" ref="K1222:K1226" si="938">J1222/H1222</f>
        <v>0.03424895996</v>
      </c>
      <c r="L1222" s="42" t="s">
        <v>160</v>
      </c>
    </row>
    <row r="1223">
      <c r="A1223" s="45" t="s">
        <v>1229</v>
      </c>
      <c r="B1223" s="11" t="s">
        <v>1230</v>
      </c>
      <c r="C1223" s="11" t="s">
        <v>1231</v>
      </c>
      <c r="D1223" s="11" t="s">
        <v>157</v>
      </c>
      <c r="E1223" s="11" t="s">
        <v>158</v>
      </c>
      <c r="F1223" s="11">
        <v>2005.0</v>
      </c>
      <c r="G1223" s="40">
        <v>27370.0</v>
      </c>
      <c r="H1223" s="40">
        <f t="shared" ref="H1223:I1223" si="936">F1223-F1222</f>
        <v>4</v>
      </c>
      <c r="I1223" s="40">
        <f t="shared" si="936"/>
        <v>-12327</v>
      </c>
      <c r="J1223" s="73">
        <f t="shared" si="937"/>
        <v>-0.3105272439</v>
      </c>
      <c r="K1223" s="66">
        <f t="shared" si="938"/>
        <v>-0.07763181097</v>
      </c>
      <c r="L1223" s="42" t="s">
        <v>160</v>
      </c>
    </row>
    <row r="1224">
      <c r="A1224" s="45" t="s">
        <v>1229</v>
      </c>
      <c r="B1224" s="11" t="s">
        <v>1230</v>
      </c>
      <c r="C1224" s="11" t="s">
        <v>1231</v>
      </c>
      <c r="D1224" s="11" t="s">
        <v>157</v>
      </c>
      <c r="E1224" s="11" t="s">
        <v>158</v>
      </c>
      <c r="F1224" s="11">
        <v>2008.0</v>
      </c>
      <c r="G1224" s="40">
        <v>42767.0</v>
      </c>
      <c r="H1224" s="40">
        <f t="shared" ref="H1224:I1224" si="939">F1224-F1223</f>
        <v>3</v>
      </c>
      <c r="I1224" s="40">
        <f t="shared" si="939"/>
        <v>15397</v>
      </c>
      <c r="J1224" s="73">
        <f t="shared" si="937"/>
        <v>0.5625502375</v>
      </c>
      <c r="K1224" s="66">
        <f t="shared" si="938"/>
        <v>0.1875167458</v>
      </c>
      <c r="L1224" s="42" t="s">
        <v>160</v>
      </c>
    </row>
    <row r="1225">
      <c r="A1225" s="45" t="s">
        <v>1229</v>
      </c>
      <c r="B1225" s="11" t="s">
        <v>1230</v>
      </c>
      <c r="C1225" s="11" t="s">
        <v>1231</v>
      </c>
      <c r="D1225" s="11" t="s">
        <v>157</v>
      </c>
      <c r="E1225" s="11" t="s">
        <v>158</v>
      </c>
      <c r="F1225" s="11">
        <v>2014.0</v>
      </c>
      <c r="G1225" s="40">
        <v>18031.0</v>
      </c>
      <c r="H1225" s="40">
        <f t="shared" ref="H1225:I1225" si="940">F1225-F1224</f>
        <v>6</v>
      </c>
      <c r="I1225" s="40">
        <f t="shared" si="940"/>
        <v>-24736</v>
      </c>
      <c r="J1225" s="73">
        <f t="shared" si="937"/>
        <v>-0.57838988</v>
      </c>
      <c r="K1225" s="66">
        <f t="shared" si="938"/>
        <v>-0.09639831334</v>
      </c>
      <c r="L1225" s="42" t="s">
        <v>160</v>
      </c>
    </row>
    <row r="1226">
      <c r="A1226" s="45" t="s">
        <v>1229</v>
      </c>
      <c r="B1226" s="11" t="s">
        <v>1230</v>
      </c>
      <c r="C1226" s="11" t="s">
        <v>1231</v>
      </c>
      <c r="D1226" s="11" t="s">
        <v>157</v>
      </c>
      <c r="E1226" s="11" t="s">
        <v>158</v>
      </c>
      <c r="F1226" s="11">
        <v>2018.0</v>
      </c>
      <c r="G1226" s="40">
        <v>29285.0</v>
      </c>
      <c r="H1226" s="40">
        <f t="shared" ref="H1226:I1226" si="941">F1226-F1225</f>
        <v>4</v>
      </c>
      <c r="I1226" s="40">
        <f t="shared" si="941"/>
        <v>11254</v>
      </c>
      <c r="J1226" s="73">
        <f t="shared" si="937"/>
        <v>0.6241473019</v>
      </c>
      <c r="K1226" s="66">
        <f t="shared" si="938"/>
        <v>0.1560368255</v>
      </c>
      <c r="L1226" s="42" t="s">
        <v>160</v>
      </c>
    </row>
    <row r="1227">
      <c r="A1227" s="59" t="s">
        <v>1235</v>
      </c>
      <c r="B1227" s="59" t="s">
        <v>1236</v>
      </c>
      <c r="C1227" s="11" t="s">
        <v>1237</v>
      </c>
      <c r="D1227" s="59" t="s">
        <v>313</v>
      </c>
      <c r="E1227" s="59" t="s">
        <v>74</v>
      </c>
      <c r="F1227" s="105">
        <v>1989.0</v>
      </c>
      <c r="G1227" s="89">
        <v>195.0</v>
      </c>
      <c r="H1227" s="89" t="s">
        <v>188</v>
      </c>
      <c r="I1227" s="89" t="s">
        <v>188</v>
      </c>
      <c r="J1227" s="97" t="s">
        <v>188</v>
      </c>
      <c r="K1227" s="66" t="s">
        <v>188</v>
      </c>
      <c r="L1227" s="106" t="s">
        <v>939</v>
      </c>
      <c r="M1227" s="54"/>
      <c r="N1227" s="54"/>
      <c r="O1227" s="54"/>
      <c r="P1227" s="54"/>
      <c r="Q1227" s="54"/>
      <c r="R1227" s="54"/>
      <c r="S1227" s="54"/>
      <c r="T1227" s="54"/>
      <c r="U1227" s="54"/>
      <c r="V1227" s="54"/>
      <c r="W1227" s="54"/>
      <c r="X1227" s="54"/>
      <c r="Y1227" s="54"/>
      <c r="Z1227" s="54"/>
      <c r="AA1227" s="54"/>
      <c r="AB1227" s="54"/>
      <c r="AC1227" s="54"/>
      <c r="AD1227" s="54"/>
      <c r="AE1227" s="54"/>
    </row>
    <row r="1228">
      <c r="A1228" s="59" t="s">
        <v>1235</v>
      </c>
      <c r="B1228" s="59" t="s">
        <v>1236</v>
      </c>
      <c r="C1228" s="11" t="s">
        <v>1237</v>
      </c>
      <c r="D1228" s="59" t="s">
        <v>313</v>
      </c>
      <c r="E1228" s="59" t="s">
        <v>74</v>
      </c>
      <c r="F1228" s="105">
        <v>1990.0</v>
      </c>
      <c r="G1228" s="89">
        <v>188.0</v>
      </c>
      <c r="H1228" s="89">
        <f t="shared" ref="H1228:I1228" si="942">F1228-F1227</f>
        <v>1</v>
      </c>
      <c r="I1228" s="89">
        <f t="shared" si="942"/>
        <v>-7</v>
      </c>
      <c r="J1228" s="97">
        <f t="shared" ref="J1228:J1254" si="944">I1228/G1227</f>
        <v>-0.0358974359</v>
      </c>
      <c r="K1228" s="66">
        <f t="shared" ref="K1228:K1254" si="945">J1228/H1228</f>
        <v>-0.0358974359</v>
      </c>
      <c r="L1228" s="106" t="s">
        <v>939</v>
      </c>
      <c r="M1228" s="54"/>
      <c r="N1228" s="54"/>
      <c r="O1228" s="54"/>
      <c r="P1228" s="54"/>
      <c r="Q1228" s="54"/>
      <c r="R1228" s="54"/>
      <c r="S1228" s="54"/>
      <c r="T1228" s="54"/>
      <c r="U1228" s="54"/>
      <c r="V1228" s="54"/>
      <c r="W1228" s="54"/>
      <c r="X1228" s="54"/>
      <c r="Y1228" s="54"/>
      <c r="Z1228" s="54"/>
      <c r="AA1228" s="54"/>
      <c r="AB1228" s="54"/>
      <c r="AC1228" s="54"/>
      <c r="AD1228" s="54"/>
      <c r="AE1228" s="54"/>
    </row>
    <row r="1229">
      <c r="A1229" s="59" t="s">
        <v>1235</v>
      </c>
      <c r="B1229" s="59" t="s">
        <v>1236</v>
      </c>
      <c r="C1229" s="11" t="s">
        <v>1237</v>
      </c>
      <c r="D1229" s="59" t="s">
        <v>313</v>
      </c>
      <c r="E1229" s="59" t="s">
        <v>74</v>
      </c>
      <c r="F1229" s="105">
        <v>1991.0</v>
      </c>
      <c r="G1229" s="89">
        <v>262.0</v>
      </c>
      <c r="H1229" s="89">
        <f t="shared" ref="H1229:I1229" si="943">F1229-F1228</f>
        <v>1</v>
      </c>
      <c r="I1229" s="89">
        <f t="shared" si="943"/>
        <v>74</v>
      </c>
      <c r="J1229" s="97">
        <f t="shared" si="944"/>
        <v>0.3936170213</v>
      </c>
      <c r="K1229" s="66">
        <f t="shared" si="945"/>
        <v>0.3936170213</v>
      </c>
      <c r="L1229" s="106" t="s">
        <v>939</v>
      </c>
      <c r="M1229" s="54"/>
      <c r="N1229" s="54"/>
      <c r="O1229" s="54"/>
      <c r="P1229" s="54"/>
      <c r="Q1229" s="54"/>
      <c r="R1229" s="54"/>
      <c r="S1229" s="54"/>
      <c r="T1229" s="54"/>
      <c r="U1229" s="54"/>
      <c r="V1229" s="54"/>
      <c r="W1229" s="54"/>
      <c r="X1229" s="54"/>
      <c r="Y1229" s="54"/>
      <c r="Z1229" s="54"/>
      <c r="AA1229" s="54"/>
      <c r="AB1229" s="54"/>
      <c r="AC1229" s="54"/>
      <c r="AD1229" s="54"/>
      <c r="AE1229" s="54"/>
    </row>
    <row r="1230">
      <c r="A1230" s="59" t="s">
        <v>1235</v>
      </c>
      <c r="B1230" s="59" t="s">
        <v>1236</v>
      </c>
      <c r="C1230" s="11" t="s">
        <v>1237</v>
      </c>
      <c r="D1230" s="59" t="s">
        <v>313</v>
      </c>
      <c r="E1230" s="59" t="s">
        <v>74</v>
      </c>
      <c r="F1230" s="105">
        <v>1992.0</v>
      </c>
      <c r="G1230" s="89">
        <v>296.0</v>
      </c>
      <c r="H1230" s="89">
        <f t="shared" ref="H1230:I1230" si="946">F1230-F1229</f>
        <v>1</v>
      </c>
      <c r="I1230" s="89">
        <f t="shared" si="946"/>
        <v>34</v>
      </c>
      <c r="J1230" s="97">
        <f t="shared" si="944"/>
        <v>0.1297709924</v>
      </c>
      <c r="K1230" s="66">
        <f t="shared" si="945"/>
        <v>0.1297709924</v>
      </c>
      <c r="L1230" s="106" t="s">
        <v>939</v>
      </c>
      <c r="M1230" s="54"/>
      <c r="N1230" s="54"/>
      <c r="O1230" s="54"/>
      <c r="P1230" s="54"/>
      <c r="Q1230" s="54"/>
      <c r="R1230" s="54"/>
      <c r="S1230" s="54"/>
      <c r="T1230" s="54"/>
      <c r="U1230" s="54"/>
      <c r="V1230" s="54"/>
      <c r="W1230" s="54"/>
      <c r="X1230" s="54"/>
      <c r="Y1230" s="54"/>
      <c r="Z1230" s="54"/>
      <c r="AA1230" s="54"/>
      <c r="AB1230" s="54"/>
      <c r="AC1230" s="54"/>
      <c r="AD1230" s="54"/>
      <c r="AE1230" s="54"/>
    </row>
    <row r="1231">
      <c r="A1231" s="59" t="s">
        <v>1235</v>
      </c>
      <c r="B1231" s="59" t="s">
        <v>1236</v>
      </c>
      <c r="C1231" s="11" t="s">
        <v>1237</v>
      </c>
      <c r="D1231" s="59" t="s">
        <v>313</v>
      </c>
      <c r="E1231" s="59" t="s">
        <v>74</v>
      </c>
      <c r="F1231" s="105">
        <v>1993.0</v>
      </c>
      <c r="G1231" s="89">
        <v>289.0</v>
      </c>
      <c r="H1231" s="89">
        <f t="shared" ref="H1231:I1231" si="947">F1231-F1230</f>
        <v>1</v>
      </c>
      <c r="I1231" s="89">
        <f t="shared" si="947"/>
        <v>-7</v>
      </c>
      <c r="J1231" s="97">
        <f t="shared" si="944"/>
        <v>-0.02364864865</v>
      </c>
      <c r="K1231" s="66">
        <f t="shared" si="945"/>
        <v>-0.02364864865</v>
      </c>
      <c r="L1231" s="106" t="s">
        <v>939</v>
      </c>
      <c r="M1231" s="54"/>
      <c r="N1231" s="54"/>
      <c r="O1231" s="54"/>
      <c r="P1231" s="54"/>
      <c r="Q1231" s="54"/>
      <c r="R1231" s="54"/>
      <c r="S1231" s="54"/>
      <c r="T1231" s="54"/>
      <c r="U1231" s="54"/>
      <c r="V1231" s="54"/>
      <c r="W1231" s="54"/>
      <c r="X1231" s="54"/>
      <c r="Y1231" s="54"/>
      <c r="Z1231" s="54"/>
      <c r="AA1231" s="54"/>
      <c r="AB1231" s="54"/>
      <c r="AC1231" s="54"/>
      <c r="AD1231" s="54"/>
      <c r="AE1231" s="54"/>
    </row>
    <row r="1232">
      <c r="A1232" s="59" t="s">
        <v>1235</v>
      </c>
      <c r="B1232" s="59" t="s">
        <v>1236</v>
      </c>
      <c r="C1232" s="11" t="s">
        <v>1237</v>
      </c>
      <c r="D1232" s="59" t="s">
        <v>313</v>
      </c>
      <c r="E1232" s="59" t="s">
        <v>74</v>
      </c>
      <c r="F1232" s="105">
        <v>1994.0</v>
      </c>
      <c r="G1232" s="89">
        <v>336.0</v>
      </c>
      <c r="H1232" s="89">
        <f t="shared" ref="H1232:I1232" si="948">F1232-F1231</f>
        <v>1</v>
      </c>
      <c r="I1232" s="89">
        <f t="shared" si="948"/>
        <v>47</v>
      </c>
      <c r="J1232" s="97">
        <f t="shared" si="944"/>
        <v>0.1626297578</v>
      </c>
      <c r="K1232" s="66">
        <f t="shared" si="945"/>
        <v>0.1626297578</v>
      </c>
      <c r="L1232" s="106" t="s">
        <v>939</v>
      </c>
      <c r="M1232" s="54"/>
      <c r="N1232" s="54"/>
      <c r="O1232" s="54"/>
      <c r="P1232" s="54"/>
      <c r="Q1232" s="54"/>
      <c r="R1232" s="54"/>
      <c r="S1232" s="54"/>
      <c r="T1232" s="54"/>
      <c r="U1232" s="54"/>
      <c r="V1232" s="54"/>
      <c r="W1232" s="54"/>
      <c r="X1232" s="54"/>
      <c r="Y1232" s="54"/>
      <c r="Z1232" s="54"/>
      <c r="AA1232" s="54"/>
      <c r="AB1232" s="54"/>
      <c r="AC1232" s="54"/>
      <c r="AD1232" s="54"/>
      <c r="AE1232" s="54"/>
    </row>
    <row r="1233">
      <c r="A1233" s="59" t="s">
        <v>1235</v>
      </c>
      <c r="B1233" s="59" t="s">
        <v>1236</v>
      </c>
      <c r="C1233" s="11" t="s">
        <v>1237</v>
      </c>
      <c r="D1233" s="59" t="s">
        <v>313</v>
      </c>
      <c r="E1233" s="59" t="s">
        <v>74</v>
      </c>
      <c r="F1233" s="105">
        <v>1995.0</v>
      </c>
      <c r="G1233" s="89">
        <v>376.0</v>
      </c>
      <c r="H1233" s="89">
        <f t="shared" ref="H1233:I1233" si="949">F1233-F1232</f>
        <v>1</v>
      </c>
      <c r="I1233" s="89">
        <f t="shared" si="949"/>
        <v>40</v>
      </c>
      <c r="J1233" s="97">
        <f t="shared" si="944"/>
        <v>0.119047619</v>
      </c>
      <c r="K1233" s="66">
        <f t="shared" si="945"/>
        <v>0.119047619</v>
      </c>
      <c r="L1233" s="106" t="s">
        <v>939</v>
      </c>
      <c r="M1233" s="54"/>
      <c r="N1233" s="54"/>
      <c r="O1233" s="54"/>
      <c r="P1233" s="54"/>
      <c r="Q1233" s="54"/>
      <c r="R1233" s="54"/>
      <c r="S1233" s="54"/>
      <c r="T1233" s="54"/>
      <c r="U1233" s="54"/>
      <c r="V1233" s="54"/>
      <c r="W1233" s="54"/>
      <c r="X1233" s="54"/>
      <c r="Y1233" s="54"/>
      <c r="Z1233" s="54"/>
      <c r="AA1233" s="54"/>
      <c r="AB1233" s="54"/>
      <c r="AC1233" s="54"/>
      <c r="AD1233" s="54"/>
      <c r="AE1233" s="54"/>
    </row>
    <row r="1234">
      <c r="A1234" s="59" t="s">
        <v>1235</v>
      </c>
      <c r="B1234" s="59" t="s">
        <v>1236</v>
      </c>
      <c r="C1234" s="11" t="s">
        <v>1237</v>
      </c>
      <c r="D1234" s="59" t="s">
        <v>313</v>
      </c>
      <c r="E1234" s="59" t="s">
        <v>74</v>
      </c>
      <c r="F1234" s="105">
        <v>1996.0</v>
      </c>
      <c r="G1234" s="89">
        <v>410.0</v>
      </c>
      <c r="H1234" s="89">
        <f t="shared" ref="H1234:I1234" si="950">F1234-F1233</f>
        <v>1</v>
      </c>
      <c r="I1234" s="89">
        <f t="shared" si="950"/>
        <v>34</v>
      </c>
      <c r="J1234" s="97">
        <f t="shared" si="944"/>
        <v>0.09042553191</v>
      </c>
      <c r="K1234" s="66">
        <f t="shared" si="945"/>
        <v>0.09042553191</v>
      </c>
      <c r="L1234" s="106" t="s">
        <v>939</v>
      </c>
      <c r="M1234" s="54"/>
      <c r="N1234" s="54"/>
      <c r="O1234" s="54"/>
      <c r="P1234" s="54"/>
      <c r="Q1234" s="54"/>
      <c r="R1234" s="54"/>
      <c r="S1234" s="54"/>
      <c r="T1234" s="54"/>
      <c r="U1234" s="54"/>
      <c r="V1234" s="54"/>
      <c r="W1234" s="54"/>
      <c r="X1234" s="54"/>
      <c r="Y1234" s="54"/>
      <c r="Z1234" s="54"/>
      <c r="AA1234" s="54"/>
      <c r="AB1234" s="54"/>
      <c r="AC1234" s="54"/>
      <c r="AD1234" s="54"/>
      <c r="AE1234" s="54"/>
    </row>
    <row r="1235">
      <c r="A1235" s="59" t="s">
        <v>1235</v>
      </c>
      <c r="B1235" s="59" t="s">
        <v>1236</v>
      </c>
      <c r="C1235" s="11" t="s">
        <v>1237</v>
      </c>
      <c r="D1235" s="59" t="s">
        <v>313</v>
      </c>
      <c r="E1235" s="59" t="s">
        <v>74</v>
      </c>
      <c r="F1235" s="105">
        <v>1997.0</v>
      </c>
      <c r="G1235" s="89">
        <v>484.0</v>
      </c>
      <c r="H1235" s="89">
        <f t="shared" ref="H1235:I1235" si="951">F1235-F1234</f>
        <v>1</v>
      </c>
      <c r="I1235" s="89">
        <f t="shared" si="951"/>
        <v>74</v>
      </c>
      <c r="J1235" s="97">
        <f t="shared" si="944"/>
        <v>0.1804878049</v>
      </c>
      <c r="K1235" s="66">
        <f t="shared" si="945"/>
        <v>0.1804878049</v>
      </c>
      <c r="L1235" s="106" t="s">
        <v>939</v>
      </c>
      <c r="M1235" s="54"/>
      <c r="N1235" s="54"/>
      <c r="O1235" s="54"/>
      <c r="P1235" s="54"/>
      <c r="Q1235" s="54"/>
      <c r="R1235" s="54"/>
      <c r="S1235" s="54"/>
      <c r="T1235" s="54"/>
      <c r="U1235" s="54"/>
      <c r="V1235" s="54"/>
      <c r="W1235" s="54"/>
      <c r="X1235" s="54"/>
      <c r="Y1235" s="54"/>
      <c r="Z1235" s="54"/>
      <c r="AA1235" s="54"/>
      <c r="AB1235" s="54"/>
      <c r="AC1235" s="54"/>
      <c r="AD1235" s="54"/>
      <c r="AE1235" s="54"/>
    </row>
    <row r="1236">
      <c r="A1236" s="59" t="s">
        <v>1235</v>
      </c>
      <c r="B1236" s="59" t="s">
        <v>1236</v>
      </c>
      <c r="C1236" s="11" t="s">
        <v>1237</v>
      </c>
      <c r="D1236" s="59" t="s">
        <v>313</v>
      </c>
      <c r="E1236" s="59" t="s">
        <v>74</v>
      </c>
      <c r="F1236" s="105">
        <v>1998.0</v>
      </c>
      <c r="G1236" s="89">
        <v>424.0</v>
      </c>
      <c r="H1236" s="89">
        <f t="shared" ref="H1236:I1236" si="952">F1236-F1235</f>
        <v>1</v>
      </c>
      <c r="I1236" s="89">
        <f t="shared" si="952"/>
        <v>-60</v>
      </c>
      <c r="J1236" s="97">
        <f t="shared" si="944"/>
        <v>-0.1239669421</v>
      </c>
      <c r="K1236" s="66">
        <f t="shared" si="945"/>
        <v>-0.1239669421</v>
      </c>
      <c r="L1236" s="106" t="s">
        <v>939</v>
      </c>
      <c r="M1236" s="54"/>
      <c r="N1236" s="54"/>
      <c r="O1236" s="54"/>
      <c r="P1236" s="54"/>
      <c r="Q1236" s="54"/>
      <c r="R1236" s="54"/>
      <c r="S1236" s="54"/>
      <c r="T1236" s="54"/>
      <c r="U1236" s="54"/>
      <c r="V1236" s="54"/>
      <c r="W1236" s="54"/>
      <c r="X1236" s="54"/>
      <c r="Y1236" s="54"/>
      <c r="Z1236" s="54"/>
      <c r="AA1236" s="54"/>
      <c r="AB1236" s="54"/>
      <c r="AC1236" s="54"/>
      <c r="AD1236" s="54"/>
      <c r="AE1236" s="54"/>
    </row>
    <row r="1237">
      <c r="A1237" s="59" t="s">
        <v>1235</v>
      </c>
      <c r="B1237" s="59" t="s">
        <v>1236</v>
      </c>
      <c r="C1237" s="11" t="s">
        <v>1237</v>
      </c>
      <c r="D1237" s="59" t="s">
        <v>313</v>
      </c>
      <c r="E1237" s="59" t="s">
        <v>74</v>
      </c>
      <c r="F1237" s="105">
        <v>1999.0</v>
      </c>
      <c r="G1237" s="89">
        <v>591.0</v>
      </c>
      <c r="H1237" s="89">
        <f t="shared" ref="H1237:I1237" si="953">F1237-F1236</f>
        <v>1</v>
      </c>
      <c r="I1237" s="89">
        <f t="shared" si="953"/>
        <v>167</v>
      </c>
      <c r="J1237" s="97">
        <f t="shared" si="944"/>
        <v>0.3938679245</v>
      </c>
      <c r="K1237" s="66">
        <f t="shared" si="945"/>
        <v>0.3938679245</v>
      </c>
      <c r="L1237" s="106" t="s">
        <v>939</v>
      </c>
      <c r="M1237" s="54"/>
      <c r="N1237" s="54"/>
      <c r="O1237" s="54"/>
      <c r="P1237" s="54"/>
      <c r="Q1237" s="54"/>
      <c r="R1237" s="54"/>
      <c r="S1237" s="54"/>
      <c r="T1237" s="54"/>
      <c r="U1237" s="54"/>
      <c r="V1237" s="54"/>
      <c r="W1237" s="54"/>
      <c r="X1237" s="54"/>
      <c r="Y1237" s="54"/>
      <c r="Z1237" s="54"/>
      <c r="AA1237" s="54"/>
      <c r="AB1237" s="54"/>
      <c r="AC1237" s="54"/>
      <c r="AD1237" s="54"/>
      <c r="AE1237" s="54"/>
    </row>
    <row r="1238">
      <c r="A1238" s="59" t="s">
        <v>1235</v>
      </c>
      <c r="B1238" s="59" t="s">
        <v>1236</v>
      </c>
      <c r="C1238" s="11" t="s">
        <v>1237</v>
      </c>
      <c r="D1238" s="59" t="s">
        <v>313</v>
      </c>
      <c r="E1238" s="59" t="s">
        <v>74</v>
      </c>
      <c r="F1238" s="105">
        <v>2000.0</v>
      </c>
      <c r="G1238" s="89">
        <v>491.0</v>
      </c>
      <c r="H1238" s="89">
        <f t="shared" ref="H1238:I1238" si="954">F1238-F1237</f>
        <v>1</v>
      </c>
      <c r="I1238" s="89">
        <f t="shared" si="954"/>
        <v>-100</v>
      </c>
      <c r="J1238" s="97">
        <f t="shared" si="944"/>
        <v>-0.1692047377</v>
      </c>
      <c r="K1238" s="66">
        <f t="shared" si="945"/>
        <v>-0.1692047377</v>
      </c>
      <c r="L1238" s="106" t="s">
        <v>939</v>
      </c>
      <c r="M1238" s="54"/>
      <c r="N1238" s="54"/>
      <c r="O1238" s="54"/>
      <c r="P1238" s="54"/>
      <c r="Q1238" s="54"/>
      <c r="R1238" s="54"/>
      <c r="S1238" s="54"/>
      <c r="T1238" s="54"/>
      <c r="U1238" s="54"/>
      <c r="V1238" s="54"/>
      <c r="W1238" s="54"/>
      <c r="X1238" s="54"/>
      <c r="Y1238" s="54"/>
      <c r="Z1238" s="54"/>
      <c r="AA1238" s="54"/>
      <c r="AB1238" s="54"/>
      <c r="AC1238" s="54"/>
      <c r="AD1238" s="54"/>
      <c r="AE1238" s="54"/>
    </row>
    <row r="1239">
      <c r="A1239" s="59" t="s">
        <v>1235</v>
      </c>
      <c r="B1239" s="59" t="s">
        <v>1236</v>
      </c>
      <c r="C1239" s="11" t="s">
        <v>1237</v>
      </c>
      <c r="D1239" s="59" t="s">
        <v>313</v>
      </c>
      <c r="E1239" s="59" t="s">
        <v>74</v>
      </c>
      <c r="F1239" s="105">
        <v>2001.0</v>
      </c>
      <c r="G1239" s="89">
        <v>538.0</v>
      </c>
      <c r="H1239" s="89">
        <f t="shared" ref="H1239:I1239" si="955">F1239-F1238</f>
        <v>1</v>
      </c>
      <c r="I1239" s="89">
        <f t="shared" si="955"/>
        <v>47</v>
      </c>
      <c r="J1239" s="97">
        <f t="shared" si="944"/>
        <v>0.09572301426</v>
      </c>
      <c r="K1239" s="66">
        <f t="shared" si="945"/>
        <v>0.09572301426</v>
      </c>
      <c r="L1239" s="106" t="s">
        <v>939</v>
      </c>
      <c r="M1239" s="54"/>
      <c r="N1239" s="54"/>
      <c r="O1239" s="54"/>
      <c r="P1239" s="54"/>
      <c r="Q1239" s="54"/>
      <c r="R1239" s="54"/>
      <c r="S1239" s="54"/>
      <c r="T1239" s="54"/>
      <c r="U1239" s="54"/>
      <c r="V1239" s="54"/>
      <c r="W1239" s="54"/>
      <c r="X1239" s="54"/>
      <c r="Y1239" s="54"/>
      <c r="Z1239" s="54"/>
      <c r="AA1239" s="54"/>
      <c r="AB1239" s="54"/>
      <c r="AC1239" s="54"/>
      <c r="AD1239" s="54"/>
      <c r="AE1239" s="54"/>
    </row>
    <row r="1240">
      <c r="A1240" s="59" t="s">
        <v>1235</v>
      </c>
      <c r="B1240" s="59" t="s">
        <v>1236</v>
      </c>
      <c r="C1240" s="11" t="s">
        <v>1237</v>
      </c>
      <c r="D1240" s="59" t="s">
        <v>313</v>
      </c>
      <c r="E1240" s="59" t="s">
        <v>74</v>
      </c>
      <c r="F1240" s="105">
        <v>2002.0</v>
      </c>
      <c r="G1240" s="89">
        <v>532.0</v>
      </c>
      <c r="H1240" s="89">
        <f t="shared" ref="H1240:I1240" si="956">F1240-F1239</f>
        <v>1</v>
      </c>
      <c r="I1240" s="89">
        <f t="shared" si="956"/>
        <v>-6</v>
      </c>
      <c r="J1240" s="97">
        <f t="shared" si="944"/>
        <v>-0.01115241636</v>
      </c>
      <c r="K1240" s="66">
        <f t="shared" si="945"/>
        <v>-0.01115241636</v>
      </c>
      <c r="L1240" s="106" t="s">
        <v>939</v>
      </c>
      <c r="M1240" s="54"/>
      <c r="N1240" s="54"/>
      <c r="O1240" s="54"/>
      <c r="P1240" s="54"/>
      <c r="Q1240" s="54"/>
      <c r="R1240" s="54"/>
      <c r="S1240" s="54"/>
      <c r="T1240" s="54"/>
      <c r="U1240" s="54"/>
      <c r="V1240" s="54"/>
      <c r="W1240" s="54"/>
      <c r="X1240" s="54"/>
      <c r="Y1240" s="54"/>
      <c r="Z1240" s="54"/>
      <c r="AA1240" s="54"/>
      <c r="AB1240" s="54"/>
      <c r="AC1240" s="54"/>
      <c r="AD1240" s="54"/>
      <c r="AE1240" s="54"/>
    </row>
    <row r="1241">
      <c r="A1241" s="59" t="s">
        <v>1235</v>
      </c>
      <c r="B1241" s="59" t="s">
        <v>1236</v>
      </c>
      <c r="C1241" s="11" t="s">
        <v>1237</v>
      </c>
      <c r="D1241" s="59" t="s">
        <v>313</v>
      </c>
      <c r="E1241" s="59" t="s">
        <v>74</v>
      </c>
      <c r="F1241" s="105">
        <v>2003.0</v>
      </c>
      <c r="G1241" s="89">
        <v>666.0</v>
      </c>
      <c r="H1241" s="89">
        <f t="shared" ref="H1241:I1241" si="957">F1241-F1240</f>
        <v>1</v>
      </c>
      <c r="I1241" s="89">
        <f t="shared" si="957"/>
        <v>134</v>
      </c>
      <c r="J1241" s="97">
        <f t="shared" si="944"/>
        <v>0.2518796992</v>
      </c>
      <c r="K1241" s="66">
        <f t="shared" si="945"/>
        <v>0.2518796992</v>
      </c>
      <c r="L1241" s="106" t="s">
        <v>939</v>
      </c>
      <c r="M1241" s="54"/>
      <c r="N1241" s="54"/>
      <c r="O1241" s="54"/>
      <c r="P1241" s="54"/>
      <c r="Q1241" s="54"/>
      <c r="R1241" s="54"/>
      <c r="S1241" s="54"/>
      <c r="T1241" s="54"/>
      <c r="U1241" s="54"/>
      <c r="V1241" s="54"/>
      <c r="W1241" s="54"/>
      <c r="X1241" s="54"/>
      <c r="Y1241" s="54"/>
      <c r="Z1241" s="54"/>
      <c r="AA1241" s="54"/>
      <c r="AB1241" s="54"/>
      <c r="AC1241" s="54"/>
      <c r="AD1241" s="54"/>
      <c r="AE1241" s="54"/>
    </row>
    <row r="1242">
      <c r="A1242" s="59" t="s">
        <v>1235</v>
      </c>
      <c r="B1242" s="59" t="s">
        <v>1236</v>
      </c>
      <c r="C1242" s="11" t="s">
        <v>1237</v>
      </c>
      <c r="D1242" s="59" t="s">
        <v>313</v>
      </c>
      <c r="E1242" s="59" t="s">
        <v>74</v>
      </c>
      <c r="F1242" s="105">
        <v>2004.0</v>
      </c>
      <c r="G1242" s="89">
        <v>719.0</v>
      </c>
      <c r="H1242" s="89">
        <f t="shared" ref="H1242:I1242" si="958">F1242-F1241</f>
        <v>1</v>
      </c>
      <c r="I1242" s="89">
        <f t="shared" si="958"/>
        <v>53</v>
      </c>
      <c r="J1242" s="97">
        <f t="shared" si="944"/>
        <v>0.07957957958</v>
      </c>
      <c r="K1242" s="66">
        <f t="shared" si="945"/>
        <v>0.07957957958</v>
      </c>
      <c r="L1242" s="106" t="s">
        <v>939</v>
      </c>
      <c r="M1242" s="54"/>
      <c r="N1242" s="54"/>
      <c r="O1242" s="54"/>
      <c r="P1242" s="54"/>
      <c r="Q1242" s="54"/>
      <c r="R1242" s="54"/>
      <c r="S1242" s="54"/>
      <c r="T1242" s="54"/>
      <c r="U1242" s="54"/>
      <c r="V1242" s="54"/>
      <c r="W1242" s="54"/>
      <c r="X1242" s="54"/>
      <c r="Y1242" s="54"/>
      <c r="Z1242" s="54"/>
      <c r="AA1242" s="54"/>
      <c r="AB1242" s="54"/>
      <c r="AC1242" s="54"/>
      <c r="AD1242" s="54"/>
      <c r="AE1242" s="54"/>
    </row>
    <row r="1243">
      <c r="A1243" s="59" t="s">
        <v>1235</v>
      </c>
      <c r="B1243" s="59" t="s">
        <v>1236</v>
      </c>
      <c r="C1243" s="11" t="s">
        <v>1237</v>
      </c>
      <c r="D1243" s="59" t="s">
        <v>313</v>
      </c>
      <c r="E1243" s="59" t="s">
        <v>74</v>
      </c>
      <c r="F1243" s="105">
        <v>2005.0</v>
      </c>
      <c r="G1243" s="89">
        <v>800.0</v>
      </c>
      <c r="H1243" s="89">
        <f t="shared" ref="H1243:I1243" si="959">F1243-F1242</f>
        <v>1</v>
      </c>
      <c r="I1243" s="89">
        <f t="shared" si="959"/>
        <v>81</v>
      </c>
      <c r="J1243" s="97">
        <f t="shared" si="944"/>
        <v>0.1126564673</v>
      </c>
      <c r="K1243" s="66">
        <f t="shared" si="945"/>
        <v>0.1126564673</v>
      </c>
      <c r="L1243" s="106" t="s">
        <v>939</v>
      </c>
      <c r="M1243" s="54"/>
      <c r="N1243" s="54"/>
      <c r="O1243" s="54"/>
      <c r="P1243" s="54"/>
      <c r="Q1243" s="54"/>
      <c r="R1243" s="54"/>
      <c r="S1243" s="54"/>
      <c r="T1243" s="54"/>
      <c r="U1243" s="54"/>
      <c r="V1243" s="54"/>
      <c r="W1243" s="54"/>
      <c r="X1243" s="54"/>
      <c r="Y1243" s="54"/>
      <c r="Z1243" s="54"/>
      <c r="AA1243" s="54"/>
      <c r="AB1243" s="54"/>
      <c r="AC1243" s="54"/>
      <c r="AD1243" s="54"/>
      <c r="AE1243" s="54"/>
    </row>
    <row r="1244">
      <c r="A1244" s="59" t="s">
        <v>1235</v>
      </c>
      <c r="B1244" s="59" t="s">
        <v>1236</v>
      </c>
      <c r="C1244" s="11" t="s">
        <v>1237</v>
      </c>
      <c r="D1244" s="59" t="s">
        <v>313</v>
      </c>
      <c r="E1244" s="59" t="s">
        <v>74</v>
      </c>
      <c r="F1244" s="105">
        <v>2006.0</v>
      </c>
      <c r="G1244" s="89">
        <v>773.0</v>
      </c>
      <c r="H1244" s="89">
        <f t="shared" ref="H1244:I1244" si="960">F1244-F1243</f>
        <v>1</v>
      </c>
      <c r="I1244" s="89">
        <f t="shared" si="960"/>
        <v>-27</v>
      </c>
      <c r="J1244" s="97">
        <f t="shared" si="944"/>
        <v>-0.03375</v>
      </c>
      <c r="K1244" s="66">
        <f t="shared" si="945"/>
        <v>-0.03375</v>
      </c>
      <c r="L1244" s="106" t="s">
        <v>939</v>
      </c>
      <c r="M1244" s="54"/>
      <c r="N1244" s="54"/>
      <c r="O1244" s="54"/>
      <c r="P1244" s="54"/>
      <c r="Q1244" s="54"/>
      <c r="R1244" s="54"/>
      <c r="S1244" s="54"/>
      <c r="T1244" s="54"/>
      <c r="U1244" s="54"/>
      <c r="V1244" s="54"/>
      <c r="W1244" s="54"/>
      <c r="X1244" s="54"/>
      <c r="Y1244" s="54"/>
      <c r="Z1244" s="54"/>
      <c r="AA1244" s="54"/>
      <c r="AB1244" s="54"/>
      <c r="AC1244" s="54"/>
      <c r="AD1244" s="54"/>
      <c r="AE1244" s="54"/>
    </row>
    <row r="1245">
      <c r="A1245" s="59" t="s">
        <v>1235</v>
      </c>
      <c r="B1245" s="59" t="s">
        <v>1236</v>
      </c>
      <c r="C1245" s="11" t="s">
        <v>1237</v>
      </c>
      <c r="D1245" s="59" t="s">
        <v>313</v>
      </c>
      <c r="E1245" s="59" t="s">
        <v>74</v>
      </c>
      <c r="F1245" s="105">
        <v>2007.0</v>
      </c>
      <c r="G1245" s="89">
        <v>1115.0</v>
      </c>
      <c r="H1245" s="89">
        <f t="shared" ref="H1245:I1245" si="961">F1245-F1244</f>
        <v>1</v>
      </c>
      <c r="I1245" s="89">
        <f t="shared" si="961"/>
        <v>342</v>
      </c>
      <c r="J1245" s="97">
        <f t="shared" si="944"/>
        <v>0.4424320828</v>
      </c>
      <c r="K1245" s="66">
        <f t="shared" si="945"/>
        <v>0.4424320828</v>
      </c>
      <c r="L1245" s="106" t="s">
        <v>939</v>
      </c>
      <c r="M1245" s="54"/>
      <c r="N1245" s="54"/>
      <c r="O1245" s="54"/>
      <c r="P1245" s="54"/>
      <c r="Q1245" s="54"/>
      <c r="R1245" s="54"/>
      <c r="S1245" s="54"/>
      <c r="T1245" s="54"/>
      <c r="U1245" s="54"/>
      <c r="V1245" s="54"/>
      <c r="W1245" s="54"/>
      <c r="X1245" s="54"/>
      <c r="Y1245" s="54"/>
      <c r="Z1245" s="54"/>
      <c r="AA1245" s="54"/>
      <c r="AB1245" s="54"/>
      <c r="AC1245" s="54"/>
      <c r="AD1245" s="54"/>
      <c r="AE1245" s="54"/>
    </row>
    <row r="1246">
      <c r="A1246" s="59" t="s">
        <v>1235</v>
      </c>
      <c r="B1246" s="59" t="s">
        <v>1236</v>
      </c>
      <c r="C1246" s="11" t="s">
        <v>1237</v>
      </c>
      <c r="D1246" s="59" t="s">
        <v>313</v>
      </c>
      <c r="E1246" s="59" t="s">
        <v>74</v>
      </c>
      <c r="F1246" s="105">
        <v>2008.0</v>
      </c>
      <c r="G1246" s="89">
        <v>1061.0</v>
      </c>
      <c r="H1246" s="89">
        <f t="shared" ref="H1246:I1246" si="962">F1246-F1245</f>
        <v>1</v>
      </c>
      <c r="I1246" s="89">
        <f t="shared" si="962"/>
        <v>-54</v>
      </c>
      <c r="J1246" s="97">
        <f t="shared" si="944"/>
        <v>-0.04843049327</v>
      </c>
      <c r="K1246" s="66">
        <f t="shared" si="945"/>
        <v>-0.04843049327</v>
      </c>
      <c r="L1246" s="106" t="s">
        <v>939</v>
      </c>
      <c r="M1246" s="54"/>
      <c r="N1246" s="54"/>
      <c r="O1246" s="54"/>
      <c r="P1246" s="54"/>
      <c r="Q1246" s="54"/>
      <c r="R1246" s="54"/>
      <c r="S1246" s="54"/>
      <c r="T1246" s="54"/>
      <c r="U1246" s="54"/>
      <c r="V1246" s="54"/>
      <c r="W1246" s="54"/>
      <c r="X1246" s="54"/>
      <c r="Y1246" s="54"/>
      <c r="Z1246" s="54"/>
      <c r="AA1246" s="54"/>
      <c r="AB1246" s="54"/>
      <c r="AC1246" s="54"/>
      <c r="AD1246" s="54"/>
      <c r="AE1246" s="54"/>
    </row>
    <row r="1247">
      <c r="A1247" s="59" t="s">
        <v>1235</v>
      </c>
      <c r="B1247" s="59" t="s">
        <v>1236</v>
      </c>
      <c r="C1247" s="11" t="s">
        <v>1237</v>
      </c>
      <c r="D1247" s="59" t="s">
        <v>313</v>
      </c>
      <c r="E1247" s="59" t="s">
        <v>74</v>
      </c>
      <c r="F1247" s="105">
        <v>2009.0</v>
      </c>
      <c r="G1247" s="89">
        <v>1028.0</v>
      </c>
      <c r="H1247" s="89">
        <f t="shared" ref="H1247:I1247" si="963">F1247-F1246</f>
        <v>1</v>
      </c>
      <c r="I1247" s="89">
        <f t="shared" si="963"/>
        <v>-33</v>
      </c>
      <c r="J1247" s="97">
        <f t="shared" si="944"/>
        <v>-0.03110273327</v>
      </c>
      <c r="K1247" s="66">
        <f t="shared" si="945"/>
        <v>-0.03110273327</v>
      </c>
      <c r="L1247" s="106" t="s">
        <v>939</v>
      </c>
      <c r="M1247" s="54"/>
      <c r="N1247" s="54"/>
      <c r="O1247" s="54"/>
      <c r="P1247" s="54"/>
      <c r="Q1247" s="54"/>
      <c r="R1247" s="54"/>
      <c r="S1247" s="54"/>
      <c r="T1247" s="54"/>
      <c r="U1247" s="54"/>
      <c r="V1247" s="54"/>
      <c r="W1247" s="54"/>
      <c r="X1247" s="54"/>
      <c r="Y1247" s="54"/>
      <c r="Z1247" s="54"/>
      <c r="AA1247" s="54"/>
      <c r="AB1247" s="54"/>
      <c r="AC1247" s="54"/>
      <c r="AD1247" s="54"/>
      <c r="AE1247" s="54"/>
    </row>
    <row r="1248">
      <c r="A1248" s="59" t="s">
        <v>1235</v>
      </c>
      <c r="B1248" s="59" t="s">
        <v>1236</v>
      </c>
      <c r="C1248" s="11" t="s">
        <v>1237</v>
      </c>
      <c r="D1248" s="59" t="s">
        <v>313</v>
      </c>
      <c r="E1248" s="59" t="s">
        <v>74</v>
      </c>
      <c r="F1248" s="105">
        <v>2010.0</v>
      </c>
      <c r="G1248" s="89">
        <v>988.0</v>
      </c>
      <c r="H1248" s="89">
        <f t="shared" ref="H1248:I1248" si="964">F1248-F1247</f>
        <v>1</v>
      </c>
      <c r="I1248" s="89">
        <f t="shared" si="964"/>
        <v>-40</v>
      </c>
      <c r="J1248" s="97">
        <f t="shared" si="944"/>
        <v>-0.03891050584</v>
      </c>
      <c r="K1248" s="66">
        <f t="shared" si="945"/>
        <v>-0.03891050584</v>
      </c>
      <c r="L1248" s="106" t="s">
        <v>939</v>
      </c>
      <c r="M1248" s="54"/>
      <c r="N1248" s="54"/>
      <c r="O1248" s="54"/>
      <c r="P1248" s="54"/>
      <c r="Q1248" s="54"/>
      <c r="R1248" s="54"/>
      <c r="S1248" s="54"/>
      <c r="T1248" s="54"/>
      <c r="U1248" s="54"/>
      <c r="V1248" s="54"/>
      <c r="W1248" s="54"/>
      <c r="X1248" s="54"/>
      <c r="Y1248" s="54"/>
      <c r="Z1248" s="54"/>
      <c r="AA1248" s="54"/>
      <c r="AB1248" s="54"/>
      <c r="AC1248" s="54"/>
      <c r="AD1248" s="54"/>
      <c r="AE1248" s="54"/>
    </row>
    <row r="1249">
      <c r="A1249" s="59" t="s">
        <v>1235</v>
      </c>
      <c r="B1249" s="59" t="s">
        <v>1236</v>
      </c>
      <c r="C1249" s="11" t="s">
        <v>1237</v>
      </c>
      <c r="D1249" s="59" t="s">
        <v>313</v>
      </c>
      <c r="E1249" s="59" t="s">
        <v>74</v>
      </c>
      <c r="F1249" s="105">
        <v>2011.0</v>
      </c>
      <c r="G1249" s="89">
        <v>1142.0</v>
      </c>
      <c r="H1249" s="89">
        <f t="shared" ref="H1249:I1249" si="965">F1249-F1248</f>
        <v>1</v>
      </c>
      <c r="I1249" s="89">
        <f t="shared" si="965"/>
        <v>154</v>
      </c>
      <c r="J1249" s="97">
        <f t="shared" si="944"/>
        <v>0.1558704453</v>
      </c>
      <c r="K1249" s="66">
        <f t="shared" si="945"/>
        <v>0.1558704453</v>
      </c>
      <c r="L1249" s="106" t="s">
        <v>939</v>
      </c>
      <c r="M1249" s="54"/>
      <c r="N1249" s="54"/>
      <c r="O1249" s="54"/>
      <c r="P1249" s="54"/>
      <c r="Q1249" s="54"/>
      <c r="R1249" s="54"/>
      <c r="S1249" s="54"/>
      <c r="T1249" s="54"/>
      <c r="U1249" s="54"/>
      <c r="V1249" s="54"/>
      <c r="W1249" s="54"/>
      <c r="X1249" s="54"/>
      <c r="Y1249" s="54"/>
      <c r="Z1249" s="54"/>
      <c r="AA1249" s="54"/>
      <c r="AB1249" s="54"/>
      <c r="AC1249" s="54"/>
      <c r="AD1249" s="54"/>
      <c r="AE1249" s="54"/>
    </row>
    <row r="1250">
      <c r="A1250" s="59" t="s">
        <v>1235</v>
      </c>
      <c r="B1250" s="59" t="s">
        <v>1236</v>
      </c>
      <c r="C1250" s="11" t="s">
        <v>1237</v>
      </c>
      <c r="D1250" s="59" t="s">
        <v>313</v>
      </c>
      <c r="E1250" s="59" t="s">
        <v>74</v>
      </c>
      <c r="F1250" s="105">
        <v>2012.0</v>
      </c>
      <c r="G1250" s="89">
        <v>1089.0</v>
      </c>
      <c r="H1250" s="89">
        <f t="shared" ref="H1250:I1250" si="966">F1250-F1249</f>
        <v>1</v>
      </c>
      <c r="I1250" s="89">
        <f t="shared" si="966"/>
        <v>-53</v>
      </c>
      <c r="J1250" s="97">
        <f t="shared" si="944"/>
        <v>-0.04640980736</v>
      </c>
      <c r="K1250" s="66">
        <f t="shared" si="945"/>
        <v>-0.04640980736</v>
      </c>
      <c r="L1250" s="106" t="s">
        <v>939</v>
      </c>
      <c r="M1250" s="54"/>
      <c r="N1250" s="54"/>
      <c r="O1250" s="54"/>
      <c r="P1250" s="54"/>
      <c r="Q1250" s="54"/>
      <c r="R1250" s="54"/>
      <c r="S1250" s="54"/>
      <c r="T1250" s="54"/>
      <c r="U1250" s="54"/>
      <c r="V1250" s="54"/>
      <c r="W1250" s="54"/>
      <c r="X1250" s="54"/>
      <c r="Y1250" s="54"/>
      <c r="Z1250" s="54"/>
      <c r="AA1250" s="54"/>
      <c r="AB1250" s="54"/>
      <c r="AC1250" s="54"/>
      <c r="AD1250" s="54"/>
      <c r="AE1250" s="54"/>
    </row>
    <row r="1251">
      <c r="A1251" s="59" t="s">
        <v>1235</v>
      </c>
      <c r="B1251" s="59" t="s">
        <v>1236</v>
      </c>
      <c r="C1251" s="11" t="s">
        <v>1237</v>
      </c>
      <c r="D1251" s="59" t="s">
        <v>313</v>
      </c>
      <c r="E1251" s="59" t="s">
        <v>74</v>
      </c>
      <c r="F1251" s="105">
        <v>2013.0</v>
      </c>
      <c r="G1251" s="89">
        <v>1256.0</v>
      </c>
      <c r="H1251" s="89">
        <f t="shared" ref="H1251:I1251" si="967">F1251-F1250</f>
        <v>1</v>
      </c>
      <c r="I1251" s="89">
        <f t="shared" si="967"/>
        <v>167</v>
      </c>
      <c r="J1251" s="97">
        <f t="shared" si="944"/>
        <v>0.1533516988</v>
      </c>
      <c r="K1251" s="66">
        <f t="shared" si="945"/>
        <v>0.1533516988</v>
      </c>
      <c r="L1251" s="106" t="s">
        <v>939</v>
      </c>
      <c r="M1251" s="54"/>
      <c r="N1251" s="54"/>
      <c r="O1251" s="54"/>
      <c r="P1251" s="54"/>
      <c r="Q1251" s="54"/>
      <c r="R1251" s="54"/>
      <c r="S1251" s="54"/>
      <c r="T1251" s="54"/>
      <c r="U1251" s="54"/>
      <c r="V1251" s="54"/>
      <c r="W1251" s="54"/>
      <c r="X1251" s="54"/>
      <c r="Y1251" s="54"/>
      <c r="Z1251" s="54"/>
      <c r="AA1251" s="54"/>
      <c r="AB1251" s="54"/>
      <c r="AC1251" s="54"/>
      <c r="AD1251" s="54"/>
      <c r="AE1251" s="54"/>
    </row>
    <row r="1252">
      <c r="A1252" s="59" t="s">
        <v>1235</v>
      </c>
      <c r="B1252" s="59" t="s">
        <v>1236</v>
      </c>
      <c r="C1252" s="11" t="s">
        <v>1237</v>
      </c>
      <c r="D1252" s="59" t="s">
        <v>313</v>
      </c>
      <c r="E1252" s="59" t="s">
        <v>74</v>
      </c>
      <c r="F1252" s="105">
        <v>2014.0</v>
      </c>
      <c r="G1252" s="89">
        <v>1564.0</v>
      </c>
      <c r="H1252" s="89">
        <f t="shared" ref="H1252:I1252" si="968">F1252-F1251</f>
        <v>1</v>
      </c>
      <c r="I1252" s="89">
        <f t="shared" si="968"/>
        <v>308</v>
      </c>
      <c r="J1252" s="97">
        <f t="shared" si="944"/>
        <v>0.2452229299</v>
      </c>
      <c r="K1252" s="66">
        <f t="shared" si="945"/>
        <v>0.2452229299</v>
      </c>
      <c r="L1252" s="106" t="s">
        <v>939</v>
      </c>
      <c r="M1252" s="54"/>
      <c r="N1252" s="54"/>
      <c r="O1252" s="54"/>
      <c r="P1252" s="54"/>
      <c r="Q1252" s="54"/>
      <c r="R1252" s="54"/>
      <c r="S1252" s="54"/>
      <c r="T1252" s="54"/>
      <c r="U1252" s="54"/>
      <c r="V1252" s="54"/>
      <c r="W1252" s="54"/>
      <c r="X1252" s="54"/>
      <c r="Y1252" s="54"/>
      <c r="Z1252" s="54"/>
      <c r="AA1252" s="54"/>
      <c r="AB1252" s="54"/>
      <c r="AC1252" s="54"/>
      <c r="AD1252" s="54"/>
      <c r="AE1252" s="54"/>
    </row>
    <row r="1253">
      <c r="A1253" s="59" t="s">
        <v>1235</v>
      </c>
      <c r="B1253" s="59" t="s">
        <v>1236</v>
      </c>
      <c r="C1253" s="11" t="s">
        <v>1237</v>
      </c>
      <c r="D1253" s="59" t="s">
        <v>313</v>
      </c>
      <c r="E1253" s="59" t="s">
        <v>74</v>
      </c>
      <c r="F1253" s="105">
        <v>2015.0</v>
      </c>
      <c r="G1253" s="89">
        <v>1384.0</v>
      </c>
      <c r="H1253" s="89">
        <f t="shared" ref="H1253:I1253" si="969">F1253-F1252</f>
        <v>1</v>
      </c>
      <c r="I1253" s="89">
        <f t="shared" si="969"/>
        <v>-180</v>
      </c>
      <c r="J1253" s="97">
        <f t="shared" si="944"/>
        <v>-0.1150895141</v>
      </c>
      <c r="K1253" s="66">
        <f t="shared" si="945"/>
        <v>-0.1150895141</v>
      </c>
      <c r="L1253" s="106" t="s">
        <v>939</v>
      </c>
      <c r="M1253" s="54"/>
      <c r="N1253" s="54"/>
      <c r="O1253" s="54"/>
      <c r="P1253" s="54"/>
      <c r="Q1253" s="54"/>
      <c r="R1253" s="54"/>
      <c r="S1253" s="54"/>
      <c r="T1253" s="54"/>
      <c r="U1253" s="54"/>
      <c r="V1253" s="54"/>
      <c r="W1253" s="54"/>
      <c r="X1253" s="54"/>
      <c r="Y1253" s="54"/>
      <c r="Z1253" s="54"/>
      <c r="AA1253" s="54"/>
      <c r="AB1253" s="54"/>
      <c r="AC1253" s="54"/>
      <c r="AD1253" s="54"/>
      <c r="AE1253" s="54"/>
    </row>
    <row r="1254">
      <c r="A1254" s="59" t="s">
        <v>1235</v>
      </c>
      <c r="B1254" s="59" t="s">
        <v>1236</v>
      </c>
      <c r="C1254" s="11" t="s">
        <v>1237</v>
      </c>
      <c r="D1254" s="59" t="s">
        <v>313</v>
      </c>
      <c r="E1254" s="59" t="s">
        <v>74</v>
      </c>
      <c r="F1254" s="105">
        <v>2016.0</v>
      </c>
      <c r="G1254" s="89">
        <v>1799.0</v>
      </c>
      <c r="H1254" s="89">
        <f t="shared" ref="H1254:I1254" si="970">F1254-F1253</f>
        <v>1</v>
      </c>
      <c r="I1254" s="89">
        <f t="shared" si="970"/>
        <v>415</v>
      </c>
      <c r="J1254" s="97">
        <f t="shared" si="944"/>
        <v>0.2998554913</v>
      </c>
      <c r="K1254" s="66">
        <f t="shared" si="945"/>
        <v>0.2998554913</v>
      </c>
      <c r="L1254" s="106" t="s">
        <v>939</v>
      </c>
      <c r="M1254" s="54"/>
      <c r="N1254" s="54"/>
      <c r="O1254" s="54"/>
      <c r="P1254" s="54"/>
      <c r="Q1254" s="54"/>
      <c r="R1254" s="54"/>
      <c r="S1254" s="54"/>
      <c r="T1254" s="54"/>
      <c r="U1254" s="54"/>
      <c r="V1254" s="54"/>
      <c r="W1254" s="54"/>
      <c r="X1254" s="54"/>
      <c r="Y1254" s="54"/>
      <c r="Z1254" s="54"/>
      <c r="AA1254" s="54"/>
      <c r="AB1254" s="54"/>
      <c r="AC1254" s="54"/>
      <c r="AD1254" s="54"/>
      <c r="AE1254" s="54"/>
    </row>
    <row r="1255">
      <c r="A1255" s="45" t="s">
        <v>1229</v>
      </c>
      <c r="B1255" s="45" t="s">
        <v>597</v>
      </c>
      <c r="C1255" s="11" t="s">
        <v>1242</v>
      </c>
      <c r="D1255" s="25" t="s">
        <v>257</v>
      </c>
      <c r="E1255" s="45" t="s">
        <v>1053</v>
      </c>
      <c r="F1255" s="47">
        <v>1991.0</v>
      </c>
      <c r="G1255" s="48">
        <v>4852.0</v>
      </c>
      <c r="H1255" s="48" t="s">
        <v>188</v>
      </c>
      <c r="I1255" s="48" t="s">
        <v>188</v>
      </c>
      <c r="J1255" s="78" t="s">
        <v>188</v>
      </c>
      <c r="K1255" s="66" t="s">
        <v>188</v>
      </c>
      <c r="L1255" s="29" t="s">
        <v>939</v>
      </c>
      <c r="M1255" s="51"/>
      <c r="N1255" s="51"/>
      <c r="O1255" s="51"/>
      <c r="P1255" s="51"/>
      <c r="Q1255" s="51"/>
      <c r="R1255" s="51"/>
      <c r="S1255" s="51"/>
      <c r="T1255" s="51"/>
      <c r="U1255" s="51"/>
      <c r="V1255" s="51"/>
      <c r="W1255" s="51"/>
      <c r="X1255" s="51"/>
      <c r="Y1255" s="51"/>
      <c r="Z1255" s="51"/>
      <c r="AA1255" s="51"/>
      <c r="AB1255" s="51"/>
      <c r="AC1255" s="51"/>
      <c r="AD1255" s="51"/>
      <c r="AE1255" s="51"/>
    </row>
    <row r="1256">
      <c r="A1256" s="45" t="s">
        <v>1229</v>
      </c>
      <c r="B1256" s="45" t="s">
        <v>597</v>
      </c>
      <c r="C1256" s="11" t="s">
        <v>1242</v>
      </c>
      <c r="D1256" s="25" t="s">
        <v>257</v>
      </c>
      <c r="E1256" s="45" t="s">
        <v>1053</v>
      </c>
      <c r="F1256" s="47">
        <v>1993.0</v>
      </c>
      <c r="G1256" s="48">
        <v>5256.0</v>
      </c>
      <c r="H1256" s="48">
        <f t="shared" ref="H1256:I1256" si="971">F1256-F1255</f>
        <v>2</v>
      </c>
      <c r="I1256" s="48">
        <f t="shared" si="971"/>
        <v>404</v>
      </c>
      <c r="J1256" s="78">
        <f t="shared" ref="J1256:J1261" si="973">I1256/G1255</f>
        <v>0.08326463314</v>
      </c>
      <c r="K1256" s="66">
        <f t="shared" ref="K1256:K1261" si="974">J1256/H1256</f>
        <v>0.04163231657</v>
      </c>
      <c r="L1256" s="29" t="s">
        <v>939</v>
      </c>
      <c r="M1256" s="51"/>
      <c r="N1256" s="51"/>
      <c r="O1256" s="51"/>
      <c r="P1256" s="51"/>
      <c r="Q1256" s="51"/>
      <c r="R1256" s="51"/>
      <c r="S1256" s="51"/>
      <c r="T1256" s="51"/>
      <c r="U1256" s="51"/>
      <c r="V1256" s="51"/>
      <c r="W1256" s="51"/>
      <c r="X1256" s="51"/>
      <c r="Y1256" s="51"/>
      <c r="Z1256" s="51"/>
      <c r="AA1256" s="51"/>
      <c r="AB1256" s="51"/>
      <c r="AC1256" s="51"/>
      <c r="AD1256" s="51"/>
      <c r="AE1256" s="51"/>
    </row>
    <row r="1257">
      <c r="A1257" s="45" t="s">
        <v>1229</v>
      </c>
      <c r="B1257" s="45" t="s">
        <v>597</v>
      </c>
      <c r="C1257" s="11" t="s">
        <v>1242</v>
      </c>
      <c r="D1257" s="25" t="s">
        <v>257</v>
      </c>
      <c r="E1257" s="45" t="s">
        <v>1053</v>
      </c>
      <c r="F1257" s="47">
        <v>1996.0</v>
      </c>
      <c r="G1257" s="48">
        <v>58625.0</v>
      </c>
      <c r="H1257" s="48">
        <f t="shared" ref="H1257:I1257" si="972">F1257-F1256</f>
        <v>3</v>
      </c>
      <c r="I1257" s="48">
        <f t="shared" si="972"/>
        <v>53369</v>
      </c>
      <c r="J1257" s="78">
        <f t="shared" si="973"/>
        <v>10.15391933</v>
      </c>
      <c r="K1257" s="66">
        <f t="shared" si="974"/>
        <v>3.384639777</v>
      </c>
      <c r="L1257" s="29" t="s">
        <v>939</v>
      </c>
      <c r="M1257" s="51"/>
      <c r="N1257" s="51"/>
      <c r="O1257" s="51"/>
      <c r="P1257" s="51"/>
      <c r="Q1257" s="51"/>
      <c r="R1257" s="51"/>
      <c r="S1257" s="51"/>
      <c r="T1257" s="51"/>
      <c r="U1257" s="51"/>
      <c r="V1257" s="51"/>
      <c r="W1257" s="51"/>
      <c r="X1257" s="51"/>
      <c r="Y1257" s="51"/>
      <c r="Z1257" s="51"/>
      <c r="AA1257" s="51"/>
      <c r="AB1257" s="51"/>
      <c r="AC1257" s="51"/>
      <c r="AD1257" s="51"/>
      <c r="AE1257" s="51"/>
    </row>
    <row r="1258">
      <c r="A1258" s="45" t="s">
        <v>1229</v>
      </c>
      <c r="B1258" s="45" t="s">
        <v>597</v>
      </c>
      <c r="C1258" s="11" t="s">
        <v>1242</v>
      </c>
      <c r="D1258" s="25" t="s">
        <v>257</v>
      </c>
      <c r="E1258" s="45" t="s">
        <v>1053</v>
      </c>
      <c r="F1258" s="47">
        <v>2001.0</v>
      </c>
      <c r="G1258" s="48">
        <v>15768.0</v>
      </c>
      <c r="H1258" s="48">
        <f t="shared" ref="H1258:I1258" si="975">F1258-F1257</f>
        <v>5</v>
      </c>
      <c r="I1258" s="48">
        <f t="shared" si="975"/>
        <v>-42857</v>
      </c>
      <c r="J1258" s="78">
        <f t="shared" si="973"/>
        <v>-0.7310362473</v>
      </c>
      <c r="K1258" s="66">
        <f t="shared" si="974"/>
        <v>-0.1462072495</v>
      </c>
      <c r="L1258" s="29" t="s">
        <v>939</v>
      </c>
      <c r="M1258" s="51"/>
      <c r="N1258" s="51"/>
      <c r="O1258" s="51"/>
      <c r="P1258" s="51"/>
      <c r="Q1258" s="51"/>
      <c r="R1258" s="51"/>
      <c r="S1258" s="51"/>
      <c r="T1258" s="51"/>
      <c r="U1258" s="51"/>
      <c r="V1258" s="51"/>
      <c r="W1258" s="51"/>
      <c r="X1258" s="51"/>
      <c r="Y1258" s="51"/>
      <c r="Z1258" s="51"/>
      <c r="AA1258" s="51"/>
      <c r="AB1258" s="51"/>
      <c r="AC1258" s="51"/>
      <c r="AD1258" s="51"/>
      <c r="AE1258" s="51"/>
    </row>
    <row r="1259">
      <c r="A1259" s="45" t="s">
        <v>1229</v>
      </c>
      <c r="B1259" s="45" t="s">
        <v>597</v>
      </c>
      <c r="C1259" s="11" t="s">
        <v>1242</v>
      </c>
      <c r="D1259" s="25" t="s">
        <v>257</v>
      </c>
      <c r="E1259" s="45" t="s">
        <v>1053</v>
      </c>
      <c r="F1259" s="47">
        <v>2005.0</v>
      </c>
      <c r="G1259" s="48">
        <v>17790.0</v>
      </c>
      <c r="H1259" s="48">
        <f t="shared" ref="H1259:I1259" si="976">F1259-F1258</f>
        <v>4</v>
      </c>
      <c r="I1259" s="48">
        <f t="shared" si="976"/>
        <v>2022</v>
      </c>
      <c r="J1259" s="78">
        <f t="shared" si="973"/>
        <v>0.1282343988</v>
      </c>
      <c r="K1259" s="66">
        <f t="shared" si="974"/>
        <v>0.0320585997</v>
      </c>
      <c r="L1259" s="29" t="s">
        <v>939</v>
      </c>
      <c r="M1259" s="51"/>
      <c r="N1259" s="51"/>
      <c r="O1259" s="51"/>
      <c r="P1259" s="51"/>
      <c r="Q1259" s="51"/>
      <c r="R1259" s="51"/>
      <c r="S1259" s="51"/>
      <c r="T1259" s="51"/>
      <c r="U1259" s="51"/>
      <c r="V1259" s="51"/>
      <c r="W1259" s="51"/>
      <c r="X1259" s="51"/>
      <c r="Y1259" s="51"/>
      <c r="Z1259" s="51"/>
      <c r="AA1259" s="51"/>
      <c r="AB1259" s="51"/>
      <c r="AC1259" s="51"/>
      <c r="AD1259" s="51"/>
      <c r="AE1259" s="51"/>
    </row>
    <row r="1260">
      <c r="A1260" s="45" t="s">
        <v>1229</v>
      </c>
      <c r="B1260" s="45" t="s">
        <v>597</v>
      </c>
      <c r="C1260" s="11" t="s">
        <v>1242</v>
      </c>
      <c r="D1260" s="25" t="s">
        <v>257</v>
      </c>
      <c r="E1260" s="45" t="s">
        <v>1053</v>
      </c>
      <c r="F1260" s="47">
        <v>2008.0</v>
      </c>
      <c r="G1260" s="48">
        <v>29515.0</v>
      </c>
      <c r="H1260" s="48">
        <f t="shared" ref="H1260:I1260" si="977">F1260-F1259</f>
        <v>3</v>
      </c>
      <c r="I1260" s="48">
        <f t="shared" si="977"/>
        <v>11725</v>
      </c>
      <c r="J1260" s="78">
        <f t="shared" si="973"/>
        <v>0.6590781338</v>
      </c>
      <c r="K1260" s="66">
        <f t="shared" si="974"/>
        <v>0.2196927113</v>
      </c>
      <c r="L1260" s="29" t="s">
        <v>939</v>
      </c>
      <c r="M1260" s="51"/>
      <c r="N1260" s="51"/>
      <c r="O1260" s="51"/>
      <c r="P1260" s="51"/>
      <c r="Q1260" s="51"/>
      <c r="R1260" s="51"/>
      <c r="S1260" s="51"/>
      <c r="T1260" s="51"/>
      <c r="U1260" s="51"/>
      <c r="V1260" s="51"/>
      <c r="W1260" s="51"/>
      <c r="X1260" s="51"/>
      <c r="Y1260" s="51"/>
      <c r="Z1260" s="51"/>
      <c r="AA1260" s="51"/>
      <c r="AB1260" s="51"/>
      <c r="AC1260" s="51"/>
      <c r="AD1260" s="51"/>
      <c r="AE1260" s="51"/>
    </row>
    <row r="1261">
      <c r="A1261" s="45" t="s">
        <v>1229</v>
      </c>
      <c r="B1261" s="45" t="s">
        <v>597</v>
      </c>
      <c r="C1261" s="11" t="s">
        <v>1242</v>
      </c>
      <c r="D1261" s="25" t="s">
        <v>257</v>
      </c>
      <c r="E1261" s="45" t="s">
        <v>1053</v>
      </c>
      <c r="F1261" s="47">
        <v>2014.0</v>
      </c>
      <c r="G1261" s="48">
        <v>23854.0</v>
      </c>
      <c r="H1261" s="48">
        <f t="shared" ref="H1261:I1261" si="978">F1261-F1260</f>
        <v>6</v>
      </c>
      <c r="I1261" s="48">
        <f t="shared" si="978"/>
        <v>-5661</v>
      </c>
      <c r="J1261" s="78">
        <f t="shared" si="973"/>
        <v>-0.1918007793</v>
      </c>
      <c r="K1261" s="66">
        <f t="shared" si="974"/>
        <v>-0.03196679654</v>
      </c>
      <c r="L1261" s="29" t="s">
        <v>939</v>
      </c>
      <c r="M1261" s="51"/>
      <c r="N1261" s="51"/>
      <c r="O1261" s="51"/>
      <c r="P1261" s="51"/>
      <c r="Q1261" s="51"/>
      <c r="R1261" s="51"/>
      <c r="S1261" s="51"/>
      <c r="T1261" s="51"/>
      <c r="U1261" s="51"/>
      <c r="V1261" s="51"/>
      <c r="W1261" s="51"/>
      <c r="X1261" s="51"/>
      <c r="Y1261" s="51"/>
      <c r="Z1261" s="51"/>
      <c r="AA1261" s="51"/>
      <c r="AB1261" s="51"/>
      <c r="AC1261" s="51"/>
      <c r="AD1261" s="51"/>
      <c r="AE1261" s="51"/>
    </row>
    <row r="1262">
      <c r="A1262" s="45" t="s">
        <v>1229</v>
      </c>
      <c r="B1262" s="11" t="s">
        <v>597</v>
      </c>
      <c r="C1262" s="11" t="s">
        <v>1242</v>
      </c>
      <c r="D1262" s="11" t="s">
        <v>157</v>
      </c>
      <c r="E1262" s="11" t="s">
        <v>158</v>
      </c>
      <c r="F1262" s="11">
        <v>1996.0</v>
      </c>
      <c r="G1262" s="40">
        <v>37147.0</v>
      </c>
      <c r="H1262" s="40" t="s">
        <v>188</v>
      </c>
      <c r="I1262" s="40" t="s">
        <v>188</v>
      </c>
      <c r="J1262" s="73" t="s">
        <v>188</v>
      </c>
      <c r="K1262" s="66" t="s">
        <v>188</v>
      </c>
      <c r="L1262" s="42" t="s">
        <v>160</v>
      </c>
    </row>
    <row r="1263">
      <c r="A1263" s="45" t="s">
        <v>1229</v>
      </c>
      <c r="B1263" s="11" t="s">
        <v>597</v>
      </c>
      <c r="C1263" s="11" t="s">
        <v>1242</v>
      </c>
      <c r="D1263" s="11" t="s">
        <v>157</v>
      </c>
      <c r="E1263" s="11" t="s">
        <v>158</v>
      </c>
      <c r="F1263" s="11">
        <v>2001.0</v>
      </c>
      <c r="G1263" s="40">
        <v>38533.0</v>
      </c>
      <c r="H1263" s="40">
        <f t="shared" ref="H1263:I1263" si="979">F1263-F1262</f>
        <v>5</v>
      </c>
      <c r="I1263" s="40">
        <f t="shared" si="979"/>
        <v>1386</v>
      </c>
      <c r="J1263" s="73">
        <f t="shared" ref="J1263:J1267" si="981">I1263/G1262</f>
        <v>0.03731122298</v>
      </c>
      <c r="K1263" s="66">
        <f t="shared" ref="K1263:K1267" si="982">J1263/H1263</f>
        <v>0.007462244596</v>
      </c>
      <c r="L1263" s="42" t="s">
        <v>160</v>
      </c>
    </row>
    <row r="1264">
      <c r="A1264" s="45" t="s">
        <v>1229</v>
      </c>
      <c r="B1264" s="11" t="s">
        <v>597</v>
      </c>
      <c r="C1264" s="11" t="s">
        <v>1242</v>
      </c>
      <c r="D1264" s="11" t="s">
        <v>157</v>
      </c>
      <c r="E1264" s="11" t="s">
        <v>158</v>
      </c>
      <c r="F1264" s="11">
        <v>2005.0</v>
      </c>
      <c r="G1264" s="40">
        <v>39008.0</v>
      </c>
      <c r="H1264" s="40">
        <f t="shared" ref="H1264:I1264" si="980">F1264-F1263</f>
        <v>4</v>
      </c>
      <c r="I1264" s="40">
        <f t="shared" si="980"/>
        <v>475</v>
      </c>
      <c r="J1264" s="73">
        <f t="shared" si="981"/>
        <v>0.01232709626</v>
      </c>
      <c r="K1264" s="66">
        <f t="shared" si="982"/>
        <v>0.003081774064</v>
      </c>
      <c r="L1264" s="42" t="s">
        <v>160</v>
      </c>
    </row>
    <row r="1265">
      <c r="A1265" s="45" t="s">
        <v>1229</v>
      </c>
      <c r="B1265" s="11" t="s">
        <v>597</v>
      </c>
      <c r="C1265" s="11" t="s">
        <v>1242</v>
      </c>
      <c r="D1265" s="11" t="s">
        <v>157</v>
      </c>
      <c r="E1265" s="11" t="s">
        <v>158</v>
      </c>
      <c r="F1265" s="11">
        <v>2008.0</v>
      </c>
      <c r="G1265" s="40">
        <v>37369.0</v>
      </c>
      <c r="H1265" s="40">
        <f t="shared" ref="H1265:I1265" si="983">F1265-F1264</f>
        <v>3</v>
      </c>
      <c r="I1265" s="40">
        <f t="shared" si="983"/>
        <v>-1639</v>
      </c>
      <c r="J1265" s="73">
        <f t="shared" si="981"/>
        <v>-0.04201702215</v>
      </c>
      <c r="K1265" s="66">
        <f t="shared" si="982"/>
        <v>-0.01400567405</v>
      </c>
      <c r="L1265" s="42" t="s">
        <v>160</v>
      </c>
    </row>
    <row r="1266">
      <c r="A1266" s="45" t="s">
        <v>1229</v>
      </c>
      <c r="B1266" s="11" t="s">
        <v>597</v>
      </c>
      <c r="C1266" s="11" t="s">
        <v>1242</v>
      </c>
      <c r="D1266" s="11" t="s">
        <v>157</v>
      </c>
      <c r="E1266" s="11" t="s">
        <v>158</v>
      </c>
      <c r="F1266" s="11">
        <v>2014.0</v>
      </c>
      <c r="G1266" s="40">
        <v>28901.0</v>
      </c>
      <c r="H1266" s="40">
        <f t="shared" ref="H1266:I1266" si="984">F1266-F1265</f>
        <v>6</v>
      </c>
      <c r="I1266" s="40">
        <f t="shared" si="984"/>
        <v>-8468</v>
      </c>
      <c r="J1266" s="73">
        <f t="shared" si="981"/>
        <v>-0.2266049399</v>
      </c>
      <c r="K1266" s="66">
        <f t="shared" si="982"/>
        <v>-0.03776748999</v>
      </c>
      <c r="L1266" s="42" t="s">
        <v>160</v>
      </c>
    </row>
    <row r="1267">
      <c r="A1267" s="45" t="s">
        <v>1229</v>
      </c>
      <c r="B1267" s="11" t="s">
        <v>597</v>
      </c>
      <c r="C1267" s="11" t="s">
        <v>1242</v>
      </c>
      <c r="D1267" s="11" t="s">
        <v>157</v>
      </c>
      <c r="E1267" s="11" t="s">
        <v>158</v>
      </c>
      <c r="F1267" s="11">
        <v>2018.0</v>
      </c>
      <c r="G1267" s="40">
        <v>34999.0</v>
      </c>
      <c r="H1267" s="40">
        <f t="shared" ref="H1267:I1267" si="985">F1267-F1266</f>
        <v>4</v>
      </c>
      <c r="I1267" s="40">
        <f t="shared" si="985"/>
        <v>6098</v>
      </c>
      <c r="J1267" s="73">
        <f t="shared" si="981"/>
        <v>0.2109961593</v>
      </c>
      <c r="K1267" s="66">
        <f t="shared" si="982"/>
        <v>0.05274903983</v>
      </c>
      <c r="L1267" s="42" t="s">
        <v>160</v>
      </c>
    </row>
    <row r="1268">
      <c r="A1268" s="45" t="s">
        <v>1245</v>
      </c>
      <c r="B1268" s="45" t="s">
        <v>595</v>
      </c>
      <c r="C1268" s="11" t="s">
        <v>1246</v>
      </c>
      <c r="D1268" s="25" t="s">
        <v>257</v>
      </c>
      <c r="E1268" s="45" t="s">
        <v>1053</v>
      </c>
      <c r="F1268" s="47">
        <v>2002.0</v>
      </c>
      <c r="G1268" s="48">
        <v>4003.0</v>
      </c>
      <c r="H1268" s="48" t="s">
        <v>188</v>
      </c>
      <c r="I1268" s="48" t="s">
        <v>188</v>
      </c>
      <c r="J1268" s="78" t="s">
        <v>188</v>
      </c>
      <c r="K1268" s="66" t="s">
        <v>188</v>
      </c>
      <c r="L1268" s="29" t="s">
        <v>81</v>
      </c>
      <c r="M1268" s="51"/>
      <c r="N1268" s="51"/>
      <c r="O1268" s="51"/>
      <c r="P1268" s="51"/>
      <c r="Q1268" s="51"/>
      <c r="R1268" s="51"/>
      <c r="S1268" s="51"/>
      <c r="T1268" s="51"/>
      <c r="U1268" s="51"/>
      <c r="V1268" s="51"/>
      <c r="W1268" s="51"/>
      <c r="X1268" s="51"/>
      <c r="Y1268" s="51"/>
      <c r="Z1268" s="51"/>
      <c r="AA1268" s="51"/>
      <c r="AB1268" s="51"/>
      <c r="AC1268" s="51"/>
      <c r="AD1268" s="51"/>
      <c r="AE1268" s="51"/>
    </row>
    <row r="1269">
      <c r="A1269" s="45" t="s">
        <v>1245</v>
      </c>
      <c r="B1269" s="45" t="s">
        <v>595</v>
      </c>
      <c r="C1269" s="11" t="s">
        <v>1246</v>
      </c>
      <c r="D1269" s="25" t="s">
        <v>257</v>
      </c>
      <c r="E1269" s="45" t="s">
        <v>1053</v>
      </c>
      <c r="F1269" s="47">
        <v>2010.0</v>
      </c>
      <c r="G1269" s="48">
        <v>10957.0</v>
      </c>
      <c r="H1269" s="48">
        <f t="shared" ref="H1269:I1269" si="986">F1269-F1268</f>
        <v>8</v>
      </c>
      <c r="I1269" s="48">
        <f t="shared" si="986"/>
        <v>6954</v>
      </c>
      <c r="J1269" s="78">
        <f t="shared" ref="J1269:J1270" si="988">I1269/G1268</f>
        <v>1.737197102</v>
      </c>
      <c r="K1269" s="66">
        <f t="shared" ref="K1269:K1270" si="989">J1269/H1269</f>
        <v>0.2171496378</v>
      </c>
      <c r="L1269" s="29" t="s">
        <v>81</v>
      </c>
      <c r="M1269" s="51"/>
      <c r="N1269" s="51"/>
      <c r="O1269" s="51"/>
      <c r="P1269" s="51"/>
      <c r="Q1269" s="51"/>
      <c r="R1269" s="51"/>
      <c r="S1269" s="51"/>
      <c r="T1269" s="51"/>
      <c r="U1269" s="51"/>
      <c r="V1269" s="51"/>
      <c r="W1269" s="51"/>
      <c r="X1269" s="51"/>
      <c r="Y1269" s="51"/>
      <c r="Z1269" s="51"/>
      <c r="AA1269" s="51"/>
      <c r="AB1269" s="51"/>
      <c r="AC1269" s="51"/>
      <c r="AD1269" s="51"/>
      <c r="AE1269" s="51"/>
    </row>
    <row r="1270">
      <c r="A1270" s="45" t="s">
        <v>1245</v>
      </c>
      <c r="B1270" s="45" t="s">
        <v>595</v>
      </c>
      <c r="C1270" s="11" t="s">
        <v>1246</v>
      </c>
      <c r="D1270" s="25" t="s">
        <v>257</v>
      </c>
      <c r="E1270" s="45" t="s">
        <v>1053</v>
      </c>
      <c r="F1270" s="47">
        <v>2017.0</v>
      </c>
      <c r="G1270" s="48">
        <v>6245.0</v>
      </c>
      <c r="H1270" s="48">
        <f t="shared" ref="H1270:I1270" si="987">F1270-F1269</f>
        <v>7</v>
      </c>
      <c r="I1270" s="48">
        <f t="shared" si="987"/>
        <v>-4712</v>
      </c>
      <c r="J1270" s="78">
        <f t="shared" si="988"/>
        <v>-0.4300447203</v>
      </c>
      <c r="K1270" s="66">
        <f t="shared" si="989"/>
        <v>-0.06143496004</v>
      </c>
      <c r="L1270" s="29" t="s">
        <v>81</v>
      </c>
      <c r="M1270" s="51"/>
      <c r="N1270" s="51"/>
      <c r="O1270" s="51"/>
      <c r="P1270" s="51"/>
      <c r="Q1270" s="51"/>
      <c r="R1270" s="51"/>
      <c r="S1270" s="51"/>
      <c r="T1270" s="51"/>
      <c r="U1270" s="51"/>
      <c r="V1270" s="51"/>
      <c r="W1270" s="51"/>
      <c r="X1270" s="51"/>
      <c r="Y1270" s="51"/>
      <c r="Z1270" s="51"/>
      <c r="AA1270" s="51"/>
      <c r="AB1270" s="51"/>
      <c r="AC1270" s="51"/>
      <c r="AD1270" s="51"/>
      <c r="AE1270" s="51"/>
    </row>
    <row r="1271">
      <c r="A1271" s="45" t="s">
        <v>1245</v>
      </c>
      <c r="B1271" s="45" t="s">
        <v>595</v>
      </c>
      <c r="C1271" s="11" t="s">
        <v>1246</v>
      </c>
      <c r="D1271" s="25" t="s">
        <v>436</v>
      </c>
      <c r="E1271" s="45" t="s">
        <v>1053</v>
      </c>
      <c r="F1271" s="47">
        <v>2002.0</v>
      </c>
      <c r="G1271" s="48">
        <v>6916.0</v>
      </c>
      <c r="H1271" s="48" t="s">
        <v>188</v>
      </c>
      <c r="I1271" s="48" t="s">
        <v>188</v>
      </c>
      <c r="J1271" s="78" t="s">
        <v>188</v>
      </c>
      <c r="K1271" s="66" t="s">
        <v>188</v>
      </c>
      <c r="L1271" s="29" t="s">
        <v>81</v>
      </c>
      <c r="M1271" s="51"/>
      <c r="N1271" s="51"/>
      <c r="O1271" s="51"/>
      <c r="P1271" s="51"/>
      <c r="Q1271" s="51"/>
      <c r="R1271" s="51"/>
      <c r="S1271" s="51"/>
      <c r="T1271" s="51"/>
      <c r="U1271" s="51"/>
      <c r="V1271" s="51"/>
      <c r="W1271" s="51"/>
      <c r="X1271" s="51"/>
      <c r="Y1271" s="51"/>
      <c r="Z1271" s="51"/>
      <c r="AA1271" s="51"/>
      <c r="AB1271" s="51"/>
      <c r="AC1271" s="51"/>
      <c r="AD1271" s="51"/>
      <c r="AE1271" s="51"/>
    </row>
    <row r="1272">
      <c r="A1272" s="45" t="s">
        <v>1245</v>
      </c>
      <c r="B1272" s="45" t="s">
        <v>595</v>
      </c>
      <c r="C1272" s="11" t="s">
        <v>1246</v>
      </c>
      <c r="D1272" s="25" t="s">
        <v>436</v>
      </c>
      <c r="E1272" s="45" t="s">
        <v>1053</v>
      </c>
      <c r="F1272" s="47">
        <v>2010.0</v>
      </c>
      <c r="G1272" s="48">
        <v>6174.0</v>
      </c>
      <c r="H1272" s="48">
        <f t="shared" ref="H1272:I1272" si="990">F1272-F1271</f>
        <v>8</v>
      </c>
      <c r="I1272" s="48">
        <f t="shared" si="990"/>
        <v>-742</v>
      </c>
      <c r="J1272" s="78">
        <f t="shared" ref="J1272:J1273" si="992">I1272/G1271</f>
        <v>-0.1072874494</v>
      </c>
      <c r="K1272" s="66">
        <f t="shared" ref="K1272:K1273" si="993">J1272/H1272</f>
        <v>-0.01341093117</v>
      </c>
      <c r="L1272" s="29" t="s">
        <v>81</v>
      </c>
      <c r="M1272" s="51"/>
      <c r="N1272" s="51"/>
      <c r="O1272" s="51"/>
      <c r="P1272" s="51"/>
      <c r="Q1272" s="51"/>
      <c r="R1272" s="51"/>
      <c r="S1272" s="51"/>
      <c r="T1272" s="51"/>
      <c r="U1272" s="51"/>
      <c r="V1272" s="51"/>
      <c r="W1272" s="51"/>
      <c r="X1272" s="51"/>
      <c r="Y1272" s="51"/>
      <c r="Z1272" s="51"/>
      <c r="AA1272" s="51"/>
      <c r="AB1272" s="51"/>
      <c r="AC1272" s="51"/>
      <c r="AD1272" s="51"/>
      <c r="AE1272" s="51"/>
    </row>
    <row r="1273">
      <c r="A1273" s="45" t="s">
        <v>1245</v>
      </c>
      <c r="B1273" s="45" t="s">
        <v>595</v>
      </c>
      <c r="C1273" s="11" t="s">
        <v>1246</v>
      </c>
      <c r="D1273" s="25" t="s">
        <v>436</v>
      </c>
      <c r="E1273" s="45" t="s">
        <v>1053</v>
      </c>
      <c r="F1273" s="47">
        <v>2017.0</v>
      </c>
      <c r="G1273" s="48">
        <v>7385.0</v>
      </c>
      <c r="H1273" s="48">
        <f t="shared" ref="H1273:I1273" si="991">F1273-F1272</f>
        <v>7</v>
      </c>
      <c r="I1273" s="48">
        <f t="shared" si="991"/>
        <v>1211</v>
      </c>
      <c r="J1273" s="78">
        <f t="shared" si="992"/>
        <v>0.1961451247</v>
      </c>
      <c r="K1273" s="66">
        <f t="shared" si="993"/>
        <v>0.0280207321</v>
      </c>
      <c r="L1273" s="29" t="s">
        <v>81</v>
      </c>
      <c r="M1273" s="51"/>
      <c r="N1273" s="51"/>
      <c r="O1273" s="51"/>
      <c r="P1273" s="51"/>
      <c r="Q1273" s="51"/>
      <c r="R1273" s="51"/>
      <c r="S1273" s="51"/>
      <c r="T1273" s="51"/>
      <c r="U1273" s="51"/>
      <c r="V1273" s="51"/>
      <c r="W1273" s="51"/>
      <c r="X1273" s="51"/>
      <c r="Y1273" s="51"/>
      <c r="Z1273" s="51"/>
      <c r="AA1273" s="51"/>
      <c r="AB1273" s="51"/>
      <c r="AC1273" s="51"/>
      <c r="AD1273" s="51"/>
      <c r="AE1273" s="51"/>
    </row>
    <row r="1274">
      <c r="A1274" s="45" t="s">
        <v>1229</v>
      </c>
      <c r="B1274" s="45" t="s">
        <v>1259</v>
      </c>
      <c r="C1274" s="11" t="s">
        <v>1261</v>
      </c>
      <c r="D1274" s="25" t="s">
        <v>257</v>
      </c>
      <c r="E1274" s="45" t="s">
        <v>1053</v>
      </c>
      <c r="F1274" s="47">
        <v>1991.0</v>
      </c>
      <c r="G1274" s="48">
        <v>320220.0</v>
      </c>
      <c r="H1274" s="48" t="s">
        <v>188</v>
      </c>
      <c r="I1274" s="48" t="s">
        <v>188</v>
      </c>
      <c r="J1274" s="78" t="s">
        <v>188</v>
      </c>
      <c r="K1274" s="66" t="s">
        <v>188</v>
      </c>
      <c r="L1274" s="29" t="s">
        <v>939</v>
      </c>
      <c r="M1274" s="51"/>
      <c r="N1274" s="51"/>
      <c r="O1274" s="51"/>
      <c r="P1274" s="51"/>
      <c r="Q1274" s="51"/>
      <c r="R1274" s="51"/>
      <c r="S1274" s="51"/>
      <c r="T1274" s="51"/>
      <c r="U1274" s="51"/>
      <c r="V1274" s="51"/>
      <c r="W1274" s="51"/>
      <c r="X1274" s="51"/>
      <c r="Y1274" s="51"/>
      <c r="Z1274" s="51"/>
      <c r="AA1274" s="51"/>
      <c r="AB1274" s="51"/>
      <c r="AC1274" s="51"/>
      <c r="AD1274" s="51"/>
      <c r="AE1274" s="51"/>
    </row>
    <row r="1275">
      <c r="A1275" s="45" t="s">
        <v>1229</v>
      </c>
      <c r="B1275" s="45" t="s">
        <v>1259</v>
      </c>
      <c r="C1275" s="11" t="s">
        <v>1261</v>
      </c>
      <c r="D1275" s="25" t="s">
        <v>257</v>
      </c>
      <c r="E1275" s="45" t="s">
        <v>1053</v>
      </c>
      <c r="F1275" s="47">
        <v>1993.0</v>
      </c>
      <c r="G1275" s="48">
        <v>590530.0</v>
      </c>
      <c r="H1275" s="48">
        <f t="shared" ref="H1275:I1275" si="994">F1275-F1274</f>
        <v>2</v>
      </c>
      <c r="I1275" s="48">
        <f t="shared" si="994"/>
        <v>270310</v>
      </c>
      <c r="J1275" s="78">
        <f t="shared" ref="J1275:J1280" si="996">I1275/G1274</f>
        <v>0.8441384048</v>
      </c>
      <c r="K1275" s="66">
        <f t="shared" ref="K1275:K1280" si="997">J1275/H1275</f>
        <v>0.4220692024</v>
      </c>
      <c r="L1275" s="29" t="s">
        <v>939</v>
      </c>
      <c r="M1275" s="51"/>
      <c r="N1275" s="51"/>
      <c r="O1275" s="51"/>
      <c r="P1275" s="51"/>
      <c r="Q1275" s="51"/>
      <c r="R1275" s="51"/>
      <c r="S1275" s="51"/>
      <c r="T1275" s="51"/>
      <c r="U1275" s="51"/>
      <c r="V1275" s="51"/>
      <c r="W1275" s="51"/>
      <c r="X1275" s="51"/>
      <c r="Y1275" s="51"/>
      <c r="Z1275" s="51"/>
      <c r="AA1275" s="51"/>
      <c r="AB1275" s="51"/>
      <c r="AC1275" s="51"/>
      <c r="AD1275" s="51"/>
      <c r="AE1275" s="51"/>
    </row>
    <row r="1276">
      <c r="A1276" s="45" t="s">
        <v>1229</v>
      </c>
      <c r="B1276" s="45" t="s">
        <v>1259</v>
      </c>
      <c r="C1276" s="11" t="s">
        <v>1261</v>
      </c>
      <c r="D1276" s="25" t="s">
        <v>257</v>
      </c>
      <c r="E1276" s="45" t="s">
        <v>1053</v>
      </c>
      <c r="F1276" s="47">
        <v>1996.0</v>
      </c>
      <c r="G1276" s="48">
        <v>462846.0</v>
      </c>
      <c r="H1276" s="48">
        <f t="shared" ref="H1276:I1276" si="995">F1276-F1275</f>
        <v>3</v>
      </c>
      <c r="I1276" s="48">
        <f t="shared" si="995"/>
        <v>-127684</v>
      </c>
      <c r="J1276" s="78">
        <f t="shared" si="996"/>
        <v>-0.2162193284</v>
      </c>
      <c r="K1276" s="66">
        <f t="shared" si="997"/>
        <v>-0.07207310947</v>
      </c>
      <c r="L1276" s="29" t="s">
        <v>939</v>
      </c>
      <c r="M1276" s="51"/>
      <c r="N1276" s="51"/>
      <c r="O1276" s="51"/>
      <c r="P1276" s="51"/>
      <c r="Q1276" s="51"/>
      <c r="R1276" s="51"/>
      <c r="S1276" s="51"/>
      <c r="T1276" s="51"/>
      <c r="U1276" s="51"/>
      <c r="V1276" s="51"/>
      <c r="W1276" s="51"/>
      <c r="X1276" s="51"/>
      <c r="Y1276" s="51"/>
      <c r="Z1276" s="51"/>
      <c r="AA1276" s="51"/>
      <c r="AB1276" s="51"/>
      <c r="AC1276" s="51"/>
      <c r="AD1276" s="51"/>
      <c r="AE1276" s="51"/>
    </row>
    <row r="1277">
      <c r="A1277" s="45" t="s">
        <v>1229</v>
      </c>
      <c r="B1277" s="45" t="s">
        <v>1259</v>
      </c>
      <c r="C1277" s="11" t="s">
        <v>1261</v>
      </c>
      <c r="D1277" s="25" t="s">
        <v>257</v>
      </c>
      <c r="E1277" s="45" t="s">
        <v>1053</v>
      </c>
      <c r="F1277" s="47">
        <v>2001.0</v>
      </c>
      <c r="G1277" s="48">
        <v>555749.0</v>
      </c>
      <c r="H1277" s="48">
        <f t="shared" ref="H1277:I1277" si="998">F1277-F1276</f>
        <v>5</v>
      </c>
      <c r="I1277" s="48">
        <f t="shared" si="998"/>
        <v>92903</v>
      </c>
      <c r="J1277" s="78">
        <f t="shared" si="996"/>
        <v>0.2007211902</v>
      </c>
      <c r="K1277" s="66">
        <f t="shared" si="997"/>
        <v>0.04014423804</v>
      </c>
      <c r="L1277" s="29" t="s">
        <v>939</v>
      </c>
      <c r="M1277" s="51"/>
      <c r="N1277" s="51"/>
      <c r="O1277" s="51"/>
      <c r="P1277" s="51"/>
      <c r="Q1277" s="51"/>
      <c r="R1277" s="51"/>
      <c r="S1277" s="51"/>
      <c r="T1277" s="51"/>
      <c r="U1277" s="51"/>
      <c r="V1277" s="51"/>
      <c r="W1277" s="51"/>
      <c r="X1277" s="51"/>
      <c r="Y1277" s="51"/>
      <c r="Z1277" s="51"/>
      <c r="AA1277" s="51"/>
      <c r="AB1277" s="51"/>
      <c r="AC1277" s="51"/>
      <c r="AD1277" s="51"/>
      <c r="AE1277" s="51"/>
    </row>
    <row r="1278">
      <c r="A1278" s="45" t="s">
        <v>1229</v>
      </c>
      <c r="B1278" s="45" t="s">
        <v>1259</v>
      </c>
      <c r="C1278" s="11" t="s">
        <v>1261</v>
      </c>
      <c r="D1278" s="25" t="s">
        <v>257</v>
      </c>
      <c r="E1278" s="45" t="s">
        <v>1053</v>
      </c>
      <c r="F1278" s="47">
        <v>2005.0</v>
      </c>
      <c r="G1278" s="48">
        <v>693046.0</v>
      </c>
      <c r="H1278" s="48">
        <f t="shared" ref="H1278:I1278" si="999">F1278-F1277</f>
        <v>4</v>
      </c>
      <c r="I1278" s="48">
        <f t="shared" si="999"/>
        <v>137297</v>
      </c>
      <c r="J1278" s="78">
        <f t="shared" si="996"/>
        <v>0.2470485777</v>
      </c>
      <c r="K1278" s="66">
        <f t="shared" si="997"/>
        <v>0.06176214442</v>
      </c>
      <c r="L1278" s="29" t="s">
        <v>939</v>
      </c>
      <c r="M1278" s="51"/>
      <c r="N1278" s="51"/>
      <c r="O1278" s="51"/>
      <c r="P1278" s="51"/>
      <c r="Q1278" s="51"/>
      <c r="R1278" s="51"/>
      <c r="S1278" s="51"/>
      <c r="T1278" s="51"/>
      <c r="U1278" s="51"/>
      <c r="V1278" s="51"/>
      <c r="W1278" s="51"/>
      <c r="X1278" s="51"/>
      <c r="Y1278" s="51"/>
      <c r="Z1278" s="51"/>
      <c r="AA1278" s="51"/>
      <c r="AB1278" s="51"/>
      <c r="AC1278" s="51"/>
      <c r="AD1278" s="51"/>
      <c r="AE1278" s="51"/>
    </row>
    <row r="1279">
      <c r="A1279" s="45" t="s">
        <v>1229</v>
      </c>
      <c r="B1279" s="45" t="s">
        <v>1259</v>
      </c>
      <c r="C1279" s="11" t="s">
        <v>1261</v>
      </c>
      <c r="D1279" s="25" t="s">
        <v>257</v>
      </c>
      <c r="E1279" s="45" t="s">
        <v>1053</v>
      </c>
      <c r="F1279" s="47">
        <v>2008.0</v>
      </c>
      <c r="G1279" s="48">
        <v>659285.0</v>
      </c>
      <c r="H1279" s="48">
        <f t="shared" ref="H1279:I1279" si="1000">F1279-F1278</f>
        <v>3</v>
      </c>
      <c r="I1279" s="48">
        <f t="shared" si="1000"/>
        <v>-33761</v>
      </c>
      <c r="J1279" s="78">
        <f t="shared" si="996"/>
        <v>-0.04871393818</v>
      </c>
      <c r="K1279" s="66">
        <f t="shared" si="997"/>
        <v>-0.01623797939</v>
      </c>
      <c r="L1279" s="29" t="s">
        <v>939</v>
      </c>
      <c r="M1279" s="51"/>
      <c r="N1279" s="51"/>
      <c r="O1279" s="51"/>
      <c r="P1279" s="51"/>
      <c r="Q1279" s="51"/>
      <c r="R1279" s="51"/>
      <c r="S1279" s="51"/>
      <c r="T1279" s="51"/>
      <c r="U1279" s="51"/>
      <c r="V1279" s="51"/>
      <c r="W1279" s="51"/>
      <c r="X1279" s="51"/>
      <c r="Y1279" s="51"/>
      <c r="Z1279" s="51"/>
      <c r="AA1279" s="51"/>
      <c r="AB1279" s="51"/>
      <c r="AC1279" s="51"/>
      <c r="AD1279" s="51"/>
      <c r="AE1279" s="51"/>
    </row>
    <row r="1280">
      <c r="A1280" s="45" t="s">
        <v>1229</v>
      </c>
      <c r="B1280" s="45" t="s">
        <v>1259</v>
      </c>
      <c r="C1280" s="11" t="s">
        <v>1261</v>
      </c>
      <c r="D1280" s="25" t="s">
        <v>257</v>
      </c>
      <c r="E1280" s="45" t="s">
        <v>1053</v>
      </c>
      <c r="F1280" s="47">
        <v>2014.0</v>
      </c>
      <c r="G1280" s="48">
        <v>1426008.0</v>
      </c>
      <c r="H1280" s="48">
        <f t="shared" ref="H1280:I1280" si="1001">F1280-F1279</f>
        <v>6</v>
      </c>
      <c r="I1280" s="48">
        <f t="shared" si="1001"/>
        <v>766723</v>
      </c>
      <c r="J1280" s="78">
        <f t="shared" si="996"/>
        <v>1.16296139</v>
      </c>
      <c r="K1280" s="66">
        <f t="shared" si="997"/>
        <v>0.1938268983</v>
      </c>
      <c r="L1280" s="29" t="s">
        <v>939</v>
      </c>
      <c r="M1280" s="51"/>
      <c r="N1280" s="51"/>
      <c r="O1280" s="51"/>
      <c r="P1280" s="51"/>
      <c r="Q1280" s="51"/>
      <c r="R1280" s="51"/>
      <c r="S1280" s="51"/>
      <c r="T1280" s="51"/>
      <c r="U1280" s="51"/>
      <c r="V1280" s="51"/>
      <c r="W1280" s="51"/>
      <c r="X1280" s="51"/>
      <c r="Y1280" s="51"/>
      <c r="Z1280" s="51"/>
      <c r="AA1280" s="51"/>
      <c r="AB1280" s="51"/>
      <c r="AC1280" s="51"/>
      <c r="AD1280" s="51"/>
      <c r="AE1280" s="51"/>
    </row>
    <row r="1281">
      <c r="A1281" s="45" t="s">
        <v>1229</v>
      </c>
      <c r="B1281" s="11" t="s">
        <v>1259</v>
      </c>
      <c r="C1281" s="11" t="s">
        <v>1261</v>
      </c>
      <c r="D1281" s="11" t="s">
        <v>157</v>
      </c>
      <c r="E1281" s="11" t="s">
        <v>158</v>
      </c>
      <c r="F1281" s="11">
        <v>1996.0</v>
      </c>
      <c r="G1281" s="41">
        <v>328134.0</v>
      </c>
      <c r="H1281" s="41" t="s">
        <v>188</v>
      </c>
      <c r="I1281" s="41" t="s">
        <v>188</v>
      </c>
      <c r="J1281" s="73" t="s">
        <v>188</v>
      </c>
      <c r="K1281" s="66" t="s">
        <v>188</v>
      </c>
      <c r="L1281" s="42" t="s">
        <v>160</v>
      </c>
    </row>
    <row r="1282">
      <c r="A1282" s="45" t="s">
        <v>1229</v>
      </c>
      <c r="B1282" s="11" t="s">
        <v>1259</v>
      </c>
      <c r="C1282" s="11" t="s">
        <v>1261</v>
      </c>
      <c r="D1282" s="11" t="s">
        <v>157</v>
      </c>
      <c r="E1282" s="11" t="s">
        <v>158</v>
      </c>
      <c r="F1282" s="11">
        <v>2001.0</v>
      </c>
      <c r="G1282" s="41">
        <v>391356.0</v>
      </c>
      <c r="H1282" s="41">
        <f t="shared" ref="H1282:I1282" si="1002">F1282-F1281</f>
        <v>5</v>
      </c>
      <c r="I1282" s="41">
        <f t="shared" si="1002"/>
        <v>63222</v>
      </c>
      <c r="J1282" s="73">
        <f t="shared" ref="J1282:J1286" si="1004">I1282/G1281</f>
        <v>0.1926712867</v>
      </c>
      <c r="K1282" s="66">
        <f t="shared" ref="K1282:K1286" si="1005">J1282/H1282</f>
        <v>0.03853425735</v>
      </c>
      <c r="L1282" s="42" t="s">
        <v>160</v>
      </c>
    </row>
    <row r="1283">
      <c r="A1283" s="45" t="s">
        <v>1229</v>
      </c>
      <c r="B1283" s="11" t="s">
        <v>1259</v>
      </c>
      <c r="C1283" s="11" t="s">
        <v>1261</v>
      </c>
      <c r="D1283" s="11" t="s">
        <v>157</v>
      </c>
      <c r="E1283" s="11" t="s">
        <v>158</v>
      </c>
      <c r="F1283" s="11">
        <v>2005.0</v>
      </c>
      <c r="G1283" s="41">
        <v>394610.0</v>
      </c>
      <c r="H1283" s="41">
        <f t="shared" ref="H1283:I1283" si="1003">F1283-F1282</f>
        <v>4</v>
      </c>
      <c r="I1283" s="41">
        <f t="shared" si="1003"/>
        <v>3254</v>
      </c>
      <c r="J1283" s="73">
        <f t="shared" si="1004"/>
        <v>0.00831468024</v>
      </c>
      <c r="K1283" s="66">
        <f t="shared" si="1005"/>
        <v>0.00207867006</v>
      </c>
      <c r="L1283" s="42" t="s">
        <v>160</v>
      </c>
    </row>
    <row r="1284">
      <c r="A1284" s="45" t="s">
        <v>1229</v>
      </c>
      <c r="B1284" s="11" t="s">
        <v>1259</v>
      </c>
      <c r="C1284" s="11" t="s">
        <v>1261</v>
      </c>
      <c r="D1284" s="11" t="s">
        <v>157</v>
      </c>
      <c r="E1284" s="11" t="s">
        <v>158</v>
      </c>
      <c r="F1284" s="11">
        <v>2008.0</v>
      </c>
      <c r="G1284" s="40">
        <v>433628.0</v>
      </c>
      <c r="H1284" s="41">
        <f t="shared" ref="H1284:I1284" si="1006">F1284-F1283</f>
        <v>3</v>
      </c>
      <c r="I1284" s="41">
        <f t="shared" si="1006"/>
        <v>39018</v>
      </c>
      <c r="J1284" s="73">
        <f t="shared" si="1004"/>
        <v>0.0988773726</v>
      </c>
      <c r="K1284" s="66">
        <f t="shared" si="1005"/>
        <v>0.0329591242</v>
      </c>
      <c r="L1284" s="42" t="s">
        <v>160</v>
      </c>
    </row>
    <row r="1285">
      <c r="A1285" s="45" t="s">
        <v>1229</v>
      </c>
      <c r="B1285" s="11" t="s">
        <v>1259</v>
      </c>
      <c r="C1285" s="11" t="s">
        <v>1261</v>
      </c>
      <c r="D1285" s="11" t="s">
        <v>157</v>
      </c>
      <c r="E1285" s="11" t="s">
        <v>158</v>
      </c>
      <c r="F1285" s="11">
        <v>2014.0</v>
      </c>
      <c r="G1285" s="40">
        <v>880425.0</v>
      </c>
      <c r="H1285" s="41">
        <f t="shared" ref="H1285:I1285" si="1007">F1285-F1284</f>
        <v>6</v>
      </c>
      <c r="I1285" s="41">
        <f t="shared" si="1007"/>
        <v>446797</v>
      </c>
      <c r="J1285" s="73">
        <f t="shared" si="1004"/>
        <v>1.030369349</v>
      </c>
      <c r="K1285" s="66">
        <f t="shared" si="1005"/>
        <v>0.1717282248</v>
      </c>
      <c r="L1285" s="42" t="s">
        <v>160</v>
      </c>
    </row>
    <row r="1286">
      <c r="A1286" s="45" t="s">
        <v>1229</v>
      </c>
      <c r="B1286" s="11" t="s">
        <v>1259</v>
      </c>
      <c r="C1286" s="11" t="s">
        <v>1261</v>
      </c>
      <c r="D1286" s="11" t="s">
        <v>157</v>
      </c>
      <c r="E1286" s="11" t="s">
        <v>158</v>
      </c>
      <c r="F1286" s="11">
        <v>2018.0</v>
      </c>
      <c r="G1286" s="40">
        <v>1056308.0</v>
      </c>
      <c r="H1286" s="41">
        <f t="shared" ref="H1286:I1286" si="1008">F1286-F1285</f>
        <v>4</v>
      </c>
      <c r="I1286" s="41">
        <f t="shared" si="1008"/>
        <v>175883</v>
      </c>
      <c r="J1286" s="73">
        <f t="shared" si="1004"/>
        <v>0.1997705654</v>
      </c>
      <c r="K1286" s="66">
        <f t="shared" si="1005"/>
        <v>0.04994264134</v>
      </c>
      <c r="L1286" s="42" t="s">
        <v>160</v>
      </c>
    </row>
    <row r="1287">
      <c r="A1287" s="45" t="s">
        <v>1245</v>
      </c>
      <c r="B1287" s="45" t="s">
        <v>1279</v>
      </c>
      <c r="C1287" s="11" t="s">
        <v>1280</v>
      </c>
      <c r="D1287" s="25" t="s">
        <v>436</v>
      </c>
      <c r="E1287" s="45" t="s">
        <v>1053</v>
      </c>
      <c r="F1287" s="47">
        <v>2002.0</v>
      </c>
      <c r="G1287" s="48">
        <v>15198.0</v>
      </c>
      <c r="H1287" s="48" t="s">
        <v>188</v>
      </c>
      <c r="I1287" s="48" t="s">
        <v>188</v>
      </c>
      <c r="J1287" s="78" t="s">
        <v>188</v>
      </c>
      <c r="K1287" s="66" t="s">
        <v>188</v>
      </c>
      <c r="L1287" s="29" t="s">
        <v>81</v>
      </c>
      <c r="M1287" s="51"/>
      <c r="N1287" s="51"/>
      <c r="O1287" s="51"/>
      <c r="P1287" s="51"/>
      <c r="Q1287" s="51"/>
      <c r="R1287" s="51"/>
      <c r="S1287" s="51"/>
      <c r="T1287" s="51"/>
      <c r="U1287" s="51"/>
      <c r="V1287" s="51"/>
      <c r="W1287" s="51"/>
      <c r="X1287" s="51"/>
      <c r="Y1287" s="51"/>
      <c r="Z1287" s="51"/>
      <c r="AA1287" s="51"/>
      <c r="AB1287" s="51"/>
      <c r="AC1287" s="51"/>
      <c r="AD1287" s="51"/>
      <c r="AE1287" s="51"/>
    </row>
    <row r="1288">
      <c r="A1288" s="45" t="s">
        <v>1245</v>
      </c>
      <c r="B1288" s="45" t="s">
        <v>1279</v>
      </c>
      <c r="C1288" s="11" t="s">
        <v>1280</v>
      </c>
      <c r="D1288" s="25" t="s">
        <v>436</v>
      </c>
      <c r="E1288" s="45" t="s">
        <v>1053</v>
      </c>
      <c r="F1288" s="47">
        <v>2010.0</v>
      </c>
      <c r="G1288" s="48">
        <v>15343.0</v>
      </c>
      <c r="H1288" s="48">
        <f t="shared" ref="H1288:I1288" si="1009">F1288-F1287</f>
        <v>8</v>
      </c>
      <c r="I1288" s="48">
        <f t="shared" si="1009"/>
        <v>145</v>
      </c>
      <c r="J1288" s="78">
        <f t="shared" ref="J1288:J1289" si="1011">I1288/G1287</f>
        <v>0.009540729043</v>
      </c>
      <c r="K1288" s="66">
        <f t="shared" ref="K1288:K1289" si="1012">J1288/H1288</f>
        <v>0.00119259113</v>
      </c>
      <c r="L1288" s="29" t="s">
        <v>81</v>
      </c>
      <c r="M1288" s="51"/>
      <c r="N1288" s="51"/>
      <c r="O1288" s="51"/>
      <c r="P1288" s="51"/>
      <c r="Q1288" s="51"/>
      <c r="R1288" s="51"/>
      <c r="S1288" s="51"/>
      <c r="T1288" s="51"/>
      <c r="U1288" s="51"/>
      <c r="V1288" s="51"/>
      <c r="W1288" s="51"/>
      <c r="X1288" s="51"/>
      <c r="Y1288" s="51"/>
      <c r="Z1288" s="51"/>
      <c r="AA1288" s="51"/>
      <c r="AB1288" s="51"/>
      <c r="AC1288" s="51"/>
      <c r="AD1288" s="51"/>
      <c r="AE1288" s="51"/>
    </row>
    <row r="1289">
      <c r="A1289" s="45" t="s">
        <v>1245</v>
      </c>
      <c r="B1289" s="45" t="s">
        <v>1279</v>
      </c>
      <c r="C1289" s="11" t="s">
        <v>1280</v>
      </c>
      <c r="D1289" s="25" t="s">
        <v>436</v>
      </c>
      <c r="E1289" s="45" t="s">
        <v>1053</v>
      </c>
      <c r="F1289" s="47">
        <v>2017.0</v>
      </c>
      <c r="G1289" s="48">
        <v>12607.0</v>
      </c>
      <c r="H1289" s="48">
        <f t="shared" ref="H1289:I1289" si="1010">F1289-F1288</f>
        <v>7</v>
      </c>
      <c r="I1289" s="48">
        <f t="shared" si="1010"/>
        <v>-2736</v>
      </c>
      <c r="J1289" s="78">
        <f t="shared" si="1011"/>
        <v>-0.178322362</v>
      </c>
      <c r="K1289" s="66">
        <f t="shared" si="1012"/>
        <v>-0.02547462314</v>
      </c>
      <c r="L1289" s="29" t="s">
        <v>81</v>
      </c>
      <c r="M1289" s="51"/>
      <c r="N1289" s="51"/>
      <c r="O1289" s="51"/>
      <c r="P1289" s="51"/>
      <c r="Q1289" s="51"/>
      <c r="R1289" s="51"/>
      <c r="S1289" s="51"/>
      <c r="T1289" s="51"/>
      <c r="U1289" s="51"/>
      <c r="V1289" s="51"/>
      <c r="W1289" s="51"/>
      <c r="X1289" s="51"/>
      <c r="Y1289" s="51"/>
      <c r="Z1289" s="51"/>
      <c r="AA1289" s="51"/>
      <c r="AB1289" s="51"/>
      <c r="AC1289" s="51"/>
      <c r="AD1289" s="51"/>
      <c r="AE1289" s="51"/>
    </row>
    <row r="1290">
      <c r="A1290" s="45" t="s">
        <v>1245</v>
      </c>
      <c r="B1290" s="45" t="s">
        <v>1279</v>
      </c>
      <c r="C1290" s="11" t="s">
        <v>1280</v>
      </c>
      <c r="D1290" s="25" t="s">
        <v>257</v>
      </c>
      <c r="E1290" s="45" t="s">
        <v>1053</v>
      </c>
      <c r="F1290" s="47">
        <v>2002.0</v>
      </c>
      <c r="G1290" s="48">
        <v>11566.0</v>
      </c>
      <c r="H1290" s="48" t="s">
        <v>188</v>
      </c>
      <c r="I1290" s="48" t="s">
        <v>188</v>
      </c>
      <c r="J1290" s="78" t="s">
        <v>188</v>
      </c>
      <c r="K1290" s="66" t="s">
        <v>188</v>
      </c>
      <c r="L1290" s="29" t="s">
        <v>81</v>
      </c>
      <c r="M1290" s="51"/>
      <c r="N1290" s="51"/>
      <c r="O1290" s="51"/>
      <c r="P1290" s="51"/>
      <c r="Q1290" s="51"/>
      <c r="R1290" s="51"/>
      <c r="S1290" s="51"/>
      <c r="T1290" s="51"/>
      <c r="U1290" s="51"/>
      <c r="V1290" s="51"/>
      <c r="W1290" s="51"/>
      <c r="X1290" s="51"/>
      <c r="Y1290" s="51"/>
      <c r="Z1290" s="51"/>
      <c r="AA1290" s="51"/>
      <c r="AB1290" s="51"/>
      <c r="AC1290" s="51"/>
      <c r="AD1290" s="51"/>
      <c r="AE1290" s="51"/>
    </row>
    <row r="1291">
      <c r="A1291" s="45" t="s">
        <v>1245</v>
      </c>
      <c r="B1291" s="45" t="s">
        <v>1279</v>
      </c>
      <c r="C1291" s="11" t="s">
        <v>1280</v>
      </c>
      <c r="D1291" s="25" t="s">
        <v>257</v>
      </c>
      <c r="E1291" s="45" t="s">
        <v>1053</v>
      </c>
      <c r="F1291" s="47">
        <v>2010.0</v>
      </c>
      <c r="G1291" s="48">
        <v>17583.0</v>
      </c>
      <c r="H1291" s="48">
        <f t="shared" ref="H1291:I1291" si="1013">F1291-F1290</f>
        <v>8</v>
      </c>
      <c r="I1291" s="48">
        <f t="shared" si="1013"/>
        <v>6017</v>
      </c>
      <c r="J1291" s="78">
        <f t="shared" ref="J1291:J1292" si="1015">I1291/G1290</f>
        <v>0.5202317136</v>
      </c>
      <c r="K1291" s="66">
        <f t="shared" ref="K1291:K1292" si="1016">J1291/H1291</f>
        <v>0.06502896421</v>
      </c>
      <c r="L1291" s="29" t="s">
        <v>81</v>
      </c>
      <c r="M1291" s="51"/>
      <c r="N1291" s="51"/>
      <c r="O1291" s="51"/>
      <c r="P1291" s="51"/>
      <c r="Q1291" s="51"/>
      <c r="R1291" s="51"/>
      <c r="S1291" s="51"/>
      <c r="T1291" s="51"/>
      <c r="U1291" s="51"/>
      <c r="V1291" s="51"/>
      <c r="W1291" s="51"/>
      <c r="X1291" s="51"/>
      <c r="Y1291" s="51"/>
      <c r="Z1291" s="51"/>
      <c r="AA1291" s="51"/>
      <c r="AB1291" s="51"/>
      <c r="AC1291" s="51"/>
      <c r="AD1291" s="51"/>
      <c r="AE1291" s="51"/>
    </row>
    <row r="1292">
      <c r="A1292" s="45" t="s">
        <v>1245</v>
      </c>
      <c r="B1292" s="45" t="s">
        <v>1279</v>
      </c>
      <c r="C1292" s="11" t="s">
        <v>1280</v>
      </c>
      <c r="D1292" s="25" t="s">
        <v>257</v>
      </c>
      <c r="E1292" s="45" t="s">
        <v>1053</v>
      </c>
      <c r="F1292" s="47">
        <v>2017.0</v>
      </c>
      <c r="G1292" s="48">
        <v>7956.0</v>
      </c>
      <c r="H1292" s="48">
        <f t="shared" ref="H1292:I1292" si="1014">F1292-F1291</f>
        <v>7</v>
      </c>
      <c r="I1292" s="48">
        <f t="shared" si="1014"/>
        <v>-9627</v>
      </c>
      <c r="J1292" s="78">
        <f t="shared" si="1015"/>
        <v>-0.5475174885</v>
      </c>
      <c r="K1292" s="66">
        <f t="shared" si="1016"/>
        <v>-0.07821678407</v>
      </c>
      <c r="L1292" s="29" t="s">
        <v>81</v>
      </c>
      <c r="M1292" s="51"/>
      <c r="N1292" s="51"/>
      <c r="O1292" s="51"/>
      <c r="P1292" s="51"/>
      <c r="Q1292" s="51"/>
      <c r="R1292" s="51"/>
      <c r="S1292" s="51"/>
      <c r="T1292" s="51"/>
      <c r="U1292" s="51"/>
      <c r="V1292" s="51"/>
      <c r="W1292" s="51"/>
      <c r="X1292" s="51"/>
      <c r="Y1292" s="51"/>
      <c r="Z1292" s="51"/>
      <c r="AA1292" s="51"/>
      <c r="AB1292" s="51"/>
      <c r="AC1292" s="51"/>
      <c r="AD1292" s="51"/>
      <c r="AE1292" s="51"/>
    </row>
    <row r="1293">
      <c r="A1293" s="59" t="s">
        <v>949</v>
      </c>
      <c r="B1293" s="59" t="s">
        <v>1292</v>
      </c>
      <c r="C1293" s="11" t="s">
        <v>1293</v>
      </c>
      <c r="D1293" s="59" t="s">
        <v>1294</v>
      </c>
      <c r="E1293" s="59" t="s">
        <v>1295</v>
      </c>
      <c r="F1293" s="81">
        <v>1983.0</v>
      </c>
      <c r="G1293" s="76">
        <v>1277.0</v>
      </c>
      <c r="H1293" s="76" t="s">
        <v>188</v>
      </c>
      <c r="I1293" s="76" t="s">
        <v>188</v>
      </c>
      <c r="J1293" s="93" t="s">
        <v>188</v>
      </c>
      <c r="K1293" s="66" t="s">
        <v>188</v>
      </c>
      <c r="L1293" s="106" t="s">
        <v>81</v>
      </c>
      <c r="M1293" s="54"/>
      <c r="N1293" s="54"/>
      <c r="O1293" s="54"/>
      <c r="P1293" s="54"/>
      <c r="Q1293" s="54"/>
      <c r="R1293" s="54"/>
      <c r="S1293" s="54"/>
      <c r="T1293" s="54"/>
      <c r="U1293" s="54"/>
      <c r="V1293" s="54"/>
      <c r="W1293" s="54"/>
      <c r="X1293" s="54"/>
      <c r="Y1293" s="54"/>
      <c r="Z1293" s="54"/>
      <c r="AA1293" s="54"/>
      <c r="AB1293" s="54"/>
      <c r="AC1293" s="54"/>
      <c r="AD1293" s="54"/>
      <c r="AE1293" s="54"/>
    </row>
    <row r="1294">
      <c r="A1294" s="59" t="s">
        <v>949</v>
      </c>
      <c r="B1294" s="59" t="s">
        <v>1292</v>
      </c>
      <c r="C1294" s="11" t="s">
        <v>1293</v>
      </c>
      <c r="D1294" s="59" t="s">
        <v>1294</v>
      </c>
      <c r="E1294" s="59" t="s">
        <v>1295</v>
      </c>
      <c r="F1294" s="81">
        <v>1984.0</v>
      </c>
      <c r="G1294" s="76">
        <v>1303.0</v>
      </c>
      <c r="H1294" s="76">
        <f t="shared" ref="H1294:I1294" si="1017">F1294-F1293</f>
        <v>1</v>
      </c>
      <c r="I1294" s="76">
        <f t="shared" si="1017"/>
        <v>26</v>
      </c>
      <c r="J1294" s="93">
        <f t="shared" ref="J1294:J1328" si="1019">I1294/G1293</f>
        <v>0.02036021926</v>
      </c>
      <c r="K1294" s="66">
        <f t="shared" ref="K1294:K1328" si="1020">J1294/H1294</f>
        <v>0.02036021926</v>
      </c>
      <c r="L1294" s="106" t="s">
        <v>81</v>
      </c>
      <c r="M1294" s="54"/>
      <c r="N1294" s="54"/>
      <c r="O1294" s="54"/>
      <c r="P1294" s="54"/>
      <c r="Q1294" s="54"/>
      <c r="R1294" s="54"/>
      <c r="S1294" s="54"/>
      <c r="T1294" s="54"/>
      <c r="U1294" s="54"/>
      <c r="V1294" s="54"/>
      <c r="W1294" s="54"/>
      <c r="X1294" s="54"/>
      <c r="Y1294" s="54"/>
      <c r="Z1294" s="54"/>
      <c r="AA1294" s="54"/>
      <c r="AB1294" s="54"/>
      <c r="AC1294" s="54"/>
      <c r="AD1294" s="54"/>
      <c r="AE1294" s="54"/>
    </row>
    <row r="1295">
      <c r="A1295" s="59" t="s">
        <v>949</v>
      </c>
      <c r="B1295" s="59" t="s">
        <v>1292</v>
      </c>
      <c r="C1295" s="11" t="s">
        <v>1293</v>
      </c>
      <c r="D1295" s="59" t="s">
        <v>1294</v>
      </c>
      <c r="E1295" s="59" t="s">
        <v>1295</v>
      </c>
      <c r="F1295" s="81">
        <v>1985.0</v>
      </c>
      <c r="G1295" s="76">
        <v>1361.0</v>
      </c>
      <c r="H1295" s="76">
        <f t="shared" ref="H1295:I1295" si="1018">F1295-F1294</f>
        <v>1</v>
      </c>
      <c r="I1295" s="76">
        <f t="shared" si="1018"/>
        <v>58</v>
      </c>
      <c r="J1295" s="93">
        <f t="shared" si="1019"/>
        <v>0.04451266309</v>
      </c>
      <c r="K1295" s="66">
        <f t="shared" si="1020"/>
        <v>0.04451266309</v>
      </c>
      <c r="L1295" s="106" t="s">
        <v>81</v>
      </c>
      <c r="M1295" s="54"/>
      <c r="N1295" s="54"/>
      <c r="O1295" s="54"/>
      <c r="P1295" s="54"/>
      <c r="Q1295" s="54"/>
      <c r="R1295" s="54"/>
      <c r="S1295" s="54"/>
      <c r="T1295" s="54"/>
      <c r="U1295" s="54"/>
      <c r="V1295" s="54"/>
      <c r="W1295" s="54"/>
      <c r="X1295" s="54"/>
      <c r="Y1295" s="54"/>
      <c r="Z1295" s="54"/>
      <c r="AA1295" s="54"/>
      <c r="AB1295" s="54"/>
      <c r="AC1295" s="54"/>
      <c r="AD1295" s="54"/>
      <c r="AE1295" s="54"/>
    </row>
    <row r="1296">
      <c r="A1296" s="59" t="s">
        <v>949</v>
      </c>
      <c r="B1296" s="59" t="s">
        <v>1292</v>
      </c>
      <c r="C1296" s="11" t="s">
        <v>1293</v>
      </c>
      <c r="D1296" s="59" t="s">
        <v>1294</v>
      </c>
      <c r="E1296" s="59" t="s">
        <v>1295</v>
      </c>
      <c r="F1296" s="81">
        <v>1986.0</v>
      </c>
      <c r="G1296" s="76">
        <v>1586.0</v>
      </c>
      <c r="H1296" s="76">
        <f t="shared" ref="H1296:I1296" si="1021">F1296-F1295</f>
        <v>1</v>
      </c>
      <c r="I1296" s="76">
        <f t="shared" si="1021"/>
        <v>225</v>
      </c>
      <c r="J1296" s="93">
        <f t="shared" si="1019"/>
        <v>0.1653196179</v>
      </c>
      <c r="K1296" s="66">
        <f t="shared" si="1020"/>
        <v>0.1653196179</v>
      </c>
      <c r="L1296" s="106" t="s">
        <v>81</v>
      </c>
      <c r="M1296" s="54"/>
      <c r="N1296" s="54"/>
      <c r="O1296" s="54"/>
      <c r="P1296" s="54"/>
      <c r="Q1296" s="54"/>
      <c r="R1296" s="54"/>
      <c r="S1296" s="54"/>
      <c r="T1296" s="54"/>
      <c r="U1296" s="54"/>
      <c r="V1296" s="54"/>
      <c r="W1296" s="54"/>
      <c r="X1296" s="54"/>
      <c r="Y1296" s="54"/>
      <c r="Z1296" s="54"/>
      <c r="AA1296" s="54"/>
      <c r="AB1296" s="54"/>
      <c r="AC1296" s="54"/>
      <c r="AD1296" s="54"/>
      <c r="AE1296" s="54"/>
    </row>
    <row r="1297">
      <c r="A1297" s="59" t="s">
        <v>949</v>
      </c>
      <c r="B1297" s="59" t="s">
        <v>1292</v>
      </c>
      <c r="C1297" s="11" t="s">
        <v>1293</v>
      </c>
      <c r="D1297" s="59" t="s">
        <v>1294</v>
      </c>
      <c r="E1297" s="59" t="s">
        <v>1295</v>
      </c>
      <c r="F1297" s="81">
        <v>1987.0</v>
      </c>
      <c r="G1297" s="76">
        <v>1662.0</v>
      </c>
      <c r="H1297" s="76">
        <f t="shared" ref="H1297:I1297" si="1022">F1297-F1296</f>
        <v>1</v>
      </c>
      <c r="I1297" s="76">
        <f t="shared" si="1022"/>
        <v>76</v>
      </c>
      <c r="J1297" s="93">
        <f t="shared" si="1019"/>
        <v>0.04791929382</v>
      </c>
      <c r="K1297" s="66">
        <f t="shared" si="1020"/>
        <v>0.04791929382</v>
      </c>
      <c r="L1297" s="106" t="s">
        <v>81</v>
      </c>
      <c r="M1297" s="54"/>
      <c r="N1297" s="54"/>
      <c r="O1297" s="54"/>
      <c r="P1297" s="54"/>
      <c r="Q1297" s="54"/>
      <c r="R1297" s="54"/>
      <c r="S1297" s="54"/>
      <c r="T1297" s="54"/>
      <c r="U1297" s="54"/>
      <c r="V1297" s="54"/>
      <c r="W1297" s="54"/>
      <c r="X1297" s="54"/>
      <c r="Y1297" s="54"/>
      <c r="Z1297" s="54"/>
      <c r="AA1297" s="54"/>
      <c r="AB1297" s="54"/>
      <c r="AC1297" s="54"/>
      <c r="AD1297" s="54"/>
      <c r="AE1297" s="54"/>
    </row>
    <row r="1298">
      <c r="A1298" s="59" t="s">
        <v>949</v>
      </c>
      <c r="B1298" s="59" t="s">
        <v>1292</v>
      </c>
      <c r="C1298" s="11" t="s">
        <v>1293</v>
      </c>
      <c r="D1298" s="59" t="s">
        <v>1294</v>
      </c>
      <c r="E1298" s="59" t="s">
        <v>1295</v>
      </c>
      <c r="F1298" s="81">
        <v>1988.0</v>
      </c>
      <c r="G1298" s="76">
        <v>1725.0</v>
      </c>
      <c r="H1298" s="76">
        <f t="shared" ref="H1298:I1298" si="1023">F1298-F1297</f>
        <v>1</v>
      </c>
      <c r="I1298" s="76">
        <f t="shared" si="1023"/>
        <v>63</v>
      </c>
      <c r="J1298" s="93">
        <f t="shared" si="1019"/>
        <v>0.03790613718</v>
      </c>
      <c r="K1298" s="66">
        <f t="shared" si="1020"/>
        <v>0.03790613718</v>
      </c>
      <c r="L1298" s="106" t="s">
        <v>81</v>
      </c>
      <c r="M1298" s="54"/>
      <c r="N1298" s="54"/>
      <c r="O1298" s="54"/>
      <c r="P1298" s="54"/>
      <c r="Q1298" s="54"/>
      <c r="R1298" s="54"/>
      <c r="S1298" s="54"/>
      <c r="T1298" s="54"/>
      <c r="U1298" s="54"/>
      <c r="V1298" s="54"/>
      <c r="W1298" s="54"/>
      <c r="X1298" s="54"/>
      <c r="Y1298" s="54"/>
      <c r="Z1298" s="54"/>
      <c r="AA1298" s="54"/>
      <c r="AB1298" s="54"/>
      <c r="AC1298" s="54"/>
      <c r="AD1298" s="54"/>
      <c r="AE1298" s="54"/>
    </row>
    <row r="1299">
      <c r="A1299" s="59" t="s">
        <v>949</v>
      </c>
      <c r="B1299" s="59" t="s">
        <v>1292</v>
      </c>
      <c r="C1299" s="11" t="s">
        <v>1293</v>
      </c>
      <c r="D1299" s="59" t="s">
        <v>1294</v>
      </c>
      <c r="E1299" s="59" t="s">
        <v>1295</v>
      </c>
      <c r="F1299" s="81">
        <v>1989.0</v>
      </c>
      <c r="G1299" s="76">
        <v>1856.0</v>
      </c>
      <c r="H1299" s="76">
        <f t="shared" ref="H1299:I1299" si="1024">F1299-F1298</f>
        <v>1</v>
      </c>
      <c r="I1299" s="76">
        <f t="shared" si="1024"/>
        <v>131</v>
      </c>
      <c r="J1299" s="93">
        <f t="shared" si="1019"/>
        <v>0.07594202899</v>
      </c>
      <c r="K1299" s="66">
        <f t="shared" si="1020"/>
        <v>0.07594202899</v>
      </c>
      <c r="L1299" s="106" t="s">
        <v>81</v>
      </c>
      <c r="M1299" s="54"/>
      <c r="N1299" s="54"/>
      <c r="O1299" s="54"/>
      <c r="P1299" s="54"/>
      <c r="Q1299" s="54"/>
      <c r="R1299" s="54"/>
      <c r="S1299" s="54"/>
      <c r="T1299" s="54"/>
      <c r="U1299" s="54"/>
      <c r="V1299" s="54"/>
      <c r="W1299" s="54"/>
      <c r="X1299" s="54"/>
      <c r="Y1299" s="54"/>
      <c r="Z1299" s="54"/>
      <c r="AA1299" s="54"/>
      <c r="AB1299" s="54"/>
      <c r="AC1299" s="54"/>
      <c r="AD1299" s="54"/>
      <c r="AE1299" s="54"/>
    </row>
    <row r="1300">
      <c r="A1300" s="59" t="s">
        <v>949</v>
      </c>
      <c r="B1300" s="59" t="s">
        <v>1292</v>
      </c>
      <c r="C1300" s="11" t="s">
        <v>1293</v>
      </c>
      <c r="D1300" s="59" t="s">
        <v>1294</v>
      </c>
      <c r="E1300" s="59" t="s">
        <v>1295</v>
      </c>
      <c r="F1300" s="81">
        <v>1990.0</v>
      </c>
      <c r="G1300" s="76">
        <v>1680.0</v>
      </c>
      <c r="H1300" s="76">
        <f t="shared" ref="H1300:I1300" si="1025">F1300-F1299</f>
        <v>1</v>
      </c>
      <c r="I1300" s="76">
        <f t="shared" si="1025"/>
        <v>-176</v>
      </c>
      <c r="J1300" s="93">
        <f t="shared" si="1019"/>
        <v>-0.09482758621</v>
      </c>
      <c r="K1300" s="66">
        <f t="shared" si="1020"/>
        <v>-0.09482758621</v>
      </c>
      <c r="L1300" s="106" t="s">
        <v>81</v>
      </c>
      <c r="M1300" s="54"/>
      <c r="N1300" s="54"/>
      <c r="O1300" s="54"/>
      <c r="P1300" s="54"/>
      <c r="Q1300" s="54"/>
      <c r="R1300" s="54"/>
      <c r="S1300" s="54"/>
      <c r="T1300" s="54"/>
      <c r="U1300" s="54"/>
      <c r="V1300" s="54"/>
      <c r="W1300" s="54"/>
      <c r="X1300" s="54"/>
      <c r="Y1300" s="54"/>
      <c r="Z1300" s="54"/>
      <c r="AA1300" s="54"/>
      <c r="AB1300" s="54"/>
      <c r="AC1300" s="54"/>
      <c r="AD1300" s="54"/>
      <c r="AE1300" s="54"/>
    </row>
    <row r="1301">
      <c r="A1301" s="59" t="s">
        <v>949</v>
      </c>
      <c r="B1301" s="59" t="s">
        <v>1292</v>
      </c>
      <c r="C1301" s="11" t="s">
        <v>1293</v>
      </c>
      <c r="D1301" s="59" t="s">
        <v>1294</v>
      </c>
      <c r="E1301" s="59" t="s">
        <v>1295</v>
      </c>
      <c r="F1301" s="81">
        <v>1991.0</v>
      </c>
      <c r="G1301" s="76">
        <v>1941.0</v>
      </c>
      <c r="H1301" s="76">
        <f t="shared" ref="H1301:I1301" si="1026">F1301-F1300</f>
        <v>1</v>
      </c>
      <c r="I1301" s="76">
        <f t="shared" si="1026"/>
        <v>261</v>
      </c>
      <c r="J1301" s="93">
        <f t="shared" si="1019"/>
        <v>0.1553571429</v>
      </c>
      <c r="K1301" s="66">
        <f t="shared" si="1020"/>
        <v>0.1553571429</v>
      </c>
      <c r="L1301" s="106" t="s">
        <v>81</v>
      </c>
      <c r="M1301" s="54"/>
      <c r="N1301" s="54"/>
      <c r="O1301" s="54"/>
      <c r="P1301" s="54"/>
      <c r="Q1301" s="54"/>
      <c r="R1301" s="54"/>
      <c r="S1301" s="54"/>
      <c r="T1301" s="54"/>
      <c r="U1301" s="54"/>
      <c r="V1301" s="54"/>
      <c r="W1301" s="54"/>
      <c r="X1301" s="54"/>
      <c r="Y1301" s="54"/>
      <c r="Z1301" s="54"/>
      <c r="AA1301" s="54"/>
      <c r="AB1301" s="54"/>
      <c r="AC1301" s="54"/>
      <c r="AD1301" s="54"/>
      <c r="AE1301" s="54"/>
    </row>
    <row r="1302">
      <c r="A1302" s="59" t="s">
        <v>949</v>
      </c>
      <c r="B1302" s="59" t="s">
        <v>1292</v>
      </c>
      <c r="C1302" s="11" t="s">
        <v>1293</v>
      </c>
      <c r="D1302" s="59" t="s">
        <v>1294</v>
      </c>
      <c r="E1302" s="59" t="s">
        <v>1295</v>
      </c>
      <c r="F1302" s="81">
        <v>1992.0</v>
      </c>
      <c r="G1302" s="76">
        <v>2101.0</v>
      </c>
      <c r="H1302" s="76">
        <f t="shared" ref="H1302:I1302" si="1027">F1302-F1301</f>
        <v>1</v>
      </c>
      <c r="I1302" s="76">
        <f t="shared" si="1027"/>
        <v>160</v>
      </c>
      <c r="J1302" s="93">
        <f t="shared" si="1019"/>
        <v>0.08243173622</v>
      </c>
      <c r="K1302" s="66">
        <f t="shared" si="1020"/>
        <v>0.08243173622</v>
      </c>
      <c r="L1302" s="106" t="s">
        <v>81</v>
      </c>
      <c r="M1302" s="54"/>
      <c r="N1302" s="54"/>
      <c r="O1302" s="54"/>
      <c r="P1302" s="54"/>
      <c r="Q1302" s="54"/>
      <c r="R1302" s="54"/>
      <c r="S1302" s="54"/>
      <c r="T1302" s="54"/>
      <c r="U1302" s="54"/>
      <c r="V1302" s="54"/>
      <c r="W1302" s="54"/>
      <c r="X1302" s="54"/>
      <c r="Y1302" s="54"/>
      <c r="Z1302" s="54"/>
      <c r="AA1302" s="54"/>
      <c r="AB1302" s="54"/>
      <c r="AC1302" s="54"/>
      <c r="AD1302" s="54"/>
      <c r="AE1302" s="54"/>
    </row>
    <row r="1303">
      <c r="A1303" s="59" t="s">
        <v>949</v>
      </c>
      <c r="B1303" s="59" t="s">
        <v>1292</v>
      </c>
      <c r="C1303" s="11" t="s">
        <v>1293</v>
      </c>
      <c r="D1303" s="59" t="s">
        <v>1294</v>
      </c>
      <c r="E1303" s="59" t="s">
        <v>1295</v>
      </c>
      <c r="F1303" s="81">
        <v>1993.0</v>
      </c>
      <c r="G1303" s="76">
        <v>2239.0</v>
      </c>
      <c r="H1303" s="76">
        <f t="shared" ref="H1303:I1303" si="1028">F1303-F1302</f>
        <v>1</v>
      </c>
      <c r="I1303" s="76">
        <f t="shared" si="1028"/>
        <v>138</v>
      </c>
      <c r="J1303" s="93">
        <f t="shared" si="1019"/>
        <v>0.06568300809</v>
      </c>
      <c r="K1303" s="66">
        <f t="shared" si="1020"/>
        <v>0.06568300809</v>
      </c>
      <c r="L1303" s="106" t="s">
        <v>81</v>
      </c>
      <c r="M1303" s="54"/>
      <c r="N1303" s="54"/>
      <c r="O1303" s="54"/>
      <c r="P1303" s="54"/>
      <c r="Q1303" s="54"/>
      <c r="R1303" s="54"/>
      <c r="S1303" s="54"/>
      <c r="T1303" s="54"/>
      <c r="U1303" s="54"/>
      <c r="V1303" s="54"/>
      <c r="W1303" s="54"/>
      <c r="X1303" s="54"/>
      <c r="Y1303" s="54"/>
      <c r="Z1303" s="54"/>
      <c r="AA1303" s="54"/>
      <c r="AB1303" s="54"/>
      <c r="AC1303" s="54"/>
      <c r="AD1303" s="54"/>
      <c r="AE1303" s="54"/>
    </row>
    <row r="1304">
      <c r="A1304" s="59" t="s">
        <v>949</v>
      </c>
      <c r="B1304" s="59" t="s">
        <v>1292</v>
      </c>
      <c r="C1304" s="11" t="s">
        <v>1293</v>
      </c>
      <c r="D1304" s="59" t="s">
        <v>1294</v>
      </c>
      <c r="E1304" s="59" t="s">
        <v>1295</v>
      </c>
      <c r="F1304" s="81">
        <v>1994.0</v>
      </c>
      <c r="G1304" s="76">
        <v>2359.0</v>
      </c>
      <c r="H1304" s="76">
        <f t="shared" ref="H1304:I1304" si="1029">F1304-F1303</f>
        <v>1</v>
      </c>
      <c r="I1304" s="76">
        <f t="shared" si="1029"/>
        <v>120</v>
      </c>
      <c r="J1304" s="93">
        <f t="shared" si="1019"/>
        <v>0.05359535507</v>
      </c>
      <c r="K1304" s="66">
        <f t="shared" si="1020"/>
        <v>0.05359535507</v>
      </c>
      <c r="L1304" s="106" t="s">
        <v>81</v>
      </c>
      <c r="M1304" s="54"/>
      <c r="N1304" s="54"/>
      <c r="O1304" s="54"/>
      <c r="P1304" s="54"/>
      <c r="Q1304" s="54"/>
      <c r="R1304" s="54"/>
      <c r="S1304" s="54"/>
      <c r="T1304" s="54"/>
      <c r="U1304" s="54"/>
      <c r="V1304" s="54"/>
      <c r="W1304" s="54"/>
      <c r="X1304" s="54"/>
      <c r="Y1304" s="54"/>
      <c r="Z1304" s="54"/>
      <c r="AA1304" s="54"/>
      <c r="AB1304" s="54"/>
      <c r="AC1304" s="54"/>
      <c r="AD1304" s="54"/>
      <c r="AE1304" s="54"/>
    </row>
    <row r="1305">
      <c r="A1305" s="59" t="s">
        <v>949</v>
      </c>
      <c r="B1305" s="59" t="s">
        <v>1292</v>
      </c>
      <c r="C1305" s="11" t="s">
        <v>1293</v>
      </c>
      <c r="D1305" s="59" t="s">
        <v>1294</v>
      </c>
      <c r="E1305" s="59" t="s">
        <v>1295</v>
      </c>
      <c r="F1305" s="81">
        <v>1995.0</v>
      </c>
      <c r="G1305" s="76">
        <v>2377.0</v>
      </c>
      <c r="H1305" s="76">
        <f t="shared" ref="H1305:I1305" si="1030">F1305-F1304</f>
        <v>1</v>
      </c>
      <c r="I1305" s="76">
        <f t="shared" si="1030"/>
        <v>18</v>
      </c>
      <c r="J1305" s="93">
        <f t="shared" si="1019"/>
        <v>0.007630351844</v>
      </c>
      <c r="K1305" s="66">
        <f t="shared" si="1020"/>
        <v>0.007630351844</v>
      </c>
      <c r="L1305" s="106" t="s">
        <v>81</v>
      </c>
      <c r="M1305" s="54"/>
      <c r="N1305" s="54"/>
      <c r="O1305" s="54"/>
      <c r="P1305" s="54"/>
      <c r="Q1305" s="54"/>
      <c r="R1305" s="54"/>
      <c r="S1305" s="54"/>
      <c r="T1305" s="54"/>
      <c r="U1305" s="54"/>
      <c r="V1305" s="54"/>
      <c r="W1305" s="54"/>
      <c r="X1305" s="54"/>
      <c r="Y1305" s="54"/>
      <c r="Z1305" s="54"/>
      <c r="AA1305" s="54"/>
      <c r="AB1305" s="54"/>
      <c r="AC1305" s="54"/>
      <c r="AD1305" s="54"/>
      <c r="AE1305" s="54"/>
    </row>
    <row r="1306">
      <c r="A1306" s="59" t="s">
        <v>949</v>
      </c>
      <c r="B1306" s="59" t="s">
        <v>1292</v>
      </c>
      <c r="C1306" s="11" t="s">
        <v>1293</v>
      </c>
      <c r="D1306" s="59" t="s">
        <v>1294</v>
      </c>
      <c r="E1306" s="59" t="s">
        <v>1295</v>
      </c>
      <c r="F1306" s="81">
        <v>1996.0</v>
      </c>
      <c r="G1306" s="76">
        <v>2278.0</v>
      </c>
      <c r="H1306" s="76">
        <f t="shared" ref="H1306:I1306" si="1031">F1306-F1305</f>
        <v>1</v>
      </c>
      <c r="I1306" s="76">
        <f t="shared" si="1031"/>
        <v>-99</v>
      </c>
      <c r="J1306" s="93">
        <f t="shared" si="1019"/>
        <v>-0.04164913757</v>
      </c>
      <c r="K1306" s="66">
        <f t="shared" si="1020"/>
        <v>-0.04164913757</v>
      </c>
      <c r="L1306" s="106" t="s">
        <v>81</v>
      </c>
      <c r="M1306" s="54"/>
      <c r="N1306" s="54"/>
      <c r="O1306" s="54"/>
      <c r="P1306" s="54"/>
      <c r="Q1306" s="54"/>
      <c r="R1306" s="54"/>
      <c r="S1306" s="54"/>
      <c r="T1306" s="54"/>
      <c r="U1306" s="54"/>
      <c r="V1306" s="54"/>
      <c r="W1306" s="54"/>
      <c r="X1306" s="54"/>
      <c r="Y1306" s="54"/>
      <c r="Z1306" s="54"/>
      <c r="AA1306" s="54"/>
      <c r="AB1306" s="54"/>
      <c r="AC1306" s="54"/>
      <c r="AD1306" s="54"/>
      <c r="AE1306" s="54"/>
    </row>
    <row r="1307">
      <c r="A1307" s="59" t="s">
        <v>949</v>
      </c>
      <c r="B1307" s="59" t="s">
        <v>1292</v>
      </c>
      <c r="C1307" s="11" t="s">
        <v>1293</v>
      </c>
      <c r="D1307" s="59" t="s">
        <v>1294</v>
      </c>
      <c r="E1307" s="59" t="s">
        <v>1295</v>
      </c>
      <c r="F1307" s="81">
        <v>1997.0</v>
      </c>
      <c r="G1307" s="76">
        <v>2229.0</v>
      </c>
      <c r="H1307" s="76">
        <f t="shared" ref="H1307:I1307" si="1032">F1307-F1306</f>
        <v>1</v>
      </c>
      <c r="I1307" s="76">
        <f t="shared" si="1032"/>
        <v>-49</v>
      </c>
      <c r="J1307" s="93">
        <f t="shared" si="1019"/>
        <v>-0.02151009658</v>
      </c>
      <c r="K1307" s="66">
        <f t="shared" si="1020"/>
        <v>-0.02151009658</v>
      </c>
      <c r="L1307" s="106" t="s">
        <v>81</v>
      </c>
      <c r="M1307" s="54"/>
      <c r="N1307" s="54"/>
      <c r="O1307" s="54"/>
      <c r="P1307" s="54"/>
      <c r="Q1307" s="54"/>
      <c r="R1307" s="54"/>
      <c r="S1307" s="54"/>
      <c r="T1307" s="54"/>
      <c r="U1307" s="54"/>
      <c r="V1307" s="54"/>
      <c r="W1307" s="54"/>
      <c r="X1307" s="54"/>
      <c r="Y1307" s="54"/>
      <c r="Z1307" s="54"/>
      <c r="AA1307" s="54"/>
      <c r="AB1307" s="54"/>
      <c r="AC1307" s="54"/>
      <c r="AD1307" s="54"/>
      <c r="AE1307" s="54"/>
    </row>
    <row r="1308">
      <c r="A1308" s="59" t="s">
        <v>949</v>
      </c>
      <c r="B1308" s="59" t="s">
        <v>1292</v>
      </c>
      <c r="C1308" s="11" t="s">
        <v>1293</v>
      </c>
      <c r="D1308" s="59" t="s">
        <v>1294</v>
      </c>
      <c r="E1308" s="59" t="s">
        <v>1295</v>
      </c>
      <c r="F1308" s="81">
        <v>1998.0</v>
      </c>
      <c r="G1308" s="76">
        <v>2114.0</v>
      </c>
      <c r="H1308" s="76">
        <f t="shared" ref="H1308:I1308" si="1033">F1308-F1307</f>
        <v>1</v>
      </c>
      <c r="I1308" s="76">
        <f t="shared" si="1033"/>
        <v>-115</v>
      </c>
      <c r="J1308" s="93">
        <f t="shared" si="1019"/>
        <v>-0.05159264244</v>
      </c>
      <c r="K1308" s="66">
        <f t="shared" si="1020"/>
        <v>-0.05159264244</v>
      </c>
      <c r="L1308" s="106" t="s">
        <v>81</v>
      </c>
      <c r="M1308" s="54"/>
      <c r="N1308" s="54"/>
      <c r="O1308" s="54"/>
      <c r="P1308" s="54"/>
      <c r="Q1308" s="54"/>
      <c r="R1308" s="54"/>
      <c r="S1308" s="54"/>
      <c r="T1308" s="54"/>
      <c r="U1308" s="54"/>
      <c r="V1308" s="54"/>
      <c r="W1308" s="54"/>
      <c r="X1308" s="54"/>
      <c r="Y1308" s="54"/>
      <c r="Z1308" s="54"/>
      <c r="AA1308" s="54"/>
      <c r="AB1308" s="54"/>
      <c r="AC1308" s="54"/>
      <c r="AD1308" s="54"/>
      <c r="AE1308" s="54"/>
    </row>
    <row r="1309">
      <c r="A1309" s="59" t="s">
        <v>949</v>
      </c>
      <c r="B1309" s="59" t="s">
        <v>1292</v>
      </c>
      <c r="C1309" s="11" t="s">
        <v>1293</v>
      </c>
      <c r="D1309" s="59" t="s">
        <v>1294</v>
      </c>
      <c r="E1309" s="59" t="s">
        <v>1295</v>
      </c>
      <c r="F1309" s="81">
        <v>1999.0</v>
      </c>
      <c r="G1309" s="76">
        <v>2090.0</v>
      </c>
      <c r="H1309" s="76">
        <f t="shared" ref="H1309:I1309" si="1034">F1309-F1308</f>
        <v>1</v>
      </c>
      <c r="I1309" s="76">
        <f t="shared" si="1034"/>
        <v>-24</v>
      </c>
      <c r="J1309" s="93">
        <f t="shared" si="1019"/>
        <v>-0.01135288553</v>
      </c>
      <c r="K1309" s="66">
        <f t="shared" si="1020"/>
        <v>-0.01135288553</v>
      </c>
      <c r="L1309" s="106" t="s">
        <v>81</v>
      </c>
      <c r="M1309" s="54"/>
      <c r="N1309" s="54"/>
      <c r="O1309" s="54"/>
      <c r="P1309" s="54"/>
      <c r="Q1309" s="54"/>
      <c r="R1309" s="54"/>
      <c r="S1309" s="54"/>
      <c r="T1309" s="54"/>
      <c r="U1309" s="54"/>
      <c r="V1309" s="54"/>
      <c r="W1309" s="54"/>
      <c r="X1309" s="54"/>
      <c r="Y1309" s="54"/>
      <c r="Z1309" s="54"/>
      <c r="AA1309" s="54"/>
      <c r="AB1309" s="54"/>
      <c r="AC1309" s="54"/>
      <c r="AD1309" s="54"/>
      <c r="AE1309" s="54"/>
    </row>
    <row r="1310">
      <c r="A1310" s="59" t="s">
        <v>949</v>
      </c>
      <c r="B1310" s="59" t="s">
        <v>1292</v>
      </c>
      <c r="C1310" s="11" t="s">
        <v>1293</v>
      </c>
      <c r="D1310" s="59" t="s">
        <v>1294</v>
      </c>
      <c r="E1310" s="59" t="s">
        <v>1295</v>
      </c>
      <c r="F1310" s="81">
        <v>2000.0</v>
      </c>
      <c r="G1310" s="76">
        <v>2317.0</v>
      </c>
      <c r="H1310" s="76">
        <f t="shared" ref="H1310:I1310" si="1035">F1310-F1309</f>
        <v>1</v>
      </c>
      <c r="I1310" s="76">
        <f t="shared" si="1035"/>
        <v>227</v>
      </c>
      <c r="J1310" s="93">
        <f t="shared" si="1019"/>
        <v>0.1086124402</v>
      </c>
      <c r="K1310" s="66">
        <f t="shared" si="1020"/>
        <v>0.1086124402</v>
      </c>
      <c r="L1310" s="106" t="s">
        <v>81</v>
      </c>
      <c r="M1310" s="54"/>
      <c r="N1310" s="54"/>
      <c r="O1310" s="54"/>
      <c r="P1310" s="54"/>
      <c r="Q1310" s="54"/>
      <c r="R1310" s="54"/>
      <c r="S1310" s="54"/>
      <c r="T1310" s="54"/>
      <c r="U1310" s="54"/>
      <c r="V1310" s="54"/>
      <c r="W1310" s="54"/>
      <c r="X1310" s="54"/>
      <c r="Y1310" s="54"/>
      <c r="Z1310" s="54"/>
      <c r="AA1310" s="54"/>
      <c r="AB1310" s="54"/>
      <c r="AC1310" s="54"/>
      <c r="AD1310" s="54"/>
      <c r="AE1310" s="54"/>
    </row>
    <row r="1311">
      <c r="A1311" s="59" t="s">
        <v>949</v>
      </c>
      <c r="B1311" s="59" t="s">
        <v>1292</v>
      </c>
      <c r="C1311" s="11" t="s">
        <v>1293</v>
      </c>
      <c r="D1311" s="59" t="s">
        <v>1294</v>
      </c>
      <c r="E1311" s="59" t="s">
        <v>1295</v>
      </c>
      <c r="F1311" s="81">
        <v>2001.0</v>
      </c>
      <c r="G1311" s="76">
        <v>2161.0</v>
      </c>
      <c r="H1311" s="76">
        <f t="shared" ref="H1311:I1311" si="1036">F1311-F1310</f>
        <v>1</v>
      </c>
      <c r="I1311" s="76">
        <f t="shared" si="1036"/>
        <v>-156</v>
      </c>
      <c r="J1311" s="93">
        <f t="shared" si="1019"/>
        <v>-0.06732844195</v>
      </c>
      <c r="K1311" s="66">
        <f t="shared" si="1020"/>
        <v>-0.06732844195</v>
      </c>
      <c r="L1311" s="106" t="s">
        <v>81</v>
      </c>
      <c r="M1311" s="54"/>
      <c r="N1311" s="54"/>
      <c r="O1311" s="54"/>
      <c r="P1311" s="54"/>
      <c r="Q1311" s="54"/>
      <c r="R1311" s="54"/>
      <c r="S1311" s="54"/>
      <c r="T1311" s="54"/>
      <c r="U1311" s="54"/>
      <c r="V1311" s="54"/>
      <c r="W1311" s="54"/>
      <c r="X1311" s="54"/>
      <c r="Y1311" s="54"/>
      <c r="Z1311" s="54"/>
      <c r="AA1311" s="54"/>
      <c r="AB1311" s="54"/>
      <c r="AC1311" s="54"/>
      <c r="AD1311" s="54"/>
      <c r="AE1311" s="54"/>
    </row>
    <row r="1312">
      <c r="A1312" s="59" t="s">
        <v>949</v>
      </c>
      <c r="B1312" s="59" t="s">
        <v>1292</v>
      </c>
      <c r="C1312" s="11" t="s">
        <v>1293</v>
      </c>
      <c r="D1312" s="59" t="s">
        <v>1294</v>
      </c>
      <c r="E1312" s="59" t="s">
        <v>1295</v>
      </c>
      <c r="F1312" s="81">
        <v>2002.0</v>
      </c>
      <c r="G1312" s="76">
        <v>2139.0</v>
      </c>
      <c r="H1312" s="76">
        <f t="shared" ref="H1312:I1312" si="1037">F1312-F1311</f>
        <v>1</v>
      </c>
      <c r="I1312" s="76">
        <f t="shared" si="1037"/>
        <v>-22</v>
      </c>
      <c r="J1312" s="93">
        <f t="shared" si="1019"/>
        <v>-0.010180472</v>
      </c>
      <c r="K1312" s="66">
        <f t="shared" si="1020"/>
        <v>-0.010180472</v>
      </c>
      <c r="L1312" s="106" t="s">
        <v>81</v>
      </c>
      <c r="M1312" s="54"/>
      <c r="N1312" s="54"/>
      <c r="O1312" s="54"/>
      <c r="P1312" s="54"/>
      <c r="Q1312" s="54"/>
      <c r="R1312" s="54"/>
      <c r="S1312" s="54"/>
      <c r="T1312" s="54"/>
      <c r="U1312" s="54"/>
      <c r="V1312" s="54"/>
      <c r="W1312" s="54"/>
      <c r="X1312" s="54"/>
      <c r="Y1312" s="54"/>
      <c r="Z1312" s="54"/>
      <c r="AA1312" s="54"/>
      <c r="AB1312" s="54"/>
      <c r="AC1312" s="54"/>
      <c r="AD1312" s="54"/>
      <c r="AE1312" s="54"/>
    </row>
    <row r="1313">
      <c r="A1313" s="59" t="s">
        <v>949</v>
      </c>
      <c r="B1313" s="59" t="s">
        <v>1292</v>
      </c>
      <c r="C1313" s="11" t="s">
        <v>1293</v>
      </c>
      <c r="D1313" s="59" t="s">
        <v>1294</v>
      </c>
      <c r="E1313" s="59" t="s">
        <v>1295</v>
      </c>
      <c r="F1313" s="81">
        <v>2003.0</v>
      </c>
      <c r="G1313" s="76">
        <v>2505.0</v>
      </c>
      <c r="H1313" s="76">
        <f t="shared" ref="H1313:I1313" si="1038">F1313-F1312</f>
        <v>1</v>
      </c>
      <c r="I1313" s="76">
        <f t="shared" si="1038"/>
        <v>366</v>
      </c>
      <c r="J1313" s="93">
        <f t="shared" si="1019"/>
        <v>0.1711079944</v>
      </c>
      <c r="K1313" s="66">
        <f t="shared" si="1020"/>
        <v>0.1711079944</v>
      </c>
      <c r="L1313" s="106" t="s">
        <v>81</v>
      </c>
      <c r="M1313" s="54"/>
      <c r="N1313" s="54"/>
      <c r="O1313" s="54"/>
      <c r="P1313" s="54"/>
      <c r="Q1313" s="54"/>
      <c r="R1313" s="54"/>
      <c r="S1313" s="54"/>
      <c r="T1313" s="54"/>
      <c r="U1313" s="54"/>
      <c r="V1313" s="54"/>
      <c r="W1313" s="54"/>
      <c r="X1313" s="54"/>
      <c r="Y1313" s="54"/>
      <c r="Z1313" s="54"/>
      <c r="AA1313" s="54"/>
      <c r="AB1313" s="54"/>
      <c r="AC1313" s="54"/>
      <c r="AD1313" s="54"/>
      <c r="AE1313" s="54"/>
    </row>
    <row r="1314">
      <c r="A1314" s="59" t="s">
        <v>949</v>
      </c>
      <c r="B1314" s="59" t="s">
        <v>1292</v>
      </c>
      <c r="C1314" s="11" t="s">
        <v>1293</v>
      </c>
      <c r="D1314" s="59" t="s">
        <v>1294</v>
      </c>
      <c r="E1314" s="59" t="s">
        <v>1295</v>
      </c>
      <c r="F1314" s="81">
        <v>2004.0</v>
      </c>
      <c r="G1314" s="76">
        <v>2825.0</v>
      </c>
      <c r="H1314" s="76">
        <f t="shared" ref="H1314:I1314" si="1039">F1314-F1313</f>
        <v>1</v>
      </c>
      <c r="I1314" s="76">
        <f t="shared" si="1039"/>
        <v>320</v>
      </c>
      <c r="J1314" s="93">
        <f t="shared" si="1019"/>
        <v>0.127744511</v>
      </c>
      <c r="K1314" s="66">
        <f t="shared" si="1020"/>
        <v>0.127744511</v>
      </c>
      <c r="L1314" s="106" t="s">
        <v>81</v>
      </c>
      <c r="M1314" s="54"/>
      <c r="N1314" s="54"/>
      <c r="O1314" s="54"/>
      <c r="P1314" s="54"/>
      <c r="Q1314" s="54"/>
      <c r="R1314" s="54"/>
      <c r="S1314" s="54"/>
      <c r="T1314" s="54"/>
      <c r="U1314" s="54"/>
      <c r="V1314" s="54"/>
      <c r="W1314" s="54"/>
      <c r="X1314" s="54"/>
      <c r="Y1314" s="54"/>
      <c r="Z1314" s="54"/>
      <c r="AA1314" s="54"/>
      <c r="AB1314" s="54"/>
      <c r="AC1314" s="54"/>
      <c r="AD1314" s="54"/>
      <c r="AE1314" s="54"/>
    </row>
    <row r="1315">
      <c r="A1315" s="59" t="s">
        <v>949</v>
      </c>
      <c r="B1315" s="59" t="s">
        <v>1292</v>
      </c>
      <c r="C1315" s="11" t="s">
        <v>1293</v>
      </c>
      <c r="D1315" s="59" t="s">
        <v>1294</v>
      </c>
      <c r="E1315" s="59" t="s">
        <v>1295</v>
      </c>
      <c r="F1315" s="81">
        <v>2005.0</v>
      </c>
      <c r="G1315" s="76">
        <v>2735.0</v>
      </c>
      <c r="H1315" s="76">
        <f t="shared" ref="H1315:I1315" si="1040">F1315-F1314</f>
        <v>1</v>
      </c>
      <c r="I1315" s="76">
        <f t="shared" si="1040"/>
        <v>-90</v>
      </c>
      <c r="J1315" s="93">
        <f t="shared" si="1019"/>
        <v>-0.03185840708</v>
      </c>
      <c r="K1315" s="66">
        <f t="shared" si="1020"/>
        <v>-0.03185840708</v>
      </c>
      <c r="L1315" s="106" t="s">
        <v>81</v>
      </c>
      <c r="M1315" s="54"/>
      <c r="N1315" s="54"/>
      <c r="O1315" s="54"/>
      <c r="P1315" s="54"/>
      <c r="Q1315" s="54"/>
      <c r="R1315" s="54"/>
      <c r="S1315" s="54"/>
      <c r="T1315" s="54"/>
      <c r="U1315" s="54"/>
      <c r="V1315" s="54"/>
      <c r="W1315" s="54"/>
      <c r="X1315" s="54"/>
      <c r="Y1315" s="54"/>
      <c r="Z1315" s="54"/>
      <c r="AA1315" s="54"/>
      <c r="AB1315" s="54"/>
      <c r="AC1315" s="54"/>
      <c r="AD1315" s="54"/>
      <c r="AE1315" s="54"/>
    </row>
    <row r="1316">
      <c r="A1316" s="59" t="s">
        <v>949</v>
      </c>
      <c r="B1316" s="59" t="s">
        <v>1292</v>
      </c>
      <c r="C1316" s="11" t="s">
        <v>1293</v>
      </c>
      <c r="D1316" s="59" t="s">
        <v>1294</v>
      </c>
      <c r="E1316" s="59" t="s">
        <v>1295</v>
      </c>
      <c r="F1316" s="81">
        <v>2006.0</v>
      </c>
      <c r="G1316" s="76">
        <v>2692.0</v>
      </c>
      <c r="H1316" s="76">
        <f t="shared" ref="H1316:I1316" si="1041">F1316-F1315</f>
        <v>1</v>
      </c>
      <c r="I1316" s="76">
        <f t="shared" si="1041"/>
        <v>-43</v>
      </c>
      <c r="J1316" s="93">
        <f t="shared" si="1019"/>
        <v>-0.01572212066</v>
      </c>
      <c r="K1316" s="66">
        <f t="shared" si="1020"/>
        <v>-0.01572212066</v>
      </c>
      <c r="L1316" s="106" t="s">
        <v>81</v>
      </c>
      <c r="M1316" s="54"/>
      <c r="N1316" s="54"/>
      <c r="O1316" s="54"/>
      <c r="P1316" s="54"/>
      <c r="Q1316" s="54"/>
      <c r="R1316" s="54"/>
      <c r="S1316" s="54"/>
      <c r="T1316" s="54"/>
      <c r="U1316" s="54"/>
      <c r="V1316" s="54"/>
      <c r="W1316" s="54"/>
      <c r="X1316" s="54"/>
      <c r="Y1316" s="54"/>
      <c r="Z1316" s="54"/>
      <c r="AA1316" s="54"/>
      <c r="AB1316" s="54"/>
      <c r="AC1316" s="54"/>
      <c r="AD1316" s="54"/>
      <c r="AE1316" s="54"/>
    </row>
    <row r="1317">
      <c r="A1317" s="59" t="s">
        <v>949</v>
      </c>
      <c r="B1317" s="59" t="s">
        <v>1292</v>
      </c>
      <c r="C1317" s="11" t="s">
        <v>1293</v>
      </c>
      <c r="D1317" s="59" t="s">
        <v>1294</v>
      </c>
      <c r="E1317" s="59" t="s">
        <v>1295</v>
      </c>
      <c r="F1317" s="81">
        <v>2007.0</v>
      </c>
      <c r="G1317" s="76">
        <v>3026.0</v>
      </c>
      <c r="H1317" s="76">
        <f t="shared" ref="H1317:I1317" si="1042">F1317-F1316</f>
        <v>1</v>
      </c>
      <c r="I1317" s="76">
        <f t="shared" si="1042"/>
        <v>334</v>
      </c>
      <c r="J1317" s="93">
        <f t="shared" si="1019"/>
        <v>0.1240713224</v>
      </c>
      <c r="K1317" s="66">
        <f t="shared" si="1020"/>
        <v>0.1240713224</v>
      </c>
      <c r="L1317" s="106" t="s">
        <v>81</v>
      </c>
      <c r="M1317" s="54"/>
      <c r="N1317" s="54"/>
      <c r="O1317" s="54"/>
      <c r="P1317" s="54"/>
      <c r="Q1317" s="54"/>
      <c r="R1317" s="54"/>
      <c r="S1317" s="54"/>
      <c r="T1317" s="54"/>
      <c r="U1317" s="54"/>
      <c r="V1317" s="54"/>
      <c r="W1317" s="54"/>
      <c r="X1317" s="54"/>
      <c r="Y1317" s="54"/>
      <c r="Z1317" s="54"/>
      <c r="AA1317" s="54"/>
      <c r="AB1317" s="54"/>
      <c r="AC1317" s="54"/>
      <c r="AD1317" s="54"/>
      <c r="AE1317" s="54"/>
    </row>
    <row r="1318">
      <c r="A1318" s="59" t="s">
        <v>949</v>
      </c>
      <c r="B1318" s="59" t="s">
        <v>1292</v>
      </c>
      <c r="C1318" s="11" t="s">
        <v>1293</v>
      </c>
      <c r="D1318" s="59" t="s">
        <v>1294</v>
      </c>
      <c r="E1318" s="59" t="s">
        <v>1295</v>
      </c>
      <c r="F1318" s="81">
        <v>2008.0</v>
      </c>
      <c r="G1318" s="76">
        <v>2760.0</v>
      </c>
      <c r="H1318" s="76">
        <f t="shared" ref="H1318:I1318" si="1043">F1318-F1317</f>
        <v>1</v>
      </c>
      <c r="I1318" s="76">
        <f t="shared" si="1043"/>
        <v>-266</v>
      </c>
      <c r="J1318" s="93">
        <f t="shared" si="1019"/>
        <v>-0.08790482485</v>
      </c>
      <c r="K1318" s="66">
        <f t="shared" si="1020"/>
        <v>-0.08790482485</v>
      </c>
      <c r="L1318" s="106" t="s">
        <v>81</v>
      </c>
      <c r="M1318" s="54"/>
      <c r="N1318" s="54"/>
      <c r="O1318" s="54"/>
      <c r="P1318" s="54"/>
      <c r="Q1318" s="54"/>
      <c r="R1318" s="54"/>
      <c r="S1318" s="54"/>
      <c r="T1318" s="54"/>
      <c r="U1318" s="54"/>
      <c r="V1318" s="54"/>
      <c r="W1318" s="54"/>
      <c r="X1318" s="54"/>
      <c r="Y1318" s="54"/>
      <c r="Z1318" s="54"/>
      <c r="AA1318" s="54"/>
      <c r="AB1318" s="54"/>
      <c r="AC1318" s="54"/>
      <c r="AD1318" s="54"/>
      <c r="AE1318" s="54"/>
    </row>
    <row r="1319">
      <c r="A1319" s="59" t="s">
        <v>949</v>
      </c>
      <c r="B1319" s="59" t="s">
        <v>1292</v>
      </c>
      <c r="C1319" s="11" t="s">
        <v>1293</v>
      </c>
      <c r="D1319" s="59" t="s">
        <v>1294</v>
      </c>
      <c r="E1319" s="59" t="s">
        <v>1295</v>
      </c>
      <c r="F1319" s="81">
        <v>2009.0</v>
      </c>
      <c r="G1319" s="76">
        <v>2654.0</v>
      </c>
      <c r="H1319" s="76">
        <f t="shared" ref="H1319:I1319" si="1044">F1319-F1318</f>
        <v>1</v>
      </c>
      <c r="I1319" s="76">
        <f t="shared" si="1044"/>
        <v>-106</v>
      </c>
      <c r="J1319" s="93">
        <f t="shared" si="1019"/>
        <v>-0.0384057971</v>
      </c>
      <c r="K1319" s="66">
        <f t="shared" si="1020"/>
        <v>-0.0384057971</v>
      </c>
      <c r="L1319" s="106" t="s">
        <v>81</v>
      </c>
      <c r="M1319" s="54"/>
      <c r="N1319" s="54"/>
      <c r="O1319" s="54"/>
      <c r="P1319" s="54"/>
      <c r="Q1319" s="54"/>
      <c r="R1319" s="54"/>
      <c r="S1319" s="54"/>
      <c r="T1319" s="54"/>
      <c r="U1319" s="54"/>
      <c r="V1319" s="54"/>
      <c r="W1319" s="54"/>
      <c r="X1319" s="54"/>
      <c r="Y1319" s="54"/>
      <c r="Z1319" s="54"/>
      <c r="AA1319" s="54"/>
      <c r="AB1319" s="54"/>
      <c r="AC1319" s="54"/>
      <c r="AD1319" s="54"/>
      <c r="AE1319" s="54"/>
    </row>
    <row r="1320">
      <c r="A1320" s="59" t="s">
        <v>949</v>
      </c>
      <c r="B1320" s="59" t="s">
        <v>1292</v>
      </c>
      <c r="C1320" s="11" t="s">
        <v>1293</v>
      </c>
      <c r="D1320" s="59" t="s">
        <v>1294</v>
      </c>
      <c r="E1320" s="59" t="s">
        <v>1295</v>
      </c>
      <c r="F1320" s="81">
        <v>2010.0</v>
      </c>
      <c r="G1320" s="76">
        <v>2719.0</v>
      </c>
      <c r="H1320" s="76">
        <f t="shared" ref="H1320:I1320" si="1045">F1320-F1319</f>
        <v>1</v>
      </c>
      <c r="I1320" s="76">
        <f t="shared" si="1045"/>
        <v>65</v>
      </c>
      <c r="J1320" s="93">
        <f t="shared" si="1019"/>
        <v>0.02449133384</v>
      </c>
      <c r="K1320" s="66">
        <f t="shared" si="1020"/>
        <v>0.02449133384</v>
      </c>
      <c r="L1320" s="106" t="s">
        <v>81</v>
      </c>
      <c r="M1320" s="54"/>
      <c r="N1320" s="54"/>
      <c r="O1320" s="54"/>
      <c r="P1320" s="54"/>
      <c r="Q1320" s="54"/>
      <c r="R1320" s="54"/>
      <c r="S1320" s="54"/>
      <c r="T1320" s="54"/>
      <c r="U1320" s="54"/>
      <c r="V1320" s="54"/>
      <c r="W1320" s="54"/>
      <c r="X1320" s="54"/>
      <c r="Y1320" s="54"/>
      <c r="Z1320" s="54"/>
      <c r="AA1320" s="54"/>
      <c r="AB1320" s="54"/>
      <c r="AC1320" s="54"/>
      <c r="AD1320" s="54"/>
      <c r="AE1320" s="54"/>
    </row>
    <row r="1321">
      <c r="A1321" s="59" t="s">
        <v>949</v>
      </c>
      <c r="B1321" s="59" t="s">
        <v>1292</v>
      </c>
      <c r="C1321" s="11" t="s">
        <v>1293</v>
      </c>
      <c r="D1321" s="59" t="s">
        <v>1294</v>
      </c>
      <c r="E1321" s="59" t="s">
        <v>1295</v>
      </c>
      <c r="F1321" s="81">
        <v>2012.0</v>
      </c>
      <c r="G1321" s="76">
        <v>2865.0</v>
      </c>
      <c r="H1321" s="76">
        <f t="shared" ref="H1321:I1321" si="1046">F1321-F1320</f>
        <v>2</v>
      </c>
      <c r="I1321" s="76">
        <f t="shared" si="1046"/>
        <v>146</v>
      </c>
      <c r="J1321" s="93">
        <f t="shared" si="1019"/>
        <v>0.05369621184</v>
      </c>
      <c r="K1321" s="66">
        <f t="shared" si="1020"/>
        <v>0.02684810592</v>
      </c>
      <c r="L1321" s="106" t="s">
        <v>81</v>
      </c>
      <c r="M1321" s="54"/>
      <c r="N1321" s="54"/>
      <c r="O1321" s="54"/>
      <c r="P1321" s="54"/>
      <c r="Q1321" s="54"/>
      <c r="R1321" s="54"/>
      <c r="S1321" s="54"/>
      <c r="T1321" s="54"/>
      <c r="U1321" s="54"/>
      <c r="V1321" s="54"/>
      <c r="W1321" s="54"/>
      <c r="X1321" s="54"/>
      <c r="Y1321" s="54"/>
      <c r="Z1321" s="54"/>
      <c r="AA1321" s="54"/>
      <c r="AB1321" s="54"/>
      <c r="AC1321" s="54"/>
      <c r="AD1321" s="54"/>
      <c r="AE1321" s="54"/>
    </row>
    <row r="1322">
      <c r="A1322" s="59" t="s">
        <v>949</v>
      </c>
      <c r="B1322" s="59" t="s">
        <v>1292</v>
      </c>
      <c r="C1322" s="11" t="s">
        <v>1293</v>
      </c>
      <c r="D1322" s="59" t="s">
        <v>1294</v>
      </c>
      <c r="E1322" s="59" t="s">
        <v>1295</v>
      </c>
      <c r="F1322" s="81">
        <v>2013.0</v>
      </c>
      <c r="G1322" s="76">
        <v>2899.0</v>
      </c>
      <c r="H1322" s="76">
        <f t="shared" ref="H1322:I1322" si="1047">F1322-F1321</f>
        <v>1</v>
      </c>
      <c r="I1322" s="76">
        <f t="shared" si="1047"/>
        <v>34</v>
      </c>
      <c r="J1322" s="93">
        <f t="shared" si="1019"/>
        <v>0.01186736475</v>
      </c>
      <c r="K1322" s="66">
        <f t="shared" si="1020"/>
        <v>0.01186736475</v>
      </c>
      <c r="L1322" s="106" t="s">
        <v>81</v>
      </c>
      <c r="M1322" s="54"/>
      <c r="N1322" s="54"/>
      <c r="O1322" s="54"/>
      <c r="P1322" s="54"/>
      <c r="Q1322" s="54"/>
      <c r="R1322" s="54"/>
      <c r="S1322" s="54"/>
      <c r="T1322" s="54"/>
      <c r="U1322" s="54"/>
      <c r="V1322" s="54"/>
      <c r="W1322" s="54"/>
      <c r="X1322" s="54"/>
      <c r="Y1322" s="54"/>
      <c r="Z1322" s="54"/>
      <c r="AA1322" s="54"/>
      <c r="AB1322" s="54"/>
      <c r="AC1322" s="54"/>
      <c r="AD1322" s="54"/>
      <c r="AE1322" s="54"/>
    </row>
    <row r="1323">
      <c r="A1323" s="59" t="s">
        <v>949</v>
      </c>
      <c r="B1323" s="59" t="s">
        <v>1292</v>
      </c>
      <c r="C1323" s="11" t="s">
        <v>1293</v>
      </c>
      <c r="D1323" s="59" t="s">
        <v>1294</v>
      </c>
      <c r="E1323" s="59" t="s">
        <v>1295</v>
      </c>
      <c r="F1323" s="81">
        <v>2014.0</v>
      </c>
      <c r="G1323" s="76">
        <v>2879.0</v>
      </c>
      <c r="H1323" s="76">
        <f t="shared" ref="H1323:I1323" si="1048">F1323-F1322</f>
        <v>1</v>
      </c>
      <c r="I1323" s="76">
        <f t="shared" si="1048"/>
        <v>-20</v>
      </c>
      <c r="J1323" s="93">
        <f t="shared" si="1019"/>
        <v>-0.006898930666</v>
      </c>
      <c r="K1323" s="66">
        <f t="shared" si="1020"/>
        <v>-0.006898930666</v>
      </c>
      <c r="L1323" s="106" t="s">
        <v>81</v>
      </c>
      <c r="M1323" s="54"/>
      <c r="N1323" s="54"/>
      <c r="O1323" s="54"/>
      <c r="P1323" s="54"/>
      <c r="Q1323" s="54"/>
      <c r="R1323" s="54"/>
      <c r="S1323" s="54"/>
      <c r="T1323" s="54"/>
      <c r="U1323" s="54"/>
      <c r="V1323" s="54"/>
      <c r="W1323" s="54"/>
      <c r="X1323" s="54"/>
      <c r="Y1323" s="54"/>
      <c r="Z1323" s="54"/>
      <c r="AA1323" s="54"/>
      <c r="AB1323" s="54"/>
      <c r="AC1323" s="54"/>
      <c r="AD1323" s="54"/>
      <c r="AE1323" s="54"/>
    </row>
    <row r="1324">
      <c r="A1324" s="59" t="s">
        <v>949</v>
      </c>
      <c r="B1324" s="59" t="s">
        <v>1292</v>
      </c>
      <c r="C1324" s="11" t="s">
        <v>1293</v>
      </c>
      <c r="D1324" s="59" t="s">
        <v>1294</v>
      </c>
      <c r="E1324" s="59" t="s">
        <v>1295</v>
      </c>
      <c r="F1324" s="81">
        <v>2015.0</v>
      </c>
      <c r="G1324" s="76">
        <v>3193.0</v>
      </c>
      <c r="H1324" s="76">
        <f t="shared" ref="H1324:I1324" si="1049">F1324-F1323</f>
        <v>1</v>
      </c>
      <c r="I1324" s="76">
        <f t="shared" si="1049"/>
        <v>314</v>
      </c>
      <c r="J1324" s="93">
        <f t="shared" si="1019"/>
        <v>0.1090656478</v>
      </c>
      <c r="K1324" s="66">
        <f t="shared" si="1020"/>
        <v>0.1090656478</v>
      </c>
      <c r="L1324" s="106" t="s">
        <v>81</v>
      </c>
      <c r="M1324" s="54"/>
      <c r="N1324" s="54"/>
      <c r="O1324" s="54"/>
      <c r="P1324" s="54"/>
      <c r="Q1324" s="54"/>
      <c r="R1324" s="54"/>
      <c r="S1324" s="54"/>
      <c r="T1324" s="54"/>
      <c r="U1324" s="54"/>
      <c r="V1324" s="54"/>
      <c r="W1324" s="54"/>
      <c r="X1324" s="54"/>
      <c r="Y1324" s="54"/>
      <c r="Z1324" s="54"/>
      <c r="AA1324" s="54"/>
      <c r="AB1324" s="54"/>
      <c r="AC1324" s="54"/>
      <c r="AD1324" s="54"/>
      <c r="AE1324" s="54"/>
    </row>
    <row r="1325">
      <c r="A1325" s="59" t="s">
        <v>949</v>
      </c>
      <c r="B1325" s="59" t="s">
        <v>1292</v>
      </c>
      <c r="C1325" s="11" t="s">
        <v>1293</v>
      </c>
      <c r="D1325" s="59" t="s">
        <v>1294</v>
      </c>
      <c r="E1325" s="59" t="s">
        <v>1295</v>
      </c>
      <c r="F1325" s="81">
        <v>2016.0</v>
      </c>
      <c r="G1325" s="76">
        <v>3511.0</v>
      </c>
      <c r="H1325" s="76">
        <f t="shared" ref="H1325:I1325" si="1050">F1325-F1324</f>
        <v>1</v>
      </c>
      <c r="I1325" s="76">
        <f t="shared" si="1050"/>
        <v>318</v>
      </c>
      <c r="J1325" s="93">
        <f t="shared" si="1019"/>
        <v>0.09959285938</v>
      </c>
      <c r="K1325" s="66">
        <f t="shared" si="1020"/>
        <v>0.09959285938</v>
      </c>
      <c r="L1325" s="106" t="s">
        <v>81</v>
      </c>
      <c r="M1325" s="54"/>
      <c r="N1325" s="54"/>
      <c r="O1325" s="54"/>
      <c r="P1325" s="54"/>
      <c r="Q1325" s="54"/>
      <c r="R1325" s="54"/>
      <c r="S1325" s="54"/>
      <c r="T1325" s="54"/>
      <c r="U1325" s="54"/>
      <c r="V1325" s="54"/>
      <c r="W1325" s="54"/>
      <c r="X1325" s="54"/>
      <c r="Y1325" s="54"/>
      <c r="Z1325" s="54"/>
      <c r="AA1325" s="54"/>
      <c r="AB1325" s="54"/>
      <c r="AC1325" s="54"/>
      <c r="AD1325" s="54"/>
      <c r="AE1325" s="54"/>
    </row>
    <row r="1326">
      <c r="A1326" s="59" t="s">
        <v>949</v>
      </c>
      <c r="B1326" s="59" t="s">
        <v>1292</v>
      </c>
      <c r="C1326" s="11" t="s">
        <v>1293</v>
      </c>
      <c r="D1326" s="59" t="s">
        <v>1294</v>
      </c>
      <c r="E1326" s="59" t="s">
        <v>1295</v>
      </c>
      <c r="F1326" s="81">
        <v>2017.0</v>
      </c>
      <c r="G1326" s="76">
        <v>2607.0</v>
      </c>
      <c r="H1326" s="76">
        <f t="shared" ref="H1326:I1326" si="1051">F1326-F1325</f>
        <v>1</v>
      </c>
      <c r="I1326" s="76">
        <f t="shared" si="1051"/>
        <v>-904</v>
      </c>
      <c r="J1326" s="93">
        <f t="shared" si="1019"/>
        <v>-0.2574765024</v>
      </c>
      <c r="K1326" s="66">
        <f t="shared" si="1020"/>
        <v>-0.2574765024</v>
      </c>
      <c r="L1326" s="106" t="s">
        <v>81</v>
      </c>
      <c r="M1326" s="54"/>
      <c r="N1326" s="54"/>
      <c r="O1326" s="54"/>
      <c r="P1326" s="54"/>
      <c r="Q1326" s="54"/>
      <c r="R1326" s="54"/>
      <c r="S1326" s="54"/>
      <c r="T1326" s="54"/>
      <c r="U1326" s="54"/>
      <c r="V1326" s="54"/>
      <c r="W1326" s="54"/>
      <c r="X1326" s="54"/>
      <c r="Y1326" s="54"/>
      <c r="Z1326" s="54"/>
      <c r="AA1326" s="54"/>
      <c r="AB1326" s="54"/>
      <c r="AC1326" s="54"/>
      <c r="AD1326" s="54"/>
      <c r="AE1326" s="54"/>
    </row>
    <row r="1327">
      <c r="A1327" s="59" t="s">
        <v>949</v>
      </c>
      <c r="B1327" s="59" t="s">
        <v>1292</v>
      </c>
      <c r="C1327" s="11" t="s">
        <v>1293</v>
      </c>
      <c r="D1327" s="59" t="s">
        <v>1294</v>
      </c>
      <c r="E1327" s="59" t="s">
        <v>1295</v>
      </c>
      <c r="F1327" s="81">
        <v>2018.0</v>
      </c>
      <c r="G1327" s="76">
        <v>2986.0</v>
      </c>
      <c r="H1327" s="76">
        <f t="shared" ref="H1327:I1327" si="1052">F1327-F1326</f>
        <v>1</v>
      </c>
      <c r="I1327" s="76">
        <f t="shared" si="1052"/>
        <v>379</v>
      </c>
      <c r="J1327" s="93">
        <f t="shared" si="1019"/>
        <v>0.1453778289</v>
      </c>
      <c r="K1327" s="66">
        <f t="shared" si="1020"/>
        <v>0.1453778289</v>
      </c>
      <c r="L1327" s="106" t="s">
        <v>81</v>
      </c>
      <c r="M1327" s="54"/>
      <c r="N1327" s="54"/>
      <c r="O1327" s="54"/>
      <c r="P1327" s="54"/>
      <c r="Q1327" s="54"/>
      <c r="R1327" s="54"/>
      <c r="S1327" s="54"/>
      <c r="T1327" s="54"/>
      <c r="U1327" s="54"/>
      <c r="V1327" s="54"/>
      <c r="W1327" s="54"/>
      <c r="X1327" s="54"/>
      <c r="Y1327" s="54"/>
      <c r="Z1327" s="54"/>
      <c r="AA1327" s="54"/>
      <c r="AB1327" s="54"/>
      <c r="AC1327" s="54"/>
      <c r="AD1327" s="54"/>
      <c r="AE1327" s="54"/>
    </row>
    <row r="1328">
      <c r="A1328" s="59" t="s">
        <v>949</v>
      </c>
      <c r="B1328" s="59" t="s">
        <v>1292</v>
      </c>
      <c r="C1328" s="11" t="s">
        <v>1293</v>
      </c>
      <c r="D1328" s="59" t="s">
        <v>1294</v>
      </c>
      <c r="E1328" s="59" t="s">
        <v>1295</v>
      </c>
      <c r="F1328" s="81">
        <v>2019.0</v>
      </c>
      <c r="G1328" s="76">
        <v>2996.0</v>
      </c>
      <c r="H1328" s="76">
        <f t="shared" ref="H1328:I1328" si="1053">F1328-F1327</f>
        <v>1</v>
      </c>
      <c r="I1328" s="76">
        <f t="shared" si="1053"/>
        <v>10</v>
      </c>
      <c r="J1328" s="93">
        <f t="shared" si="1019"/>
        <v>0.003348961822</v>
      </c>
      <c r="K1328" s="66">
        <f t="shared" si="1020"/>
        <v>0.003348961822</v>
      </c>
      <c r="L1328" s="106" t="s">
        <v>81</v>
      </c>
      <c r="M1328" s="54"/>
      <c r="N1328" s="54"/>
      <c r="O1328" s="54"/>
      <c r="P1328" s="54"/>
      <c r="Q1328" s="54"/>
      <c r="R1328" s="54"/>
      <c r="S1328" s="54"/>
      <c r="T1328" s="54"/>
      <c r="U1328" s="54"/>
      <c r="V1328" s="54"/>
      <c r="W1328" s="54"/>
      <c r="X1328" s="54"/>
      <c r="Y1328" s="54"/>
      <c r="Z1328" s="54"/>
      <c r="AA1328" s="54"/>
      <c r="AB1328" s="54"/>
      <c r="AC1328" s="54"/>
      <c r="AD1328" s="54"/>
      <c r="AE1328" s="54"/>
    </row>
    <row r="1329">
      <c r="A1329" s="25" t="s">
        <v>68</v>
      </c>
      <c r="B1329" s="25" t="s">
        <v>192</v>
      </c>
      <c r="C1329" s="11" t="s">
        <v>1318</v>
      </c>
      <c r="D1329" s="25" t="s">
        <v>1349</v>
      </c>
      <c r="E1329" s="25" t="s">
        <v>74</v>
      </c>
      <c r="F1329" s="44">
        <v>1990.98976643523</v>
      </c>
      <c r="G1329" s="27">
        <v>1637.0</v>
      </c>
      <c r="H1329" s="27" t="s">
        <v>188</v>
      </c>
      <c r="I1329" s="27" t="s">
        <v>188</v>
      </c>
      <c r="J1329" s="66" t="s">
        <v>188</v>
      </c>
      <c r="K1329" s="66" t="s">
        <v>188</v>
      </c>
      <c r="L1329" s="29" t="s">
        <v>81</v>
      </c>
      <c r="M1329" s="51"/>
      <c r="N1329" s="51"/>
      <c r="O1329" s="51"/>
      <c r="P1329" s="51"/>
      <c r="Q1329" s="51"/>
      <c r="R1329" s="51"/>
      <c r="S1329" s="51"/>
      <c r="T1329" s="51"/>
      <c r="U1329" s="51"/>
      <c r="V1329" s="51"/>
      <c r="W1329" s="51"/>
      <c r="X1329" s="51"/>
      <c r="Y1329" s="51"/>
      <c r="Z1329" s="51"/>
      <c r="AA1329" s="51"/>
      <c r="AB1329" s="51"/>
      <c r="AC1329" s="51"/>
    </row>
    <row r="1330">
      <c r="A1330" s="25" t="s">
        <v>68</v>
      </c>
      <c r="B1330" s="25" t="s">
        <v>192</v>
      </c>
      <c r="C1330" s="11" t="s">
        <v>1318</v>
      </c>
      <c r="D1330" s="25" t="s">
        <v>1349</v>
      </c>
      <c r="E1330" s="25" t="s">
        <v>74</v>
      </c>
      <c r="F1330" s="44">
        <v>1992.96781343382</v>
      </c>
      <c r="G1330" s="27">
        <v>1726.0</v>
      </c>
      <c r="H1330" s="27">
        <f t="shared" ref="H1330:I1330" si="1054">F1330-F1329</f>
        <v>1.978046999</v>
      </c>
      <c r="I1330" s="27">
        <f t="shared" si="1054"/>
        <v>89</v>
      </c>
      <c r="J1330" s="66">
        <f t="shared" ref="J1330:J1335" si="1056">I1330/G1329</f>
        <v>0.05436774588</v>
      </c>
      <c r="K1330" s="66">
        <f t="shared" ref="K1330:K1335" si="1057">J1330/H1330</f>
        <v>0.0274855683</v>
      </c>
      <c r="L1330" s="29" t="s">
        <v>81</v>
      </c>
    </row>
    <row r="1331">
      <c r="A1331" s="25" t="s">
        <v>68</v>
      </c>
      <c r="B1331" s="25" t="s">
        <v>192</v>
      </c>
      <c r="C1331" s="11" t="s">
        <v>1318</v>
      </c>
      <c r="D1331" s="25" t="s">
        <v>1349</v>
      </c>
      <c r="E1331" s="25" t="s">
        <v>74</v>
      </c>
      <c r="F1331" s="44">
        <v>1995.99075793197</v>
      </c>
      <c r="G1331" s="27">
        <v>1690.0</v>
      </c>
      <c r="H1331" s="27">
        <f t="shared" ref="H1331:I1331" si="1055">F1331-F1330</f>
        <v>3.022944498</v>
      </c>
      <c r="I1331" s="27">
        <f t="shared" si="1055"/>
        <v>-36</v>
      </c>
      <c r="J1331" s="66">
        <f t="shared" si="1056"/>
        <v>-0.02085747393</v>
      </c>
      <c r="K1331" s="66">
        <f t="shared" si="1057"/>
        <v>-0.006899721097</v>
      </c>
      <c r="L1331" s="29" t="s">
        <v>81</v>
      </c>
    </row>
    <row r="1332">
      <c r="A1332" s="25" t="s">
        <v>68</v>
      </c>
      <c r="B1332" s="25" t="s">
        <v>192</v>
      </c>
      <c r="C1332" s="11" t="s">
        <v>1318</v>
      </c>
      <c r="D1332" s="25" t="s">
        <v>1349</v>
      </c>
      <c r="E1332" s="25" t="s">
        <v>74</v>
      </c>
      <c r="F1332" s="44">
        <v>2000.96344920021</v>
      </c>
      <c r="G1332" s="27">
        <v>1849.0</v>
      </c>
      <c r="H1332" s="27">
        <f t="shared" ref="H1332:I1332" si="1058">F1332-F1331</f>
        <v>4.972691268</v>
      </c>
      <c r="I1332" s="27">
        <f t="shared" si="1058"/>
        <v>159</v>
      </c>
      <c r="J1332" s="66">
        <f t="shared" si="1056"/>
        <v>0.09408284024</v>
      </c>
      <c r="K1332" s="66">
        <f t="shared" si="1057"/>
        <v>0.01891990376</v>
      </c>
      <c r="L1332" s="29" t="s">
        <v>81</v>
      </c>
    </row>
    <row r="1333">
      <c r="A1333" s="25" t="s">
        <v>68</v>
      </c>
      <c r="B1333" s="25" t="s">
        <v>192</v>
      </c>
      <c r="C1333" s="11" t="s">
        <v>1318</v>
      </c>
      <c r="D1333" s="25" t="s">
        <v>1349</v>
      </c>
      <c r="E1333" s="25" t="s">
        <v>74</v>
      </c>
      <c r="F1333" s="44">
        <v>2004.97393269907</v>
      </c>
      <c r="G1333" s="27">
        <v>2108.0</v>
      </c>
      <c r="H1333" s="27">
        <f t="shared" ref="H1333:I1333" si="1059">F1333-F1332</f>
        <v>4.010483499</v>
      </c>
      <c r="I1333" s="27">
        <f t="shared" si="1059"/>
        <v>259</v>
      </c>
      <c r="J1333" s="66">
        <f t="shared" si="1056"/>
        <v>0.1400757166</v>
      </c>
      <c r="K1333" s="66">
        <f t="shared" si="1057"/>
        <v>0.03492738884</v>
      </c>
      <c r="L1333" s="29" t="s">
        <v>81</v>
      </c>
    </row>
    <row r="1334">
      <c r="A1334" s="25" t="s">
        <v>68</v>
      </c>
      <c r="B1334" s="25" t="s">
        <v>192</v>
      </c>
      <c r="C1334" s="11" t="s">
        <v>1318</v>
      </c>
      <c r="D1334" s="25" t="s">
        <v>1349</v>
      </c>
      <c r="E1334" s="25" t="s">
        <v>74</v>
      </c>
      <c r="F1334" s="44">
        <v>2007.94292988662</v>
      </c>
      <c r="G1334" s="27">
        <v>1890.0</v>
      </c>
      <c r="H1334" s="27">
        <f t="shared" ref="H1334:I1334" si="1060">F1334-F1333</f>
        <v>2.968997188</v>
      </c>
      <c r="I1334" s="27">
        <f t="shared" si="1060"/>
        <v>-218</v>
      </c>
      <c r="J1334" s="66">
        <f t="shared" si="1056"/>
        <v>-0.1034155598</v>
      </c>
      <c r="K1334" s="66">
        <f t="shared" si="1057"/>
        <v>-0.03483181466</v>
      </c>
      <c r="L1334" s="29" t="s">
        <v>81</v>
      </c>
    </row>
    <row r="1335">
      <c r="A1335" s="25" t="s">
        <v>68</v>
      </c>
      <c r="B1335" s="25" t="s">
        <v>192</v>
      </c>
      <c r="C1335" s="11" t="s">
        <v>1318</v>
      </c>
      <c r="D1335" s="25" t="s">
        <v>1349</v>
      </c>
      <c r="E1335" s="25" t="s">
        <v>74</v>
      </c>
      <c r="F1335" s="44">
        <v>2013.96032914396</v>
      </c>
      <c r="G1335" s="27">
        <v>1997.0</v>
      </c>
      <c r="H1335" s="27">
        <f t="shared" ref="H1335:I1335" si="1061">F1335-F1334</f>
        <v>6.017399257</v>
      </c>
      <c r="I1335" s="27">
        <f t="shared" si="1061"/>
        <v>107</v>
      </c>
      <c r="J1335" s="66">
        <f t="shared" si="1056"/>
        <v>0.05661375661</v>
      </c>
      <c r="K1335" s="66">
        <f t="shared" si="1057"/>
        <v>0.009408343072</v>
      </c>
      <c r="L1335" s="29" t="s">
        <v>81</v>
      </c>
    </row>
    <row r="1336">
      <c r="A1336" s="11" t="s">
        <v>1362</v>
      </c>
      <c r="B1336" s="11" t="s">
        <v>248</v>
      </c>
      <c r="C1336" s="11" t="s">
        <v>1363</v>
      </c>
      <c r="D1336" s="11" t="s">
        <v>1364</v>
      </c>
      <c r="E1336" s="11" t="s">
        <v>418</v>
      </c>
      <c r="F1336" s="11">
        <v>1987.0</v>
      </c>
      <c r="G1336" s="40">
        <v>22657.0</v>
      </c>
      <c r="H1336" s="40" t="s">
        <v>188</v>
      </c>
      <c r="I1336" s="40" t="s">
        <v>188</v>
      </c>
      <c r="J1336" s="73" t="s">
        <v>188</v>
      </c>
      <c r="K1336" s="66" t="s">
        <v>188</v>
      </c>
      <c r="L1336" s="28" t="s">
        <v>260</v>
      </c>
    </row>
    <row r="1337">
      <c r="A1337" s="11" t="s">
        <v>1362</v>
      </c>
      <c r="B1337" s="11" t="s">
        <v>248</v>
      </c>
      <c r="C1337" s="25" t="s">
        <v>1363</v>
      </c>
      <c r="D1337" s="11" t="s">
        <v>1364</v>
      </c>
      <c r="E1337" s="11" t="s">
        <v>418</v>
      </c>
      <c r="F1337" s="11">
        <v>1988.0</v>
      </c>
      <c r="G1337" s="40">
        <v>23344.0</v>
      </c>
      <c r="H1337" s="40">
        <f t="shared" ref="H1337:I1337" si="1062">F1337-F1336</f>
        <v>1</v>
      </c>
      <c r="I1337" s="40">
        <f t="shared" si="1062"/>
        <v>687</v>
      </c>
      <c r="J1337" s="73">
        <f t="shared" ref="J1337:J1366" si="1064">I1337/G1336</f>
        <v>0.03032175487</v>
      </c>
      <c r="K1337" s="66">
        <f t="shared" ref="K1337:K1366" si="1065">J1337/H1337</f>
        <v>0.03032175487</v>
      </c>
      <c r="L1337" s="29" t="s">
        <v>260</v>
      </c>
    </row>
    <row r="1338">
      <c r="A1338" s="11" t="s">
        <v>1362</v>
      </c>
      <c r="B1338" s="11" t="s">
        <v>248</v>
      </c>
      <c r="C1338" s="25" t="s">
        <v>1363</v>
      </c>
      <c r="D1338" s="11" t="s">
        <v>1364</v>
      </c>
      <c r="E1338" s="11" t="s">
        <v>418</v>
      </c>
      <c r="F1338" s="11">
        <v>1989.0</v>
      </c>
      <c r="G1338" s="40">
        <v>23735.0</v>
      </c>
      <c r="H1338" s="40">
        <f t="shared" ref="H1338:I1338" si="1063">F1338-F1337</f>
        <v>1</v>
      </c>
      <c r="I1338" s="40">
        <f t="shared" si="1063"/>
        <v>391</v>
      </c>
      <c r="J1338" s="73">
        <f t="shared" si="1064"/>
        <v>0.01674948595</v>
      </c>
      <c r="K1338" s="66">
        <f t="shared" si="1065"/>
        <v>0.01674948595</v>
      </c>
      <c r="L1338" s="29" t="s">
        <v>260</v>
      </c>
    </row>
    <row r="1339">
      <c r="A1339" s="11" t="s">
        <v>1362</v>
      </c>
      <c r="B1339" s="11" t="s">
        <v>248</v>
      </c>
      <c r="C1339" s="25" t="s">
        <v>1363</v>
      </c>
      <c r="D1339" s="11" t="s">
        <v>1364</v>
      </c>
      <c r="E1339" s="11" t="s">
        <v>418</v>
      </c>
      <c r="F1339" s="11">
        <v>1990.0</v>
      </c>
      <c r="G1339" s="40">
        <v>23830.0</v>
      </c>
      <c r="H1339" s="40">
        <f t="shared" ref="H1339:I1339" si="1066">F1339-F1338</f>
        <v>1</v>
      </c>
      <c r="I1339" s="40">
        <f t="shared" si="1066"/>
        <v>95</v>
      </c>
      <c r="J1339" s="73">
        <f t="shared" si="1064"/>
        <v>0.004002527912</v>
      </c>
      <c r="K1339" s="66">
        <f t="shared" si="1065"/>
        <v>0.004002527912</v>
      </c>
      <c r="L1339" s="29" t="s">
        <v>260</v>
      </c>
    </row>
    <row r="1340">
      <c r="A1340" s="11" t="s">
        <v>1362</v>
      </c>
      <c r="B1340" s="11" t="s">
        <v>248</v>
      </c>
      <c r="C1340" s="25" t="s">
        <v>1363</v>
      </c>
      <c r="D1340" s="11" t="s">
        <v>1364</v>
      </c>
      <c r="E1340" s="11" t="s">
        <v>418</v>
      </c>
      <c r="F1340" s="11">
        <v>1991.0</v>
      </c>
      <c r="G1340" s="40">
        <v>25700.0</v>
      </c>
      <c r="H1340" s="40">
        <f t="shared" ref="H1340:I1340" si="1067">F1340-F1339</f>
        <v>1</v>
      </c>
      <c r="I1340" s="40">
        <f t="shared" si="1067"/>
        <v>1870</v>
      </c>
      <c r="J1340" s="73">
        <f t="shared" si="1064"/>
        <v>0.07847251364</v>
      </c>
      <c r="K1340" s="66">
        <f t="shared" si="1065"/>
        <v>0.07847251364</v>
      </c>
      <c r="L1340" s="29" t="s">
        <v>260</v>
      </c>
    </row>
    <row r="1341">
      <c r="A1341" s="11" t="s">
        <v>1362</v>
      </c>
      <c r="B1341" s="11" t="s">
        <v>248</v>
      </c>
      <c r="C1341" s="25" t="s">
        <v>1363</v>
      </c>
      <c r="D1341" s="11" t="s">
        <v>1364</v>
      </c>
      <c r="E1341" s="11" t="s">
        <v>418</v>
      </c>
      <c r="F1341" s="11">
        <v>1992.0</v>
      </c>
      <c r="G1341" s="40">
        <v>26091.0</v>
      </c>
      <c r="H1341" s="40">
        <f t="shared" ref="H1341:I1341" si="1068">F1341-F1340</f>
        <v>1</v>
      </c>
      <c r="I1341" s="40">
        <f t="shared" si="1068"/>
        <v>391</v>
      </c>
      <c r="J1341" s="73">
        <f t="shared" si="1064"/>
        <v>0.01521400778</v>
      </c>
      <c r="K1341" s="66">
        <f t="shared" si="1065"/>
        <v>0.01521400778</v>
      </c>
      <c r="L1341" s="29" t="s">
        <v>260</v>
      </c>
    </row>
    <row r="1342">
      <c r="A1342" s="11" t="s">
        <v>1362</v>
      </c>
      <c r="B1342" s="11" t="s">
        <v>248</v>
      </c>
      <c r="C1342" s="25" t="s">
        <v>1363</v>
      </c>
      <c r="D1342" s="11" t="s">
        <v>1364</v>
      </c>
      <c r="E1342" s="11" t="s">
        <v>418</v>
      </c>
      <c r="F1342" s="11">
        <v>1993.0</v>
      </c>
      <c r="G1342" s="40">
        <v>25890.0</v>
      </c>
      <c r="H1342" s="40">
        <f t="shared" ref="H1342:I1342" si="1069">F1342-F1341</f>
        <v>1</v>
      </c>
      <c r="I1342" s="40">
        <f t="shared" si="1069"/>
        <v>-201</v>
      </c>
      <c r="J1342" s="73">
        <f t="shared" si="1064"/>
        <v>-0.00770380591</v>
      </c>
      <c r="K1342" s="66">
        <f t="shared" si="1065"/>
        <v>-0.00770380591</v>
      </c>
      <c r="L1342" s="29" t="s">
        <v>260</v>
      </c>
    </row>
    <row r="1343">
      <c r="A1343" s="11" t="s">
        <v>1362</v>
      </c>
      <c r="B1343" s="11" t="s">
        <v>248</v>
      </c>
      <c r="C1343" s="25" t="s">
        <v>1363</v>
      </c>
      <c r="D1343" s="11" t="s">
        <v>1364</v>
      </c>
      <c r="E1343" s="11" t="s">
        <v>418</v>
      </c>
      <c r="F1343" s="11">
        <v>1994.0</v>
      </c>
      <c r="G1343" s="40">
        <v>27858.0</v>
      </c>
      <c r="H1343" s="40">
        <f t="shared" ref="H1343:I1343" si="1070">F1343-F1342</f>
        <v>1</v>
      </c>
      <c r="I1343" s="40">
        <f t="shared" si="1070"/>
        <v>1968</v>
      </c>
      <c r="J1343" s="73">
        <f t="shared" si="1064"/>
        <v>0.07601390498</v>
      </c>
      <c r="K1343" s="66">
        <f t="shared" si="1065"/>
        <v>0.07601390498</v>
      </c>
      <c r="L1343" s="29" t="s">
        <v>260</v>
      </c>
    </row>
    <row r="1344">
      <c r="A1344" s="11" t="s">
        <v>1362</v>
      </c>
      <c r="B1344" s="11" t="s">
        <v>248</v>
      </c>
      <c r="C1344" s="25" t="s">
        <v>1363</v>
      </c>
      <c r="D1344" s="11" t="s">
        <v>1364</v>
      </c>
      <c r="E1344" s="11" t="s">
        <v>418</v>
      </c>
      <c r="F1344" s="11">
        <v>1995.0</v>
      </c>
      <c r="G1344" s="40">
        <v>28052.0</v>
      </c>
      <c r="H1344" s="40">
        <f t="shared" ref="H1344:I1344" si="1071">F1344-F1343</f>
        <v>1</v>
      </c>
      <c r="I1344" s="40">
        <f t="shared" si="1071"/>
        <v>194</v>
      </c>
      <c r="J1344" s="73">
        <f t="shared" si="1064"/>
        <v>0.006963888291</v>
      </c>
      <c r="K1344" s="66">
        <f t="shared" si="1065"/>
        <v>0.006963888291</v>
      </c>
      <c r="L1344" s="29" t="s">
        <v>260</v>
      </c>
    </row>
    <row r="1345">
      <c r="A1345" s="11" t="s">
        <v>1362</v>
      </c>
      <c r="B1345" s="11" t="s">
        <v>248</v>
      </c>
      <c r="C1345" s="25" t="s">
        <v>1363</v>
      </c>
      <c r="D1345" s="11" t="s">
        <v>1364</v>
      </c>
      <c r="E1345" s="11" t="s">
        <v>418</v>
      </c>
      <c r="F1345" s="11">
        <v>1996.0</v>
      </c>
      <c r="G1345" s="40">
        <v>27555.0</v>
      </c>
      <c r="H1345" s="40">
        <f t="shared" ref="H1345:I1345" si="1072">F1345-F1344</f>
        <v>1</v>
      </c>
      <c r="I1345" s="40">
        <f t="shared" si="1072"/>
        <v>-497</v>
      </c>
      <c r="J1345" s="73">
        <f t="shared" si="1064"/>
        <v>-0.01771709682</v>
      </c>
      <c r="K1345" s="66">
        <f t="shared" si="1065"/>
        <v>-0.01771709682</v>
      </c>
      <c r="L1345" s="29" t="s">
        <v>260</v>
      </c>
    </row>
    <row r="1346">
      <c r="A1346" s="11" t="s">
        <v>1362</v>
      </c>
      <c r="B1346" s="11" t="s">
        <v>248</v>
      </c>
      <c r="C1346" s="25" t="s">
        <v>1363</v>
      </c>
      <c r="D1346" s="11" t="s">
        <v>1364</v>
      </c>
      <c r="E1346" s="11" t="s">
        <v>418</v>
      </c>
      <c r="F1346" s="11">
        <v>1997.0</v>
      </c>
      <c r="G1346" s="40">
        <v>29721.0</v>
      </c>
      <c r="H1346" s="40">
        <f t="shared" ref="H1346:I1346" si="1073">F1346-F1345</f>
        <v>1</v>
      </c>
      <c r="I1346" s="40">
        <f t="shared" si="1073"/>
        <v>2166</v>
      </c>
      <c r="J1346" s="73">
        <f t="shared" si="1064"/>
        <v>0.07860642352</v>
      </c>
      <c r="K1346" s="66">
        <f t="shared" si="1065"/>
        <v>0.07860642352</v>
      </c>
      <c r="L1346" s="29" t="s">
        <v>260</v>
      </c>
    </row>
    <row r="1347">
      <c r="A1347" s="11" t="s">
        <v>1362</v>
      </c>
      <c r="B1347" s="11" t="s">
        <v>248</v>
      </c>
      <c r="C1347" s="25" t="s">
        <v>1363</v>
      </c>
      <c r="D1347" s="11" t="s">
        <v>1364</v>
      </c>
      <c r="E1347" s="11" t="s">
        <v>418</v>
      </c>
      <c r="F1347" s="11">
        <v>1998.0</v>
      </c>
      <c r="G1347" s="40">
        <v>29915.0</v>
      </c>
      <c r="H1347" s="40">
        <f t="shared" ref="H1347:I1347" si="1074">F1347-F1346</f>
        <v>1</v>
      </c>
      <c r="I1347" s="40">
        <f t="shared" si="1074"/>
        <v>194</v>
      </c>
      <c r="J1347" s="73">
        <f t="shared" si="1064"/>
        <v>0.006527371219</v>
      </c>
      <c r="K1347" s="66">
        <f t="shared" si="1065"/>
        <v>0.006527371219</v>
      </c>
      <c r="L1347" s="29" t="s">
        <v>260</v>
      </c>
    </row>
    <row r="1348">
      <c r="A1348" s="11" t="s">
        <v>1362</v>
      </c>
      <c r="B1348" s="11" t="s">
        <v>248</v>
      </c>
      <c r="C1348" s="25" t="s">
        <v>1363</v>
      </c>
      <c r="D1348" s="11" t="s">
        <v>1364</v>
      </c>
      <c r="E1348" s="11" t="s">
        <v>418</v>
      </c>
      <c r="F1348" s="11">
        <v>1999.0</v>
      </c>
      <c r="G1348" s="40">
        <v>30799.0</v>
      </c>
      <c r="H1348" s="40">
        <f t="shared" ref="H1348:I1348" si="1075">F1348-F1347</f>
        <v>1</v>
      </c>
      <c r="I1348" s="40">
        <f t="shared" si="1075"/>
        <v>884</v>
      </c>
      <c r="J1348" s="73">
        <f t="shared" si="1064"/>
        <v>0.02955039278</v>
      </c>
      <c r="K1348" s="66">
        <f t="shared" si="1065"/>
        <v>0.02955039278</v>
      </c>
      <c r="L1348" s="29" t="s">
        <v>260</v>
      </c>
    </row>
    <row r="1349">
      <c r="A1349" s="11" t="s">
        <v>1362</v>
      </c>
      <c r="B1349" s="11" t="s">
        <v>248</v>
      </c>
      <c r="C1349" s="25" t="s">
        <v>1363</v>
      </c>
      <c r="D1349" s="11" t="s">
        <v>1364</v>
      </c>
      <c r="E1349" s="11" t="s">
        <v>418</v>
      </c>
      <c r="F1349" s="11">
        <v>2000.0</v>
      </c>
      <c r="G1349" s="40">
        <v>31683.0</v>
      </c>
      <c r="H1349" s="40">
        <f t="shared" ref="H1349:I1349" si="1076">F1349-F1348</f>
        <v>1</v>
      </c>
      <c r="I1349" s="40">
        <f t="shared" si="1076"/>
        <v>884</v>
      </c>
      <c r="J1349" s="73">
        <f t="shared" si="1064"/>
        <v>0.02870223059</v>
      </c>
      <c r="K1349" s="66">
        <f t="shared" si="1065"/>
        <v>0.02870223059</v>
      </c>
      <c r="L1349" s="29" t="s">
        <v>260</v>
      </c>
    </row>
    <row r="1350">
      <c r="A1350" s="11" t="s">
        <v>1362</v>
      </c>
      <c r="B1350" s="11" t="s">
        <v>248</v>
      </c>
      <c r="C1350" s="25" t="s">
        <v>1363</v>
      </c>
      <c r="D1350" s="11" t="s">
        <v>1364</v>
      </c>
      <c r="E1350" s="11" t="s">
        <v>418</v>
      </c>
      <c r="F1350" s="11">
        <v>2001.0</v>
      </c>
      <c r="G1350" s="40">
        <v>33060.0</v>
      </c>
      <c r="H1350" s="40">
        <f t="shared" ref="H1350:I1350" si="1077">F1350-F1349</f>
        <v>1</v>
      </c>
      <c r="I1350" s="40">
        <f t="shared" si="1077"/>
        <v>1377</v>
      </c>
      <c r="J1350" s="73">
        <f t="shared" si="1064"/>
        <v>0.04346179339</v>
      </c>
      <c r="K1350" s="66">
        <f t="shared" si="1065"/>
        <v>0.04346179339</v>
      </c>
      <c r="L1350" s="29" t="s">
        <v>260</v>
      </c>
    </row>
    <row r="1351">
      <c r="A1351" s="11" t="s">
        <v>1362</v>
      </c>
      <c r="B1351" s="11" t="s">
        <v>248</v>
      </c>
      <c r="C1351" s="25" t="s">
        <v>1363</v>
      </c>
      <c r="D1351" s="11" t="s">
        <v>1364</v>
      </c>
      <c r="E1351" s="11" t="s">
        <v>418</v>
      </c>
      <c r="F1351" s="11">
        <v>2002.0</v>
      </c>
      <c r="G1351" s="40">
        <v>37987.0</v>
      </c>
      <c r="H1351" s="40">
        <f t="shared" ref="H1351:I1351" si="1078">F1351-F1350</f>
        <v>1</v>
      </c>
      <c r="I1351" s="40">
        <f t="shared" si="1078"/>
        <v>4927</v>
      </c>
      <c r="J1351" s="73">
        <f t="shared" si="1064"/>
        <v>0.1490320629</v>
      </c>
      <c r="K1351" s="66">
        <f t="shared" si="1065"/>
        <v>0.1490320629</v>
      </c>
      <c r="L1351" s="29" t="s">
        <v>260</v>
      </c>
    </row>
    <row r="1352">
      <c r="A1352" s="11" t="s">
        <v>1362</v>
      </c>
      <c r="B1352" s="11" t="s">
        <v>248</v>
      </c>
      <c r="C1352" s="25" t="s">
        <v>1363</v>
      </c>
      <c r="D1352" s="11" t="s">
        <v>1364</v>
      </c>
      <c r="E1352" s="11" t="s">
        <v>418</v>
      </c>
      <c r="F1352" s="11">
        <v>2003.0</v>
      </c>
      <c r="G1352" s="40">
        <v>37392.0</v>
      </c>
      <c r="H1352" s="40">
        <f t="shared" ref="H1352:I1352" si="1079">F1352-F1351</f>
        <v>1</v>
      </c>
      <c r="I1352" s="40">
        <f t="shared" si="1079"/>
        <v>-595</v>
      </c>
      <c r="J1352" s="73">
        <f t="shared" si="1064"/>
        <v>-0.01566325322</v>
      </c>
      <c r="K1352" s="66">
        <f t="shared" si="1065"/>
        <v>-0.01566325322</v>
      </c>
      <c r="L1352" s="29" t="s">
        <v>260</v>
      </c>
    </row>
    <row r="1353">
      <c r="A1353" s="11" t="s">
        <v>1362</v>
      </c>
      <c r="B1353" s="11" t="s">
        <v>248</v>
      </c>
      <c r="C1353" s="25" t="s">
        <v>1363</v>
      </c>
      <c r="D1353" s="11" t="s">
        <v>1364</v>
      </c>
      <c r="E1353" s="11" t="s">
        <v>418</v>
      </c>
      <c r="F1353" s="11">
        <v>2004.0</v>
      </c>
      <c r="G1353" s="40">
        <v>38670.0</v>
      </c>
      <c r="H1353" s="40">
        <f t="shared" ref="H1353:I1353" si="1080">F1353-F1352</f>
        <v>1</v>
      </c>
      <c r="I1353" s="40">
        <f t="shared" si="1080"/>
        <v>1278</v>
      </c>
      <c r="J1353" s="73">
        <f t="shared" si="1064"/>
        <v>0.03417843389</v>
      </c>
      <c r="K1353" s="66">
        <f t="shared" si="1065"/>
        <v>0.03417843389</v>
      </c>
      <c r="L1353" s="29" t="s">
        <v>260</v>
      </c>
    </row>
    <row r="1354">
      <c r="A1354" s="11" t="s">
        <v>1362</v>
      </c>
      <c r="B1354" s="11" t="s">
        <v>248</v>
      </c>
      <c r="C1354" s="25" t="s">
        <v>1363</v>
      </c>
      <c r="D1354" s="11" t="s">
        <v>1364</v>
      </c>
      <c r="E1354" s="11" t="s">
        <v>418</v>
      </c>
      <c r="F1354" s="11">
        <v>2005.0</v>
      </c>
      <c r="G1354" s="40">
        <v>40047.0</v>
      </c>
      <c r="H1354" s="40">
        <f t="shared" ref="H1354:I1354" si="1081">F1354-F1353</f>
        <v>1</v>
      </c>
      <c r="I1354" s="40">
        <f t="shared" si="1081"/>
        <v>1377</v>
      </c>
      <c r="J1354" s="73">
        <f t="shared" si="1064"/>
        <v>0.03560899922</v>
      </c>
      <c r="K1354" s="66">
        <f t="shared" si="1065"/>
        <v>0.03560899922</v>
      </c>
      <c r="L1354" s="29" t="s">
        <v>260</v>
      </c>
    </row>
    <row r="1355">
      <c r="A1355" s="11" t="s">
        <v>1362</v>
      </c>
      <c r="B1355" s="11" t="s">
        <v>248</v>
      </c>
      <c r="C1355" s="25" t="s">
        <v>1363</v>
      </c>
      <c r="D1355" s="11" t="s">
        <v>1364</v>
      </c>
      <c r="E1355" s="11" t="s">
        <v>418</v>
      </c>
      <c r="F1355" s="11">
        <v>2006.0</v>
      </c>
      <c r="G1355" s="40">
        <v>40241.0</v>
      </c>
      <c r="H1355" s="40">
        <f t="shared" ref="H1355:I1355" si="1082">F1355-F1354</f>
        <v>1</v>
      </c>
      <c r="I1355" s="40">
        <f t="shared" si="1082"/>
        <v>194</v>
      </c>
      <c r="J1355" s="73">
        <f t="shared" si="1064"/>
        <v>0.004844307938</v>
      </c>
      <c r="K1355" s="66">
        <f t="shared" si="1065"/>
        <v>0.004844307938</v>
      </c>
      <c r="L1355" s="29" t="s">
        <v>260</v>
      </c>
    </row>
    <row r="1356">
      <c r="A1356" s="11" t="s">
        <v>1362</v>
      </c>
      <c r="B1356" s="11" t="s">
        <v>248</v>
      </c>
      <c r="C1356" s="25" t="s">
        <v>1363</v>
      </c>
      <c r="D1356" s="11" t="s">
        <v>1364</v>
      </c>
      <c r="E1356" s="11" t="s">
        <v>418</v>
      </c>
      <c r="F1356" s="11">
        <v>2007.0</v>
      </c>
      <c r="G1356" s="40">
        <v>40336.0</v>
      </c>
      <c r="H1356" s="40">
        <f t="shared" ref="H1356:I1356" si="1083">F1356-F1355</f>
        <v>1</v>
      </c>
      <c r="I1356" s="40">
        <f t="shared" si="1083"/>
        <v>95</v>
      </c>
      <c r="J1356" s="73">
        <f t="shared" si="1064"/>
        <v>0.002360776323</v>
      </c>
      <c r="K1356" s="66">
        <f t="shared" si="1065"/>
        <v>0.002360776323</v>
      </c>
      <c r="L1356" s="29" t="s">
        <v>260</v>
      </c>
    </row>
    <row r="1357">
      <c r="A1357" s="11" t="s">
        <v>1362</v>
      </c>
      <c r="B1357" s="11" t="s">
        <v>248</v>
      </c>
      <c r="C1357" s="25" t="s">
        <v>1363</v>
      </c>
      <c r="D1357" s="11" t="s">
        <v>1364</v>
      </c>
      <c r="E1357" s="11" t="s">
        <v>418</v>
      </c>
      <c r="F1357" s="11">
        <v>2008.0</v>
      </c>
      <c r="G1357" s="40">
        <v>38162.0</v>
      </c>
      <c r="H1357" s="40">
        <f t="shared" ref="H1357:I1357" si="1084">F1357-F1356</f>
        <v>1</v>
      </c>
      <c r="I1357" s="40">
        <f t="shared" si="1084"/>
        <v>-2174</v>
      </c>
      <c r="J1357" s="73">
        <f t="shared" si="1064"/>
        <v>-0.05389726299</v>
      </c>
      <c r="K1357" s="66">
        <f t="shared" si="1065"/>
        <v>-0.05389726299</v>
      </c>
      <c r="L1357" s="29" t="s">
        <v>260</v>
      </c>
    </row>
    <row r="1358">
      <c r="A1358" s="11" t="s">
        <v>1362</v>
      </c>
      <c r="B1358" s="11" t="s">
        <v>248</v>
      </c>
      <c r="C1358" s="25" t="s">
        <v>1363</v>
      </c>
      <c r="D1358" s="11" t="s">
        <v>1364</v>
      </c>
      <c r="E1358" s="11" t="s">
        <v>418</v>
      </c>
      <c r="F1358" s="11">
        <v>2009.0</v>
      </c>
      <c r="G1358" s="40">
        <v>43188.0</v>
      </c>
      <c r="H1358" s="40">
        <f t="shared" ref="H1358:I1358" si="1085">F1358-F1357</f>
        <v>1</v>
      </c>
      <c r="I1358" s="40">
        <f t="shared" si="1085"/>
        <v>5026</v>
      </c>
      <c r="J1358" s="73">
        <f t="shared" si="1064"/>
        <v>0.1317016928</v>
      </c>
      <c r="K1358" s="66">
        <f t="shared" si="1065"/>
        <v>0.1317016928</v>
      </c>
      <c r="L1358" s="29" t="s">
        <v>260</v>
      </c>
    </row>
    <row r="1359">
      <c r="A1359" s="11" t="s">
        <v>1362</v>
      </c>
      <c r="B1359" s="11" t="s">
        <v>248</v>
      </c>
      <c r="C1359" s="25" t="s">
        <v>1363</v>
      </c>
      <c r="D1359" s="11" t="s">
        <v>1364</v>
      </c>
      <c r="E1359" s="11" t="s">
        <v>418</v>
      </c>
      <c r="F1359" s="11">
        <v>2010.0</v>
      </c>
      <c r="G1359" s="40">
        <v>44072.0</v>
      </c>
      <c r="H1359" s="40">
        <f t="shared" ref="H1359:I1359" si="1086">F1359-F1358</f>
        <v>1</v>
      </c>
      <c r="I1359" s="40">
        <f t="shared" si="1086"/>
        <v>884</v>
      </c>
      <c r="J1359" s="73">
        <f t="shared" si="1064"/>
        <v>0.0204686487</v>
      </c>
      <c r="K1359" s="66">
        <f t="shared" si="1065"/>
        <v>0.0204686487</v>
      </c>
      <c r="L1359" s="29" t="s">
        <v>260</v>
      </c>
    </row>
    <row r="1360">
      <c r="A1360" s="11" t="s">
        <v>1362</v>
      </c>
      <c r="B1360" s="11" t="s">
        <v>248</v>
      </c>
      <c r="C1360" s="25" t="s">
        <v>1363</v>
      </c>
      <c r="D1360" s="11" t="s">
        <v>1364</v>
      </c>
      <c r="E1360" s="11" t="s">
        <v>418</v>
      </c>
      <c r="F1360" s="11">
        <v>2011.0</v>
      </c>
      <c r="G1360" s="40">
        <v>45351.0</v>
      </c>
      <c r="H1360" s="40">
        <f t="shared" ref="H1360:I1360" si="1087">F1360-F1359</f>
        <v>1</v>
      </c>
      <c r="I1360" s="40">
        <f t="shared" si="1087"/>
        <v>1279</v>
      </c>
      <c r="J1360" s="73">
        <f t="shared" si="1064"/>
        <v>0.02902069341</v>
      </c>
      <c r="K1360" s="66">
        <f t="shared" si="1065"/>
        <v>0.02902069341</v>
      </c>
      <c r="L1360" s="29" t="s">
        <v>260</v>
      </c>
    </row>
    <row r="1361">
      <c r="A1361" s="11" t="s">
        <v>1362</v>
      </c>
      <c r="B1361" s="11" t="s">
        <v>248</v>
      </c>
      <c r="C1361" s="25" t="s">
        <v>1363</v>
      </c>
      <c r="D1361" s="11" t="s">
        <v>1364</v>
      </c>
      <c r="E1361" s="11" t="s">
        <v>418</v>
      </c>
      <c r="F1361" s="11">
        <v>2012.0</v>
      </c>
      <c r="G1361" s="40">
        <v>47517.0</v>
      </c>
      <c r="H1361" s="40">
        <f t="shared" ref="H1361:I1361" si="1088">F1361-F1360</f>
        <v>1</v>
      </c>
      <c r="I1361" s="40">
        <f t="shared" si="1088"/>
        <v>2166</v>
      </c>
      <c r="J1361" s="73">
        <f t="shared" si="1064"/>
        <v>0.0477607991</v>
      </c>
      <c r="K1361" s="66">
        <f t="shared" si="1065"/>
        <v>0.0477607991</v>
      </c>
      <c r="L1361" s="29" t="s">
        <v>260</v>
      </c>
    </row>
    <row r="1362">
      <c r="A1362" s="11" t="s">
        <v>1362</v>
      </c>
      <c r="B1362" s="11" t="s">
        <v>248</v>
      </c>
      <c r="C1362" s="25" t="s">
        <v>1363</v>
      </c>
      <c r="D1362" s="11" t="s">
        <v>1364</v>
      </c>
      <c r="E1362" s="11" t="s">
        <v>418</v>
      </c>
      <c r="F1362" s="11">
        <v>2013.0</v>
      </c>
      <c r="G1362" s="40">
        <v>51951.0</v>
      </c>
      <c r="H1362" s="40">
        <f t="shared" ref="H1362:I1362" si="1089">F1362-F1361</f>
        <v>1</v>
      </c>
      <c r="I1362" s="40">
        <f t="shared" si="1089"/>
        <v>4434</v>
      </c>
      <c r="J1362" s="73">
        <f t="shared" si="1064"/>
        <v>0.09331397184</v>
      </c>
      <c r="K1362" s="66">
        <f t="shared" si="1065"/>
        <v>0.09331397184</v>
      </c>
      <c r="L1362" s="29" t="s">
        <v>260</v>
      </c>
    </row>
    <row r="1363">
      <c r="A1363" s="11" t="s">
        <v>1362</v>
      </c>
      <c r="B1363" s="11" t="s">
        <v>248</v>
      </c>
      <c r="C1363" s="25" t="s">
        <v>1363</v>
      </c>
      <c r="D1363" s="11" t="s">
        <v>1364</v>
      </c>
      <c r="E1363" s="11" t="s">
        <v>418</v>
      </c>
      <c r="F1363" s="11">
        <v>2014.0</v>
      </c>
      <c r="G1363" s="40">
        <v>52046.0</v>
      </c>
      <c r="H1363" s="40">
        <f t="shared" ref="H1363:I1363" si="1090">F1363-F1362</f>
        <v>1</v>
      </c>
      <c r="I1363" s="40">
        <f t="shared" si="1090"/>
        <v>95</v>
      </c>
      <c r="J1363" s="73">
        <f t="shared" si="1064"/>
        <v>0.001828646224</v>
      </c>
      <c r="K1363" s="66">
        <f t="shared" si="1065"/>
        <v>0.001828646224</v>
      </c>
      <c r="L1363" s="29" t="s">
        <v>260</v>
      </c>
    </row>
    <row r="1364">
      <c r="A1364" s="11" t="s">
        <v>1362</v>
      </c>
      <c r="B1364" s="11" t="s">
        <v>248</v>
      </c>
      <c r="C1364" s="25" t="s">
        <v>1363</v>
      </c>
      <c r="D1364" s="11" t="s">
        <v>1364</v>
      </c>
      <c r="E1364" s="11" t="s">
        <v>418</v>
      </c>
      <c r="F1364" s="11">
        <v>2015.0</v>
      </c>
      <c r="G1364" s="40">
        <v>54409.0</v>
      </c>
      <c r="H1364" s="40">
        <f t="shared" ref="H1364:I1364" si="1091">F1364-F1363</f>
        <v>1</v>
      </c>
      <c r="I1364" s="40">
        <f t="shared" si="1091"/>
        <v>2363</v>
      </c>
      <c r="J1364" s="73">
        <f t="shared" si="1064"/>
        <v>0.04540214426</v>
      </c>
      <c r="K1364" s="66">
        <f t="shared" si="1065"/>
        <v>0.04540214426</v>
      </c>
      <c r="L1364" s="29" t="s">
        <v>260</v>
      </c>
    </row>
    <row r="1365">
      <c r="A1365" s="11" t="s">
        <v>1362</v>
      </c>
      <c r="B1365" s="11" t="s">
        <v>248</v>
      </c>
      <c r="C1365" s="25" t="s">
        <v>1363</v>
      </c>
      <c r="D1365" s="11" t="s">
        <v>1364</v>
      </c>
      <c r="E1365" s="11" t="s">
        <v>418</v>
      </c>
      <c r="F1365" s="11">
        <v>2016.0</v>
      </c>
      <c r="G1365" s="40">
        <v>55490.0</v>
      </c>
      <c r="H1365" s="40">
        <f t="shared" ref="H1365:I1365" si="1092">F1365-F1364</f>
        <v>1</v>
      </c>
      <c r="I1365" s="40">
        <f t="shared" si="1092"/>
        <v>1081</v>
      </c>
      <c r="J1365" s="73">
        <f t="shared" si="1064"/>
        <v>0.01986803654</v>
      </c>
      <c r="K1365" s="66">
        <f t="shared" si="1065"/>
        <v>0.01986803654</v>
      </c>
      <c r="L1365" s="29" t="s">
        <v>260</v>
      </c>
    </row>
    <row r="1366">
      <c r="A1366" s="11" t="s">
        <v>1362</v>
      </c>
      <c r="B1366" s="11" t="s">
        <v>248</v>
      </c>
      <c r="C1366" s="11" t="s">
        <v>1363</v>
      </c>
      <c r="D1366" s="11" t="s">
        <v>1364</v>
      </c>
      <c r="E1366" s="11" t="s">
        <v>418</v>
      </c>
      <c r="F1366" s="11">
        <v>2017.0</v>
      </c>
      <c r="G1366" s="40">
        <v>54895.0</v>
      </c>
      <c r="H1366" s="40">
        <f t="shared" ref="H1366:I1366" si="1093">F1366-F1365</f>
        <v>1</v>
      </c>
      <c r="I1366" s="40">
        <f t="shared" si="1093"/>
        <v>-595</v>
      </c>
      <c r="J1366" s="73">
        <f t="shared" si="1064"/>
        <v>-0.01072265273</v>
      </c>
      <c r="K1366" s="66">
        <f t="shared" si="1065"/>
        <v>-0.01072265273</v>
      </c>
      <c r="L1366" s="28" t="s">
        <v>260</v>
      </c>
    </row>
    <row r="1367">
      <c r="A1367" s="11" t="s">
        <v>1382</v>
      </c>
      <c r="B1367" s="11" t="s">
        <v>248</v>
      </c>
      <c r="C1367" s="25" t="s">
        <v>1383</v>
      </c>
      <c r="D1367" s="11" t="s">
        <v>1364</v>
      </c>
      <c r="E1367" s="11" t="s">
        <v>418</v>
      </c>
      <c r="F1367" s="11">
        <v>1989.0</v>
      </c>
      <c r="G1367" s="40">
        <v>11429.0</v>
      </c>
      <c r="H1367" s="40" t="s">
        <v>188</v>
      </c>
      <c r="I1367" s="40" t="s">
        <v>188</v>
      </c>
      <c r="J1367" s="40" t="s">
        <v>188</v>
      </c>
      <c r="K1367" s="66" t="s">
        <v>188</v>
      </c>
      <c r="L1367" s="29" t="s">
        <v>260</v>
      </c>
    </row>
    <row r="1368">
      <c r="A1368" s="11" t="s">
        <v>1382</v>
      </c>
      <c r="B1368" s="11" t="s">
        <v>248</v>
      </c>
      <c r="C1368" s="25" t="s">
        <v>1383</v>
      </c>
      <c r="D1368" s="11" t="s">
        <v>1364</v>
      </c>
      <c r="E1368" s="11" t="s">
        <v>418</v>
      </c>
      <c r="F1368" s="11">
        <v>1990.0</v>
      </c>
      <c r="G1368" s="40">
        <v>10816.0</v>
      </c>
      <c r="H1368" s="40" t="s">
        <v>188</v>
      </c>
      <c r="I1368" s="40" t="s">
        <v>188</v>
      </c>
      <c r="J1368" s="40" t="s">
        <v>188</v>
      </c>
      <c r="K1368" s="66" t="s">
        <v>188</v>
      </c>
      <c r="L1368" s="29" t="s">
        <v>260</v>
      </c>
    </row>
    <row r="1369">
      <c r="A1369" s="11" t="s">
        <v>1382</v>
      </c>
      <c r="B1369" s="11" t="s">
        <v>248</v>
      </c>
      <c r="C1369" s="25" t="s">
        <v>1383</v>
      </c>
      <c r="D1369" s="11" t="s">
        <v>1364</v>
      </c>
      <c r="E1369" s="11" t="s">
        <v>418</v>
      </c>
      <c r="F1369" s="11">
        <v>1991.0</v>
      </c>
      <c r="G1369" s="40">
        <v>11837.0</v>
      </c>
      <c r="H1369" s="40" t="s">
        <v>188</v>
      </c>
      <c r="I1369" s="40" t="s">
        <v>188</v>
      </c>
      <c r="J1369" s="40" t="s">
        <v>188</v>
      </c>
      <c r="K1369" s="66" t="s">
        <v>188</v>
      </c>
      <c r="L1369" s="29" t="s">
        <v>260</v>
      </c>
    </row>
    <row r="1370">
      <c r="A1370" s="11" t="s">
        <v>1382</v>
      </c>
      <c r="B1370" s="11" t="s">
        <v>248</v>
      </c>
      <c r="C1370" s="25" t="s">
        <v>1383</v>
      </c>
      <c r="D1370" s="11" t="s">
        <v>1364</v>
      </c>
      <c r="E1370" s="11" t="s">
        <v>418</v>
      </c>
      <c r="F1370" s="11">
        <v>1992.0</v>
      </c>
      <c r="G1370" s="40">
        <v>11429.0</v>
      </c>
      <c r="H1370" s="40" t="s">
        <v>188</v>
      </c>
      <c r="I1370" s="40" t="s">
        <v>188</v>
      </c>
      <c r="J1370" s="40" t="s">
        <v>188</v>
      </c>
      <c r="K1370" s="66" t="s">
        <v>188</v>
      </c>
      <c r="L1370" s="29" t="s">
        <v>260</v>
      </c>
    </row>
    <row r="1371">
      <c r="A1371" s="11" t="s">
        <v>1382</v>
      </c>
      <c r="B1371" s="11" t="s">
        <v>248</v>
      </c>
      <c r="C1371" s="25" t="s">
        <v>1383</v>
      </c>
      <c r="D1371" s="11" t="s">
        <v>1364</v>
      </c>
      <c r="E1371" s="11" t="s">
        <v>418</v>
      </c>
      <c r="F1371" s="11">
        <v>1994.0</v>
      </c>
      <c r="G1371" s="40">
        <v>12857.0</v>
      </c>
      <c r="H1371" s="40" t="s">
        <v>188</v>
      </c>
      <c r="I1371" s="40" t="s">
        <v>188</v>
      </c>
      <c r="J1371" s="40" t="s">
        <v>188</v>
      </c>
      <c r="K1371" s="66" t="s">
        <v>188</v>
      </c>
      <c r="L1371" s="29" t="s">
        <v>260</v>
      </c>
    </row>
    <row r="1372">
      <c r="A1372" s="11" t="s">
        <v>1382</v>
      </c>
      <c r="B1372" s="11" t="s">
        <v>248</v>
      </c>
      <c r="C1372" s="25" t="s">
        <v>1383</v>
      </c>
      <c r="D1372" s="11" t="s">
        <v>1364</v>
      </c>
      <c r="E1372" s="11" t="s">
        <v>418</v>
      </c>
      <c r="F1372" s="11">
        <v>1996.0</v>
      </c>
      <c r="G1372" s="40">
        <v>11429.0</v>
      </c>
      <c r="H1372" s="40" t="s">
        <v>188</v>
      </c>
      <c r="I1372" s="40" t="s">
        <v>188</v>
      </c>
      <c r="J1372" s="40" t="s">
        <v>188</v>
      </c>
      <c r="K1372" s="66" t="s">
        <v>188</v>
      </c>
      <c r="L1372" s="29" t="s">
        <v>260</v>
      </c>
    </row>
    <row r="1373">
      <c r="A1373" s="11" t="s">
        <v>1382</v>
      </c>
      <c r="B1373" s="11" t="s">
        <v>248</v>
      </c>
      <c r="C1373" s="25" t="s">
        <v>1383</v>
      </c>
      <c r="D1373" s="11" t="s">
        <v>1364</v>
      </c>
      <c r="E1373" s="11" t="s">
        <v>418</v>
      </c>
      <c r="F1373" s="11">
        <v>1998.0</v>
      </c>
      <c r="G1373" s="40">
        <v>12449.0</v>
      </c>
      <c r="H1373" s="40" t="s">
        <v>188</v>
      </c>
      <c r="I1373" s="40" t="s">
        <v>188</v>
      </c>
      <c r="J1373" s="40" t="s">
        <v>188</v>
      </c>
      <c r="K1373" s="66" t="s">
        <v>188</v>
      </c>
      <c r="L1373" s="29" t="s">
        <v>260</v>
      </c>
    </row>
    <row r="1374">
      <c r="A1374" s="11" t="s">
        <v>1382</v>
      </c>
      <c r="B1374" s="11" t="s">
        <v>248</v>
      </c>
      <c r="C1374" s="25" t="s">
        <v>1383</v>
      </c>
      <c r="D1374" s="11" t="s">
        <v>1364</v>
      </c>
      <c r="E1374" s="11" t="s">
        <v>418</v>
      </c>
      <c r="F1374" s="11">
        <v>2000.0</v>
      </c>
      <c r="G1374" s="40">
        <v>14082.0</v>
      </c>
      <c r="H1374" s="40" t="s">
        <v>188</v>
      </c>
      <c r="I1374" s="40" t="s">
        <v>188</v>
      </c>
      <c r="J1374" s="40" t="s">
        <v>188</v>
      </c>
      <c r="K1374" s="66" t="s">
        <v>188</v>
      </c>
      <c r="L1374" s="29" t="s">
        <v>260</v>
      </c>
    </row>
    <row r="1375">
      <c r="A1375" s="11" t="s">
        <v>1382</v>
      </c>
      <c r="B1375" s="11" t="s">
        <v>248</v>
      </c>
      <c r="C1375" s="25" t="s">
        <v>1383</v>
      </c>
      <c r="D1375" s="11" t="s">
        <v>1364</v>
      </c>
      <c r="E1375" s="11" t="s">
        <v>418</v>
      </c>
      <c r="F1375" s="11">
        <v>2002.0</v>
      </c>
      <c r="G1375" s="40">
        <v>16122.0</v>
      </c>
      <c r="H1375" s="40" t="s">
        <v>188</v>
      </c>
      <c r="I1375" s="40" t="s">
        <v>188</v>
      </c>
      <c r="J1375" s="40" t="s">
        <v>188</v>
      </c>
      <c r="K1375" s="66" t="s">
        <v>188</v>
      </c>
      <c r="L1375" s="29" t="s">
        <v>260</v>
      </c>
    </row>
    <row r="1376">
      <c r="A1376" s="11" t="s">
        <v>1382</v>
      </c>
      <c r="B1376" s="11" t="s">
        <v>248</v>
      </c>
      <c r="C1376" s="25" t="s">
        <v>1383</v>
      </c>
      <c r="D1376" s="11" t="s">
        <v>1364</v>
      </c>
      <c r="E1376" s="11" t="s">
        <v>418</v>
      </c>
      <c r="F1376" s="11">
        <v>2004.0</v>
      </c>
      <c r="G1376" s="40">
        <v>16327.0</v>
      </c>
      <c r="H1376" s="40" t="s">
        <v>188</v>
      </c>
      <c r="I1376" s="40" t="s">
        <v>188</v>
      </c>
      <c r="J1376" s="40" t="s">
        <v>188</v>
      </c>
      <c r="K1376" s="66" t="s">
        <v>188</v>
      </c>
      <c r="L1376" s="29" t="s">
        <v>260</v>
      </c>
    </row>
    <row r="1377">
      <c r="A1377" s="11" t="s">
        <v>1382</v>
      </c>
      <c r="B1377" s="11" t="s">
        <v>248</v>
      </c>
      <c r="C1377" s="25" t="s">
        <v>1383</v>
      </c>
      <c r="D1377" s="11" t="s">
        <v>1364</v>
      </c>
      <c r="E1377" s="11" t="s">
        <v>418</v>
      </c>
      <c r="F1377" s="11">
        <v>2005.0</v>
      </c>
      <c r="G1377" s="40">
        <v>16939.0</v>
      </c>
      <c r="H1377" s="40" t="s">
        <v>188</v>
      </c>
      <c r="I1377" s="40" t="s">
        <v>188</v>
      </c>
      <c r="J1377" s="40" t="s">
        <v>188</v>
      </c>
      <c r="K1377" s="66" t="s">
        <v>188</v>
      </c>
      <c r="L1377" s="29" t="s">
        <v>260</v>
      </c>
    </row>
    <row r="1378">
      <c r="A1378" s="11" t="s">
        <v>1382</v>
      </c>
      <c r="B1378" s="11" t="s">
        <v>248</v>
      </c>
      <c r="C1378" s="25" t="s">
        <v>1383</v>
      </c>
      <c r="D1378" s="11" t="s">
        <v>1364</v>
      </c>
      <c r="E1378" s="11" t="s">
        <v>418</v>
      </c>
      <c r="F1378" s="11">
        <v>2007.0</v>
      </c>
      <c r="G1378" s="40">
        <v>16327.0</v>
      </c>
      <c r="H1378" s="40" t="s">
        <v>188</v>
      </c>
      <c r="I1378" s="40" t="s">
        <v>188</v>
      </c>
      <c r="J1378" s="40" t="s">
        <v>188</v>
      </c>
      <c r="K1378" s="66" t="s">
        <v>188</v>
      </c>
      <c r="L1378" s="29" t="s">
        <v>260</v>
      </c>
    </row>
    <row r="1379">
      <c r="A1379" s="11" t="s">
        <v>1382</v>
      </c>
      <c r="B1379" s="11" t="s">
        <v>248</v>
      </c>
      <c r="C1379" s="25" t="s">
        <v>1383</v>
      </c>
      <c r="D1379" s="11" t="s">
        <v>1364</v>
      </c>
      <c r="E1379" s="11" t="s">
        <v>418</v>
      </c>
      <c r="F1379" s="11">
        <v>2008.0</v>
      </c>
      <c r="G1379" s="40">
        <v>14286.0</v>
      </c>
      <c r="H1379" s="40" t="s">
        <v>188</v>
      </c>
      <c r="I1379" s="40" t="s">
        <v>188</v>
      </c>
      <c r="J1379" s="40" t="s">
        <v>188</v>
      </c>
      <c r="K1379" s="66" t="s">
        <v>188</v>
      </c>
      <c r="L1379" s="29" t="s">
        <v>260</v>
      </c>
    </row>
    <row r="1380">
      <c r="A1380" s="11" t="s">
        <v>1382</v>
      </c>
      <c r="B1380" s="11" t="s">
        <v>248</v>
      </c>
      <c r="C1380" s="25" t="s">
        <v>1383</v>
      </c>
      <c r="D1380" s="11" t="s">
        <v>1364</v>
      </c>
      <c r="E1380" s="11" t="s">
        <v>418</v>
      </c>
      <c r="F1380" s="11">
        <v>2009.0</v>
      </c>
      <c r="G1380" s="40">
        <v>17755.0</v>
      </c>
      <c r="H1380" s="40" t="s">
        <v>188</v>
      </c>
      <c r="I1380" s="40" t="s">
        <v>188</v>
      </c>
      <c r="J1380" s="40" t="s">
        <v>188</v>
      </c>
      <c r="K1380" s="66" t="s">
        <v>188</v>
      </c>
      <c r="L1380" s="29" t="s">
        <v>260</v>
      </c>
    </row>
    <row r="1381">
      <c r="A1381" s="11" t="s">
        <v>1382</v>
      </c>
      <c r="B1381" s="11" t="s">
        <v>248</v>
      </c>
      <c r="C1381" s="25" t="s">
        <v>1383</v>
      </c>
      <c r="D1381" s="11" t="s">
        <v>1364</v>
      </c>
      <c r="E1381" s="11" t="s">
        <v>418</v>
      </c>
      <c r="F1381" s="11">
        <v>2010.0</v>
      </c>
      <c r="G1381" s="40">
        <v>15918.0</v>
      </c>
      <c r="H1381" s="40" t="s">
        <v>188</v>
      </c>
      <c r="I1381" s="40" t="s">
        <v>188</v>
      </c>
      <c r="J1381" s="40" t="s">
        <v>188</v>
      </c>
      <c r="K1381" s="66" t="s">
        <v>188</v>
      </c>
      <c r="L1381" s="29" t="s">
        <v>260</v>
      </c>
    </row>
    <row r="1382">
      <c r="A1382" s="11" t="s">
        <v>1382</v>
      </c>
      <c r="B1382" s="11" t="s">
        <v>248</v>
      </c>
      <c r="C1382" s="25" t="s">
        <v>1383</v>
      </c>
      <c r="D1382" s="11" t="s">
        <v>1364</v>
      </c>
      <c r="E1382" s="11" t="s">
        <v>418</v>
      </c>
      <c r="F1382" s="11">
        <v>2013.0</v>
      </c>
      <c r="G1382" s="40">
        <v>19184.0</v>
      </c>
      <c r="H1382" s="40" t="s">
        <v>188</v>
      </c>
      <c r="I1382" s="40" t="s">
        <v>188</v>
      </c>
      <c r="J1382" s="40" t="s">
        <v>188</v>
      </c>
      <c r="K1382" s="66" t="s">
        <v>188</v>
      </c>
      <c r="L1382" s="29" t="s">
        <v>260</v>
      </c>
    </row>
    <row r="1383">
      <c r="A1383" s="11" t="s">
        <v>1382</v>
      </c>
      <c r="B1383" s="11" t="s">
        <v>248</v>
      </c>
      <c r="C1383" s="25" t="s">
        <v>1383</v>
      </c>
      <c r="D1383" s="11" t="s">
        <v>1364</v>
      </c>
      <c r="E1383" s="11" t="s">
        <v>418</v>
      </c>
      <c r="F1383" s="11">
        <v>2015.0</v>
      </c>
      <c r="G1383" s="40">
        <v>21429.0</v>
      </c>
      <c r="H1383" s="40" t="s">
        <v>188</v>
      </c>
      <c r="I1383" s="40" t="s">
        <v>188</v>
      </c>
      <c r="J1383" s="40" t="s">
        <v>188</v>
      </c>
      <c r="K1383" s="66" t="s">
        <v>188</v>
      </c>
      <c r="L1383" s="29" t="s">
        <v>260</v>
      </c>
    </row>
    <row r="1384">
      <c r="A1384" s="11" t="s">
        <v>1382</v>
      </c>
      <c r="B1384" s="11" t="s">
        <v>248</v>
      </c>
      <c r="C1384" s="25" t="s">
        <v>1383</v>
      </c>
      <c r="D1384" s="11" t="s">
        <v>1364</v>
      </c>
      <c r="E1384" s="11" t="s">
        <v>418</v>
      </c>
      <c r="F1384" s="11">
        <v>2017.0</v>
      </c>
      <c r="G1384" s="40">
        <v>18571.0</v>
      </c>
      <c r="H1384" s="40" t="s">
        <v>188</v>
      </c>
      <c r="I1384" s="40" t="s">
        <v>188</v>
      </c>
      <c r="J1384" s="40" t="s">
        <v>188</v>
      </c>
      <c r="K1384" s="66" t="s">
        <v>188</v>
      </c>
      <c r="L1384" s="29" t="s">
        <v>260</v>
      </c>
    </row>
    <row r="1385">
      <c r="A1385" s="11" t="s">
        <v>1394</v>
      </c>
      <c r="B1385" s="11" t="s">
        <v>248</v>
      </c>
      <c r="C1385" s="25" t="s">
        <v>1395</v>
      </c>
      <c r="D1385" s="11" t="s">
        <v>1364</v>
      </c>
      <c r="E1385" s="11" t="s">
        <v>418</v>
      </c>
      <c r="F1385" s="11">
        <v>1989.0</v>
      </c>
      <c r="G1385" s="40">
        <v>204.0</v>
      </c>
      <c r="H1385" s="40" t="s">
        <v>188</v>
      </c>
      <c r="I1385" s="40" t="s">
        <v>188</v>
      </c>
      <c r="J1385" s="40" t="s">
        <v>188</v>
      </c>
      <c r="K1385" s="66" t="s">
        <v>188</v>
      </c>
      <c r="L1385" s="29" t="s">
        <v>260</v>
      </c>
    </row>
    <row r="1386">
      <c r="A1386" s="11" t="s">
        <v>1394</v>
      </c>
      <c r="B1386" s="11" t="s">
        <v>248</v>
      </c>
      <c r="C1386" s="25" t="s">
        <v>1395</v>
      </c>
      <c r="D1386" s="11" t="s">
        <v>1364</v>
      </c>
      <c r="E1386" s="11" t="s">
        <v>418</v>
      </c>
      <c r="F1386" s="11">
        <v>1991.0</v>
      </c>
      <c r="G1386" s="40">
        <v>408.0</v>
      </c>
      <c r="H1386" s="40" t="s">
        <v>188</v>
      </c>
      <c r="I1386" s="40" t="s">
        <v>188</v>
      </c>
      <c r="J1386" s="40" t="s">
        <v>188</v>
      </c>
      <c r="K1386" s="66" t="s">
        <v>188</v>
      </c>
      <c r="L1386" s="29" t="s">
        <v>260</v>
      </c>
    </row>
    <row r="1387">
      <c r="A1387" s="11" t="s">
        <v>1394</v>
      </c>
      <c r="B1387" s="11" t="s">
        <v>248</v>
      </c>
      <c r="C1387" s="25" t="s">
        <v>1395</v>
      </c>
      <c r="D1387" s="11" t="s">
        <v>1364</v>
      </c>
      <c r="E1387" s="11" t="s">
        <v>418</v>
      </c>
      <c r="F1387" s="11">
        <v>1992.0</v>
      </c>
      <c r="G1387" s="40">
        <v>204.0</v>
      </c>
      <c r="H1387" s="40" t="s">
        <v>188</v>
      </c>
      <c r="I1387" s="40" t="s">
        <v>188</v>
      </c>
      <c r="J1387" s="40" t="s">
        <v>188</v>
      </c>
      <c r="K1387" s="66" t="s">
        <v>188</v>
      </c>
      <c r="L1387" s="29" t="s">
        <v>260</v>
      </c>
    </row>
    <row r="1388">
      <c r="A1388" s="11" t="s">
        <v>1394</v>
      </c>
      <c r="B1388" s="11" t="s">
        <v>248</v>
      </c>
      <c r="C1388" s="25" t="s">
        <v>1395</v>
      </c>
      <c r="D1388" s="11" t="s">
        <v>1364</v>
      </c>
      <c r="E1388" s="11" t="s">
        <v>418</v>
      </c>
      <c r="F1388" s="11">
        <v>1993.0</v>
      </c>
      <c r="G1388" s="40">
        <v>612.0</v>
      </c>
      <c r="H1388" s="40" t="s">
        <v>188</v>
      </c>
      <c r="I1388" s="40" t="s">
        <v>188</v>
      </c>
      <c r="J1388" s="40" t="s">
        <v>188</v>
      </c>
      <c r="K1388" s="66" t="s">
        <v>188</v>
      </c>
      <c r="L1388" s="29" t="s">
        <v>260</v>
      </c>
    </row>
    <row r="1389">
      <c r="A1389" s="11" t="s">
        <v>1394</v>
      </c>
      <c r="B1389" s="11" t="s">
        <v>248</v>
      </c>
      <c r="C1389" s="25" t="s">
        <v>1395</v>
      </c>
      <c r="D1389" s="11" t="s">
        <v>1364</v>
      </c>
      <c r="E1389" s="11" t="s">
        <v>418</v>
      </c>
      <c r="F1389" s="11">
        <v>1994.0</v>
      </c>
      <c r="G1389" s="40">
        <v>357.0</v>
      </c>
      <c r="H1389" s="40" t="s">
        <v>188</v>
      </c>
      <c r="I1389" s="40" t="s">
        <v>188</v>
      </c>
      <c r="J1389" s="40" t="s">
        <v>188</v>
      </c>
      <c r="K1389" s="66" t="s">
        <v>188</v>
      </c>
      <c r="L1389" s="29" t="s">
        <v>260</v>
      </c>
    </row>
    <row r="1390">
      <c r="A1390" s="11" t="s">
        <v>1394</v>
      </c>
      <c r="B1390" s="11" t="s">
        <v>248</v>
      </c>
      <c r="C1390" s="25" t="s">
        <v>1395</v>
      </c>
      <c r="D1390" s="11" t="s">
        <v>1364</v>
      </c>
      <c r="E1390" s="11" t="s">
        <v>418</v>
      </c>
      <c r="F1390" s="11">
        <v>1995.0</v>
      </c>
      <c r="G1390" s="40">
        <v>408.0</v>
      </c>
      <c r="H1390" s="40" t="s">
        <v>188</v>
      </c>
      <c r="I1390" s="40" t="s">
        <v>188</v>
      </c>
      <c r="J1390" s="40" t="s">
        <v>188</v>
      </c>
      <c r="K1390" s="66" t="s">
        <v>188</v>
      </c>
      <c r="L1390" s="29" t="s">
        <v>260</v>
      </c>
    </row>
    <row r="1391">
      <c r="A1391" s="11" t="s">
        <v>1394</v>
      </c>
      <c r="B1391" s="11" t="s">
        <v>248</v>
      </c>
      <c r="C1391" s="25" t="s">
        <v>1395</v>
      </c>
      <c r="D1391" s="11" t="s">
        <v>1364</v>
      </c>
      <c r="E1391" s="11" t="s">
        <v>418</v>
      </c>
      <c r="F1391" s="11">
        <v>1996.0</v>
      </c>
      <c r="G1391" s="40">
        <v>612.0</v>
      </c>
      <c r="H1391" s="40" t="s">
        <v>188</v>
      </c>
      <c r="I1391" s="40" t="s">
        <v>188</v>
      </c>
      <c r="J1391" s="40" t="s">
        <v>188</v>
      </c>
      <c r="K1391" s="66" t="s">
        <v>188</v>
      </c>
      <c r="L1391" s="29" t="s">
        <v>260</v>
      </c>
    </row>
    <row r="1392">
      <c r="A1392" s="11" t="s">
        <v>1394</v>
      </c>
      <c r="B1392" s="11" t="s">
        <v>248</v>
      </c>
      <c r="C1392" s="25" t="s">
        <v>1395</v>
      </c>
      <c r="D1392" s="11" t="s">
        <v>1364</v>
      </c>
      <c r="E1392" s="11" t="s">
        <v>418</v>
      </c>
      <c r="F1392" s="11">
        <v>1997.0</v>
      </c>
      <c r="G1392" s="40">
        <v>408.0</v>
      </c>
      <c r="H1392" s="40" t="s">
        <v>188</v>
      </c>
      <c r="I1392" s="40" t="s">
        <v>188</v>
      </c>
      <c r="J1392" s="40" t="s">
        <v>188</v>
      </c>
      <c r="K1392" s="66" t="s">
        <v>188</v>
      </c>
      <c r="L1392" s="29" t="s">
        <v>260</v>
      </c>
    </row>
    <row r="1393">
      <c r="A1393" s="11" t="s">
        <v>1394</v>
      </c>
      <c r="B1393" s="11" t="s">
        <v>248</v>
      </c>
      <c r="C1393" s="25" t="s">
        <v>1395</v>
      </c>
      <c r="D1393" s="11" t="s">
        <v>1364</v>
      </c>
      <c r="E1393" s="11" t="s">
        <v>418</v>
      </c>
      <c r="F1393" s="11">
        <v>1998.0</v>
      </c>
      <c r="G1393" s="40">
        <v>408.0</v>
      </c>
      <c r="H1393" s="40" t="s">
        <v>188</v>
      </c>
      <c r="I1393" s="40" t="s">
        <v>188</v>
      </c>
      <c r="J1393" s="40" t="s">
        <v>188</v>
      </c>
      <c r="K1393" s="66" t="s">
        <v>188</v>
      </c>
      <c r="L1393" s="29" t="s">
        <v>260</v>
      </c>
    </row>
    <row r="1394">
      <c r="A1394" s="11" t="s">
        <v>1394</v>
      </c>
      <c r="B1394" s="11" t="s">
        <v>248</v>
      </c>
      <c r="C1394" s="25" t="s">
        <v>1395</v>
      </c>
      <c r="D1394" s="11" t="s">
        <v>1364</v>
      </c>
      <c r="E1394" s="11" t="s">
        <v>418</v>
      </c>
      <c r="F1394" s="11">
        <v>1999.0</v>
      </c>
      <c r="G1394" s="40">
        <v>816.0</v>
      </c>
      <c r="H1394" s="40" t="s">
        <v>188</v>
      </c>
      <c r="I1394" s="40" t="s">
        <v>188</v>
      </c>
      <c r="J1394" s="40" t="s">
        <v>188</v>
      </c>
      <c r="K1394" s="66" t="s">
        <v>188</v>
      </c>
      <c r="L1394" s="29" t="s">
        <v>260</v>
      </c>
    </row>
    <row r="1395">
      <c r="A1395" s="11" t="s">
        <v>1394</v>
      </c>
      <c r="B1395" s="11" t="s">
        <v>248</v>
      </c>
      <c r="C1395" s="25" t="s">
        <v>1395</v>
      </c>
      <c r="D1395" s="11" t="s">
        <v>1364</v>
      </c>
      <c r="E1395" s="11" t="s">
        <v>418</v>
      </c>
      <c r="F1395" s="11">
        <v>2000.0</v>
      </c>
      <c r="G1395" s="40">
        <v>612.0</v>
      </c>
      <c r="H1395" s="40" t="s">
        <v>188</v>
      </c>
      <c r="I1395" s="40" t="s">
        <v>188</v>
      </c>
      <c r="J1395" s="40" t="s">
        <v>188</v>
      </c>
      <c r="K1395" s="66" t="s">
        <v>188</v>
      </c>
      <c r="L1395" s="29" t="s">
        <v>260</v>
      </c>
    </row>
    <row r="1396">
      <c r="A1396" s="11" t="s">
        <v>1394</v>
      </c>
      <c r="B1396" s="11" t="s">
        <v>248</v>
      </c>
      <c r="C1396" s="25" t="s">
        <v>1395</v>
      </c>
      <c r="D1396" s="11" t="s">
        <v>1364</v>
      </c>
      <c r="E1396" s="11" t="s">
        <v>418</v>
      </c>
      <c r="F1396" s="11">
        <v>2001.0</v>
      </c>
      <c r="G1396" s="40">
        <v>408.0</v>
      </c>
      <c r="H1396" s="40" t="s">
        <v>188</v>
      </c>
      <c r="I1396" s="40" t="s">
        <v>188</v>
      </c>
      <c r="J1396" s="40" t="s">
        <v>188</v>
      </c>
      <c r="K1396" s="66" t="s">
        <v>188</v>
      </c>
      <c r="L1396" s="29" t="s">
        <v>260</v>
      </c>
    </row>
    <row r="1397">
      <c r="A1397" s="11" t="s">
        <v>1394</v>
      </c>
      <c r="B1397" s="11" t="s">
        <v>248</v>
      </c>
      <c r="C1397" s="25" t="s">
        <v>1395</v>
      </c>
      <c r="D1397" s="11" t="s">
        <v>1364</v>
      </c>
      <c r="E1397" s="11" t="s">
        <v>418</v>
      </c>
      <c r="F1397" s="11">
        <v>2004.0</v>
      </c>
      <c r="G1397" s="40">
        <v>816.0</v>
      </c>
      <c r="H1397" s="40" t="s">
        <v>188</v>
      </c>
      <c r="I1397" s="40" t="s">
        <v>188</v>
      </c>
      <c r="J1397" s="40" t="s">
        <v>188</v>
      </c>
      <c r="K1397" s="66" t="s">
        <v>188</v>
      </c>
      <c r="L1397" s="29" t="s">
        <v>260</v>
      </c>
    </row>
    <row r="1398">
      <c r="A1398" s="11" t="s">
        <v>1394</v>
      </c>
      <c r="B1398" s="11" t="s">
        <v>248</v>
      </c>
      <c r="C1398" s="25" t="s">
        <v>1395</v>
      </c>
      <c r="D1398" s="11" t="s">
        <v>1364</v>
      </c>
      <c r="E1398" s="11" t="s">
        <v>418</v>
      </c>
      <c r="F1398" s="11">
        <v>2005.0</v>
      </c>
      <c r="G1398" s="40">
        <v>816.0</v>
      </c>
      <c r="H1398" s="40" t="s">
        <v>188</v>
      </c>
      <c r="I1398" s="40" t="s">
        <v>188</v>
      </c>
      <c r="J1398" s="40" t="s">
        <v>188</v>
      </c>
      <c r="K1398" s="66" t="s">
        <v>188</v>
      </c>
      <c r="L1398" s="29" t="s">
        <v>260</v>
      </c>
    </row>
    <row r="1399">
      <c r="A1399" s="11" t="s">
        <v>1394</v>
      </c>
      <c r="B1399" s="11" t="s">
        <v>248</v>
      </c>
      <c r="C1399" s="25" t="s">
        <v>1395</v>
      </c>
      <c r="D1399" s="11" t="s">
        <v>1364</v>
      </c>
      <c r="E1399" s="11" t="s">
        <v>418</v>
      </c>
      <c r="F1399" s="11">
        <v>2006.0</v>
      </c>
      <c r="G1399" s="40">
        <v>612.0</v>
      </c>
      <c r="H1399" s="40" t="s">
        <v>188</v>
      </c>
      <c r="I1399" s="40" t="s">
        <v>188</v>
      </c>
      <c r="J1399" s="40" t="s">
        <v>188</v>
      </c>
      <c r="K1399" s="66" t="s">
        <v>188</v>
      </c>
      <c r="L1399" s="29" t="s">
        <v>260</v>
      </c>
    </row>
    <row r="1400">
      <c r="A1400" s="11" t="s">
        <v>1394</v>
      </c>
      <c r="B1400" s="11" t="s">
        <v>248</v>
      </c>
      <c r="C1400" s="25" t="s">
        <v>1395</v>
      </c>
      <c r="D1400" s="11" t="s">
        <v>1364</v>
      </c>
      <c r="E1400" s="11" t="s">
        <v>418</v>
      </c>
      <c r="F1400" s="11">
        <v>2007.0</v>
      </c>
      <c r="G1400" s="40">
        <v>816.0</v>
      </c>
      <c r="H1400" s="40" t="s">
        <v>188</v>
      </c>
      <c r="I1400" s="40" t="s">
        <v>188</v>
      </c>
      <c r="J1400" s="40" t="s">
        <v>188</v>
      </c>
      <c r="K1400" s="66" t="s">
        <v>188</v>
      </c>
      <c r="L1400" s="29" t="s">
        <v>260</v>
      </c>
    </row>
    <row r="1401">
      <c r="A1401" s="11" t="s">
        <v>1394</v>
      </c>
      <c r="B1401" s="11" t="s">
        <v>248</v>
      </c>
      <c r="C1401" s="25" t="s">
        <v>1395</v>
      </c>
      <c r="D1401" s="11" t="s">
        <v>1364</v>
      </c>
      <c r="E1401" s="11" t="s">
        <v>418</v>
      </c>
      <c r="F1401" s="11">
        <v>2008.0</v>
      </c>
      <c r="G1401" s="40">
        <v>1224.0</v>
      </c>
      <c r="H1401" s="40" t="s">
        <v>188</v>
      </c>
      <c r="I1401" s="40" t="s">
        <v>188</v>
      </c>
      <c r="J1401" s="40" t="s">
        <v>188</v>
      </c>
      <c r="K1401" s="66" t="s">
        <v>188</v>
      </c>
      <c r="L1401" s="29" t="s">
        <v>260</v>
      </c>
    </row>
    <row r="1402">
      <c r="A1402" s="11" t="s">
        <v>1394</v>
      </c>
      <c r="B1402" s="11" t="s">
        <v>248</v>
      </c>
      <c r="C1402" s="25" t="s">
        <v>1395</v>
      </c>
      <c r="D1402" s="11" t="s">
        <v>1364</v>
      </c>
      <c r="E1402" s="11" t="s">
        <v>418</v>
      </c>
      <c r="F1402" s="11">
        <v>2009.0</v>
      </c>
      <c r="G1402" s="40">
        <v>1429.0</v>
      </c>
      <c r="H1402" s="40" t="s">
        <v>188</v>
      </c>
      <c r="I1402" s="40" t="s">
        <v>188</v>
      </c>
      <c r="J1402" s="40" t="s">
        <v>188</v>
      </c>
      <c r="K1402" s="66" t="s">
        <v>188</v>
      </c>
      <c r="L1402" s="29" t="s">
        <v>260</v>
      </c>
    </row>
    <row r="1403">
      <c r="A1403" s="11" t="s">
        <v>1394</v>
      </c>
      <c r="B1403" s="11" t="s">
        <v>248</v>
      </c>
      <c r="C1403" s="25" t="s">
        <v>1395</v>
      </c>
      <c r="D1403" s="11" t="s">
        <v>1364</v>
      </c>
      <c r="E1403" s="11" t="s">
        <v>418</v>
      </c>
      <c r="F1403" s="11">
        <v>2010.0</v>
      </c>
      <c r="G1403" s="40">
        <v>1633.0</v>
      </c>
      <c r="H1403" s="40" t="s">
        <v>188</v>
      </c>
      <c r="I1403" s="40" t="s">
        <v>188</v>
      </c>
      <c r="J1403" s="40" t="s">
        <v>188</v>
      </c>
      <c r="K1403" s="66" t="s">
        <v>188</v>
      </c>
      <c r="L1403" s="29" t="s">
        <v>260</v>
      </c>
    </row>
    <row r="1404">
      <c r="A1404" s="11" t="s">
        <v>1394</v>
      </c>
      <c r="B1404" s="11" t="s">
        <v>248</v>
      </c>
      <c r="C1404" s="25" t="s">
        <v>1395</v>
      </c>
      <c r="D1404" s="11" t="s">
        <v>1364</v>
      </c>
      <c r="E1404" s="11" t="s">
        <v>418</v>
      </c>
      <c r="F1404" s="11">
        <v>2011.0</v>
      </c>
      <c r="G1404" s="40">
        <v>1837.0</v>
      </c>
      <c r="H1404" s="40" t="s">
        <v>188</v>
      </c>
      <c r="I1404" s="40" t="s">
        <v>188</v>
      </c>
      <c r="J1404" s="40" t="s">
        <v>188</v>
      </c>
      <c r="K1404" s="66" t="s">
        <v>188</v>
      </c>
      <c r="L1404" s="29" t="s">
        <v>260</v>
      </c>
    </row>
    <row r="1405">
      <c r="A1405" s="11" t="s">
        <v>1394</v>
      </c>
      <c r="B1405" s="11" t="s">
        <v>248</v>
      </c>
      <c r="C1405" s="25" t="s">
        <v>1395</v>
      </c>
      <c r="D1405" s="11" t="s">
        <v>1364</v>
      </c>
      <c r="E1405" s="11" t="s">
        <v>418</v>
      </c>
      <c r="F1405" s="11">
        <v>2013.0</v>
      </c>
      <c r="G1405" s="40">
        <v>1480.0</v>
      </c>
      <c r="H1405" s="40" t="s">
        <v>188</v>
      </c>
      <c r="I1405" s="40" t="s">
        <v>188</v>
      </c>
      <c r="J1405" s="40" t="s">
        <v>188</v>
      </c>
      <c r="K1405" s="66" t="s">
        <v>188</v>
      </c>
      <c r="L1405" s="29" t="s">
        <v>260</v>
      </c>
    </row>
    <row r="1406">
      <c r="A1406" s="11" t="s">
        <v>1394</v>
      </c>
      <c r="B1406" s="11" t="s">
        <v>248</v>
      </c>
      <c r="C1406" s="25" t="s">
        <v>1395</v>
      </c>
      <c r="D1406" s="11" t="s">
        <v>1364</v>
      </c>
      <c r="E1406" s="11" t="s">
        <v>418</v>
      </c>
      <c r="F1406" s="11">
        <v>2014.0</v>
      </c>
      <c r="G1406" s="40">
        <v>2194.0</v>
      </c>
      <c r="H1406" s="40" t="s">
        <v>188</v>
      </c>
      <c r="I1406" s="40" t="s">
        <v>188</v>
      </c>
      <c r="J1406" s="40" t="s">
        <v>188</v>
      </c>
      <c r="K1406" s="66" t="s">
        <v>188</v>
      </c>
      <c r="L1406" s="29" t="s">
        <v>260</v>
      </c>
    </row>
    <row r="1407">
      <c r="A1407" s="11" t="s">
        <v>1423</v>
      </c>
      <c r="B1407" s="11" t="s">
        <v>248</v>
      </c>
      <c r="C1407" s="25" t="s">
        <v>1424</v>
      </c>
      <c r="D1407" s="11" t="s">
        <v>1364</v>
      </c>
      <c r="E1407" s="11" t="s">
        <v>418</v>
      </c>
      <c r="F1407" s="11">
        <v>1990.0</v>
      </c>
      <c r="G1407" s="40">
        <v>1837.0</v>
      </c>
      <c r="H1407" s="40" t="s">
        <v>188</v>
      </c>
      <c r="I1407" s="40" t="s">
        <v>188</v>
      </c>
      <c r="J1407" s="40" t="s">
        <v>188</v>
      </c>
      <c r="K1407" s="66" t="s">
        <v>188</v>
      </c>
      <c r="L1407" s="29" t="s">
        <v>260</v>
      </c>
    </row>
    <row r="1408">
      <c r="A1408" s="11" t="s">
        <v>1423</v>
      </c>
      <c r="B1408" s="11" t="s">
        <v>248</v>
      </c>
      <c r="C1408" s="25" t="s">
        <v>1424</v>
      </c>
      <c r="D1408" s="11" t="s">
        <v>1364</v>
      </c>
      <c r="E1408" s="11" t="s">
        <v>418</v>
      </c>
      <c r="F1408" s="11">
        <v>1991.0</v>
      </c>
      <c r="G1408" s="40">
        <v>1837.0</v>
      </c>
      <c r="H1408" s="40" t="s">
        <v>188</v>
      </c>
      <c r="I1408" s="40" t="s">
        <v>188</v>
      </c>
      <c r="J1408" s="40" t="s">
        <v>188</v>
      </c>
      <c r="K1408" s="66" t="s">
        <v>188</v>
      </c>
      <c r="L1408" s="29" t="s">
        <v>260</v>
      </c>
    </row>
    <row r="1409">
      <c r="A1409" s="11" t="s">
        <v>1423</v>
      </c>
      <c r="B1409" s="11" t="s">
        <v>248</v>
      </c>
      <c r="C1409" s="25" t="s">
        <v>1424</v>
      </c>
      <c r="D1409" s="11" t="s">
        <v>1364</v>
      </c>
      <c r="E1409" s="11" t="s">
        <v>418</v>
      </c>
      <c r="F1409" s="11">
        <v>1992.0</v>
      </c>
      <c r="G1409" s="40">
        <v>1633.0</v>
      </c>
      <c r="H1409" s="40" t="s">
        <v>188</v>
      </c>
      <c r="I1409" s="40" t="s">
        <v>188</v>
      </c>
      <c r="J1409" s="40" t="s">
        <v>188</v>
      </c>
      <c r="K1409" s="66" t="s">
        <v>188</v>
      </c>
      <c r="L1409" s="29" t="s">
        <v>260</v>
      </c>
    </row>
    <row r="1410">
      <c r="A1410" s="11" t="s">
        <v>1423</v>
      </c>
      <c r="B1410" s="11" t="s">
        <v>248</v>
      </c>
      <c r="C1410" s="25" t="s">
        <v>1424</v>
      </c>
      <c r="D1410" s="11" t="s">
        <v>1364</v>
      </c>
      <c r="E1410" s="11" t="s">
        <v>418</v>
      </c>
      <c r="F1410" s="11">
        <v>1993.0</v>
      </c>
      <c r="G1410" s="40">
        <v>1429.0</v>
      </c>
      <c r="H1410" s="40" t="s">
        <v>188</v>
      </c>
      <c r="I1410" s="40" t="s">
        <v>188</v>
      </c>
      <c r="J1410" s="40" t="s">
        <v>188</v>
      </c>
      <c r="K1410" s="66" t="s">
        <v>188</v>
      </c>
      <c r="L1410" s="29" t="s">
        <v>260</v>
      </c>
    </row>
    <row r="1411">
      <c r="A1411" s="11" t="s">
        <v>1423</v>
      </c>
      <c r="B1411" s="11" t="s">
        <v>248</v>
      </c>
      <c r="C1411" s="25" t="s">
        <v>1424</v>
      </c>
      <c r="D1411" s="11" t="s">
        <v>1364</v>
      </c>
      <c r="E1411" s="11" t="s">
        <v>418</v>
      </c>
      <c r="F1411" s="11">
        <v>1994.0</v>
      </c>
      <c r="G1411" s="40">
        <v>1633.0</v>
      </c>
      <c r="H1411" s="40" t="s">
        <v>188</v>
      </c>
      <c r="I1411" s="40" t="s">
        <v>188</v>
      </c>
      <c r="J1411" s="40" t="s">
        <v>188</v>
      </c>
      <c r="K1411" s="66" t="s">
        <v>188</v>
      </c>
      <c r="L1411" s="29" t="s">
        <v>260</v>
      </c>
    </row>
    <row r="1412">
      <c r="A1412" s="11" t="s">
        <v>1423</v>
      </c>
      <c r="B1412" s="11" t="s">
        <v>248</v>
      </c>
      <c r="C1412" s="25" t="s">
        <v>1424</v>
      </c>
      <c r="D1412" s="11" t="s">
        <v>1364</v>
      </c>
      <c r="E1412" s="11" t="s">
        <v>418</v>
      </c>
      <c r="F1412" s="11">
        <v>1995.0</v>
      </c>
      <c r="G1412" s="40">
        <v>1837.0</v>
      </c>
      <c r="H1412" s="40" t="s">
        <v>188</v>
      </c>
      <c r="I1412" s="40" t="s">
        <v>188</v>
      </c>
      <c r="J1412" s="40" t="s">
        <v>188</v>
      </c>
      <c r="K1412" s="66" t="s">
        <v>188</v>
      </c>
      <c r="L1412" s="29" t="s">
        <v>260</v>
      </c>
    </row>
    <row r="1413">
      <c r="A1413" s="11" t="s">
        <v>1423</v>
      </c>
      <c r="B1413" s="11" t="s">
        <v>248</v>
      </c>
      <c r="C1413" s="25" t="s">
        <v>1424</v>
      </c>
      <c r="D1413" s="11" t="s">
        <v>1364</v>
      </c>
      <c r="E1413" s="11" t="s">
        <v>418</v>
      </c>
      <c r="F1413" s="11">
        <v>1996.0</v>
      </c>
      <c r="G1413" s="40">
        <v>2245.0</v>
      </c>
      <c r="H1413" s="40" t="s">
        <v>188</v>
      </c>
      <c r="I1413" s="40" t="s">
        <v>188</v>
      </c>
      <c r="J1413" s="40" t="s">
        <v>188</v>
      </c>
      <c r="K1413" s="66" t="s">
        <v>188</v>
      </c>
      <c r="L1413" s="29" t="s">
        <v>260</v>
      </c>
    </row>
    <row r="1414">
      <c r="A1414" s="11" t="s">
        <v>1423</v>
      </c>
      <c r="B1414" s="11" t="s">
        <v>248</v>
      </c>
      <c r="C1414" s="25" t="s">
        <v>1424</v>
      </c>
      <c r="D1414" s="11" t="s">
        <v>1364</v>
      </c>
      <c r="E1414" s="11" t="s">
        <v>418</v>
      </c>
      <c r="F1414" s="11">
        <v>1997.0</v>
      </c>
      <c r="G1414" s="40">
        <v>2041.0</v>
      </c>
      <c r="H1414" s="40" t="s">
        <v>188</v>
      </c>
      <c r="I1414" s="40" t="s">
        <v>188</v>
      </c>
      <c r="J1414" s="40" t="s">
        <v>188</v>
      </c>
      <c r="K1414" s="66" t="s">
        <v>188</v>
      </c>
      <c r="L1414" s="29" t="s">
        <v>260</v>
      </c>
    </row>
    <row r="1415">
      <c r="A1415" s="11" t="s">
        <v>1423</v>
      </c>
      <c r="B1415" s="11" t="s">
        <v>248</v>
      </c>
      <c r="C1415" s="25" t="s">
        <v>1424</v>
      </c>
      <c r="D1415" s="11" t="s">
        <v>1364</v>
      </c>
      <c r="E1415" s="11" t="s">
        <v>418</v>
      </c>
      <c r="F1415" s="11">
        <v>1998.0</v>
      </c>
      <c r="G1415" s="40">
        <v>1429.0</v>
      </c>
      <c r="H1415" s="40" t="s">
        <v>188</v>
      </c>
      <c r="I1415" s="40" t="s">
        <v>188</v>
      </c>
      <c r="J1415" s="40" t="s">
        <v>188</v>
      </c>
      <c r="K1415" s="66" t="s">
        <v>188</v>
      </c>
      <c r="L1415" s="29" t="s">
        <v>260</v>
      </c>
    </row>
    <row r="1416">
      <c r="A1416" s="11" t="s">
        <v>1423</v>
      </c>
      <c r="B1416" s="11" t="s">
        <v>248</v>
      </c>
      <c r="C1416" s="25" t="s">
        <v>1424</v>
      </c>
      <c r="D1416" s="11" t="s">
        <v>1364</v>
      </c>
      <c r="E1416" s="11" t="s">
        <v>418</v>
      </c>
      <c r="F1416" s="11">
        <v>1999.0</v>
      </c>
      <c r="G1416" s="40">
        <v>2041.0</v>
      </c>
      <c r="H1416" s="40" t="s">
        <v>188</v>
      </c>
      <c r="I1416" s="40" t="s">
        <v>188</v>
      </c>
      <c r="J1416" s="40" t="s">
        <v>188</v>
      </c>
      <c r="K1416" s="66" t="s">
        <v>188</v>
      </c>
      <c r="L1416" s="29" t="s">
        <v>260</v>
      </c>
    </row>
    <row r="1417">
      <c r="A1417" s="11" t="s">
        <v>1423</v>
      </c>
      <c r="B1417" s="11" t="s">
        <v>248</v>
      </c>
      <c r="C1417" s="25" t="s">
        <v>1424</v>
      </c>
      <c r="D1417" s="11" t="s">
        <v>1364</v>
      </c>
      <c r="E1417" s="11" t="s">
        <v>418</v>
      </c>
      <c r="F1417" s="11">
        <v>2000.0</v>
      </c>
      <c r="G1417" s="40">
        <v>2245.0</v>
      </c>
      <c r="H1417" s="40" t="s">
        <v>188</v>
      </c>
      <c r="I1417" s="40" t="s">
        <v>188</v>
      </c>
      <c r="J1417" s="40" t="s">
        <v>188</v>
      </c>
      <c r="K1417" s="66" t="s">
        <v>188</v>
      </c>
      <c r="L1417" s="29" t="s">
        <v>260</v>
      </c>
    </row>
    <row r="1418">
      <c r="A1418" s="11" t="s">
        <v>1423</v>
      </c>
      <c r="B1418" s="11" t="s">
        <v>248</v>
      </c>
      <c r="C1418" s="25" t="s">
        <v>1424</v>
      </c>
      <c r="D1418" s="11" t="s">
        <v>1364</v>
      </c>
      <c r="E1418" s="11" t="s">
        <v>418</v>
      </c>
      <c r="F1418" s="11">
        <v>2001.0</v>
      </c>
      <c r="G1418" s="40">
        <v>2245.0</v>
      </c>
      <c r="H1418" s="40" t="s">
        <v>188</v>
      </c>
      <c r="I1418" s="40" t="s">
        <v>188</v>
      </c>
      <c r="J1418" s="40" t="s">
        <v>188</v>
      </c>
      <c r="K1418" s="66" t="s">
        <v>188</v>
      </c>
      <c r="L1418" s="29" t="s">
        <v>260</v>
      </c>
    </row>
    <row r="1419">
      <c r="A1419" s="11" t="s">
        <v>1423</v>
      </c>
      <c r="B1419" s="11" t="s">
        <v>248</v>
      </c>
      <c r="C1419" s="25" t="s">
        <v>1424</v>
      </c>
      <c r="D1419" s="11" t="s">
        <v>1364</v>
      </c>
      <c r="E1419" s="11" t="s">
        <v>418</v>
      </c>
      <c r="F1419" s="11">
        <v>2002.0</v>
      </c>
      <c r="G1419" s="40">
        <v>3265.0</v>
      </c>
      <c r="H1419" s="40" t="s">
        <v>188</v>
      </c>
      <c r="I1419" s="40" t="s">
        <v>188</v>
      </c>
      <c r="J1419" s="40" t="s">
        <v>188</v>
      </c>
      <c r="K1419" s="66" t="s">
        <v>188</v>
      </c>
      <c r="L1419" s="29" t="s">
        <v>260</v>
      </c>
    </row>
    <row r="1420">
      <c r="A1420" s="11" t="s">
        <v>1423</v>
      </c>
      <c r="B1420" s="11" t="s">
        <v>248</v>
      </c>
      <c r="C1420" s="25" t="s">
        <v>1424</v>
      </c>
      <c r="D1420" s="11" t="s">
        <v>1364</v>
      </c>
      <c r="E1420" s="11" t="s">
        <v>418</v>
      </c>
      <c r="F1420" s="11">
        <v>2003.0</v>
      </c>
      <c r="G1420" s="40">
        <v>2245.0</v>
      </c>
      <c r="H1420" s="40" t="s">
        <v>188</v>
      </c>
      <c r="I1420" s="40" t="s">
        <v>188</v>
      </c>
      <c r="J1420" s="40" t="s">
        <v>188</v>
      </c>
      <c r="K1420" s="66" t="s">
        <v>188</v>
      </c>
      <c r="L1420" s="29" t="s">
        <v>260</v>
      </c>
    </row>
    <row r="1421">
      <c r="A1421" s="11" t="s">
        <v>1423</v>
      </c>
      <c r="B1421" s="11" t="s">
        <v>248</v>
      </c>
      <c r="C1421" s="25" t="s">
        <v>1424</v>
      </c>
      <c r="D1421" s="11" t="s">
        <v>1364</v>
      </c>
      <c r="E1421" s="11" t="s">
        <v>418</v>
      </c>
      <c r="F1421" s="11">
        <v>2004.0</v>
      </c>
      <c r="G1421" s="40">
        <v>3061.0</v>
      </c>
      <c r="H1421" s="40" t="s">
        <v>188</v>
      </c>
      <c r="I1421" s="40" t="s">
        <v>188</v>
      </c>
      <c r="J1421" s="40" t="s">
        <v>188</v>
      </c>
      <c r="K1421" s="66" t="s">
        <v>188</v>
      </c>
      <c r="L1421" s="29" t="s">
        <v>260</v>
      </c>
    </row>
    <row r="1422">
      <c r="A1422" s="11" t="s">
        <v>1423</v>
      </c>
      <c r="B1422" s="11" t="s">
        <v>248</v>
      </c>
      <c r="C1422" s="25" t="s">
        <v>1424</v>
      </c>
      <c r="D1422" s="11" t="s">
        <v>1364</v>
      </c>
      <c r="E1422" s="11" t="s">
        <v>418</v>
      </c>
      <c r="F1422" s="11">
        <v>2005.0</v>
      </c>
      <c r="G1422" s="40">
        <v>2857.0</v>
      </c>
      <c r="H1422" s="40" t="s">
        <v>188</v>
      </c>
      <c r="I1422" s="40" t="s">
        <v>188</v>
      </c>
      <c r="J1422" s="40" t="s">
        <v>188</v>
      </c>
      <c r="K1422" s="66" t="s">
        <v>188</v>
      </c>
      <c r="L1422" s="29" t="s">
        <v>260</v>
      </c>
    </row>
    <row r="1423">
      <c r="A1423" s="11" t="s">
        <v>1423</v>
      </c>
      <c r="B1423" s="11" t="s">
        <v>248</v>
      </c>
      <c r="C1423" s="25" t="s">
        <v>1424</v>
      </c>
      <c r="D1423" s="11" t="s">
        <v>1364</v>
      </c>
      <c r="E1423" s="11" t="s">
        <v>418</v>
      </c>
      <c r="F1423" s="11">
        <v>2007.0</v>
      </c>
      <c r="G1423" s="40">
        <v>2653.0</v>
      </c>
      <c r="H1423" s="40" t="s">
        <v>188</v>
      </c>
      <c r="I1423" s="40" t="s">
        <v>188</v>
      </c>
      <c r="J1423" s="40" t="s">
        <v>188</v>
      </c>
      <c r="K1423" s="66" t="s">
        <v>188</v>
      </c>
      <c r="L1423" s="29" t="s">
        <v>260</v>
      </c>
    </row>
    <row r="1424">
      <c r="A1424" s="11" t="s">
        <v>1423</v>
      </c>
      <c r="B1424" s="11" t="s">
        <v>248</v>
      </c>
      <c r="C1424" s="25" t="s">
        <v>1424</v>
      </c>
      <c r="D1424" s="11" t="s">
        <v>1364</v>
      </c>
      <c r="E1424" s="11" t="s">
        <v>418</v>
      </c>
      <c r="F1424" s="11">
        <v>2009.0</v>
      </c>
      <c r="G1424" s="40">
        <v>2245.0</v>
      </c>
      <c r="H1424" s="40" t="s">
        <v>188</v>
      </c>
      <c r="I1424" s="40" t="s">
        <v>188</v>
      </c>
      <c r="J1424" s="40" t="s">
        <v>188</v>
      </c>
      <c r="K1424" s="66" t="s">
        <v>188</v>
      </c>
      <c r="L1424" s="29" t="s">
        <v>260</v>
      </c>
    </row>
    <row r="1425">
      <c r="A1425" s="11" t="s">
        <v>1423</v>
      </c>
      <c r="B1425" s="11" t="s">
        <v>248</v>
      </c>
      <c r="C1425" s="25" t="s">
        <v>1424</v>
      </c>
      <c r="D1425" s="11" t="s">
        <v>1364</v>
      </c>
      <c r="E1425" s="11" t="s">
        <v>418</v>
      </c>
      <c r="F1425" s="11">
        <v>2011.0</v>
      </c>
      <c r="G1425" s="40">
        <v>2041.0</v>
      </c>
      <c r="H1425" s="40" t="s">
        <v>188</v>
      </c>
      <c r="I1425" s="40" t="s">
        <v>188</v>
      </c>
      <c r="J1425" s="40" t="s">
        <v>188</v>
      </c>
      <c r="K1425" s="66" t="s">
        <v>188</v>
      </c>
      <c r="L1425" s="29" t="s">
        <v>260</v>
      </c>
    </row>
    <row r="1426">
      <c r="A1426" s="11" t="s">
        <v>1423</v>
      </c>
      <c r="B1426" s="11" t="s">
        <v>248</v>
      </c>
      <c r="C1426" s="25" t="s">
        <v>1424</v>
      </c>
      <c r="D1426" s="11" t="s">
        <v>1364</v>
      </c>
      <c r="E1426" s="11" t="s">
        <v>418</v>
      </c>
      <c r="F1426" s="11">
        <v>2012.0</v>
      </c>
      <c r="G1426" s="40">
        <v>2449.0</v>
      </c>
      <c r="H1426" s="40" t="s">
        <v>188</v>
      </c>
      <c r="I1426" s="40" t="s">
        <v>188</v>
      </c>
      <c r="J1426" s="40" t="s">
        <v>188</v>
      </c>
      <c r="K1426" s="66" t="s">
        <v>188</v>
      </c>
      <c r="L1426" s="29" t="s">
        <v>260</v>
      </c>
    </row>
    <row r="1427">
      <c r="A1427" s="11" t="s">
        <v>1423</v>
      </c>
      <c r="B1427" s="11" t="s">
        <v>248</v>
      </c>
      <c r="C1427" s="25" t="s">
        <v>1424</v>
      </c>
      <c r="D1427" s="11" t="s">
        <v>1364</v>
      </c>
      <c r="E1427" s="11" t="s">
        <v>418</v>
      </c>
      <c r="F1427" s="11">
        <v>2013.0</v>
      </c>
      <c r="G1427" s="40">
        <v>3265.0</v>
      </c>
      <c r="H1427" s="40" t="s">
        <v>188</v>
      </c>
      <c r="I1427" s="40" t="s">
        <v>188</v>
      </c>
      <c r="J1427" s="40" t="s">
        <v>188</v>
      </c>
      <c r="K1427" s="66" t="s">
        <v>188</v>
      </c>
      <c r="L1427" s="29" t="s">
        <v>260</v>
      </c>
    </row>
    <row r="1428">
      <c r="A1428" s="11" t="s">
        <v>1423</v>
      </c>
      <c r="B1428" s="11" t="s">
        <v>248</v>
      </c>
      <c r="C1428" s="25" t="s">
        <v>1424</v>
      </c>
      <c r="D1428" s="11" t="s">
        <v>1364</v>
      </c>
      <c r="E1428" s="11" t="s">
        <v>418</v>
      </c>
      <c r="F1428" s="11">
        <v>2016.0</v>
      </c>
      <c r="G1428" s="40">
        <v>3061.0</v>
      </c>
      <c r="H1428" s="40" t="s">
        <v>188</v>
      </c>
      <c r="I1428" s="40" t="s">
        <v>188</v>
      </c>
      <c r="J1428" s="40" t="s">
        <v>188</v>
      </c>
      <c r="K1428" s="66" t="s">
        <v>188</v>
      </c>
      <c r="L1428" s="29" t="s">
        <v>260</v>
      </c>
    </row>
    <row r="1429">
      <c r="A1429" s="11" t="s">
        <v>1423</v>
      </c>
      <c r="B1429" s="11" t="s">
        <v>248</v>
      </c>
      <c r="C1429" s="25" t="s">
        <v>1424</v>
      </c>
      <c r="D1429" s="11" t="s">
        <v>1364</v>
      </c>
      <c r="E1429" s="11" t="s">
        <v>418</v>
      </c>
      <c r="F1429" s="11">
        <v>2017.0</v>
      </c>
      <c r="G1429" s="40">
        <v>2857.0</v>
      </c>
      <c r="H1429" s="40" t="s">
        <v>188</v>
      </c>
      <c r="I1429" s="40" t="s">
        <v>188</v>
      </c>
      <c r="J1429" s="40" t="s">
        <v>188</v>
      </c>
      <c r="K1429" s="66" t="s">
        <v>188</v>
      </c>
      <c r="L1429" s="29" t="s">
        <v>260</v>
      </c>
    </row>
    <row r="1430">
      <c r="A1430" s="11" t="s">
        <v>1450</v>
      </c>
      <c r="B1430" s="11" t="s">
        <v>248</v>
      </c>
      <c r="C1430" s="25" t="s">
        <v>1451</v>
      </c>
      <c r="D1430" s="11" t="s">
        <v>1364</v>
      </c>
      <c r="E1430" s="11" t="s">
        <v>418</v>
      </c>
      <c r="F1430" s="11">
        <v>1987.0</v>
      </c>
      <c r="G1430" s="40">
        <v>2857.0</v>
      </c>
      <c r="H1430" s="40" t="s">
        <v>188</v>
      </c>
      <c r="I1430" s="40" t="s">
        <v>188</v>
      </c>
      <c r="J1430" s="40" t="s">
        <v>188</v>
      </c>
      <c r="K1430" s="66" t="s">
        <v>188</v>
      </c>
      <c r="L1430" s="29" t="s">
        <v>260</v>
      </c>
    </row>
    <row r="1431">
      <c r="A1431" s="11" t="s">
        <v>1450</v>
      </c>
      <c r="B1431" s="11" t="s">
        <v>248</v>
      </c>
      <c r="C1431" s="25" t="s">
        <v>1451</v>
      </c>
      <c r="D1431" s="11" t="s">
        <v>1364</v>
      </c>
      <c r="E1431" s="11" t="s">
        <v>418</v>
      </c>
      <c r="F1431" s="11">
        <v>1988.0</v>
      </c>
      <c r="G1431" s="40">
        <v>3061.0</v>
      </c>
      <c r="H1431" s="40" t="s">
        <v>188</v>
      </c>
      <c r="I1431" s="40" t="s">
        <v>188</v>
      </c>
      <c r="J1431" s="40" t="s">
        <v>188</v>
      </c>
      <c r="K1431" s="66" t="s">
        <v>188</v>
      </c>
      <c r="L1431" s="29" t="s">
        <v>260</v>
      </c>
    </row>
    <row r="1432">
      <c r="A1432" s="11" t="s">
        <v>1450</v>
      </c>
      <c r="B1432" s="11" t="s">
        <v>248</v>
      </c>
      <c r="C1432" s="25" t="s">
        <v>1451</v>
      </c>
      <c r="D1432" s="11" t="s">
        <v>1364</v>
      </c>
      <c r="E1432" s="11" t="s">
        <v>418</v>
      </c>
      <c r="F1432" s="11">
        <v>1989.0</v>
      </c>
      <c r="G1432" s="40">
        <v>2245.0</v>
      </c>
      <c r="H1432" s="40" t="s">
        <v>188</v>
      </c>
      <c r="I1432" s="40" t="s">
        <v>188</v>
      </c>
      <c r="J1432" s="40" t="s">
        <v>188</v>
      </c>
      <c r="K1432" s="66" t="s">
        <v>188</v>
      </c>
      <c r="L1432" s="29" t="s">
        <v>260</v>
      </c>
    </row>
    <row r="1433">
      <c r="A1433" s="11" t="s">
        <v>1450</v>
      </c>
      <c r="B1433" s="11" t="s">
        <v>248</v>
      </c>
      <c r="C1433" s="25" t="s">
        <v>1451</v>
      </c>
      <c r="D1433" s="11" t="s">
        <v>1364</v>
      </c>
      <c r="E1433" s="11" t="s">
        <v>418</v>
      </c>
      <c r="F1433" s="11">
        <v>1990.0</v>
      </c>
      <c r="G1433" s="40">
        <v>2653.0</v>
      </c>
      <c r="H1433" s="40" t="s">
        <v>188</v>
      </c>
      <c r="I1433" s="40" t="s">
        <v>188</v>
      </c>
      <c r="J1433" s="40" t="s">
        <v>188</v>
      </c>
      <c r="K1433" s="66" t="s">
        <v>188</v>
      </c>
      <c r="L1433" s="29" t="s">
        <v>260</v>
      </c>
    </row>
    <row r="1434">
      <c r="A1434" s="11" t="s">
        <v>1450</v>
      </c>
      <c r="B1434" s="11" t="s">
        <v>248</v>
      </c>
      <c r="C1434" s="25" t="s">
        <v>1451</v>
      </c>
      <c r="D1434" s="11" t="s">
        <v>1364</v>
      </c>
      <c r="E1434" s="11" t="s">
        <v>418</v>
      </c>
      <c r="F1434" s="11">
        <v>1991.0</v>
      </c>
      <c r="G1434" s="40">
        <v>3469.0</v>
      </c>
      <c r="H1434" s="40" t="s">
        <v>188</v>
      </c>
      <c r="I1434" s="40" t="s">
        <v>188</v>
      </c>
      <c r="J1434" s="40" t="s">
        <v>188</v>
      </c>
      <c r="K1434" s="66" t="s">
        <v>188</v>
      </c>
      <c r="L1434" s="29" t="s">
        <v>260</v>
      </c>
    </row>
    <row r="1435">
      <c r="A1435" s="11" t="s">
        <v>1450</v>
      </c>
      <c r="B1435" s="11" t="s">
        <v>248</v>
      </c>
      <c r="C1435" s="25" t="s">
        <v>1451</v>
      </c>
      <c r="D1435" s="11" t="s">
        <v>1364</v>
      </c>
      <c r="E1435" s="11" t="s">
        <v>418</v>
      </c>
      <c r="F1435" s="11">
        <v>1992.0</v>
      </c>
      <c r="G1435" s="40">
        <v>3673.0</v>
      </c>
      <c r="H1435" s="40" t="s">
        <v>188</v>
      </c>
      <c r="I1435" s="40" t="s">
        <v>188</v>
      </c>
      <c r="J1435" s="40" t="s">
        <v>188</v>
      </c>
      <c r="K1435" s="66" t="s">
        <v>188</v>
      </c>
      <c r="L1435" s="29" t="s">
        <v>260</v>
      </c>
    </row>
    <row r="1436">
      <c r="A1436" s="11" t="s">
        <v>1450</v>
      </c>
      <c r="B1436" s="11" t="s">
        <v>248</v>
      </c>
      <c r="C1436" s="25" t="s">
        <v>1451</v>
      </c>
      <c r="D1436" s="11" t="s">
        <v>1364</v>
      </c>
      <c r="E1436" s="11" t="s">
        <v>418</v>
      </c>
      <c r="F1436" s="11">
        <v>1993.0</v>
      </c>
      <c r="G1436" s="40">
        <v>3061.0</v>
      </c>
      <c r="H1436" s="40" t="s">
        <v>188</v>
      </c>
      <c r="I1436" s="40" t="s">
        <v>188</v>
      </c>
      <c r="J1436" s="40" t="s">
        <v>188</v>
      </c>
      <c r="K1436" s="66" t="s">
        <v>188</v>
      </c>
      <c r="L1436" s="29" t="s">
        <v>260</v>
      </c>
    </row>
    <row r="1437">
      <c r="A1437" s="11" t="s">
        <v>1450</v>
      </c>
      <c r="B1437" s="11" t="s">
        <v>248</v>
      </c>
      <c r="C1437" s="25" t="s">
        <v>1451</v>
      </c>
      <c r="D1437" s="11" t="s">
        <v>1364</v>
      </c>
      <c r="E1437" s="11" t="s">
        <v>418</v>
      </c>
      <c r="F1437" s="11">
        <v>1994.0</v>
      </c>
      <c r="G1437" s="40">
        <v>3469.0</v>
      </c>
      <c r="H1437" s="40" t="s">
        <v>188</v>
      </c>
      <c r="I1437" s="40" t="s">
        <v>188</v>
      </c>
      <c r="J1437" s="40" t="s">
        <v>188</v>
      </c>
      <c r="K1437" s="66" t="s">
        <v>188</v>
      </c>
      <c r="L1437" s="29" t="s">
        <v>260</v>
      </c>
    </row>
    <row r="1438">
      <c r="A1438" s="11" t="s">
        <v>1450</v>
      </c>
      <c r="B1438" s="11" t="s">
        <v>248</v>
      </c>
      <c r="C1438" s="25" t="s">
        <v>1451</v>
      </c>
      <c r="D1438" s="11" t="s">
        <v>1364</v>
      </c>
      <c r="E1438" s="11" t="s">
        <v>418</v>
      </c>
      <c r="F1438" s="11">
        <v>1995.0</v>
      </c>
      <c r="G1438" s="40">
        <v>3980.0</v>
      </c>
      <c r="H1438" s="40" t="s">
        <v>188</v>
      </c>
      <c r="I1438" s="40" t="s">
        <v>188</v>
      </c>
      <c r="J1438" s="40" t="s">
        <v>188</v>
      </c>
      <c r="K1438" s="66" t="s">
        <v>188</v>
      </c>
      <c r="L1438" s="29" t="s">
        <v>260</v>
      </c>
    </row>
    <row r="1439">
      <c r="A1439" s="11" t="s">
        <v>1450</v>
      </c>
      <c r="B1439" s="11" t="s">
        <v>248</v>
      </c>
      <c r="C1439" s="25" t="s">
        <v>1451</v>
      </c>
      <c r="D1439" s="11" t="s">
        <v>1364</v>
      </c>
      <c r="E1439" s="11" t="s">
        <v>418</v>
      </c>
      <c r="F1439" s="11">
        <v>1996.0</v>
      </c>
      <c r="G1439" s="40">
        <v>3469.0</v>
      </c>
      <c r="H1439" s="40" t="s">
        <v>188</v>
      </c>
      <c r="I1439" s="40" t="s">
        <v>188</v>
      </c>
      <c r="J1439" s="40" t="s">
        <v>188</v>
      </c>
      <c r="K1439" s="66" t="s">
        <v>188</v>
      </c>
      <c r="L1439" s="29" t="s">
        <v>260</v>
      </c>
    </row>
    <row r="1440">
      <c r="A1440" s="11" t="s">
        <v>1450</v>
      </c>
      <c r="B1440" s="11" t="s">
        <v>248</v>
      </c>
      <c r="C1440" s="25" t="s">
        <v>1451</v>
      </c>
      <c r="D1440" s="11" t="s">
        <v>1364</v>
      </c>
      <c r="E1440" s="11" t="s">
        <v>418</v>
      </c>
      <c r="F1440" s="11">
        <v>1997.0</v>
      </c>
      <c r="G1440" s="40">
        <v>4082.0</v>
      </c>
      <c r="H1440" s="40" t="s">
        <v>188</v>
      </c>
      <c r="I1440" s="40" t="s">
        <v>188</v>
      </c>
      <c r="J1440" s="40" t="s">
        <v>188</v>
      </c>
      <c r="K1440" s="66" t="s">
        <v>188</v>
      </c>
      <c r="L1440" s="29" t="s">
        <v>260</v>
      </c>
    </row>
    <row r="1441">
      <c r="A1441" s="11" t="s">
        <v>1450</v>
      </c>
      <c r="B1441" s="11" t="s">
        <v>248</v>
      </c>
      <c r="C1441" s="25" t="s">
        <v>1451</v>
      </c>
      <c r="D1441" s="11" t="s">
        <v>1364</v>
      </c>
      <c r="E1441" s="11" t="s">
        <v>418</v>
      </c>
      <c r="F1441" s="11">
        <v>1998.0</v>
      </c>
      <c r="G1441" s="40">
        <v>4286.0</v>
      </c>
      <c r="H1441" s="40" t="s">
        <v>188</v>
      </c>
      <c r="I1441" s="40" t="s">
        <v>188</v>
      </c>
      <c r="J1441" s="40" t="s">
        <v>188</v>
      </c>
      <c r="K1441" s="66" t="s">
        <v>188</v>
      </c>
      <c r="L1441" s="29" t="s">
        <v>260</v>
      </c>
    </row>
    <row r="1442">
      <c r="A1442" s="11" t="s">
        <v>1450</v>
      </c>
      <c r="B1442" s="11" t="s">
        <v>248</v>
      </c>
      <c r="C1442" s="25" t="s">
        <v>1451</v>
      </c>
      <c r="D1442" s="11" t="s">
        <v>1364</v>
      </c>
      <c r="E1442" s="11" t="s">
        <v>418</v>
      </c>
      <c r="F1442" s="11">
        <v>1999.0</v>
      </c>
      <c r="G1442" s="40">
        <v>3469.0</v>
      </c>
      <c r="H1442" s="40" t="s">
        <v>188</v>
      </c>
      <c r="I1442" s="40" t="s">
        <v>188</v>
      </c>
      <c r="J1442" s="40" t="s">
        <v>188</v>
      </c>
      <c r="K1442" s="66" t="s">
        <v>188</v>
      </c>
      <c r="L1442" s="29" t="s">
        <v>260</v>
      </c>
    </row>
    <row r="1443">
      <c r="A1443" s="11" t="s">
        <v>1450</v>
      </c>
      <c r="B1443" s="11" t="s">
        <v>248</v>
      </c>
      <c r="C1443" s="25" t="s">
        <v>1451</v>
      </c>
      <c r="D1443" s="11" t="s">
        <v>1364</v>
      </c>
      <c r="E1443" s="11" t="s">
        <v>418</v>
      </c>
      <c r="F1443" s="11">
        <v>2000.0</v>
      </c>
      <c r="G1443" s="40">
        <v>3061.0</v>
      </c>
      <c r="H1443" s="40" t="s">
        <v>188</v>
      </c>
      <c r="I1443" s="40" t="s">
        <v>188</v>
      </c>
      <c r="J1443" s="40" t="s">
        <v>188</v>
      </c>
      <c r="K1443" s="66" t="s">
        <v>188</v>
      </c>
      <c r="L1443" s="29" t="s">
        <v>260</v>
      </c>
    </row>
    <row r="1444">
      <c r="A1444" s="11" t="s">
        <v>1450</v>
      </c>
      <c r="B1444" s="11" t="s">
        <v>248</v>
      </c>
      <c r="C1444" s="25" t="s">
        <v>1451</v>
      </c>
      <c r="D1444" s="11" t="s">
        <v>1364</v>
      </c>
      <c r="E1444" s="11" t="s">
        <v>418</v>
      </c>
      <c r="F1444" s="11">
        <v>2001.0</v>
      </c>
      <c r="G1444" s="40">
        <v>4082.0</v>
      </c>
      <c r="H1444" s="40" t="s">
        <v>188</v>
      </c>
      <c r="I1444" s="40" t="s">
        <v>188</v>
      </c>
      <c r="J1444" s="40" t="s">
        <v>188</v>
      </c>
      <c r="K1444" s="66" t="s">
        <v>188</v>
      </c>
      <c r="L1444" s="29" t="s">
        <v>260</v>
      </c>
    </row>
    <row r="1445">
      <c r="A1445" s="11" t="s">
        <v>1450</v>
      </c>
      <c r="B1445" s="11" t="s">
        <v>248</v>
      </c>
      <c r="C1445" s="25" t="s">
        <v>1451</v>
      </c>
      <c r="D1445" s="11" t="s">
        <v>1364</v>
      </c>
      <c r="E1445" s="11" t="s">
        <v>418</v>
      </c>
      <c r="F1445" s="11">
        <v>2002.0</v>
      </c>
      <c r="G1445" s="40">
        <v>4286.0</v>
      </c>
      <c r="H1445" s="40" t="s">
        <v>188</v>
      </c>
      <c r="I1445" s="40" t="s">
        <v>188</v>
      </c>
      <c r="J1445" s="40" t="s">
        <v>188</v>
      </c>
      <c r="K1445" s="66" t="s">
        <v>188</v>
      </c>
      <c r="L1445" s="29" t="s">
        <v>260</v>
      </c>
    </row>
    <row r="1446">
      <c r="A1446" s="11" t="s">
        <v>1450</v>
      </c>
      <c r="B1446" s="11" t="s">
        <v>248</v>
      </c>
      <c r="C1446" s="25" t="s">
        <v>1451</v>
      </c>
      <c r="D1446" s="11" t="s">
        <v>1364</v>
      </c>
      <c r="E1446" s="11" t="s">
        <v>418</v>
      </c>
      <c r="F1446" s="11">
        <v>2003.0</v>
      </c>
      <c r="G1446" s="40">
        <v>5918.0</v>
      </c>
      <c r="H1446" s="40" t="s">
        <v>188</v>
      </c>
      <c r="I1446" s="40" t="s">
        <v>188</v>
      </c>
      <c r="J1446" s="40" t="s">
        <v>188</v>
      </c>
      <c r="K1446" s="66" t="s">
        <v>188</v>
      </c>
      <c r="L1446" s="29" t="s">
        <v>260</v>
      </c>
    </row>
    <row r="1447">
      <c r="A1447" s="11" t="s">
        <v>1450</v>
      </c>
      <c r="B1447" s="11" t="s">
        <v>248</v>
      </c>
      <c r="C1447" s="25" t="s">
        <v>1451</v>
      </c>
      <c r="D1447" s="11" t="s">
        <v>1364</v>
      </c>
      <c r="E1447" s="11" t="s">
        <v>418</v>
      </c>
      <c r="F1447" s="11">
        <v>2006.0</v>
      </c>
      <c r="G1447" s="40">
        <v>4694.0</v>
      </c>
      <c r="H1447" s="40" t="s">
        <v>188</v>
      </c>
      <c r="I1447" s="40" t="s">
        <v>188</v>
      </c>
      <c r="J1447" s="40" t="s">
        <v>188</v>
      </c>
      <c r="K1447" s="66" t="s">
        <v>188</v>
      </c>
      <c r="L1447" s="29" t="s">
        <v>260</v>
      </c>
    </row>
    <row r="1448">
      <c r="A1448" s="11" t="s">
        <v>1450</v>
      </c>
      <c r="B1448" s="11" t="s">
        <v>248</v>
      </c>
      <c r="C1448" s="25" t="s">
        <v>1451</v>
      </c>
      <c r="D1448" s="11" t="s">
        <v>1364</v>
      </c>
      <c r="E1448" s="11" t="s">
        <v>418</v>
      </c>
      <c r="F1448" s="11">
        <v>2008.0</v>
      </c>
      <c r="G1448" s="40">
        <v>4235.0</v>
      </c>
      <c r="H1448" s="40" t="s">
        <v>188</v>
      </c>
      <c r="I1448" s="40" t="s">
        <v>188</v>
      </c>
      <c r="J1448" s="40" t="s">
        <v>188</v>
      </c>
      <c r="K1448" s="66" t="s">
        <v>188</v>
      </c>
      <c r="L1448" s="29" t="s">
        <v>260</v>
      </c>
    </row>
    <row r="1449">
      <c r="A1449" s="11" t="s">
        <v>1450</v>
      </c>
      <c r="B1449" s="11" t="s">
        <v>248</v>
      </c>
      <c r="C1449" s="25" t="s">
        <v>1451</v>
      </c>
      <c r="D1449" s="11" t="s">
        <v>1364</v>
      </c>
      <c r="E1449" s="11" t="s">
        <v>418</v>
      </c>
      <c r="F1449" s="11">
        <v>2009.0</v>
      </c>
      <c r="G1449" s="40">
        <v>5051.0</v>
      </c>
      <c r="H1449" s="40" t="s">
        <v>188</v>
      </c>
      <c r="I1449" s="40" t="s">
        <v>188</v>
      </c>
      <c r="J1449" s="40" t="s">
        <v>188</v>
      </c>
      <c r="K1449" s="66" t="s">
        <v>188</v>
      </c>
      <c r="L1449" s="29" t="s">
        <v>260</v>
      </c>
    </row>
    <row r="1450">
      <c r="A1450" s="11" t="s">
        <v>1450</v>
      </c>
      <c r="B1450" s="11" t="s">
        <v>248</v>
      </c>
      <c r="C1450" s="25" t="s">
        <v>1451</v>
      </c>
      <c r="D1450" s="11" t="s">
        <v>1364</v>
      </c>
      <c r="E1450" s="11" t="s">
        <v>418</v>
      </c>
      <c r="F1450" s="11">
        <v>2012.0</v>
      </c>
      <c r="G1450" s="40">
        <v>5102.0</v>
      </c>
      <c r="H1450" s="40" t="s">
        <v>188</v>
      </c>
      <c r="I1450" s="40" t="s">
        <v>188</v>
      </c>
      <c r="J1450" s="40" t="s">
        <v>188</v>
      </c>
      <c r="K1450" s="66" t="s">
        <v>188</v>
      </c>
      <c r="L1450" s="29" t="s">
        <v>260</v>
      </c>
    </row>
    <row r="1451">
      <c r="A1451" s="11" t="s">
        <v>1450</v>
      </c>
      <c r="B1451" s="11" t="s">
        <v>248</v>
      </c>
      <c r="C1451" s="25" t="s">
        <v>1451</v>
      </c>
      <c r="D1451" s="11" t="s">
        <v>1364</v>
      </c>
      <c r="E1451" s="11" t="s">
        <v>418</v>
      </c>
      <c r="F1451" s="11">
        <v>2013.0</v>
      </c>
      <c r="G1451" s="40">
        <v>4898.0</v>
      </c>
      <c r="H1451" s="40" t="s">
        <v>188</v>
      </c>
      <c r="I1451" s="40" t="s">
        <v>188</v>
      </c>
      <c r="J1451" s="40" t="s">
        <v>188</v>
      </c>
      <c r="K1451" s="66" t="s">
        <v>188</v>
      </c>
      <c r="L1451" s="29" t="s">
        <v>260</v>
      </c>
    </row>
    <row r="1452">
      <c r="A1452" s="11" t="s">
        <v>1450</v>
      </c>
      <c r="B1452" s="11" t="s">
        <v>248</v>
      </c>
      <c r="C1452" s="25" t="s">
        <v>1451</v>
      </c>
      <c r="D1452" s="11" t="s">
        <v>1364</v>
      </c>
      <c r="E1452" s="11" t="s">
        <v>418</v>
      </c>
      <c r="F1452" s="11">
        <v>2015.0</v>
      </c>
      <c r="G1452" s="40">
        <v>4898.0</v>
      </c>
      <c r="H1452" s="40" t="s">
        <v>188</v>
      </c>
      <c r="I1452" s="40" t="s">
        <v>188</v>
      </c>
      <c r="J1452" s="40" t="s">
        <v>188</v>
      </c>
      <c r="K1452" s="66" t="s">
        <v>188</v>
      </c>
      <c r="L1452" s="29" t="s">
        <v>260</v>
      </c>
    </row>
    <row r="1453">
      <c r="A1453" s="11" t="s">
        <v>1450</v>
      </c>
      <c r="B1453" s="11" t="s">
        <v>248</v>
      </c>
      <c r="C1453" s="25" t="s">
        <v>1451</v>
      </c>
      <c r="D1453" s="11" t="s">
        <v>1364</v>
      </c>
      <c r="E1453" s="11" t="s">
        <v>418</v>
      </c>
      <c r="F1453" s="11">
        <v>2016.0</v>
      </c>
      <c r="G1453" s="40">
        <v>4694.0</v>
      </c>
      <c r="H1453" s="40" t="s">
        <v>188</v>
      </c>
      <c r="I1453" s="40" t="s">
        <v>188</v>
      </c>
      <c r="J1453" s="40" t="s">
        <v>188</v>
      </c>
      <c r="K1453" s="66" t="s">
        <v>188</v>
      </c>
      <c r="L1453" s="29" t="s">
        <v>260</v>
      </c>
    </row>
    <row r="1454">
      <c r="A1454" s="11" t="s">
        <v>1450</v>
      </c>
      <c r="B1454" s="11" t="s">
        <v>248</v>
      </c>
      <c r="C1454" s="25" t="s">
        <v>1451</v>
      </c>
      <c r="D1454" s="11" t="s">
        <v>1364</v>
      </c>
      <c r="E1454" s="11" t="s">
        <v>418</v>
      </c>
      <c r="F1454" s="11">
        <v>2017.0</v>
      </c>
      <c r="G1454" s="40">
        <v>5510.0</v>
      </c>
      <c r="H1454" s="40" t="s">
        <v>188</v>
      </c>
      <c r="I1454" s="40" t="s">
        <v>188</v>
      </c>
      <c r="J1454" s="40" t="s">
        <v>188</v>
      </c>
      <c r="K1454" s="66" t="s">
        <v>188</v>
      </c>
      <c r="L1454" s="29" t="s">
        <v>260</v>
      </c>
    </row>
    <row r="1455">
      <c r="A1455" s="11" t="s">
        <v>1466</v>
      </c>
      <c r="B1455" s="11" t="s">
        <v>248</v>
      </c>
      <c r="C1455" s="11" t="s">
        <v>1430</v>
      </c>
      <c r="D1455" s="11" t="s">
        <v>1077</v>
      </c>
      <c r="E1455" s="11" t="s">
        <v>555</v>
      </c>
      <c r="F1455" s="11">
        <v>1973.0</v>
      </c>
      <c r="G1455" s="40">
        <v>49215.0</v>
      </c>
      <c r="H1455" s="40" t="s">
        <v>188</v>
      </c>
      <c r="I1455" s="40" t="s">
        <v>188</v>
      </c>
      <c r="J1455" s="40" t="s">
        <v>188</v>
      </c>
      <c r="K1455" s="66" t="s">
        <v>188</v>
      </c>
      <c r="L1455" s="28" t="s">
        <v>81</v>
      </c>
    </row>
    <row r="1456">
      <c r="A1456" s="11" t="s">
        <v>1466</v>
      </c>
      <c r="B1456" s="11" t="s">
        <v>248</v>
      </c>
      <c r="C1456" s="11" t="s">
        <v>1430</v>
      </c>
      <c r="D1456" s="11" t="s">
        <v>1077</v>
      </c>
      <c r="E1456" s="11" t="s">
        <v>555</v>
      </c>
      <c r="F1456" s="11">
        <v>1974.0</v>
      </c>
      <c r="G1456" s="40">
        <v>48837.0</v>
      </c>
      <c r="H1456" s="40">
        <f t="shared" ref="H1456:I1456" si="1094">F1456-F1455</f>
        <v>1</v>
      </c>
      <c r="I1456" s="40">
        <f t="shared" si="1094"/>
        <v>-378</v>
      </c>
      <c r="J1456" s="73">
        <f t="shared" ref="J1456:J1501" si="1096">I1456/G1455</f>
        <v>-0.007680585187</v>
      </c>
      <c r="K1456" s="66">
        <f t="shared" ref="K1456:K1501" si="1097">J1456/H1456</f>
        <v>-0.007680585187</v>
      </c>
      <c r="L1456" s="28" t="s">
        <v>81</v>
      </c>
    </row>
    <row r="1457">
      <c r="A1457" s="11" t="s">
        <v>1466</v>
      </c>
      <c r="B1457" s="11" t="s">
        <v>248</v>
      </c>
      <c r="C1457" s="11" t="s">
        <v>1430</v>
      </c>
      <c r="D1457" s="11" t="s">
        <v>1077</v>
      </c>
      <c r="E1457" s="11" t="s">
        <v>555</v>
      </c>
      <c r="F1457" s="11">
        <v>1975.0</v>
      </c>
      <c r="G1457" s="40">
        <v>48846.0</v>
      </c>
      <c r="H1457" s="40">
        <f t="shared" ref="H1457:I1457" si="1095">F1457-F1456</f>
        <v>1</v>
      </c>
      <c r="I1457" s="40">
        <f t="shared" si="1095"/>
        <v>9</v>
      </c>
      <c r="J1457" s="73">
        <f t="shared" si="1096"/>
        <v>0.0001842865041</v>
      </c>
      <c r="K1457" s="66">
        <f t="shared" si="1097"/>
        <v>0.0001842865041</v>
      </c>
      <c r="L1457" s="28" t="s">
        <v>81</v>
      </c>
    </row>
    <row r="1458">
      <c r="A1458" s="11" t="s">
        <v>1466</v>
      </c>
      <c r="B1458" s="11" t="s">
        <v>248</v>
      </c>
      <c r="C1458" s="11" t="s">
        <v>1430</v>
      </c>
      <c r="D1458" s="11" t="s">
        <v>1077</v>
      </c>
      <c r="E1458" s="11" t="s">
        <v>555</v>
      </c>
      <c r="F1458" s="11">
        <v>1976.0</v>
      </c>
      <c r="G1458" s="40">
        <v>49315.0</v>
      </c>
      <c r="H1458" s="40">
        <f t="shared" ref="H1458:I1458" si="1098">F1458-F1457</f>
        <v>1</v>
      </c>
      <c r="I1458" s="40">
        <f t="shared" si="1098"/>
        <v>469</v>
      </c>
      <c r="J1458" s="73">
        <f t="shared" si="1096"/>
        <v>0.009601605044</v>
      </c>
      <c r="K1458" s="66">
        <f t="shared" si="1097"/>
        <v>0.009601605044</v>
      </c>
      <c r="L1458" s="28" t="s">
        <v>81</v>
      </c>
    </row>
    <row r="1459">
      <c r="A1459" s="11" t="s">
        <v>1466</v>
      </c>
      <c r="B1459" s="11" t="s">
        <v>248</v>
      </c>
      <c r="C1459" s="11" t="s">
        <v>1430</v>
      </c>
      <c r="D1459" s="11" t="s">
        <v>1077</v>
      </c>
      <c r="E1459" s="11" t="s">
        <v>555</v>
      </c>
      <c r="F1459" s="11">
        <v>1977.0</v>
      </c>
      <c r="G1459" s="40">
        <v>50095.0</v>
      </c>
      <c r="H1459" s="40">
        <f t="shared" ref="H1459:I1459" si="1099">F1459-F1458</f>
        <v>1</v>
      </c>
      <c r="I1459" s="40">
        <f t="shared" si="1099"/>
        <v>780</v>
      </c>
      <c r="J1459" s="73">
        <f t="shared" si="1096"/>
        <v>0.01581668863</v>
      </c>
      <c r="K1459" s="66">
        <f t="shared" si="1097"/>
        <v>0.01581668863</v>
      </c>
      <c r="L1459" s="28" t="s">
        <v>81</v>
      </c>
    </row>
    <row r="1460">
      <c r="A1460" s="11" t="s">
        <v>1466</v>
      </c>
      <c r="B1460" s="11" t="s">
        <v>248</v>
      </c>
      <c r="C1460" s="11" t="s">
        <v>1430</v>
      </c>
      <c r="D1460" s="11" t="s">
        <v>1077</v>
      </c>
      <c r="E1460" s="11" t="s">
        <v>555</v>
      </c>
      <c r="F1460" s="11">
        <v>1978.0</v>
      </c>
      <c r="G1460" s="40">
        <v>50040.0</v>
      </c>
      <c r="H1460" s="40">
        <f t="shared" ref="H1460:I1460" si="1100">F1460-F1459</f>
        <v>1</v>
      </c>
      <c r="I1460" s="40">
        <f t="shared" si="1100"/>
        <v>-55</v>
      </c>
      <c r="J1460" s="73">
        <f t="shared" si="1096"/>
        <v>-0.001097913963</v>
      </c>
      <c r="K1460" s="66">
        <f t="shared" si="1097"/>
        <v>-0.001097913963</v>
      </c>
      <c r="L1460" s="28" t="s">
        <v>81</v>
      </c>
    </row>
    <row r="1461">
      <c r="A1461" s="11" t="s">
        <v>1466</v>
      </c>
      <c r="B1461" s="11" t="s">
        <v>248</v>
      </c>
      <c r="C1461" s="11" t="s">
        <v>1430</v>
      </c>
      <c r="D1461" s="11" t="s">
        <v>1077</v>
      </c>
      <c r="E1461" s="11" t="s">
        <v>555</v>
      </c>
      <c r="F1461" s="11">
        <v>1979.0</v>
      </c>
      <c r="G1461" s="40">
        <v>52422.0</v>
      </c>
      <c r="H1461" s="40">
        <f t="shared" ref="H1461:I1461" si="1101">F1461-F1460</f>
        <v>1</v>
      </c>
      <c r="I1461" s="40">
        <f t="shared" si="1101"/>
        <v>2382</v>
      </c>
      <c r="J1461" s="73">
        <f t="shared" si="1096"/>
        <v>0.04760191847</v>
      </c>
      <c r="K1461" s="66">
        <f t="shared" si="1097"/>
        <v>0.04760191847</v>
      </c>
      <c r="L1461" s="29" t="s">
        <v>81</v>
      </c>
    </row>
    <row r="1462">
      <c r="A1462" s="11" t="s">
        <v>1466</v>
      </c>
      <c r="B1462" s="11" t="s">
        <v>248</v>
      </c>
      <c r="C1462" s="11" t="s">
        <v>1430</v>
      </c>
      <c r="D1462" s="11" t="s">
        <v>1077</v>
      </c>
      <c r="E1462" s="11" t="s">
        <v>555</v>
      </c>
      <c r="F1462" s="11">
        <v>1980.0</v>
      </c>
      <c r="G1462" s="40">
        <v>49644.0</v>
      </c>
      <c r="H1462" s="40">
        <f t="shared" ref="H1462:I1462" si="1102">F1462-F1461</f>
        <v>1</v>
      </c>
      <c r="I1462" s="40">
        <f t="shared" si="1102"/>
        <v>-2778</v>
      </c>
      <c r="J1462" s="73">
        <f t="shared" si="1096"/>
        <v>-0.0529930182</v>
      </c>
      <c r="K1462" s="66">
        <f t="shared" si="1097"/>
        <v>-0.0529930182</v>
      </c>
      <c r="L1462" s="29" t="s">
        <v>81</v>
      </c>
    </row>
    <row r="1463">
      <c r="A1463" s="11" t="s">
        <v>1466</v>
      </c>
      <c r="B1463" s="11" t="s">
        <v>248</v>
      </c>
      <c r="C1463" s="11" t="s">
        <v>1430</v>
      </c>
      <c r="D1463" s="11" t="s">
        <v>1077</v>
      </c>
      <c r="E1463" s="11" t="s">
        <v>555</v>
      </c>
      <c r="F1463" s="11">
        <v>1981.0</v>
      </c>
      <c r="G1463" s="40">
        <v>48653.0</v>
      </c>
      <c r="H1463" s="40">
        <f t="shared" ref="H1463:I1463" si="1103">F1463-F1462</f>
        <v>1</v>
      </c>
      <c r="I1463" s="40">
        <f t="shared" si="1103"/>
        <v>-991</v>
      </c>
      <c r="J1463" s="73">
        <f t="shared" si="1096"/>
        <v>-0.01996213037</v>
      </c>
      <c r="K1463" s="66">
        <f t="shared" si="1097"/>
        <v>-0.01996213037</v>
      </c>
      <c r="L1463" s="29" t="s">
        <v>81</v>
      </c>
    </row>
    <row r="1464">
      <c r="A1464" s="11" t="s">
        <v>1466</v>
      </c>
      <c r="B1464" s="11" t="s">
        <v>248</v>
      </c>
      <c r="C1464" s="11" t="s">
        <v>1430</v>
      </c>
      <c r="D1464" s="11" t="s">
        <v>1077</v>
      </c>
      <c r="E1464" s="11" t="s">
        <v>555</v>
      </c>
      <c r="F1464" s="11">
        <v>1982.0</v>
      </c>
      <c r="G1464" s="40">
        <v>48259.0</v>
      </c>
      <c r="H1464" s="40">
        <f t="shared" ref="H1464:I1464" si="1104">F1464-F1463</f>
        <v>1</v>
      </c>
      <c r="I1464" s="40">
        <f t="shared" si="1104"/>
        <v>-394</v>
      </c>
      <c r="J1464" s="73">
        <f t="shared" si="1096"/>
        <v>-0.008098164553</v>
      </c>
      <c r="K1464" s="66">
        <f t="shared" si="1097"/>
        <v>-0.008098164553</v>
      </c>
      <c r="L1464" s="29" t="s">
        <v>81</v>
      </c>
    </row>
    <row r="1465">
      <c r="A1465" s="11" t="s">
        <v>1466</v>
      </c>
      <c r="B1465" s="11" t="s">
        <v>248</v>
      </c>
      <c r="C1465" s="11" t="s">
        <v>1430</v>
      </c>
      <c r="D1465" s="11" t="s">
        <v>1077</v>
      </c>
      <c r="E1465" s="11" t="s">
        <v>555</v>
      </c>
      <c r="F1465" s="11">
        <v>1983.0</v>
      </c>
      <c r="G1465" s="40">
        <v>45615.0</v>
      </c>
      <c r="H1465" s="40">
        <f t="shared" ref="H1465:I1465" si="1105">F1465-F1464</f>
        <v>1</v>
      </c>
      <c r="I1465" s="40">
        <f t="shared" si="1105"/>
        <v>-2644</v>
      </c>
      <c r="J1465" s="73">
        <f t="shared" si="1096"/>
        <v>-0.05478770799</v>
      </c>
      <c r="K1465" s="66">
        <f t="shared" si="1097"/>
        <v>-0.05478770799</v>
      </c>
      <c r="L1465" s="29" t="s">
        <v>81</v>
      </c>
    </row>
    <row r="1466">
      <c r="A1466" s="11" t="s">
        <v>1466</v>
      </c>
      <c r="B1466" s="11" t="s">
        <v>248</v>
      </c>
      <c r="C1466" s="11" t="s">
        <v>1430</v>
      </c>
      <c r="D1466" s="11" t="s">
        <v>1077</v>
      </c>
      <c r="E1466" s="11" t="s">
        <v>555</v>
      </c>
      <c r="F1466" s="11">
        <v>1984.0</v>
      </c>
      <c r="G1466" s="40">
        <v>43521.0</v>
      </c>
      <c r="H1466" s="40">
        <f t="shared" ref="H1466:I1466" si="1106">F1466-F1465</f>
        <v>1</v>
      </c>
      <c r="I1466" s="40">
        <f t="shared" si="1106"/>
        <v>-2094</v>
      </c>
      <c r="J1466" s="73">
        <f t="shared" si="1096"/>
        <v>-0.04590595199</v>
      </c>
      <c r="K1466" s="66">
        <f t="shared" si="1097"/>
        <v>-0.04590595199</v>
      </c>
      <c r="L1466" s="29" t="s">
        <v>81</v>
      </c>
    </row>
    <row r="1467">
      <c r="A1467" s="11" t="s">
        <v>1466</v>
      </c>
      <c r="B1467" s="11" t="s">
        <v>248</v>
      </c>
      <c r="C1467" s="11" t="s">
        <v>1430</v>
      </c>
      <c r="D1467" s="11" t="s">
        <v>1077</v>
      </c>
      <c r="E1467" s="11" t="s">
        <v>555</v>
      </c>
      <c r="F1467" s="11">
        <v>1985.0</v>
      </c>
      <c r="G1467" s="40">
        <v>40029.0</v>
      </c>
      <c r="H1467" s="40">
        <f t="shared" ref="H1467:I1467" si="1107">F1467-F1466</f>
        <v>1</v>
      </c>
      <c r="I1467" s="40">
        <f t="shared" si="1107"/>
        <v>-3492</v>
      </c>
      <c r="J1467" s="73">
        <f t="shared" si="1096"/>
        <v>-0.0802371269</v>
      </c>
      <c r="K1467" s="66">
        <f t="shared" si="1097"/>
        <v>-0.0802371269</v>
      </c>
      <c r="L1467" s="29" t="s">
        <v>81</v>
      </c>
    </row>
    <row r="1468">
      <c r="A1468" s="11" t="s">
        <v>1466</v>
      </c>
      <c r="B1468" s="11" t="s">
        <v>248</v>
      </c>
      <c r="C1468" s="11" t="s">
        <v>1430</v>
      </c>
      <c r="D1468" s="11" t="s">
        <v>1077</v>
      </c>
      <c r="E1468" s="11" t="s">
        <v>555</v>
      </c>
      <c r="F1468" s="11">
        <v>1986.0</v>
      </c>
      <c r="G1468" s="40">
        <v>34190.0</v>
      </c>
      <c r="H1468" s="40">
        <f t="shared" ref="H1468:I1468" si="1108">F1468-F1467</f>
        <v>1</v>
      </c>
      <c r="I1468" s="40">
        <f t="shared" si="1108"/>
        <v>-5839</v>
      </c>
      <c r="J1468" s="73">
        <f t="shared" si="1096"/>
        <v>-0.1458692448</v>
      </c>
      <c r="K1468" s="66">
        <f t="shared" si="1097"/>
        <v>-0.1458692448</v>
      </c>
      <c r="L1468" s="29" t="s">
        <v>81</v>
      </c>
    </row>
    <row r="1469">
      <c r="A1469" s="11" t="s">
        <v>1466</v>
      </c>
      <c r="B1469" s="11" t="s">
        <v>248</v>
      </c>
      <c r="C1469" s="11" t="s">
        <v>1430</v>
      </c>
      <c r="D1469" s="11" t="s">
        <v>1077</v>
      </c>
      <c r="E1469" s="11" t="s">
        <v>555</v>
      </c>
      <c r="F1469" s="11">
        <v>1987.0</v>
      </c>
      <c r="G1469" s="40">
        <v>28495.0</v>
      </c>
      <c r="H1469" s="40">
        <f t="shared" ref="H1469:I1469" si="1109">F1469-F1468</f>
        <v>1</v>
      </c>
      <c r="I1469" s="40">
        <f t="shared" si="1109"/>
        <v>-5695</v>
      </c>
      <c r="J1469" s="73">
        <f t="shared" si="1096"/>
        <v>-0.1665691723</v>
      </c>
      <c r="K1469" s="66">
        <f t="shared" si="1097"/>
        <v>-0.1665691723</v>
      </c>
      <c r="L1469" s="29" t="s">
        <v>81</v>
      </c>
    </row>
    <row r="1470">
      <c r="A1470" s="11" t="s">
        <v>1466</v>
      </c>
      <c r="B1470" s="11" t="s">
        <v>248</v>
      </c>
      <c r="C1470" s="11" t="s">
        <v>1430</v>
      </c>
      <c r="D1470" s="11" t="s">
        <v>1077</v>
      </c>
      <c r="E1470" s="11" t="s">
        <v>555</v>
      </c>
      <c r="F1470" s="11">
        <v>1988.0</v>
      </c>
      <c r="G1470" s="40">
        <v>24168.0</v>
      </c>
      <c r="H1470" s="40">
        <f t="shared" ref="H1470:I1470" si="1110">F1470-F1469</f>
        <v>1</v>
      </c>
      <c r="I1470" s="40">
        <f t="shared" si="1110"/>
        <v>-4327</v>
      </c>
      <c r="J1470" s="73">
        <f t="shared" si="1096"/>
        <v>-0.151851202</v>
      </c>
      <c r="K1470" s="66">
        <f t="shared" si="1097"/>
        <v>-0.151851202</v>
      </c>
      <c r="L1470" s="29" t="s">
        <v>81</v>
      </c>
    </row>
    <row r="1471">
      <c r="A1471" s="11" t="s">
        <v>1466</v>
      </c>
      <c r="B1471" s="11" t="s">
        <v>248</v>
      </c>
      <c r="C1471" s="11" t="s">
        <v>1430</v>
      </c>
      <c r="D1471" s="11" t="s">
        <v>1077</v>
      </c>
      <c r="E1471" s="11" t="s">
        <v>555</v>
      </c>
      <c r="F1471" s="11">
        <v>1989.0</v>
      </c>
      <c r="G1471" s="40">
        <v>20290.0</v>
      </c>
      <c r="H1471" s="40">
        <f t="shared" ref="H1471:I1471" si="1111">F1471-F1470</f>
        <v>1</v>
      </c>
      <c r="I1471" s="40">
        <f t="shared" si="1111"/>
        <v>-3878</v>
      </c>
      <c r="J1471" s="73">
        <f t="shared" si="1096"/>
        <v>-0.1604601125</v>
      </c>
      <c r="K1471" s="66">
        <f t="shared" si="1097"/>
        <v>-0.1604601125</v>
      </c>
      <c r="L1471" s="29" t="s">
        <v>81</v>
      </c>
    </row>
    <row r="1472">
      <c r="A1472" s="11" t="s">
        <v>1466</v>
      </c>
      <c r="B1472" s="11" t="s">
        <v>248</v>
      </c>
      <c r="C1472" s="11" t="s">
        <v>1430</v>
      </c>
      <c r="D1472" s="11" t="s">
        <v>1077</v>
      </c>
      <c r="E1472" s="11" t="s">
        <v>555</v>
      </c>
      <c r="F1472" s="11">
        <v>1990.0</v>
      </c>
      <c r="G1472" s="40">
        <v>17571.0</v>
      </c>
      <c r="H1472" s="40">
        <f t="shared" ref="H1472:I1472" si="1112">F1472-F1471</f>
        <v>1</v>
      </c>
      <c r="I1472" s="40">
        <f t="shared" si="1112"/>
        <v>-2719</v>
      </c>
      <c r="J1472" s="73">
        <f t="shared" si="1096"/>
        <v>-0.1340069</v>
      </c>
      <c r="K1472" s="66">
        <f t="shared" si="1097"/>
        <v>-0.1340069</v>
      </c>
      <c r="L1472" s="29" t="s">
        <v>81</v>
      </c>
    </row>
    <row r="1473">
      <c r="A1473" s="11" t="s">
        <v>1466</v>
      </c>
      <c r="B1473" s="11" t="s">
        <v>248</v>
      </c>
      <c r="C1473" s="11" t="s">
        <v>1430</v>
      </c>
      <c r="D1473" s="11" t="s">
        <v>1077</v>
      </c>
      <c r="E1473" s="11" t="s">
        <v>555</v>
      </c>
      <c r="F1473" s="11">
        <v>1991.0</v>
      </c>
      <c r="G1473" s="40">
        <v>16552.0</v>
      </c>
      <c r="H1473" s="40">
        <f t="shared" ref="H1473:I1473" si="1113">F1473-F1472</f>
        <v>1</v>
      </c>
      <c r="I1473" s="40">
        <f t="shared" si="1113"/>
        <v>-1019</v>
      </c>
      <c r="J1473" s="73">
        <f t="shared" si="1096"/>
        <v>-0.05799328439</v>
      </c>
      <c r="K1473" s="66">
        <f t="shared" si="1097"/>
        <v>-0.05799328439</v>
      </c>
      <c r="L1473" s="29" t="s">
        <v>81</v>
      </c>
    </row>
    <row r="1474">
      <c r="A1474" s="11" t="s">
        <v>1466</v>
      </c>
      <c r="B1474" s="11" t="s">
        <v>248</v>
      </c>
      <c r="C1474" s="11" t="s">
        <v>1430</v>
      </c>
      <c r="D1474" s="11" t="s">
        <v>1077</v>
      </c>
      <c r="E1474" s="11" t="s">
        <v>555</v>
      </c>
      <c r="F1474" s="11">
        <v>1992.0</v>
      </c>
      <c r="G1474" s="40">
        <v>14678.0</v>
      </c>
      <c r="H1474" s="40">
        <f t="shared" ref="H1474:I1474" si="1114">F1474-F1473</f>
        <v>1</v>
      </c>
      <c r="I1474" s="40">
        <f t="shared" si="1114"/>
        <v>-1874</v>
      </c>
      <c r="J1474" s="73">
        <f t="shared" si="1096"/>
        <v>-0.1132189464</v>
      </c>
      <c r="K1474" s="66">
        <f t="shared" si="1097"/>
        <v>-0.1132189464</v>
      </c>
      <c r="L1474" s="29" t="s">
        <v>81</v>
      </c>
    </row>
    <row r="1475">
      <c r="A1475" s="11" t="s">
        <v>1466</v>
      </c>
      <c r="B1475" s="11" t="s">
        <v>248</v>
      </c>
      <c r="C1475" s="11" t="s">
        <v>1430</v>
      </c>
      <c r="D1475" s="11" t="s">
        <v>1077</v>
      </c>
      <c r="E1475" s="11" t="s">
        <v>555</v>
      </c>
      <c r="F1475" s="11">
        <v>1993.0</v>
      </c>
      <c r="G1475" s="40">
        <v>13712.0</v>
      </c>
      <c r="H1475" s="40">
        <f t="shared" ref="H1475:I1475" si="1115">F1475-F1474</f>
        <v>1</v>
      </c>
      <c r="I1475" s="40">
        <f t="shared" si="1115"/>
        <v>-966</v>
      </c>
      <c r="J1475" s="73">
        <f t="shared" si="1096"/>
        <v>-0.06581278103</v>
      </c>
      <c r="K1475" s="66">
        <f t="shared" si="1097"/>
        <v>-0.06581278103</v>
      </c>
      <c r="L1475" s="29" t="s">
        <v>81</v>
      </c>
    </row>
    <row r="1476">
      <c r="A1476" s="11" t="s">
        <v>1466</v>
      </c>
      <c r="B1476" s="11" t="s">
        <v>248</v>
      </c>
      <c r="C1476" s="11" t="s">
        <v>1430</v>
      </c>
      <c r="D1476" s="11" t="s">
        <v>1077</v>
      </c>
      <c r="E1476" s="11" t="s">
        <v>555</v>
      </c>
      <c r="F1476" s="11">
        <v>1994.0</v>
      </c>
      <c r="G1476" s="40">
        <v>13057.0</v>
      </c>
      <c r="H1476" s="40">
        <f t="shared" ref="H1476:I1476" si="1116">F1476-F1475</f>
        <v>1</v>
      </c>
      <c r="I1476" s="40">
        <f t="shared" si="1116"/>
        <v>-655</v>
      </c>
      <c r="J1476" s="73">
        <f t="shared" si="1096"/>
        <v>-0.04776837806</v>
      </c>
      <c r="K1476" s="66">
        <f t="shared" si="1097"/>
        <v>-0.04776837806</v>
      </c>
      <c r="L1476" s="29" t="s">
        <v>81</v>
      </c>
    </row>
    <row r="1477">
      <c r="A1477" s="11" t="s">
        <v>1466</v>
      </c>
      <c r="B1477" s="11" t="s">
        <v>248</v>
      </c>
      <c r="C1477" s="11" t="s">
        <v>1430</v>
      </c>
      <c r="D1477" s="11" t="s">
        <v>1077</v>
      </c>
      <c r="E1477" s="11" t="s">
        <v>555</v>
      </c>
      <c r="F1477" s="11">
        <v>1995.0</v>
      </c>
      <c r="G1477" s="40">
        <v>12209.0</v>
      </c>
      <c r="H1477" s="40">
        <f t="shared" ref="H1477:I1477" si="1117">F1477-F1476</f>
        <v>1</v>
      </c>
      <c r="I1477" s="40">
        <f t="shared" si="1117"/>
        <v>-848</v>
      </c>
      <c r="J1477" s="73">
        <f t="shared" si="1096"/>
        <v>-0.06494600597</v>
      </c>
      <c r="K1477" s="66">
        <f t="shared" si="1097"/>
        <v>-0.06494600597</v>
      </c>
      <c r="L1477" s="29" t="s">
        <v>81</v>
      </c>
    </row>
    <row r="1478">
      <c r="A1478" s="11" t="s">
        <v>1466</v>
      </c>
      <c r="B1478" s="11" t="s">
        <v>248</v>
      </c>
      <c r="C1478" s="11" t="s">
        <v>1430</v>
      </c>
      <c r="D1478" s="11" t="s">
        <v>1077</v>
      </c>
      <c r="E1478" s="11" t="s">
        <v>555</v>
      </c>
      <c r="F1478" s="11">
        <v>1996.0</v>
      </c>
      <c r="G1478" s="40">
        <v>11550.0</v>
      </c>
      <c r="H1478" s="40">
        <f t="shared" ref="H1478:I1478" si="1118">F1478-F1477</f>
        <v>1</v>
      </c>
      <c r="I1478" s="40">
        <f t="shared" si="1118"/>
        <v>-659</v>
      </c>
      <c r="J1478" s="73">
        <f t="shared" si="1096"/>
        <v>-0.05397657466</v>
      </c>
      <c r="K1478" s="66">
        <f t="shared" si="1097"/>
        <v>-0.05397657466</v>
      </c>
      <c r="L1478" s="29" t="s">
        <v>81</v>
      </c>
    </row>
    <row r="1479">
      <c r="A1479" s="11" t="s">
        <v>1466</v>
      </c>
      <c r="B1479" s="11" t="s">
        <v>248</v>
      </c>
      <c r="C1479" s="11" t="s">
        <v>1430</v>
      </c>
      <c r="D1479" s="11" t="s">
        <v>1077</v>
      </c>
      <c r="E1479" s="11" t="s">
        <v>555</v>
      </c>
      <c r="F1479" s="11">
        <v>1997.0</v>
      </c>
      <c r="G1479" s="40">
        <v>11164.0</v>
      </c>
      <c r="H1479" s="40">
        <f t="shared" ref="H1479:I1479" si="1119">F1479-F1478</f>
        <v>1</v>
      </c>
      <c r="I1479" s="40">
        <f t="shared" si="1119"/>
        <v>-386</v>
      </c>
      <c r="J1479" s="73">
        <f t="shared" si="1096"/>
        <v>-0.03341991342</v>
      </c>
      <c r="K1479" s="66">
        <f t="shared" si="1097"/>
        <v>-0.03341991342</v>
      </c>
      <c r="L1479" s="29" t="s">
        <v>81</v>
      </c>
    </row>
    <row r="1480">
      <c r="A1480" s="11" t="s">
        <v>1466</v>
      </c>
      <c r="B1480" s="11" t="s">
        <v>248</v>
      </c>
      <c r="C1480" s="11" t="s">
        <v>1430</v>
      </c>
      <c r="D1480" s="11" t="s">
        <v>1077</v>
      </c>
      <c r="E1480" s="11" t="s">
        <v>555</v>
      </c>
      <c r="F1480" s="11">
        <v>1998.0</v>
      </c>
      <c r="G1480" s="40">
        <v>10225.0</v>
      </c>
      <c r="H1480" s="40">
        <f t="shared" ref="H1480:I1480" si="1120">F1480-F1479</f>
        <v>1</v>
      </c>
      <c r="I1480" s="40">
        <f t="shared" si="1120"/>
        <v>-939</v>
      </c>
      <c r="J1480" s="73">
        <f t="shared" si="1096"/>
        <v>-0.08410963812</v>
      </c>
      <c r="K1480" s="66">
        <f t="shared" si="1097"/>
        <v>-0.08410963812</v>
      </c>
      <c r="L1480" s="29" t="s">
        <v>81</v>
      </c>
    </row>
    <row r="1481">
      <c r="A1481" s="11" t="s">
        <v>1466</v>
      </c>
      <c r="B1481" s="11" t="s">
        <v>248</v>
      </c>
      <c r="C1481" s="11" t="s">
        <v>1430</v>
      </c>
      <c r="D1481" s="11" t="s">
        <v>1077</v>
      </c>
      <c r="E1481" s="11" t="s">
        <v>555</v>
      </c>
      <c r="F1481" s="11">
        <v>1999.0</v>
      </c>
      <c r="G1481" s="40">
        <v>10127.0</v>
      </c>
      <c r="H1481" s="40">
        <f t="shared" ref="H1481:I1481" si="1121">F1481-F1480</f>
        <v>1</v>
      </c>
      <c r="I1481" s="40">
        <f t="shared" si="1121"/>
        <v>-98</v>
      </c>
      <c r="J1481" s="73">
        <f t="shared" si="1096"/>
        <v>-0.009584352078</v>
      </c>
      <c r="K1481" s="66">
        <f t="shared" si="1097"/>
        <v>-0.009584352078</v>
      </c>
      <c r="L1481" s="29" t="s">
        <v>81</v>
      </c>
    </row>
    <row r="1482">
      <c r="A1482" s="11" t="s">
        <v>1466</v>
      </c>
      <c r="B1482" s="11" t="s">
        <v>248</v>
      </c>
      <c r="C1482" s="11" t="s">
        <v>1430</v>
      </c>
      <c r="D1482" s="11" t="s">
        <v>1077</v>
      </c>
      <c r="E1482" s="11" t="s">
        <v>555</v>
      </c>
      <c r="F1482" s="11">
        <v>2000.0</v>
      </c>
      <c r="G1482" s="40">
        <v>9866.0</v>
      </c>
      <c r="H1482" s="40">
        <f t="shared" ref="H1482:I1482" si="1122">F1482-F1481</f>
        <v>1</v>
      </c>
      <c r="I1482" s="40">
        <f t="shared" si="1122"/>
        <v>-261</v>
      </c>
      <c r="J1482" s="73">
        <f t="shared" si="1096"/>
        <v>-0.02577268688</v>
      </c>
      <c r="K1482" s="66">
        <f t="shared" si="1097"/>
        <v>-0.02577268688</v>
      </c>
      <c r="L1482" s="29" t="s">
        <v>81</v>
      </c>
    </row>
    <row r="1483">
      <c r="A1483" s="11" t="s">
        <v>1466</v>
      </c>
      <c r="B1483" s="11" t="s">
        <v>248</v>
      </c>
      <c r="C1483" s="11" t="s">
        <v>1430</v>
      </c>
      <c r="D1483" s="11" t="s">
        <v>1077</v>
      </c>
      <c r="E1483" s="11" t="s">
        <v>555</v>
      </c>
      <c r="F1483" s="11">
        <v>2001.0</v>
      </c>
      <c r="G1483" s="40">
        <v>9074.0</v>
      </c>
      <c r="H1483" s="40">
        <f t="shared" ref="H1483:I1483" si="1123">F1483-F1482</f>
        <v>1</v>
      </c>
      <c r="I1483" s="40">
        <f t="shared" si="1123"/>
        <v>-792</v>
      </c>
      <c r="J1483" s="73">
        <f t="shared" si="1096"/>
        <v>-0.0802756943</v>
      </c>
      <c r="K1483" s="66">
        <f t="shared" si="1097"/>
        <v>-0.0802756943</v>
      </c>
      <c r="L1483" s="29" t="s">
        <v>81</v>
      </c>
    </row>
    <row r="1484">
      <c r="A1484" s="11" t="s">
        <v>1466</v>
      </c>
      <c r="B1484" s="11" t="s">
        <v>248</v>
      </c>
      <c r="C1484" s="11" t="s">
        <v>1430</v>
      </c>
      <c r="D1484" s="11" t="s">
        <v>1077</v>
      </c>
      <c r="E1484" s="11" t="s">
        <v>555</v>
      </c>
      <c r="F1484" s="11">
        <v>2002.0</v>
      </c>
      <c r="G1484" s="40">
        <v>9516.0</v>
      </c>
      <c r="H1484" s="40">
        <f t="shared" ref="H1484:I1484" si="1124">F1484-F1483</f>
        <v>1</v>
      </c>
      <c r="I1484" s="40">
        <f t="shared" si="1124"/>
        <v>442</v>
      </c>
      <c r="J1484" s="73">
        <f t="shared" si="1096"/>
        <v>0.04871060172</v>
      </c>
      <c r="K1484" s="66">
        <f t="shared" si="1097"/>
        <v>0.04871060172</v>
      </c>
      <c r="L1484" s="29" t="s">
        <v>81</v>
      </c>
    </row>
    <row r="1485">
      <c r="A1485" s="11" t="s">
        <v>1466</v>
      </c>
      <c r="B1485" s="11" t="s">
        <v>248</v>
      </c>
      <c r="C1485" s="11" t="s">
        <v>1430</v>
      </c>
      <c r="D1485" s="11" t="s">
        <v>1077</v>
      </c>
      <c r="E1485" s="11" t="s">
        <v>555</v>
      </c>
      <c r="F1485" s="11">
        <v>2003.0</v>
      </c>
      <c r="G1485" s="40">
        <v>9386.0</v>
      </c>
      <c r="H1485" s="40">
        <f t="shared" ref="H1485:I1485" si="1125">F1485-F1484</f>
        <v>1</v>
      </c>
      <c r="I1485" s="40">
        <f t="shared" si="1125"/>
        <v>-130</v>
      </c>
      <c r="J1485" s="73">
        <f t="shared" si="1096"/>
        <v>-0.01366120219</v>
      </c>
      <c r="K1485" s="66">
        <f t="shared" si="1097"/>
        <v>-0.01366120219</v>
      </c>
      <c r="L1485" s="29" t="s">
        <v>81</v>
      </c>
    </row>
    <row r="1486">
      <c r="A1486" s="11" t="s">
        <v>1466</v>
      </c>
      <c r="B1486" s="11" t="s">
        <v>248</v>
      </c>
      <c r="C1486" s="11" t="s">
        <v>1430</v>
      </c>
      <c r="D1486" s="11" t="s">
        <v>1077</v>
      </c>
      <c r="E1486" s="11" t="s">
        <v>555</v>
      </c>
      <c r="F1486" s="11">
        <v>2004.0</v>
      </c>
      <c r="G1486" s="40">
        <v>9704.0</v>
      </c>
      <c r="H1486" s="40">
        <f t="shared" ref="H1486:I1486" si="1126">F1486-F1485</f>
        <v>1</v>
      </c>
      <c r="I1486" s="40">
        <f t="shared" si="1126"/>
        <v>318</v>
      </c>
      <c r="J1486" s="73">
        <f t="shared" si="1096"/>
        <v>0.03388024718</v>
      </c>
      <c r="K1486" s="66">
        <f t="shared" si="1097"/>
        <v>0.03388024718</v>
      </c>
      <c r="L1486" s="29" t="s">
        <v>81</v>
      </c>
    </row>
    <row r="1487">
      <c r="A1487" s="11" t="s">
        <v>1466</v>
      </c>
      <c r="B1487" s="11" t="s">
        <v>248</v>
      </c>
      <c r="C1487" s="11" t="s">
        <v>1430</v>
      </c>
      <c r="D1487" s="11" t="s">
        <v>1077</v>
      </c>
      <c r="E1487" s="11" t="s">
        <v>555</v>
      </c>
      <c r="F1487" s="11">
        <v>2005.0</v>
      </c>
      <c r="G1487" s="40">
        <v>10134.0</v>
      </c>
      <c r="H1487" s="40">
        <f t="shared" ref="H1487:I1487" si="1127">F1487-F1486</f>
        <v>1</v>
      </c>
      <c r="I1487" s="40">
        <f t="shared" si="1127"/>
        <v>430</v>
      </c>
      <c r="J1487" s="73">
        <f t="shared" si="1096"/>
        <v>0.04431162407</v>
      </c>
      <c r="K1487" s="66">
        <f t="shared" si="1097"/>
        <v>0.04431162407</v>
      </c>
      <c r="L1487" s="29" t="s">
        <v>81</v>
      </c>
    </row>
    <row r="1488">
      <c r="A1488" s="11" t="s">
        <v>1466</v>
      </c>
      <c r="B1488" s="11" t="s">
        <v>248</v>
      </c>
      <c r="C1488" s="11" t="s">
        <v>1430</v>
      </c>
      <c r="D1488" s="11" t="s">
        <v>1077</v>
      </c>
      <c r="E1488" s="11" t="s">
        <v>555</v>
      </c>
      <c r="F1488" s="11">
        <v>2006.0</v>
      </c>
      <c r="G1488" s="40">
        <v>10372.0</v>
      </c>
      <c r="H1488" s="40">
        <f t="shared" ref="H1488:I1488" si="1128">F1488-F1487</f>
        <v>1</v>
      </c>
      <c r="I1488" s="40">
        <f t="shared" si="1128"/>
        <v>238</v>
      </c>
      <c r="J1488" s="73">
        <f t="shared" si="1096"/>
        <v>0.02348529702</v>
      </c>
      <c r="K1488" s="66">
        <f t="shared" si="1097"/>
        <v>0.02348529702</v>
      </c>
      <c r="L1488" s="29" t="s">
        <v>81</v>
      </c>
    </row>
    <row r="1489">
      <c r="A1489" s="11" t="s">
        <v>1466</v>
      </c>
      <c r="B1489" s="11" t="s">
        <v>248</v>
      </c>
      <c r="C1489" s="11" t="s">
        <v>1430</v>
      </c>
      <c r="D1489" s="11" t="s">
        <v>1077</v>
      </c>
      <c r="E1489" s="11" t="s">
        <v>555</v>
      </c>
      <c r="F1489" s="11">
        <v>2007.0</v>
      </c>
      <c r="G1489" s="40">
        <v>10755.0</v>
      </c>
      <c r="H1489" s="40">
        <f t="shared" ref="H1489:I1489" si="1129">F1489-F1488</f>
        <v>1</v>
      </c>
      <c r="I1489" s="40">
        <f t="shared" si="1129"/>
        <v>383</v>
      </c>
      <c r="J1489" s="73">
        <f t="shared" si="1096"/>
        <v>0.03692634015</v>
      </c>
      <c r="K1489" s="66">
        <f t="shared" si="1097"/>
        <v>0.03692634015</v>
      </c>
      <c r="L1489" s="29" t="s">
        <v>81</v>
      </c>
    </row>
    <row r="1490">
      <c r="A1490" s="11" t="s">
        <v>1466</v>
      </c>
      <c r="B1490" s="11" t="s">
        <v>248</v>
      </c>
      <c r="C1490" s="11" t="s">
        <v>1430</v>
      </c>
      <c r="D1490" s="11" t="s">
        <v>1077</v>
      </c>
      <c r="E1490" s="11" t="s">
        <v>555</v>
      </c>
      <c r="F1490" s="11">
        <v>2008.0</v>
      </c>
      <c r="G1490" s="40">
        <v>11186.0</v>
      </c>
      <c r="H1490" s="40">
        <f t="shared" ref="H1490:I1490" si="1130">F1490-F1489</f>
        <v>1</v>
      </c>
      <c r="I1490" s="40">
        <f t="shared" si="1130"/>
        <v>431</v>
      </c>
      <c r="J1490" s="73">
        <f t="shared" si="1096"/>
        <v>0.04007438401</v>
      </c>
      <c r="K1490" s="66">
        <f t="shared" si="1097"/>
        <v>0.04007438401</v>
      </c>
      <c r="L1490" s="29" t="s">
        <v>81</v>
      </c>
    </row>
    <row r="1491">
      <c r="A1491" s="11" t="s">
        <v>1466</v>
      </c>
      <c r="B1491" s="11" t="s">
        <v>248</v>
      </c>
      <c r="C1491" s="11" t="s">
        <v>1430</v>
      </c>
      <c r="D1491" s="11" t="s">
        <v>1077</v>
      </c>
      <c r="E1491" s="11" t="s">
        <v>555</v>
      </c>
      <c r="F1491" s="11">
        <v>2009.0</v>
      </c>
      <c r="G1491" s="40">
        <v>11135.0</v>
      </c>
      <c r="H1491" s="40">
        <f t="shared" ref="H1491:I1491" si="1131">F1491-F1490</f>
        <v>1</v>
      </c>
      <c r="I1491" s="40">
        <f t="shared" si="1131"/>
        <v>-51</v>
      </c>
      <c r="J1491" s="73">
        <f t="shared" si="1096"/>
        <v>-0.004559270517</v>
      </c>
      <c r="K1491" s="66">
        <f t="shared" si="1097"/>
        <v>-0.004559270517</v>
      </c>
      <c r="L1491" s="29" t="s">
        <v>81</v>
      </c>
    </row>
    <row r="1492">
      <c r="A1492" s="11" t="s">
        <v>1466</v>
      </c>
      <c r="B1492" s="11" t="s">
        <v>248</v>
      </c>
      <c r="C1492" s="11" t="s">
        <v>1430</v>
      </c>
      <c r="D1492" s="11" t="s">
        <v>1077</v>
      </c>
      <c r="E1492" s="11" t="s">
        <v>555</v>
      </c>
      <c r="F1492" s="11">
        <v>2010.0</v>
      </c>
      <c r="G1492" s="40">
        <v>11418.0</v>
      </c>
      <c r="H1492" s="40">
        <f t="shared" ref="H1492:I1492" si="1132">F1492-F1491</f>
        <v>1</v>
      </c>
      <c r="I1492" s="40">
        <f t="shared" si="1132"/>
        <v>283</v>
      </c>
      <c r="J1492" s="73">
        <f t="shared" si="1096"/>
        <v>0.02541535698</v>
      </c>
      <c r="K1492" s="66">
        <f t="shared" si="1097"/>
        <v>0.02541535698</v>
      </c>
      <c r="L1492" s="29" t="s">
        <v>81</v>
      </c>
    </row>
    <row r="1493">
      <c r="A1493" s="11" t="s">
        <v>1466</v>
      </c>
      <c r="B1493" s="11" t="s">
        <v>248</v>
      </c>
      <c r="C1493" s="11" t="s">
        <v>1430</v>
      </c>
      <c r="D1493" s="11" t="s">
        <v>1077</v>
      </c>
      <c r="E1493" s="11" t="s">
        <v>555</v>
      </c>
      <c r="F1493" s="11">
        <v>2011.0</v>
      </c>
      <c r="G1493" s="40">
        <v>11624.0</v>
      </c>
      <c r="H1493" s="40">
        <f t="shared" ref="H1493:I1493" si="1133">F1493-F1492</f>
        <v>1</v>
      </c>
      <c r="I1493" s="40">
        <f t="shared" si="1133"/>
        <v>206</v>
      </c>
      <c r="J1493" s="73">
        <f t="shared" si="1096"/>
        <v>0.01804168856</v>
      </c>
      <c r="K1493" s="66">
        <f t="shared" si="1097"/>
        <v>0.01804168856</v>
      </c>
      <c r="L1493" s="29" t="s">
        <v>81</v>
      </c>
    </row>
    <row r="1494">
      <c r="A1494" s="11" t="s">
        <v>1466</v>
      </c>
      <c r="B1494" s="11" t="s">
        <v>248</v>
      </c>
      <c r="C1494" s="11" t="s">
        <v>1430</v>
      </c>
      <c r="D1494" s="11" t="s">
        <v>1077</v>
      </c>
      <c r="E1494" s="11" t="s">
        <v>555</v>
      </c>
      <c r="F1494" s="11">
        <v>2012.0</v>
      </c>
      <c r="G1494" s="40">
        <v>11611.0</v>
      </c>
      <c r="H1494" s="40">
        <f t="shared" ref="H1494:I1494" si="1134">F1494-F1493</f>
        <v>1</v>
      </c>
      <c r="I1494" s="40">
        <f t="shared" si="1134"/>
        <v>-13</v>
      </c>
      <c r="J1494" s="73">
        <f t="shared" si="1096"/>
        <v>-0.001118375774</v>
      </c>
      <c r="K1494" s="66">
        <f t="shared" si="1097"/>
        <v>-0.001118375774</v>
      </c>
      <c r="L1494" s="29" t="s">
        <v>81</v>
      </c>
    </row>
    <row r="1495">
      <c r="A1495" s="11" t="s">
        <v>1466</v>
      </c>
      <c r="B1495" s="11" t="s">
        <v>248</v>
      </c>
      <c r="C1495" s="11" t="s">
        <v>1430</v>
      </c>
      <c r="D1495" s="11" t="s">
        <v>1077</v>
      </c>
      <c r="E1495" s="11" t="s">
        <v>555</v>
      </c>
      <c r="F1495" s="11">
        <v>2013.0</v>
      </c>
      <c r="G1495" s="40">
        <v>11886.0</v>
      </c>
      <c r="H1495" s="40">
        <f t="shared" ref="H1495:I1495" si="1135">F1495-F1494</f>
        <v>1</v>
      </c>
      <c r="I1495" s="40">
        <f t="shared" si="1135"/>
        <v>275</v>
      </c>
      <c r="J1495" s="73">
        <f t="shared" si="1096"/>
        <v>0.02368443717</v>
      </c>
      <c r="K1495" s="66">
        <f t="shared" si="1097"/>
        <v>0.02368443717</v>
      </c>
      <c r="L1495" s="29" t="s">
        <v>81</v>
      </c>
    </row>
    <row r="1496">
      <c r="A1496" s="11" t="s">
        <v>1466</v>
      </c>
      <c r="B1496" s="11" t="s">
        <v>248</v>
      </c>
      <c r="C1496" s="11" t="s">
        <v>1430</v>
      </c>
      <c r="D1496" s="11" t="s">
        <v>1077</v>
      </c>
      <c r="E1496" s="11" t="s">
        <v>555</v>
      </c>
      <c r="F1496" s="11">
        <v>2014.0</v>
      </c>
      <c r="G1496" s="40">
        <v>11422.0</v>
      </c>
      <c r="H1496" s="40">
        <f t="shared" ref="H1496:I1496" si="1136">F1496-F1495</f>
        <v>1</v>
      </c>
      <c r="I1496" s="40">
        <f t="shared" si="1136"/>
        <v>-464</v>
      </c>
      <c r="J1496" s="73">
        <f t="shared" si="1096"/>
        <v>-0.03903752314</v>
      </c>
      <c r="K1496" s="66">
        <f t="shared" si="1097"/>
        <v>-0.03903752314</v>
      </c>
      <c r="L1496" s="29" t="s">
        <v>81</v>
      </c>
    </row>
    <row r="1497">
      <c r="A1497" s="11" t="s">
        <v>1466</v>
      </c>
      <c r="B1497" s="11" t="s">
        <v>248</v>
      </c>
      <c r="C1497" s="11" t="s">
        <v>1430</v>
      </c>
      <c r="D1497" s="11" t="s">
        <v>1077</v>
      </c>
      <c r="E1497" s="11" t="s">
        <v>555</v>
      </c>
      <c r="F1497" s="11">
        <v>2015.0</v>
      </c>
      <c r="G1497" s="40">
        <v>11925.0</v>
      </c>
      <c r="H1497" s="40">
        <f t="shared" ref="H1497:I1497" si="1137">F1497-F1496</f>
        <v>1</v>
      </c>
      <c r="I1497" s="40">
        <f t="shared" si="1137"/>
        <v>503</v>
      </c>
      <c r="J1497" s="73">
        <f t="shared" si="1096"/>
        <v>0.04403782175</v>
      </c>
      <c r="K1497" s="66">
        <f t="shared" si="1097"/>
        <v>0.04403782175</v>
      </c>
      <c r="L1497" s="29" t="s">
        <v>81</v>
      </c>
    </row>
    <row r="1498">
      <c r="A1498" s="11" t="s">
        <v>1466</v>
      </c>
      <c r="B1498" s="11" t="s">
        <v>248</v>
      </c>
      <c r="C1498" s="11" t="s">
        <v>1430</v>
      </c>
      <c r="D1498" s="11" t="s">
        <v>1077</v>
      </c>
      <c r="E1498" s="11" t="s">
        <v>555</v>
      </c>
      <c r="F1498" s="11">
        <v>2016.0</v>
      </c>
      <c r="G1498" s="40">
        <v>11781.0</v>
      </c>
      <c r="H1498" s="40">
        <f t="shared" ref="H1498:I1498" si="1138">F1498-F1497</f>
        <v>1</v>
      </c>
      <c r="I1498" s="40">
        <f t="shared" si="1138"/>
        <v>-144</v>
      </c>
      <c r="J1498" s="73">
        <f t="shared" si="1096"/>
        <v>-0.0120754717</v>
      </c>
      <c r="K1498" s="66">
        <f t="shared" si="1097"/>
        <v>-0.0120754717</v>
      </c>
      <c r="L1498" s="29" t="s">
        <v>81</v>
      </c>
    </row>
    <row r="1499">
      <c r="A1499" s="11" t="s">
        <v>1466</v>
      </c>
      <c r="B1499" s="11" t="s">
        <v>248</v>
      </c>
      <c r="C1499" s="11" t="s">
        <v>1430</v>
      </c>
      <c r="D1499" s="11" t="s">
        <v>1077</v>
      </c>
      <c r="E1499" s="11" t="s">
        <v>555</v>
      </c>
      <c r="F1499" s="11">
        <v>2017.0</v>
      </c>
      <c r="G1499" s="40">
        <v>11228.0</v>
      </c>
      <c r="H1499" s="40">
        <f t="shared" ref="H1499:I1499" si="1139">F1499-F1498</f>
        <v>1</v>
      </c>
      <c r="I1499" s="40">
        <f t="shared" si="1139"/>
        <v>-553</v>
      </c>
      <c r="J1499" s="73">
        <f t="shared" si="1096"/>
        <v>-0.04693998812</v>
      </c>
      <c r="K1499" s="66">
        <f t="shared" si="1097"/>
        <v>-0.04693998812</v>
      </c>
      <c r="L1499" s="29" t="s">
        <v>81</v>
      </c>
    </row>
    <row r="1500">
      <c r="A1500" s="11" t="s">
        <v>1466</v>
      </c>
      <c r="B1500" s="11" t="s">
        <v>248</v>
      </c>
      <c r="C1500" s="11" t="s">
        <v>1430</v>
      </c>
      <c r="D1500" s="11" t="s">
        <v>1077</v>
      </c>
      <c r="E1500" s="11" t="s">
        <v>555</v>
      </c>
      <c r="F1500" s="11">
        <v>2018.0</v>
      </c>
      <c r="G1500" s="40">
        <v>11667.0</v>
      </c>
      <c r="H1500" s="40">
        <f t="shared" ref="H1500:I1500" si="1140">F1500-F1499</f>
        <v>1</v>
      </c>
      <c r="I1500" s="40">
        <f t="shared" si="1140"/>
        <v>439</v>
      </c>
      <c r="J1500" s="73">
        <f t="shared" si="1096"/>
        <v>0.03909868187</v>
      </c>
      <c r="K1500" s="66">
        <f t="shared" si="1097"/>
        <v>0.03909868187</v>
      </c>
      <c r="L1500" s="29" t="s">
        <v>81</v>
      </c>
    </row>
    <row r="1501">
      <c r="A1501" s="11" t="s">
        <v>1466</v>
      </c>
      <c r="B1501" s="11" t="s">
        <v>248</v>
      </c>
      <c r="C1501" s="11" t="s">
        <v>1430</v>
      </c>
      <c r="D1501" s="11" t="s">
        <v>1077</v>
      </c>
      <c r="E1501" s="11" t="s">
        <v>555</v>
      </c>
      <c r="F1501" s="11">
        <v>2019.0</v>
      </c>
      <c r="G1501" s="40">
        <v>12385.0</v>
      </c>
      <c r="H1501" s="40">
        <f t="shared" ref="H1501:I1501" si="1141">F1501-F1500</f>
        <v>1</v>
      </c>
      <c r="I1501" s="40">
        <f t="shared" si="1141"/>
        <v>718</v>
      </c>
      <c r="J1501" s="73">
        <f t="shared" si="1096"/>
        <v>0.06154109883</v>
      </c>
      <c r="K1501" s="66">
        <f t="shared" si="1097"/>
        <v>0.06154109883</v>
      </c>
      <c r="L1501" s="29" t="s">
        <v>81</v>
      </c>
    </row>
    <row r="1502">
      <c r="A1502" s="11" t="s">
        <v>1466</v>
      </c>
      <c r="B1502" s="11" t="s">
        <v>248</v>
      </c>
      <c r="C1502" s="11" t="s">
        <v>1430</v>
      </c>
      <c r="D1502" s="11" t="s">
        <v>1077</v>
      </c>
      <c r="E1502" s="11" t="s">
        <v>418</v>
      </c>
      <c r="F1502" s="11">
        <v>1978.0</v>
      </c>
      <c r="G1502" s="40">
        <v>173403.0</v>
      </c>
      <c r="H1502" s="40" t="s">
        <v>188</v>
      </c>
      <c r="I1502" s="40" t="s">
        <v>188</v>
      </c>
      <c r="J1502" s="73" t="s">
        <v>188</v>
      </c>
      <c r="K1502" s="66" t="s">
        <v>188</v>
      </c>
      <c r="L1502" s="28" t="s">
        <v>81</v>
      </c>
    </row>
    <row r="1503">
      <c r="A1503" s="11" t="s">
        <v>1466</v>
      </c>
      <c r="B1503" s="11" t="s">
        <v>248</v>
      </c>
      <c r="C1503" s="11" t="s">
        <v>1430</v>
      </c>
      <c r="D1503" s="11" t="s">
        <v>1077</v>
      </c>
      <c r="E1503" s="11" t="s">
        <v>418</v>
      </c>
      <c r="F1503" s="11">
        <v>1979.0</v>
      </c>
      <c r="G1503" s="40">
        <v>165190.0</v>
      </c>
      <c r="H1503" s="40">
        <f t="shared" ref="H1503:I1503" si="1142">F1503-F1502</f>
        <v>1</v>
      </c>
      <c r="I1503" s="40">
        <f t="shared" si="1142"/>
        <v>-8213</v>
      </c>
      <c r="J1503" s="73">
        <f t="shared" ref="J1503:J1543" si="1144">I1503/G1502</f>
        <v>-0.04736365576</v>
      </c>
      <c r="K1503" s="66">
        <f t="shared" ref="K1503:K1543" si="1145">J1503/H1503</f>
        <v>-0.04736365576</v>
      </c>
      <c r="L1503" s="29" t="s">
        <v>81</v>
      </c>
    </row>
    <row r="1504">
      <c r="A1504" s="11" t="s">
        <v>1466</v>
      </c>
      <c r="B1504" s="11" t="s">
        <v>248</v>
      </c>
      <c r="C1504" s="11" t="s">
        <v>1430</v>
      </c>
      <c r="D1504" s="11" t="s">
        <v>1077</v>
      </c>
      <c r="E1504" s="11" t="s">
        <v>418</v>
      </c>
      <c r="F1504" s="11">
        <v>1980.0</v>
      </c>
      <c r="G1504" s="40">
        <v>151428.0</v>
      </c>
      <c r="H1504" s="40">
        <f t="shared" ref="H1504:I1504" si="1143">F1504-F1503</f>
        <v>1</v>
      </c>
      <c r="I1504" s="40">
        <f t="shared" si="1143"/>
        <v>-13762</v>
      </c>
      <c r="J1504" s="73">
        <f t="shared" si="1144"/>
        <v>-0.08331012773</v>
      </c>
      <c r="K1504" s="66">
        <f t="shared" si="1145"/>
        <v>-0.08331012773</v>
      </c>
      <c r="L1504" s="29" t="s">
        <v>81</v>
      </c>
    </row>
    <row r="1505">
      <c r="A1505" s="11" t="s">
        <v>1466</v>
      </c>
      <c r="B1505" s="11" t="s">
        <v>248</v>
      </c>
      <c r="C1505" s="11" t="s">
        <v>1430</v>
      </c>
      <c r="D1505" s="11" t="s">
        <v>1077</v>
      </c>
      <c r="E1505" s="11" t="s">
        <v>418</v>
      </c>
      <c r="F1505" s="11">
        <v>1981.0</v>
      </c>
      <c r="G1505" s="40">
        <v>143163.0</v>
      </c>
      <c r="H1505" s="40">
        <f t="shared" ref="H1505:I1505" si="1146">F1505-F1504</f>
        <v>1</v>
      </c>
      <c r="I1505" s="40">
        <f t="shared" si="1146"/>
        <v>-8265</v>
      </c>
      <c r="J1505" s="73">
        <f t="shared" si="1144"/>
        <v>-0.05458039464</v>
      </c>
      <c r="K1505" s="66">
        <f t="shared" si="1145"/>
        <v>-0.05458039464</v>
      </c>
      <c r="L1505" s="29" t="s">
        <v>81</v>
      </c>
    </row>
    <row r="1506">
      <c r="A1506" s="11" t="s">
        <v>1466</v>
      </c>
      <c r="B1506" s="11" t="s">
        <v>248</v>
      </c>
      <c r="C1506" s="11" t="s">
        <v>1430</v>
      </c>
      <c r="D1506" s="11" t="s">
        <v>1077</v>
      </c>
      <c r="E1506" s="11" t="s">
        <v>418</v>
      </c>
      <c r="F1506" s="11">
        <v>1982.0</v>
      </c>
      <c r="G1506" s="40">
        <v>137600.0</v>
      </c>
      <c r="H1506" s="40">
        <f t="shared" ref="H1506:I1506" si="1147">F1506-F1505</f>
        <v>1</v>
      </c>
      <c r="I1506" s="40">
        <f t="shared" si="1147"/>
        <v>-5563</v>
      </c>
      <c r="J1506" s="73">
        <f t="shared" si="1144"/>
        <v>-0.03885780544</v>
      </c>
      <c r="K1506" s="66">
        <f t="shared" si="1145"/>
        <v>-0.03885780544</v>
      </c>
      <c r="L1506" s="29" t="s">
        <v>81</v>
      </c>
    </row>
    <row r="1507">
      <c r="A1507" s="11" t="s">
        <v>1466</v>
      </c>
      <c r="B1507" s="11" t="s">
        <v>248</v>
      </c>
      <c r="C1507" s="11" t="s">
        <v>1430</v>
      </c>
      <c r="D1507" s="11" t="s">
        <v>1077</v>
      </c>
      <c r="E1507" s="11" t="s">
        <v>418</v>
      </c>
      <c r="F1507" s="11">
        <v>1983.0</v>
      </c>
      <c r="G1507" s="40">
        <v>128381.0</v>
      </c>
      <c r="H1507" s="40">
        <f t="shared" ref="H1507:I1507" si="1148">F1507-F1506</f>
        <v>1</v>
      </c>
      <c r="I1507" s="40">
        <f t="shared" si="1148"/>
        <v>-9219</v>
      </c>
      <c r="J1507" s="73">
        <f t="shared" si="1144"/>
        <v>-0.06699854651</v>
      </c>
      <c r="K1507" s="66">
        <f t="shared" si="1145"/>
        <v>-0.06699854651</v>
      </c>
      <c r="L1507" s="29" t="s">
        <v>81</v>
      </c>
    </row>
    <row r="1508">
      <c r="A1508" s="11" t="s">
        <v>1466</v>
      </c>
      <c r="B1508" s="11" t="s">
        <v>248</v>
      </c>
      <c r="C1508" s="11" t="s">
        <v>1430</v>
      </c>
      <c r="D1508" s="11" t="s">
        <v>1077</v>
      </c>
      <c r="E1508" s="11" t="s">
        <v>418</v>
      </c>
      <c r="F1508" s="11">
        <v>1984.0</v>
      </c>
      <c r="G1508" s="40">
        <v>116025.0</v>
      </c>
      <c r="H1508" s="40">
        <f t="shared" ref="H1508:I1508" si="1149">F1508-F1507</f>
        <v>1</v>
      </c>
      <c r="I1508" s="40">
        <f t="shared" si="1149"/>
        <v>-12356</v>
      </c>
      <c r="J1508" s="73">
        <f t="shared" si="1144"/>
        <v>-0.09624477142</v>
      </c>
      <c r="K1508" s="66">
        <f t="shared" si="1145"/>
        <v>-0.09624477142</v>
      </c>
      <c r="L1508" s="29" t="s">
        <v>81</v>
      </c>
    </row>
    <row r="1509">
      <c r="A1509" s="11" t="s">
        <v>1466</v>
      </c>
      <c r="B1509" s="11" t="s">
        <v>248</v>
      </c>
      <c r="C1509" s="11" t="s">
        <v>1430</v>
      </c>
      <c r="D1509" s="11" t="s">
        <v>1077</v>
      </c>
      <c r="E1509" s="11" t="s">
        <v>418</v>
      </c>
      <c r="F1509" s="11">
        <v>1985.0</v>
      </c>
      <c r="G1509" s="40">
        <v>104929.0</v>
      </c>
      <c r="H1509" s="40">
        <f t="shared" ref="H1509:I1509" si="1150">F1509-F1508</f>
        <v>1</v>
      </c>
      <c r="I1509" s="40">
        <f t="shared" si="1150"/>
        <v>-11096</v>
      </c>
      <c r="J1509" s="73">
        <f t="shared" si="1144"/>
        <v>-0.09563456152</v>
      </c>
      <c r="K1509" s="66">
        <f t="shared" si="1145"/>
        <v>-0.09563456152</v>
      </c>
      <c r="L1509" s="29" t="s">
        <v>81</v>
      </c>
    </row>
    <row r="1510">
      <c r="A1510" s="11" t="s">
        <v>1466</v>
      </c>
      <c r="B1510" s="11" t="s">
        <v>248</v>
      </c>
      <c r="C1510" s="11" t="s">
        <v>1430</v>
      </c>
      <c r="D1510" s="11" t="s">
        <v>1077</v>
      </c>
      <c r="E1510" s="11" t="s">
        <v>418</v>
      </c>
      <c r="F1510" s="11">
        <v>1986.0</v>
      </c>
      <c r="G1510" s="40">
        <v>89270.0</v>
      </c>
      <c r="H1510" s="40">
        <f t="shared" ref="H1510:I1510" si="1151">F1510-F1509</f>
        <v>1</v>
      </c>
      <c r="I1510" s="40">
        <f t="shared" si="1151"/>
        <v>-15659</v>
      </c>
      <c r="J1510" s="73">
        <f t="shared" si="1144"/>
        <v>-0.1492342441</v>
      </c>
      <c r="K1510" s="66">
        <f t="shared" si="1145"/>
        <v>-0.1492342441</v>
      </c>
      <c r="L1510" s="29" t="s">
        <v>81</v>
      </c>
    </row>
    <row r="1511">
      <c r="A1511" s="11" t="s">
        <v>1466</v>
      </c>
      <c r="B1511" s="11" t="s">
        <v>248</v>
      </c>
      <c r="C1511" s="11" t="s">
        <v>1430</v>
      </c>
      <c r="D1511" s="11" t="s">
        <v>1077</v>
      </c>
      <c r="E1511" s="11" t="s">
        <v>418</v>
      </c>
      <c r="F1511" s="11">
        <v>1987.0</v>
      </c>
      <c r="G1511" s="40">
        <v>71008.0</v>
      </c>
      <c r="H1511" s="40">
        <f t="shared" ref="H1511:I1511" si="1152">F1511-F1510</f>
        <v>1</v>
      </c>
      <c r="I1511" s="40">
        <f t="shared" si="1152"/>
        <v>-18262</v>
      </c>
      <c r="J1511" s="73">
        <f t="shared" si="1144"/>
        <v>-0.2045704044</v>
      </c>
      <c r="K1511" s="66">
        <f t="shared" si="1145"/>
        <v>-0.2045704044</v>
      </c>
      <c r="L1511" s="29" t="s">
        <v>81</v>
      </c>
    </row>
    <row r="1512">
      <c r="A1512" s="11" t="s">
        <v>1466</v>
      </c>
      <c r="B1512" s="11" t="s">
        <v>248</v>
      </c>
      <c r="C1512" s="11" t="s">
        <v>1430</v>
      </c>
      <c r="D1512" s="11" t="s">
        <v>1077</v>
      </c>
      <c r="E1512" s="11" t="s">
        <v>418</v>
      </c>
      <c r="F1512" s="11">
        <v>1988.0</v>
      </c>
      <c r="G1512" s="40">
        <v>60515.0</v>
      </c>
      <c r="H1512" s="40">
        <f t="shared" ref="H1512:I1512" si="1153">F1512-F1511</f>
        <v>1</v>
      </c>
      <c r="I1512" s="40">
        <f t="shared" si="1153"/>
        <v>-10493</v>
      </c>
      <c r="J1512" s="73">
        <f t="shared" si="1144"/>
        <v>-0.147772082</v>
      </c>
      <c r="K1512" s="66">
        <f t="shared" si="1145"/>
        <v>-0.147772082</v>
      </c>
      <c r="L1512" s="29" t="s">
        <v>81</v>
      </c>
    </row>
    <row r="1513">
      <c r="A1513" s="11" t="s">
        <v>1466</v>
      </c>
      <c r="B1513" s="11" t="s">
        <v>248</v>
      </c>
      <c r="C1513" s="11" t="s">
        <v>1430</v>
      </c>
      <c r="D1513" s="11" t="s">
        <v>1077</v>
      </c>
      <c r="E1513" s="11" t="s">
        <v>418</v>
      </c>
      <c r="F1513" s="11">
        <v>1989.0</v>
      </c>
      <c r="G1513" s="40">
        <v>48528.0</v>
      </c>
      <c r="H1513" s="40">
        <f t="shared" ref="H1513:I1513" si="1154">F1513-F1512</f>
        <v>1</v>
      </c>
      <c r="I1513" s="40">
        <f t="shared" si="1154"/>
        <v>-11987</v>
      </c>
      <c r="J1513" s="73">
        <f t="shared" si="1144"/>
        <v>-0.1980831199</v>
      </c>
      <c r="K1513" s="66">
        <f t="shared" si="1145"/>
        <v>-0.1980831199</v>
      </c>
      <c r="L1513" s="29" t="s">
        <v>81</v>
      </c>
    </row>
    <row r="1514">
      <c r="A1514" s="11" t="s">
        <v>1466</v>
      </c>
      <c r="B1514" s="11" t="s">
        <v>248</v>
      </c>
      <c r="C1514" s="11" t="s">
        <v>1430</v>
      </c>
      <c r="D1514" s="11" t="s">
        <v>1077</v>
      </c>
      <c r="E1514" s="11" t="s">
        <v>418</v>
      </c>
      <c r="F1514" s="11">
        <v>1990.0</v>
      </c>
      <c r="G1514" s="40">
        <v>45992.0</v>
      </c>
      <c r="H1514" s="40">
        <f t="shared" ref="H1514:I1514" si="1155">F1514-F1513</f>
        <v>1</v>
      </c>
      <c r="I1514" s="40">
        <f t="shared" si="1155"/>
        <v>-2536</v>
      </c>
      <c r="J1514" s="73">
        <f t="shared" si="1144"/>
        <v>-0.05225848994</v>
      </c>
      <c r="K1514" s="66">
        <f t="shared" si="1145"/>
        <v>-0.05225848994</v>
      </c>
      <c r="L1514" s="29" t="s">
        <v>81</v>
      </c>
    </row>
    <row r="1515">
      <c r="A1515" s="11" t="s">
        <v>1466</v>
      </c>
      <c r="B1515" s="11" t="s">
        <v>248</v>
      </c>
      <c r="C1515" s="11" t="s">
        <v>1430</v>
      </c>
      <c r="D1515" s="11" t="s">
        <v>1077</v>
      </c>
      <c r="E1515" s="11" t="s">
        <v>418</v>
      </c>
      <c r="F1515" s="11">
        <v>1991.0</v>
      </c>
      <c r="G1515" s="40">
        <v>43724.0</v>
      </c>
      <c r="H1515" s="40">
        <f t="shared" ref="H1515:I1515" si="1156">F1515-F1514</f>
        <v>1</v>
      </c>
      <c r="I1515" s="40">
        <f t="shared" si="1156"/>
        <v>-2268</v>
      </c>
      <c r="J1515" s="73">
        <f t="shared" si="1144"/>
        <v>-0.04931292399</v>
      </c>
      <c r="K1515" s="66">
        <f t="shared" si="1145"/>
        <v>-0.04931292399</v>
      </c>
      <c r="L1515" s="29" t="s">
        <v>81</v>
      </c>
    </row>
    <row r="1516">
      <c r="A1516" s="11" t="s">
        <v>1466</v>
      </c>
      <c r="B1516" s="11" t="s">
        <v>248</v>
      </c>
      <c r="C1516" s="11" t="s">
        <v>1430</v>
      </c>
      <c r="D1516" s="11" t="s">
        <v>1077</v>
      </c>
      <c r="E1516" s="11" t="s">
        <v>418</v>
      </c>
      <c r="F1516" s="11">
        <v>1992.0</v>
      </c>
      <c r="G1516" s="40">
        <v>40783.0</v>
      </c>
      <c r="H1516" s="40">
        <f t="shared" ref="H1516:I1516" si="1157">F1516-F1515</f>
        <v>1</v>
      </c>
      <c r="I1516" s="40">
        <f t="shared" si="1157"/>
        <v>-2941</v>
      </c>
      <c r="J1516" s="73">
        <f t="shared" si="1144"/>
        <v>-0.06726283048</v>
      </c>
      <c r="K1516" s="66">
        <f t="shared" si="1145"/>
        <v>-0.06726283048</v>
      </c>
      <c r="L1516" s="29" t="s">
        <v>81</v>
      </c>
    </row>
    <row r="1517">
      <c r="A1517" s="11" t="s">
        <v>1466</v>
      </c>
      <c r="B1517" s="11" t="s">
        <v>248</v>
      </c>
      <c r="C1517" s="11" t="s">
        <v>1430</v>
      </c>
      <c r="D1517" s="11" t="s">
        <v>1077</v>
      </c>
      <c r="E1517" s="11" t="s">
        <v>418</v>
      </c>
      <c r="F1517" s="11">
        <v>1993.0</v>
      </c>
      <c r="G1517" s="40">
        <v>37552.0</v>
      </c>
      <c r="H1517" s="40">
        <f t="shared" ref="H1517:I1517" si="1158">F1517-F1516</f>
        <v>1</v>
      </c>
      <c r="I1517" s="40">
        <f t="shared" si="1158"/>
        <v>-3231</v>
      </c>
      <c r="J1517" s="73">
        <f t="shared" si="1144"/>
        <v>-0.07922418655</v>
      </c>
      <c r="K1517" s="66">
        <f t="shared" si="1145"/>
        <v>-0.07922418655</v>
      </c>
      <c r="L1517" s="29" t="s">
        <v>81</v>
      </c>
    </row>
    <row r="1518">
      <c r="A1518" s="11" t="s">
        <v>1466</v>
      </c>
      <c r="B1518" s="11" t="s">
        <v>248</v>
      </c>
      <c r="C1518" s="11" t="s">
        <v>1430</v>
      </c>
      <c r="D1518" s="11" t="s">
        <v>1077</v>
      </c>
      <c r="E1518" s="11" t="s">
        <v>418</v>
      </c>
      <c r="F1518" s="11">
        <v>1994.0</v>
      </c>
      <c r="G1518" s="40">
        <v>37910.0</v>
      </c>
      <c r="H1518" s="40">
        <f t="shared" ref="H1518:I1518" si="1159">F1518-F1517</f>
        <v>1</v>
      </c>
      <c r="I1518" s="40">
        <f t="shared" si="1159"/>
        <v>358</v>
      </c>
      <c r="J1518" s="73">
        <f t="shared" si="1144"/>
        <v>0.009533446954</v>
      </c>
      <c r="K1518" s="66">
        <f t="shared" si="1145"/>
        <v>0.009533446954</v>
      </c>
      <c r="L1518" s="29" t="s">
        <v>81</v>
      </c>
    </row>
    <row r="1519">
      <c r="A1519" s="11" t="s">
        <v>1466</v>
      </c>
      <c r="B1519" s="11" t="s">
        <v>248</v>
      </c>
      <c r="C1519" s="11" t="s">
        <v>1430</v>
      </c>
      <c r="D1519" s="11" t="s">
        <v>1077</v>
      </c>
      <c r="E1519" s="11" t="s">
        <v>418</v>
      </c>
      <c r="F1519" s="11">
        <v>1995.0</v>
      </c>
      <c r="G1519" s="40">
        <v>34949.0</v>
      </c>
      <c r="H1519" s="40">
        <f t="shared" ref="H1519:I1519" si="1160">F1519-F1518</f>
        <v>1</v>
      </c>
      <c r="I1519" s="40">
        <f t="shared" si="1160"/>
        <v>-2961</v>
      </c>
      <c r="J1519" s="73">
        <f t="shared" si="1144"/>
        <v>-0.07810604062</v>
      </c>
      <c r="K1519" s="66">
        <f t="shared" si="1145"/>
        <v>-0.07810604062</v>
      </c>
      <c r="L1519" s="29" t="s">
        <v>81</v>
      </c>
    </row>
    <row r="1520">
      <c r="A1520" s="11" t="s">
        <v>1466</v>
      </c>
      <c r="B1520" s="11" t="s">
        <v>248</v>
      </c>
      <c r="C1520" s="11" t="s">
        <v>1430</v>
      </c>
      <c r="D1520" s="11" t="s">
        <v>1077</v>
      </c>
      <c r="E1520" s="11" t="s">
        <v>418</v>
      </c>
      <c r="F1520" s="11">
        <v>1996.0</v>
      </c>
      <c r="G1520" s="40">
        <v>34494.0</v>
      </c>
      <c r="H1520" s="40">
        <f t="shared" ref="H1520:I1520" si="1161">F1520-F1519</f>
        <v>1</v>
      </c>
      <c r="I1520" s="40">
        <f t="shared" si="1161"/>
        <v>-455</v>
      </c>
      <c r="J1520" s="73">
        <f t="shared" si="1144"/>
        <v>-0.0130189705</v>
      </c>
      <c r="K1520" s="66">
        <f t="shared" si="1145"/>
        <v>-0.0130189705</v>
      </c>
      <c r="L1520" s="29" t="s">
        <v>81</v>
      </c>
    </row>
    <row r="1521">
      <c r="A1521" s="11" t="s">
        <v>1466</v>
      </c>
      <c r="B1521" s="11" t="s">
        <v>248</v>
      </c>
      <c r="C1521" s="11" t="s">
        <v>1430</v>
      </c>
      <c r="D1521" s="11" t="s">
        <v>1077</v>
      </c>
      <c r="E1521" s="11" t="s">
        <v>418</v>
      </c>
      <c r="F1521" s="11">
        <v>1997.0</v>
      </c>
      <c r="G1521" s="40">
        <v>32834.0</v>
      </c>
      <c r="H1521" s="40">
        <f t="shared" ref="H1521:I1521" si="1162">F1521-F1520</f>
        <v>1</v>
      </c>
      <c r="I1521" s="40">
        <f t="shared" si="1162"/>
        <v>-1660</v>
      </c>
      <c r="J1521" s="73">
        <f t="shared" si="1144"/>
        <v>-0.04812431147</v>
      </c>
      <c r="K1521" s="66">
        <f t="shared" si="1145"/>
        <v>-0.04812431147</v>
      </c>
      <c r="L1521" s="29" t="s">
        <v>81</v>
      </c>
    </row>
    <row r="1522">
      <c r="A1522" s="11" t="s">
        <v>1466</v>
      </c>
      <c r="B1522" s="11" t="s">
        <v>248</v>
      </c>
      <c r="C1522" s="11" t="s">
        <v>1430</v>
      </c>
      <c r="D1522" s="11" t="s">
        <v>1077</v>
      </c>
      <c r="E1522" s="11" t="s">
        <v>418</v>
      </c>
      <c r="F1522" s="11">
        <v>1998.0</v>
      </c>
      <c r="G1522" s="40">
        <v>32928.0</v>
      </c>
      <c r="H1522" s="40">
        <f t="shared" ref="H1522:I1522" si="1163">F1522-F1521</f>
        <v>1</v>
      </c>
      <c r="I1522" s="40">
        <f t="shared" si="1163"/>
        <v>94</v>
      </c>
      <c r="J1522" s="73">
        <f t="shared" si="1144"/>
        <v>0.002862886033</v>
      </c>
      <c r="K1522" s="66">
        <f t="shared" si="1145"/>
        <v>0.002862886033</v>
      </c>
      <c r="L1522" s="29" t="s">
        <v>81</v>
      </c>
    </row>
    <row r="1523">
      <c r="A1523" s="11" t="s">
        <v>1466</v>
      </c>
      <c r="B1523" s="11" t="s">
        <v>248</v>
      </c>
      <c r="C1523" s="11" t="s">
        <v>1430</v>
      </c>
      <c r="D1523" s="11" t="s">
        <v>1077</v>
      </c>
      <c r="E1523" s="11" t="s">
        <v>418</v>
      </c>
      <c r="F1523" s="11">
        <v>1999.0</v>
      </c>
      <c r="G1523" s="40">
        <v>30338.0</v>
      </c>
      <c r="H1523" s="40">
        <f t="shared" ref="H1523:I1523" si="1164">F1523-F1522</f>
        <v>1</v>
      </c>
      <c r="I1523" s="40">
        <f t="shared" si="1164"/>
        <v>-2590</v>
      </c>
      <c r="J1523" s="73">
        <f t="shared" si="1144"/>
        <v>-0.07865646259</v>
      </c>
      <c r="K1523" s="66">
        <f t="shared" si="1145"/>
        <v>-0.07865646259</v>
      </c>
      <c r="L1523" s="29" t="s">
        <v>81</v>
      </c>
    </row>
    <row r="1524">
      <c r="A1524" s="11" t="s">
        <v>1466</v>
      </c>
      <c r="B1524" s="11" t="s">
        <v>248</v>
      </c>
      <c r="C1524" s="11" t="s">
        <v>1430</v>
      </c>
      <c r="D1524" s="11" t="s">
        <v>1077</v>
      </c>
      <c r="E1524" s="11" t="s">
        <v>418</v>
      </c>
      <c r="F1524" s="11">
        <v>2000.0</v>
      </c>
      <c r="G1524" s="40">
        <v>28068.0</v>
      </c>
      <c r="H1524" s="40">
        <f t="shared" ref="H1524:I1524" si="1165">F1524-F1523</f>
        <v>1</v>
      </c>
      <c r="I1524" s="40">
        <f t="shared" si="1165"/>
        <v>-2270</v>
      </c>
      <c r="J1524" s="73">
        <f t="shared" si="1144"/>
        <v>-0.0748236535</v>
      </c>
      <c r="K1524" s="66">
        <f t="shared" si="1145"/>
        <v>-0.0748236535</v>
      </c>
      <c r="L1524" s="29" t="s">
        <v>81</v>
      </c>
    </row>
    <row r="1525">
      <c r="A1525" s="11" t="s">
        <v>1466</v>
      </c>
      <c r="B1525" s="11" t="s">
        <v>248</v>
      </c>
      <c r="C1525" s="11" t="s">
        <v>1430</v>
      </c>
      <c r="D1525" s="11" t="s">
        <v>1077</v>
      </c>
      <c r="E1525" s="11" t="s">
        <v>418</v>
      </c>
      <c r="F1525" s="11">
        <v>2001.0</v>
      </c>
      <c r="G1525" s="40">
        <v>28841.0</v>
      </c>
      <c r="H1525" s="40">
        <f t="shared" ref="H1525:I1525" si="1166">F1525-F1524</f>
        <v>1</v>
      </c>
      <c r="I1525" s="40">
        <f t="shared" si="1166"/>
        <v>773</v>
      </c>
      <c r="J1525" s="73">
        <f t="shared" si="1144"/>
        <v>0.02754025937</v>
      </c>
      <c r="K1525" s="66">
        <f t="shared" si="1145"/>
        <v>0.02754025937</v>
      </c>
      <c r="L1525" s="29" t="s">
        <v>81</v>
      </c>
    </row>
    <row r="1526">
      <c r="A1526" s="11" t="s">
        <v>1466</v>
      </c>
      <c r="B1526" s="11" t="s">
        <v>248</v>
      </c>
      <c r="C1526" s="11" t="s">
        <v>1430</v>
      </c>
      <c r="D1526" s="11" t="s">
        <v>1077</v>
      </c>
      <c r="E1526" s="11" t="s">
        <v>418</v>
      </c>
      <c r="F1526" s="11">
        <v>2002.0</v>
      </c>
      <c r="G1526" s="40">
        <v>29116.0</v>
      </c>
      <c r="H1526" s="40">
        <f t="shared" ref="H1526:I1526" si="1167">F1526-F1525</f>
        <v>1</v>
      </c>
      <c r="I1526" s="40">
        <f t="shared" si="1167"/>
        <v>275</v>
      </c>
      <c r="J1526" s="73">
        <f t="shared" si="1144"/>
        <v>0.009535036927</v>
      </c>
      <c r="K1526" s="66">
        <f t="shared" si="1145"/>
        <v>0.009535036927</v>
      </c>
      <c r="L1526" s="29" t="s">
        <v>81</v>
      </c>
    </row>
    <row r="1527">
      <c r="A1527" s="11" t="s">
        <v>1466</v>
      </c>
      <c r="B1527" s="11" t="s">
        <v>248</v>
      </c>
      <c r="C1527" s="11" t="s">
        <v>1430</v>
      </c>
      <c r="D1527" s="11" t="s">
        <v>1077</v>
      </c>
      <c r="E1527" s="11" t="s">
        <v>418</v>
      </c>
      <c r="F1527" s="11">
        <v>2003.0</v>
      </c>
      <c r="G1527" s="40">
        <v>28971.0</v>
      </c>
      <c r="H1527" s="40">
        <f t="shared" ref="H1527:I1527" si="1168">F1527-F1526</f>
        <v>1</v>
      </c>
      <c r="I1527" s="40">
        <f t="shared" si="1168"/>
        <v>-145</v>
      </c>
      <c r="J1527" s="73">
        <f t="shared" si="1144"/>
        <v>-0.004980079681</v>
      </c>
      <c r="K1527" s="66">
        <f t="shared" si="1145"/>
        <v>-0.004980079681</v>
      </c>
      <c r="L1527" s="29" t="s">
        <v>81</v>
      </c>
    </row>
    <row r="1528">
      <c r="A1528" s="11" t="s">
        <v>1466</v>
      </c>
      <c r="B1528" s="11" t="s">
        <v>248</v>
      </c>
      <c r="C1528" s="11" t="s">
        <v>1430</v>
      </c>
      <c r="D1528" s="11" t="s">
        <v>1077</v>
      </c>
      <c r="E1528" s="11" t="s">
        <v>418</v>
      </c>
      <c r="F1528" s="11">
        <v>2004.0</v>
      </c>
      <c r="G1528" s="40">
        <v>30711.0</v>
      </c>
      <c r="H1528" s="40">
        <f t="shared" ref="H1528:I1528" si="1169">F1528-F1527</f>
        <v>1</v>
      </c>
      <c r="I1528" s="40">
        <f t="shared" si="1169"/>
        <v>1740</v>
      </c>
      <c r="J1528" s="73">
        <f t="shared" si="1144"/>
        <v>0.06006006006</v>
      </c>
      <c r="K1528" s="66">
        <f t="shared" si="1145"/>
        <v>0.06006006006</v>
      </c>
      <c r="L1528" s="29" t="s">
        <v>81</v>
      </c>
    </row>
    <row r="1529">
      <c r="A1529" s="11" t="s">
        <v>1466</v>
      </c>
      <c r="B1529" s="11" t="s">
        <v>248</v>
      </c>
      <c r="C1529" s="11" t="s">
        <v>1430</v>
      </c>
      <c r="D1529" s="11" t="s">
        <v>1077</v>
      </c>
      <c r="E1529" s="11" t="s">
        <v>418</v>
      </c>
      <c r="F1529" s="11">
        <v>2005.0</v>
      </c>
      <c r="G1529" s="40">
        <v>30720.0</v>
      </c>
      <c r="H1529" s="40">
        <f t="shared" ref="H1529:I1529" si="1170">F1529-F1528</f>
        <v>1</v>
      </c>
      <c r="I1529" s="40">
        <f t="shared" si="1170"/>
        <v>9</v>
      </c>
      <c r="J1529" s="73">
        <f t="shared" si="1144"/>
        <v>0.0002930546058</v>
      </c>
      <c r="K1529" s="66">
        <f t="shared" si="1145"/>
        <v>0.0002930546058</v>
      </c>
      <c r="L1529" s="29" t="s">
        <v>81</v>
      </c>
    </row>
    <row r="1530">
      <c r="A1530" s="11" t="s">
        <v>1466</v>
      </c>
      <c r="B1530" s="11" t="s">
        <v>248</v>
      </c>
      <c r="C1530" s="11" t="s">
        <v>1430</v>
      </c>
      <c r="D1530" s="11" t="s">
        <v>1077</v>
      </c>
      <c r="E1530" s="11" t="s">
        <v>418</v>
      </c>
      <c r="F1530" s="11">
        <v>2006.0</v>
      </c>
      <c r="G1530" s="40">
        <v>31344.0</v>
      </c>
      <c r="H1530" s="40">
        <f t="shared" ref="H1530:I1530" si="1171">F1530-F1529</f>
        <v>1</v>
      </c>
      <c r="I1530" s="40">
        <f t="shared" si="1171"/>
        <v>624</v>
      </c>
      <c r="J1530" s="73">
        <f t="shared" si="1144"/>
        <v>0.0203125</v>
      </c>
      <c r="K1530" s="66">
        <f t="shared" si="1145"/>
        <v>0.0203125</v>
      </c>
      <c r="L1530" s="29" t="s">
        <v>81</v>
      </c>
    </row>
    <row r="1531">
      <c r="A1531" s="11" t="s">
        <v>1466</v>
      </c>
      <c r="B1531" s="11" t="s">
        <v>248</v>
      </c>
      <c r="C1531" s="11" t="s">
        <v>1430</v>
      </c>
      <c r="D1531" s="11" t="s">
        <v>1077</v>
      </c>
      <c r="E1531" s="11" t="s">
        <v>418</v>
      </c>
      <c r="F1531" s="11">
        <v>2007.0</v>
      </c>
      <c r="G1531" s="40">
        <v>31583.0</v>
      </c>
      <c r="H1531" s="40">
        <f t="shared" ref="H1531:I1531" si="1172">F1531-F1530</f>
        <v>1</v>
      </c>
      <c r="I1531" s="40">
        <f t="shared" si="1172"/>
        <v>239</v>
      </c>
      <c r="J1531" s="73">
        <f t="shared" si="1144"/>
        <v>0.007625063808</v>
      </c>
      <c r="K1531" s="66">
        <f t="shared" si="1145"/>
        <v>0.007625063808</v>
      </c>
      <c r="L1531" s="29" t="s">
        <v>81</v>
      </c>
    </row>
    <row r="1532">
      <c r="A1532" s="11" t="s">
        <v>1466</v>
      </c>
      <c r="B1532" s="11" t="s">
        <v>248</v>
      </c>
      <c r="C1532" s="11" t="s">
        <v>1430</v>
      </c>
      <c r="D1532" s="11" t="s">
        <v>1077</v>
      </c>
      <c r="E1532" s="11" t="s">
        <v>418</v>
      </c>
      <c r="F1532" s="11">
        <v>2008.0</v>
      </c>
      <c r="G1532" s="40">
        <v>32669.0</v>
      </c>
      <c r="H1532" s="40">
        <f t="shared" ref="H1532:I1532" si="1173">F1532-F1531</f>
        <v>1</v>
      </c>
      <c r="I1532" s="40">
        <f t="shared" si="1173"/>
        <v>1086</v>
      </c>
      <c r="J1532" s="73">
        <f t="shared" si="1144"/>
        <v>0.03438558718</v>
      </c>
      <c r="K1532" s="66">
        <f t="shared" si="1145"/>
        <v>0.03438558718</v>
      </c>
      <c r="L1532" s="29" t="s">
        <v>81</v>
      </c>
    </row>
    <row r="1533">
      <c r="A1533" s="11" t="s">
        <v>1466</v>
      </c>
      <c r="B1533" s="11" t="s">
        <v>248</v>
      </c>
      <c r="C1533" s="11" t="s">
        <v>1430</v>
      </c>
      <c r="D1533" s="11" t="s">
        <v>1077</v>
      </c>
      <c r="E1533" s="11" t="s">
        <v>418</v>
      </c>
      <c r="F1533" s="11">
        <v>2009.0</v>
      </c>
      <c r="G1533" s="40">
        <v>33165.0</v>
      </c>
      <c r="H1533" s="40">
        <f t="shared" ref="H1533:I1533" si="1174">F1533-F1532</f>
        <v>1</v>
      </c>
      <c r="I1533" s="40">
        <f t="shared" si="1174"/>
        <v>496</v>
      </c>
      <c r="J1533" s="73">
        <f t="shared" si="1144"/>
        <v>0.015182589</v>
      </c>
      <c r="K1533" s="66">
        <f t="shared" si="1145"/>
        <v>0.015182589</v>
      </c>
      <c r="L1533" s="29" t="s">
        <v>81</v>
      </c>
    </row>
    <row r="1534">
      <c r="A1534" s="11" t="s">
        <v>1466</v>
      </c>
      <c r="B1534" s="11" t="s">
        <v>248</v>
      </c>
      <c r="C1534" s="11" t="s">
        <v>1430</v>
      </c>
      <c r="D1534" s="11" t="s">
        <v>1077</v>
      </c>
      <c r="E1534" s="11" t="s">
        <v>418</v>
      </c>
      <c r="F1534" s="11">
        <v>2010.0</v>
      </c>
      <c r="G1534" s="40">
        <v>33371.0</v>
      </c>
      <c r="H1534" s="40">
        <f t="shared" ref="H1534:I1534" si="1175">F1534-F1533</f>
        <v>1</v>
      </c>
      <c r="I1534" s="40">
        <f t="shared" si="1175"/>
        <v>206</v>
      </c>
      <c r="J1534" s="73">
        <f t="shared" si="1144"/>
        <v>0.006211367405</v>
      </c>
      <c r="K1534" s="66">
        <f t="shared" si="1145"/>
        <v>0.006211367405</v>
      </c>
      <c r="L1534" s="29" t="s">
        <v>81</v>
      </c>
    </row>
    <row r="1535">
      <c r="A1535" s="11" t="s">
        <v>1466</v>
      </c>
      <c r="B1535" s="11" t="s">
        <v>248</v>
      </c>
      <c r="C1535" s="11" t="s">
        <v>1430</v>
      </c>
      <c r="D1535" s="11" t="s">
        <v>1077</v>
      </c>
      <c r="E1535" s="11" t="s">
        <v>418</v>
      </c>
      <c r="F1535" s="11">
        <v>2011.0</v>
      </c>
      <c r="G1535" s="40">
        <v>36287.0</v>
      </c>
      <c r="H1535" s="40">
        <f t="shared" ref="H1535:I1535" si="1176">F1535-F1534</f>
        <v>1</v>
      </c>
      <c r="I1535" s="40">
        <f t="shared" si="1176"/>
        <v>2916</v>
      </c>
      <c r="J1535" s="73">
        <f t="shared" si="1144"/>
        <v>0.08738125918</v>
      </c>
      <c r="K1535" s="66">
        <f t="shared" si="1145"/>
        <v>0.08738125918</v>
      </c>
      <c r="L1535" s="29" t="s">
        <v>81</v>
      </c>
    </row>
    <row r="1536">
      <c r="A1536" s="11" t="s">
        <v>1466</v>
      </c>
      <c r="B1536" s="11" t="s">
        <v>248</v>
      </c>
      <c r="C1536" s="11" t="s">
        <v>1430</v>
      </c>
      <c r="D1536" s="11" t="s">
        <v>1077</v>
      </c>
      <c r="E1536" s="11" t="s">
        <v>418</v>
      </c>
      <c r="F1536" s="11">
        <v>2012.0</v>
      </c>
      <c r="G1536" s="40">
        <v>35559.0</v>
      </c>
      <c r="H1536" s="40">
        <f t="shared" ref="H1536:I1536" si="1177">F1536-F1535</f>
        <v>1</v>
      </c>
      <c r="I1536" s="40">
        <f t="shared" si="1177"/>
        <v>-728</v>
      </c>
      <c r="J1536" s="73">
        <f t="shared" si="1144"/>
        <v>-0.02006228126</v>
      </c>
      <c r="K1536" s="66">
        <f t="shared" si="1145"/>
        <v>-0.02006228126</v>
      </c>
      <c r="L1536" s="29" t="s">
        <v>81</v>
      </c>
    </row>
    <row r="1537">
      <c r="A1537" s="11" t="s">
        <v>1466</v>
      </c>
      <c r="B1537" s="11" t="s">
        <v>248</v>
      </c>
      <c r="C1537" s="11" t="s">
        <v>1430</v>
      </c>
      <c r="D1537" s="11" t="s">
        <v>1077</v>
      </c>
      <c r="E1537" s="11" t="s">
        <v>418</v>
      </c>
      <c r="F1537" s="11">
        <v>2013.0</v>
      </c>
      <c r="G1537" s="40">
        <v>36570.0</v>
      </c>
      <c r="H1537" s="40">
        <f t="shared" ref="H1537:I1537" si="1178">F1537-F1536</f>
        <v>1</v>
      </c>
      <c r="I1537" s="40">
        <f t="shared" si="1178"/>
        <v>1011</v>
      </c>
      <c r="J1537" s="73">
        <f t="shared" si="1144"/>
        <v>0.02843162069</v>
      </c>
      <c r="K1537" s="66">
        <f t="shared" si="1145"/>
        <v>0.02843162069</v>
      </c>
      <c r="L1537" s="29" t="s">
        <v>81</v>
      </c>
    </row>
    <row r="1538">
      <c r="A1538" s="11" t="s">
        <v>1466</v>
      </c>
      <c r="B1538" s="11" t="s">
        <v>248</v>
      </c>
      <c r="C1538" s="11" t="s">
        <v>1430</v>
      </c>
      <c r="D1538" s="11" t="s">
        <v>1077</v>
      </c>
      <c r="E1538" s="11" t="s">
        <v>418</v>
      </c>
      <c r="F1538" s="11">
        <v>2014.0</v>
      </c>
      <c r="G1538" s="40">
        <v>36372.0</v>
      </c>
      <c r="H1538" s="40">
        <f t="shared" ref="H1538:I1538" si="1179">F1538-F1537</f>
        <v>1</v>
      </c>
      <c r="I1538" s="40">
        <f t="shared" si="1179"/>
        <v>-198</v>
      </c>
      <c r="J1538" s="73">
        <f t="shared" si="1144"/>
        <v>-0.005414273995</v>
      </c>
      <c r="K1538" s="66">
        <f t="shared" si="1145"/>
        <v>-0.005414273995</v>
      </c>
      <c r="L1538" s="29" t="s">
        <v>81</v>
      </c>
    </row>
    <row r="1539">
      <c r="A1539" s="11" t="s">
        <v>1466</v>
      </c>
      <c r="B1539" s="11" t="s">
        <v>248</v>
      </c>
      <c r="C1539" s="11" t="s">
        <v>1430</v>
      </c>
      <c r="D1539" s="11" t="s">
        <v>1077</v>
      </c>
      <c r="E1539" s="11" t="s">
        <v>418</v>
      </c>
      <c r="F1539" s="11">
        <v>2015.0</v>
      </c>
      <c r="G1539" s="40">
        <v>38232.0</v>
      </c>
      <c r="H1539" s="40">
        <f t="shared" ref="H1539:I1539" si="1180">F1539-F1538</f>
        <v>1</v>
      </c>
      <c r="I1539" s="40">
        <f t="shared" si="1180"/>
        <v>1860</v>
      </c>
      <c r="J1539" s="73">
        <f t="shared" si="1144"/>
        <v>0.05113823821</v>
      </c>
      <c r="K1539" s="66">
        <f t="shared" si="1145"/>
        <v>0.05113823821</v>
      </c>
      <c r="L1539" s="29" t="s">
        <v>81</v>
      </c>
    </row>
    <row r="1540">
      <c r="A1540" s="11" t="s">
        <v>1466</v>
      </c>
      <c r="B1540" s="11" t="s">
        <v>248</v>
      </c>
      <c r="C1540" s="11" t="s">
        <v>1430</v>
      </c>
      <c r="D1540" s="11" t="s">
        <v>1077</v>
      </c>
      <c r="E1540" s="11" t="s">
        <v>418</v>
      </c>
      <c r="F1540" s="11">
        <v>2016.0</v>
      </c>
      <c r="G1540" s="40">
        <v>38723.0</v>
      </c>
      <c r="H1540" s="40">
        <f t="shared" ref="H1540:I1540" si="1181">F1540-F1539</f>
        <v>1</v>
      </c>
      <c r="I1540" s="40">
        <f t="shared" si="1181"/>
        <v>491</v>
      </c>
      <c r="J1540" s="73">
        <f t="shared" si="1144"/>
        <v>0.0128426449</v>
      </c>
      <c r="K1540" s="66">
        <f t="shared" si="1145"/>
        <v>0.0128426449</v>
      </c>
      <c r="L1540" s="29" t="s">
        <v>81</v>
      </c>
    </row>
    <row r="1541">
      <c r="A1541" s="11" t="s">
        <v>1466</v>
      </c>
      <c r="B1541" s="11" t="s">
        <v>248</v>
      </c>
      <c r="C1541" s="11" t="s">
        <v>1430</v>
      </c>
      <c r="D1541" s="11" t="s">
        <v>1077</v>
      </c>
      <c r="E1541" s="11" t="s">
        <v>418</v>
      </c>
      <c r="F1541" s="11">
        <v>2017.0</v>
      </c>
      <c r="G1541" s="40">
        <v>39643.0</v>
      </c>
      <c r="H1541" s="40">
        <f t="shared" ref="H1541:I1541" si="1182">F1541-F1540</f>
        <v>1</v>
      </c>
      <c r="I1541" s="40">
        <f t="shared" si="1182"/>
        <v>920</v>
      </c>
      <c r="J1541" s="73">
        <f t="shared" si="1144"/>
        <v>0.02375848979</v>
      </c>
      <c r="K1541" s="66">
        <f t="shared" si="1145"/>
        <v>0.02375848979</v>
      </c>
      <c r="L1541" s="29" t="s">
        <v>81</v>
      </c>
    </row>
    <row r="1542">
      <c r="A1542" s="11" t="s">
        <v>1466</v>
      </c>
      <c r="B1542" s="11" t="s">
        <v>248</v>
      </c>
      <c r="C1542" s="11" t="s">
        <v>1430</v>
      </c>
      <c r="D1542" s="11" t="s">
        <v>1077</v>
      </c>
      <c r="E1542" s="11" t="s">
        <v>418</v>
      </c>
      <c r="F1542" s="11">
        <v>2018.0</v>
      </c>
      <c r="G1542" s="40">
        <v>39207.0</v>
      </c>
      <c r="H1542" s="40">
        <f t="shared" ref="H1542:I1542" si="1183">F1542-F1541</f>
        <v>1</v>
      </c>
      <c r="I1542" s="40">
        <f t="shared" si="1183"/>
        <v>-436</v>
      </c>
      <c r="J1542" s="73">
        <f t="shared" si="1144"/>
        <v>-0.01099815857</v>
      </c>
      <c r="K1542" s="66">
        <f t="shared" si="1145"/>
        <v>-0.01099815857</v>
      </c>
      <c r="L1542" s="29" t="s">
        <v>81</v>
      </c>
    </row>
    <row r="1543">
      <c r="A1543" s="11" t="s">
        <v>1466</v>
      </c>
      <c r="B1543" s="11" t="s">
        <v>248</v>
      </c>
      <c r="C1543" s="11" t="s">
        <v>1430</v>
      </c>
      <c r="D1543" s="11" t="s">
        <v>1077</v>
      </c>
      <c r="E1543" s="11" t="s">
        <v>418</v>
      </c>
      <c r="F1543" s="11">
        <v>2019.0</v>
      </c>
      <c r="G1543" s="40">
        <v>37446.0</v>
      </c>
      <c r="H1543" s="40">
        <f t="shared" ref="H1543:I1543" si="1184">F1543-F1542</f>
        <v>1</v>
      </c>
      <c r="I1543" s="40">
        <f t="shared" si="1184"/>
        <v>-1761</v>
      </c>
      <c r="J1543" s="73">
        <f t="shared" si="1144"/>
        <v>-0.04491544877</v>
      </c>
      <c r="K1543" s="66">
        <f t="shared" si="1145"/>
        <v>-0.04491544877</v>
      </c>
      <c r="L1543" s="28" t="s">
        <v>81</v>
      </c>
    </row>
    <row r="1544">
      <c r="A1544" s="11" t="s">
        <v>1476</v>
      </c>
      <c r="B1544" s="11" t="s">
        <v>248</v>
      </c>
      <c r="C1544" s="157" t="s">
        <v>1477</v>
      </c>
      <c r="D1544" s="11" t="s">
        <v>1478</v>
      </c>
      <c r="E1544" s="11" t="s">
        <v>555</v>
      </c>
      <c r="F1544" s="11">
        <v>1979.0</v>
      </c>
      <c r="G1544" s="40">
        <v>7955.0</v>
      </c>
      <c r="H1544" s="40" t="s">
        <v>188</v>
      </c>
      <c r="I1544" s="40" t="s">
        <v>188</v>
      </c>
      <c r="J1544" s="73" t="s">
        <v>188</v>
      </c>
      <c r="K1544" s="66" t="s">
        <v>188</v>
      </c>
      <c r="L1544" s="29" t="s">
        <v>260</v>
      </c>
    </row>
    <row r="1545">
      <c r="A1545" s="11" t="s">
        <v>1476</v>
      </c>
      <c r="B1545" s="11" t="s">
        <v>248</v>
      </c>
      <c r="C1545" s="157" t="s">
        <v>1477</v>
      </c>
      <c r="D1545" s="11" t="s">
        <v>1478</v>
      </c>
      <c r="E1545" s="11" t="s">
        <v>555</v>
      </c>
      <c r="F1545" s="11">
        <v>1982.0</v>
      </c>
      <c r="G1545" s="40">
        <v>6439.0</v>
      </c>
      <c r="H1545" s="40" t="s">
        <v>188</v>
      </c>
      <c r="I1545" s="40" t="s">
        <v>188</v>
      </c>
      <c r="J1545" s="73" t="s">
        <v>188</v>
      </c>
      <c r="K1545" s="66" t="s">
        <v>188</v>
      </c>
      <c r="L1545" s="29" t="s">
        <v>260</v>
      </c>
    </row>
    <row r="1546">
      <c r="A1546" s="11" t="s">
        <v>1476</v>
      </c>
      <c r="B1546" s="11" t="s">
        <v>248</v>
      </c>
      <c r="C1546" s="157" t="s">
        <v>1477</v>
      </c>
      <c r="D1546" s="11" t="s">
        <v>1478</v>
      </c>
      <c r="E1546" s="11" t="s">
        <v>555</v>
      </c>
      <c r="F1546" s="11">
        <v>1985.0</v>
      </c>
      <c r="G1546" s="40">
        <v>5208.0</v>
      </c>
      <c r="H1546" s="40" t="s">
        <v>188</v>
      </c>
      <c r="I1546" s="40" t="s">
        <v>188</v>
      </c>
      <c r="J1546" s="73" t="s">
        <v>188</v>
      </c>
      <c r="K1546" s="66" t="s">
        <v>188</v>
      </c>
      <c r="L1546" s="29" t="s">
        <v>260</v>
      </c>
    </row>
    <row r="1547">
      <c r="A1547" s="11" t="s">
        <v>1476</v>
      </c>
      <c r="B1547" s="11" t="s">
        <v>248</v>
      </c>
      <c r="C1547" s="157" t="s">
        <v>1477</v>
      </c>
      <c r="D1547" s="11" t="s">
        <v>1478</v>
      </c>
      <c r="E1547" s="11" t="s">
        <v>555</v>
      </c>
      <c r="F1547" s="11">
        <v>1986.0</v>
      </c>
      <c r="G1547" s="40">
        <v>3977.0</v>
      </c>
      <c r="H1547" s="40" t="s">
        <v>188</v>
      </c>
      <c r="I1547" s="40" t="s">
        <v>188</v>
      </c>
      <c r="J1547" s="73" t="s">
        <v>188</v>
      </c>
      <c r="K1547" s="66" t="s">
        <v>188</v>
      </c>
      <c r="L1547" s="29" t="s">
        <v>260</v>
      </c>
    </row>
    <row r="1548">
      <c r="A1548" s="11" t="s">
        <v>1476</v>
      </c>
      <c r="B1548" s="11" t="s">
        <v>248</v>
      </c>
      <c r="C1548" s="157" t="s">
        <v>1477</v>
      </c>
      <c r="D1548" s="11" t="s">
        <v>1478</v>
      </c>
      <c r="E1548" s="11" t="s">
        <v>555</v>
      </c>
      <c r="F1548" s="11">
        <v>1989.0</v>
      </c>
      <c r="G1548" s="40">
        <v>2652.0</v>
      </c>
      <c r="H1548" s="40" t="s">
        <v>188</v>
      </c>
      <c r="I1548" s="40" t="s">
        <v>188</v>
      </c>
      <c r="J1548" s="73" t="s">
        <v>188</v>
      </c>
      <c r="K1548" s="66" t="s">
        <v>188</v>
      </c>
      <c r="L1548" s="29" t="s">
        <v>260</v>
      </c>
    </row>
    <row r="1549">
      <c r="A1549" s="11" t="s">
        <v>1476</v>
      </c>
      <c r="B1549" s="11" t="s">
        <v>248</v>
      </c>
      <c r="C1549" s="157" t="s">
        <v>1477</v>
      </c>
      <c r="D1549" s="11" t="s">
        <v>1478</v>
      </c>
      <c r="E1549" s="11" t="s">
        <v>555</v>
      </c>
      <c r="F1549" s="11">
        <v>1990.0</v>
      </c>
      <c r="G1549" s="40">
        <v>2415.0</v>
      </c>
      <c r="H1549" s="40" t="s">
        <v>188</v>
      </c>
      <c r="I1549" s="40" t="s">
        <v>188</v>
      </c>
      <c r="J1549" s="73" t="s">
        <v>188</v>
      </c>
      <c r="K1549" s="66" t="s">
        <v>188</v>
      </c>
      <c r="L1549" s="29" t="s">
        <v>260</v>
      </c>
    </row>
    <row r="1550">
      <c r="A1550" s="11" t="s">
        <v>1476</v>
      </c>
      <c r="B1550" s="11" t="s">
        <v>248</v>
      </c>
      <c r="C1550" s="157" t="s">
        <v>1477</v>
      </c>
      <c r="D1550" s="11" t="s">
        <v>1478</v>
      </c>
      <c r="E1550" s="11" t="s">
        <v>555</v>
      </c>
      <c r="F1550" s="11">
        <v>1991.0</v>
      </c>
      <c r="G1550" s="40">
        <v>2462.0</v>
      </c>
      <c r="H1550" s="40" t="s">
        <v>188</v>
      </c>
      <c r="I1550" s="40" t="s">
        <v>188</v>
      </c>
      <c r="J1550" s="73" t="s">
        <v>188</v>
      </c>
      <c r="K1550" s="66" t="s">
        <v>188</v>
      </c>
      <c r="L1550" s="29" t="s">
        <v>260</v>
      </c>
    </row>
    <row r="1551">
      <c r="A1551" s="11" t="s">
        <v>1476</v>
      </c>
      <c r="B1551" s="11" t="s">
        <v>248</v>
      </c>
      <c r="C1551" s="157" t="s">
        <v>1477</v>
      </c>
      <c r="D1551" s="11" t="s">
        <v>1478</v>
      </c>
      <c r="E1551" s="11" t="s">
        <v>555</v>
      </c>
      <c r="F1551" s="11">
        <v>1992.0</v>
      </c>
      <c r="G1551" s="40">
        <v>2273.0</v>
      </c>
      <c r="H1551" s="40" t="s">
        <v>188</v>
      </c>
      <c r="I1551" s="40" t="s">
        <v>188</v>
      </c>
      <c r="J1551" s="73" t="s">
        <v>188</v>
      </c>
      <c r="K1551" s="66" t="s">
        <v>188</v>
      </c>
      <c r="L1551" s="29" t="s">
        <v>260</v>
      </c>
    </row>
    <row r="1552">
      <c r="A1552" s="11" t="s">
        <v>1476</v>
      </c>
      <c r="B1552" s="11" t="s">
        <v>248</v>
      </c>
      <c r="C1552" s="157" t="s">
        <v>1477</v>
      </c>
      <c r="D1552" s="11" t="s">
        <v>1478</v>
      </c>
      <c r="E1552" s="11" t="s">
        <v>555</v>
      </c>
      <c r="F1552" s="11">
        <v>1993.0</v>
      </c>
      <c r="G1552" s="40">
        <v>2178.0</v>
      </c>
      <c r="H1552" s="40" t="s">
        <v>188</v>
      </c>
      <c r="I1552" s="40" t="s">
        <v>188</v>
      </c>
      <c r="J1552" s="73" t="s">
        <v>188</v>
      </c>
      <c r="K1552" s="66" t="s">
        <v>188</v>
      </c>
      <c r="L1552" s="29" t="s">
        <v>260</v>
      </c>
    </row>
    <row r="1553">
      <c r="A1553" s="11" t="s">
        <v>1476</v>
      </c>
      <c r="B1553" s="11" t="s">
        <v>248</v>
      </c>
      <c r="C1553" s="157" t="s">
        <v>1477</v>
      </c>
      <c r="D1553" s="11" t="s">
        <v>1478</v>
      </c>
      <c r="E1553" s="11" t="s">
        <v>555</v>
      </c>
      <c r="F1553" s="11">
        <v>1994.0</v>
      </c>
      <c r="G1553" s="40">
        <v>2083.0</v>
      </c>
      <c r="H1553" s="40" t="s">
        <v>188</v>
      </c>
      <c r="I1553" s="40" t="s">
        <v>188</v>
      </c>
      <c r="J1553" s="73" t="s">
        <v>188</v>
      </c>
      <c r="K1553" s="66" t="s">
        <v>188</v>
      </c>
      <c r="L1553" s="29" t="s">
        <v>260</v>
      </c>
    </row>
    <row r="1554">
      <c r="A1554" s="11" t="s">
        <v>1476</v>
      </c>
      <c r="B1554" s="11" t="s">
        <v>248</v>
      </c>
      <c r="C1554" s="157" t="s">
        <v>1477</v>
      </c>
      <c r="D1554" s="11" t="s">
        <v>1478</v>
      </c>
      <c r="E1554" s="11" t="s">
        <v>555</v>
      </c>
      <c r="F1554" s="11">
        <v>1995.0</v>
      </c>
      <c r="G1554" s="40">
        <v>2036.0</v>
      </c>
      <c r="H1554" s="40" t="s">
        <v>188</v>
      </c>
      <c r="I1554" s="40" t="s">
        <v>188</v>
      </c>
      <c r="J1554" s="73" t="s">
        <v>188</v>
      </c>
      <c r="K1554" s="66" t="s">
        <v>188</v>
      </c>
      <c r="L1554" s="29" t="s">
        <v>260</v>
      </c>
    </row>
    <row r="1555">
      <c r="A1555" s="11" t="s">
        <v>1476</v>
      </c>
      <c r="B1555" s="11" t="s">
        <v>248</v>
      </c>
      <c r="C1555" s="157" t="s">
        <v>1477</v>
      </c>
      <c r="D1555" s="11" t="s">
        <v>1478</v>
      </c>
      <c r="E1555" s="11" t="s">
        <v>555</v>
      </c>
      <c r="F1555" s="11">
        <v>1996.0</v>
      </c>
      <c r="G1555" s="40">
        <v>2083.0</v>
      </c>
      <c r="H1555" s="40" t="s">
        <v>188</v>
      </c>
      <c r="I1555" s="40" t="s">
        <v>188</v>
      </c>
      <c r="J1555" s="73" t="s">
        <v>188</v>
      </c>
      <c r="K1555" s="66" t="s">
        <v>188</v>
      </c>
      <c r="L1555" s="29" t="s">
        <v>260</v>
      </c>
    </row>
    <row r="1556">
      <c r="A1556" s="11" t="s">
        <v>1476</v>
      </c>
      <c r="B1556" s="11" t="s">
        <v>248</v>
      </c>
      <c r="C1556" s="157" t="s">
        <v>1477</v>
      </c>
      <c r="D1556" s="11" t="s">
        <v>1478</v>
      </c>
      <c r="E1556" s="11" t="s">
        <v>555</v>
      </c>
      <c r="F1556" s="11">
        <v>1997.0</v>
      </c>
      <c r="G1556" s="40">
        <v>1799.0</v>
      </c>
      <c r="H1556" s="40" t="s">
        <v>188</v>
      </c>
      <c r="I1556" s="40" t="s">
        <v>188</v>
      </c>
      <c r="J1556" s="73" t="s">
        <v>188</v>
      </c>
      <c r="K1556" s="66" t="s">
        <v>188</v>
      </c>
      <c r="L1556" s="29" t="s">
        <v>260</v>
      </c>
    </row>
    <row r="1557">
      <c r="A1557" s="11" t="s">
        <v>1476</v>
      </c>
      <c r="B1557" s="11" t="s">
        <v>248</v>
      </c>
      <c r="C1557" s="157" t="s">
        <v>1477</v>
      </c>
      <c r="D1557" s="11" t="s">
        <v>1478</v>
      </c>
      <c r="E1557" s="11" t="s">
        <v>555</v>
      </c>
      <c r="F1557" s="11">
        <v>1998.0</v>
      </c>
      <c r="G1557" s="40">
        <v>1705.0</v>
      </c>
      <c r="H1557" s="40" t="s">
        <v>188</v>
      </c>
      <c r="I1557" s="40" t="s">
        <v>188</v>
      </c>
      <c r="J1557" s="73" t="s">
        <v>188</v>
      </c>
      <c r="K1557" s="66" t="s">
        <v>188</v>
      </c>
      <c r="L1557" s="29" t="s">
        <v>260</v>
      </c>
    </row>
    <row r="1558">
      <c r="A1558" s="11" t="s">
        <v>1476</v>
      </c>
      <c r="B1558" s="11" t="s">
        <v>248</v>
      </c>
      <c r="C1558" s="157" t="s">
        <v>1477</v>
      </c>
      <c r="D1558" s="11" t="s">
        <v>1478</v>
      </c>
      <c r="E1558" s="11" t="s">
        <v>555</v>
      </c>
      <c r="F1558" s="11">
        <v>2000.0</v>
      </c>
      <c r="G1558" s="40">
        <v>1799.0</v>
      </c>
      <c r="H1558" s="40" t="s">
        <v>188</v>
      </c>
      <c r="I1558" s="40" t="s">
        <v>188</v>
      </c>
      <c r="J1558" s="73" t="s">
        <v>188</v>
      </c>
      <c r="K1558" s="66" t="s">
        <v>188</v>
      </c>
      <c r="L1558" s="29" t="s">
        <v>260</v>
      </c>
    </row>
    <row r="1559">
      <c r="A1559" s="11" t="s">
        <v>1476</v>
      </c>
      <c r="B1559" s="11" t="s">
        <v>248</v>
      </c>
      <c r="C1559" s="157" t="s">
        <v>1477</v>
      </c>
      <c r="D1559" s="11" t="s">
        <v>1478</v>
      </c>
      <c r="E1559" s="11" t="s">
        <v>555</v>
      </c>
      <c r="F1559" s="11">
        <v>2001.0</v>
      </c>
      <c r="G1559" s="40">
        <v>1847.0</v>
      </c>
      <c r="H1559" s="40" t="s">
        <v>188</v>
      </c>
      <c r="I1559" s="40" t="s">
        <v>188</v>
      </c>
      <c r="J1559" s="73" t="s">
        <v>188</v>
      </c>
      <c r="K1559" s="66" t="s">
        <v>188</v>
      </c>
      <c r="L1559" s="29" t="s">
        <v>260</v>
      </c>
    </row>
    <row r="1560">
      <c r="A1560" s="11" t="s">
        <v>1476</v>
      </c>
      <c r="B1560" s="11" t="s">
        <v>248</v>
      </c>
      <c r="C1560" s="157" t="s">
        <v>1477</v>
      </c>
      <c r="D1560" s="11" t="s">
        <v>1478</v>
      </c>
      <c r="E1560" s="11" t="s">
        <v>555</v>
      </c>
      <c r="F1560" s="11">
        <v>2002.0</v>
      </c>
      <c r="G1560" s="40">
        <v>1705.0</v>
      </c>
      <c r="H1560" s="40" t="s">
        <v>188</v>
      </c>
      <c r="I1560" s="40" t="s">
        <v>188</v>
      </c>
      <c r="J1560" s="73" t="s">
        <v>188</v>
      </c>
      <c r="K1560" s="66" t="s">
        <v>188</v>
      </c>
      <c r="L1560" s="29" t="s">
        <v>260</v>
      </c>
    </row>
    <row r="1561">
      <c r="A1561" s="11" t="s">
        <v>1476</v>
      </c>
      <c r="B1561" s="11" t="s">
        <v>248</v>
      </c>
      <c r="C1561" s="157" t="s">
        <v>1477</v>
      </c>
      <c r="D1561" s="11" t="s">
        <v>1478</v>
      </c>
      <c r="E1561" s="11" t="s">
        <v>555</v>
      </c>
      <c r="F1561" s="11">
        <v>2003.0</v>
      </c>
      <c r="G1561" s="40">
        <v>1894.0</v>
      </c>
      <c r="H1561" s="40" t="s">
        <v>188</v>
      </c>
      <c r="I1561" s="40" t="s">
        <v>188</v>
      </c>
      <c r="J1561" s="73" t="s">
        <v>188</v>
      </c>
      <c r="K1561" s="66" t="s">
        <v>188</v>
      </c>
      <c r="L1561" s="29" t="s">
        <v>260</v>
      </c>
    </row>
    <row r="1562">
      <c r="A1562" s="11" t="s">
        <v>1476</v>
      </c>
      <c r="B1562" s="11" t="s">
        <v>248</v>
      </c>
      <c r="C1562" s="157" t="s">
        <v>1477</v>
      </c>
      <c r="D1562" s="11" t="s">
        <v>1478</v>
      </c>
      <c r="E1562" s="11" t="s">
        <v>555</v>
      </c>
      <c r="F1562" s="11">
        <v>2004.0</v>
      </c>
      <c r="G1562" s="40">
        <v>1989.0</v>
      </c>
      <c r="H1562" s="40" t="s">
        <v>188</v>
      </c>
      <c r="I1562" s="40" t="s">
        <v>188</v>
      </c>
      <c r="J1562" s="73" t="s">
        <v>188</v>
      </c>
      <c r="K1562" s="66" t="s">
        <v>188</v>
      </c>
      <c r="L1562" s="29" t="s">
        <v>260</v>
      </c>
    </row>
    <row r="1563">
      <c r="A1563" s="11" t="s">
        <v>1476</v>
      </c>
      <c r="B1563" s="11" t="s">
        <v>248</v>
      </c>
      <c r="C1563" s="157" t="s">
        <v>1477</v>
      </c>
      <c r="D1563" s="11" t="s">
        <v>1478</v>
      </c>
      <c r="E1563" s="11" t="s">
        <v>555</v>
      </c>
      <c r="F1563" s="11">
        <v>2005.0</v>
      </c>
      <c r="G1563" s="40">
        <v>2273.0</v>
      </c>
      <c r="H1563" s="40" t="s">
        <v>188</v>
      </c>
      <c r="I1563" s="40" t="s">
        <v>188</v>
      </c>
      <c r="J1563" s="73" t="s">
        <v>188</v>
      </c>
      <c r="K1563" s="66" t="s">
        <v>188</v>
      </c>
      <c r="L1563" s="29" t="s">
        <v>260</v>
      </c>
    </row>
    <row r="1564">
      <c r="A1564" s="11" t="s">
        <v>1476</v>
      </c>
      <c r="B1564" s="11" t="s">
        <v>248</v>
      </c>
      <c r="C1564" s="157" t="s">
        <v>1477</v>
      </c>
      <c r="D1564" s="11" t="s">
        <v>1478</v>
      </c>
      <c r="E1564" s="11" t="s">
        <v>555</v>
      </c>
      <c r="F1564" s="11">
        <v>2007.0</v>
      </c>
      <c r="G1564" s="40">
        <v>2462.0</v>
      </c>
      <c r="H1564" s="40" t="s">
        <v>188</v>
      </c>
      <c r="I1564" s="40" t="s">
        <v>188</v>
      </c>
      <c r="J1564" s="73" t="s">
        <v>188</v>
      </c>
      <c r="K1564" s="66" t="s">
        <v>188</v>
      </c>
      <c r="L1564" s="29" t="s">
        <v>260</v>
      </c>
    </row>
    <row r="1565">
      <c r="A1565" s="11" t="s">
        <v>1476</v>
      </c>
      <c r="B1565" s="11" t="s">
        <v>248</v>
      </c>
      <c r="C1565" s="157" t="s">
        <v>1477</v>
      </c>
      <c r="D1565" s="11" t="s">
        <v>1478</v>
      </c>
      <c r="E1565" s="11" t="s">
        <v>555</v>
      </c>
      <c r="F1565" s="11">
        <v>2009.0</v>
      </c>
      <c r="G1565" s="40">
        <v>2604.0</v>
      </c>
      <c r="H1565" s="40" t="s">
        <v>188</v>
      </c>
      <c r="I1565" s="40" t="s">
        <v>188</v>
      </c>
      <c r="J1565" s="73" t="s">
        <v>188</v>
      </c>
      <c r="K1565" s="66" t="s">
        <v>188</v>
      </c>
      <c r="L1565" s="29" t="s">
        <v>260</v>
      </c>
    </row>
    <row r="1566">
      <c r="A1566" s="11" t="s">
        <v>1476</v>
      </c>
      <c r="B1566" s="11" t="s">
        <v>248</v>
      </c>
      <c r="C1566" s="157" t="s">
        <v>1477</v>
      </c>
      <c r="D1566" s="11" t="s">
        <v>1478</v>
      </c>
      <c r="E1566" s="11" t="s">
        <v>555</v>
      </c>
      <c r="F1566" s="11">
        <v>2010.0</v>
      </c>
      <c r="G1566" s="40">
        <v>2652.0</v>
      </c>
      <c r="H1566" s="40" t="s">
        <v>188</v>
      </c>
      <c r="I1566" s="40" t="s">
        <v>188</v>
      </c>
      <c r="J1566" s="73" t="s">
        <v>188</v>
      </c>
      <c r="K1566" s="66" t="s">
        <v>188</v>
      </c>
      <c r="L1566" s="29" t="s">
        <v>260</v>
      </c>
    </row>
    <row r="1567">
      <c r="A1567" s="11" t="s">
        <v>1476</v>
      </c>
      <c r="B1567" s="11" t="s">
        <v>248</v>
      </c>
      <c r="C1567" s="157" t="s">
        <v>1477</v>
      </c>
      <c r="D1567" s="11" t="s">
        <v>1478</v>
      </c>
      <c r="E1567" s="11" t="s">
        <v>555</v>
      </c>
      <c r="F1567" s="11">
        <v>2011.0</v>
      </c>
      <c r="G1567" s="40">
        <v>2699.0</v>
      </c>
      <c r="H1567" s="40" t="s">
        <v>188</v>
      </c>
      <c r="I1567" s="40" t="s">
        <v>188</v>
      </c>
      <c r="J1567" s="73" t="s">
        <v>188</v>
      </c>
      <c r="K1567" s="66" t="s">
        <v>188</v>
      </c>
      <c r="L1567" s="29" t="s">
        <v>260</v>
      </c>
    </row>
    <row r="1568">
      <c r="A1568" s="11" t="s">
        <v>1476</v>
      </c>
      <c r="B1568" s="11" t="s">
        <v>248</v>
      </c>
      <c r="C1568" s="157" t="s">
        <v>1477</v>
      </c>
      <c r="D1568" s="11" t="s">
        <v>1478</v>
      </c>
      <c r="E1568" s="11" t="s">
        <v>555</v>
      </c>
      <c r="F1568" s="11">
        <v>2014.0</v>
      </c>
      <c r="G1568" s="40">
        <v>2746.0</v>
      </c>
      <c r="H1568" s="40" t="s">
        <v>188</v>
      </c>
      <c r="I1568" s="40" t="s">
        <v>188</v>
      </c>
      <c r="J1568" s="73" t="s">
        <v>188</v>
      </c>
      <c r="K1568" s="66" t="s">
        <v>188</v>
      </c>
      <c r="L1568" s="29" t="s">
        <v>260</v>
      </c>
    </row>
    <row r="1569">
      <c r="A1569" s="11" t="s">
        <v>1476</v>
      </c>
      <c r="B1569" s="11" t="s">
        <v>248</v>
      </c>
      <c r="C1569" s="157" t="s">
        <v>1477</v>
      </c>
      <c r="D1569" s="11" t="s">
        <v>1478</v>
      </c>
      <c r="E1569" s="11" t="s">
        <v>555</v>
      </c>
      <c r="F1569" s="11">
        <v>2015.0</v>
      </c>
      <c r="G1569" s="40">
        <v>2841.0</v>
      </c>
      <c r="H1569" s="40" t="s">
        <v>188</v>
      </c>
      <c r="I1569" s="40" t="s">
        <v>188</v>
      </c>
      <c r="J1569" s="73" t="s">
        <v>188</v>
      </c>
      <c r="K1569" s="66" t="s">
        <v>188</v>
      </c>
      <c r="L1569" s="29" t="s">
        <v>260</v>
      </c>
    </row>
    <row r="1570">
      <c r="A1570" s="11" t="s">
        <v>1476</v>
      </c>
      <c r="B1570" s="11" t="s">
        <v>248</v>
      </c>
      <c r="C1570" s="157" t="s">
        <v>1477</v>
      </c>
      <c r="D1570" s="11" t="s">
        <v>1478</v>
      </c>
      <c r="E1570" s="11" t="s">
        <v>555</v>
      </c>
      <c r="F1570" s="11">
        <v>2016.0</v>
      </c>
      <c r="G1570" s="40">
        <v>2794.0</v>
      </c>
      <c r="H1570" s="40" t="s">
        <v>188</v>
      </c>
      <c r="I1570" s="40" t="s">
        <v>188</v>
      </c>
      <c r="J1570" s="73" t="s">
        <v>188</v>
      </c>
      <c r="K1570" s="66" t="s">
        <v>188</v>
      </c>
      <c r="L1570" s="29" t="s">
        <v>260</v>
      </c>
    </row>
    <row r="1571">
      <c r="A1571" s="11" t="s">
        <v>1476</v>
      </c>
      <c r="B1571" s="11" t="s">
        <v>248</v>
      </c>
      <c r="C1571" s="157" t="s">
        <v>1477</v>
      </c>
      <c r="D1571" s="11" t="s">
        <v>1478</v>
      </c>
      <c r="E1571" s="11" t="s">
        <v>555</v>
      </c>
      <c r="F1571" s="11">
        <v>2018.0</v>
      </c>
      <c r="G1571" s="40">
        <v>2841.0</v>
      </c>
      <c r="H1571" s="40" t="s">
        <v>188</v>
      </c>
      <c r="I1571" s="40" t="s">
        <v>188</v>
      </c>
      <c r="J1571" s="73" t="s">
        <v>188</v>
      </c>
      <c r="K1571" s="66" t="s">
        <v>188</v>
      </c>
      <c r="L1571" s="29" t="s">
        <v>260</v>
      </c>
    </row>
    <row r="1572">
      <c r="A1572" s="11" t="s">
        <v>1480</v>
      </c>
      <c r="B1572" s="11" t="s">
        <v>248</v>
      </c>
      <c r="C1572" s="157" t="s">
        <v>1481</v>
      </c>
      <c r="D1572" s="11" t="s">
        <v>1478</v>
      </c>
      <c r="E1572" s="11" t="s">
        <v>555</v>
      </c>
      <c r="F1572" s="11">
        <v>1979.0</v>
      </c>
      <c r="G1572" s="40">
        <v>4167.0</v>
      </c>
      <c r="H1572" s="40" t="s">
        <v>188</v>
      </c>
      <c r="I1572" s="40" t="s">
        <v>188</v>
      </c>
      <c r="J1572" s="73" t="s">
        <v>188</v>
      </c>
      <c r="K1572" s="66" t="s">
        <v>188</v>
      </c>
      <c r="L1572" s="29" t="s">
        <v>260</v>
      </c>
    </row>
    <row r="1573">
      <c r="A1573" s="11" t="s">
        <v>1480</v>
      </c>
      <c r="B1573" s="11" t="s">
        <v>248</v>
      </c>
      <c r="C1573" s="157" t="s">
        <v>1481</v>
      </c>
      <c r="D1573" s="11" t="s">
        <v>1478</v>
      </c>
      <c r="E1573" s="11" t="s">
        <v>555</v>
      </c>
      <c r="F1573" s="11">
        <v>1989.0</v>
      </c>
      <c r="G1573" s="40">
        <v>2083.0</v>
      </c>
      <c r="H1573" s="40" t="s">
        <v>188</v>
      </c>
      <c r="I1573" s="40" t="s">
        <v>188</v>
      </c>
      <c r="J1573" s="73" t="s">
        <v>188</v>
      </c>
      <c r="K1573" s="66" t="s">
        <v>188</v>
      </c>
      <c r="L1573" s="29" t="s">
        <v>260</v>
      </c>
    </row>
    <row r="1574">
      <c r="A1574" s="11" t="s">
        <v>1480</v>
      </c>
      <c r="B1574" s="11" t="s">
        <v>248</v>
      </c>
      <c r="C1574" s="157" t="s">
        <v>1481</v>
      </c>
      <c r="D1574" s="11" t="s">
        <v>1478</v>
      </c>
      <c r="E1574" s="11" t="s">
        <v>555</v>
      </c>
      <c r="F1574" s="11">
        <v>1990.0</v>
      </c>
      <c r="G1574" s="40">
        <v>1894.0</v>
      </c>
      <c r="H1574" s="40" t="s">
        <v>188</v>
      </c>
      <c r="I1574" s="40" t="s">
        <v>188</v>
      </c>
      <c r="J1574" s="73" t="s">
        <v>188</v>
      </c>
      <c r="K1574" s="66" t="s">
        <v>188</v>
      </c>
      <c r="L1574" s="29" t="s">
        <v>260</v>
      </c>
    </row>
    <row r="1575">
      <c r="A1575" s="11" t="s">
        <v>1480</v>
      </c>
      <c r="B1575" s="11" t="s">
        <v>248</v>
      </c>
      <c r="C1575" s="157" t="s">
        <v>1481</v>
      </c>
      <c r="D1575" s="11" t="s">
        <v>1478</v>
      </c>
      <c r="E1575" s="11" t="s">
        <v>555</v>
      </c>
      <c r="F1575" s="11">
        <v>1994.0</v>
      </c>
      <c r="G1575" s="40">
        <v>1326.0</v>
      </c>
      <c r="H1575" s="40" t="s">
        <v>188</v>
      </c>
      <c r="I1575" s="40" t="s">
        <v>188</v>
      </c>
      <c r="J1575" s="73" t="s">
        <v>188</v>
      </c>
      <c r="K1575" s="66" t="s">
        <v>188</v>
      </c>
      <c r="L1575" s="29" t="s">
        <v>260</v>
      </c>
    </row>
    <row r="1576">
      <c r="A1576" s="11" t="s">
        <v>1480</v>
      </c>
      <c r="B1576" s="11" t="s">
        <v>248</v>
      </c>
      <c r="C1576" s="157" t="s">
        <v>1481</v>
      </c>
      <c r="D1576" s="11" t="s">
        <v>1478</v>
      </c>
      <c r="E1576" s="11" t="s">
        <v>555</v>
      </c>
      <c r="F1576" s="11">
        <v>1997.0</v>
      </c>
      <c r="G1576" s="40">
        <v>947.0</v>
      </c>
      <c r="H1576" s="40" t="s">
        <v>188</v>
      </c>
      <c r="I1576" s="40" t="s">
        <v>188</v>
      </c>
      <c r="J1576" s="73" t="s">
        <v>188</v>
      </c>
      <c r="K1576" s="66" t="s">
        <v>188</v>
      </c>
      <c r="L1576" s="29" t="s">
        <v>260</v>
      </c>
    </row>
    <row r="1577">
      <c r="A1577" s="11" t="s">
        <v>1480</v>
      </c>
      <c r="B1577" s="11" t="s">
        <v>248</v>
      </c>
      <c r="C1577" s="157" t="s">
        <v>1481</v>
      </c>
      <c r="D1577" s="11" t="s">
        <v>1478</v>
      </c>
      <c r="E1577" s="11" t="s">
        <v>555</v>
      </c>
      <c r="F1577" s="11">
        <v>1998.0</v>
      </c>
      <c r="G1577" s="40">
        <v>758.0</v>
      </c>
      <c r="H1577" s="40" t="s">
        <v>188</v>
      </c>
      <c r="I1577" s="40" t="s">
        <v>188</v>
      </c>
      <c r="J1577" s="73" t="s">
        <v>188</v>
      </c>
      <c r="K1577" s="66" t="s">
        <v>188</v>
      </c>
      <c r="L1577" s="29" t="s">
        <v>260</v>
      </c>
    </row>
    <row r="1578">
      <c r="A1578" s="11" t="s">
        <v>1480</v>
      </c>
      <c r="B1578" s="11" t="s">
        <v>248</v>
      </c>
      <c r="C1578" s="157" t="s">
        <v>1481</v>
      </c>
      <c r="D1578" s="11" t="s">
        <v>1478</v>
      </c>
      <c r="E1578" s="11" t="s">
        <v>555</v>
      </c>
      <c r="F1578" s="11">
        <v>2002.0</v>
      </c>
      <c r="G1578" s="40">
        <v>473.0</v>
      </c>
      <c r="H1578" s="40" t="s">
        <v>188</v>
      </c>
      <c r="I1578" s="40" t="s">
        <v>188</v>
      </c>
      <c r="J1578" s="73" t="s">
        <v>188</v>
      </c>
      <c r="K1578" s="66" t="s">
        <v>188</v>
      </c>
      <c r="L1578" s="29" t="s">
        <v>260</v>
      </c>
    </row>
    <row r="1579">
      <c r="A1579" s="11" t="s">
        <v>1480</v>
      </c>
      <c r="B1579" s="11" t="s">
        <v>248</v>
      </c>
      <c r="C1579" s="157" t="s">
        <v>1481</v>
      </c>
      <c r="D1579" s="11" t="s">
        <v>1478</v>
      </c>
      <c r="E1579" s="11" t="s">
        <v>555</v>
      </c>
      <c r="F1579" s="11">
        <v>2004.0</v>
      </c>
      <c r="G1579" s="40">
        <v>379.0</v>
      </c>
      <c r="H1579" s="40" t="s">
        <v>188</v>
      </c>
      <c r="I1579" s="40" t="s">
        <v>188</v>
      </c>
      <c r="J1579" s="73" t="s">
        <v>188</v>
      </c>
      <c r="K1579" s="66" t="s">
        <v>188</v>
      </c>
      <c r="L1579" s="29" t="s">
        <v>260</v>
      </c>
    </row>
    <row r="1580">
      <c r="A1580" s="11" t="s">
        <v>1480</v>
      </c>
      <c r="B1580" s="11" t="s">
        <v>248</v>
      </c>
      <c r="C1580" s="157" t="s">
        <v>1481</v>
      </c>
      <c r="D1580" s="11" t="s">
        <v>1478</v>
      </c>
      <c r="E1580" s="11" t="s">
        <v>555</v>
      </c>
      <c r="F1580" s="11">
        <v>2005.0</v>
      </c>
      <c r="G1580" s="40">
        <v>331.0</v>
      </c>
      <c r="H1580" s="40" t="s">
        <v>188</v>
      </c>
      <c r="I1580" s="40" t="s">
        <v>188</v>
      </c>
      <c r="J1580" s="73" t="s">
        <v>188</v>
      </c>
      <c r="K1580" s="66" t="s">
        <v>188</v>
      </c>
      <c r="L1580" s="29" t="s">
        <v>260</v>
      </c>
    </row>
    <row r="1581">
      <c r="A1581" s="11" t="s">
        <v>1480</v>
      </c>
      <c r="B1581" s="11" t="s">
        <v>248</v>
      </c>
      <c r="C1581" s="157" t="s">
        <v>1481</v>
      </c>
      <c r="D1581" s="11" t="s">
        <v>1478</v>
      </c>
      <c r="E1581" s="11" t="s">
        <v>555</v>
      </c>
      <c r="F1581" s="11">
        <v>2008.0</v>
      </c>
      <c r="G1581" s="40">
        <v>189.0</v>
      </c>
      <c r="H1581" s="40" t="s">
        <v>188</v>
      </c>
      <c r="I1581" s="40" t="s">
        <v>188</v>
      </c>
      <c r="J1581" s="73" t="s">
        <v>188</v>
      </c>
      <c r="K1581" s="66" t="s">
        <v>188</v>
      </c>
      <c r="L1581" s="29" t="s">
        <v>260</v>
      </c>
    </row>
    <row r="1582">
      <c r="A1582" s="11" t="s">
        <v>1480</v>
      </c>
      <c r="B1582" s="11" t="s">
        <v>248</v>
      </c>
      <c r="C1582" s="157" t="s">
        <v>1481</v>
      </c>
      <c r="D1582" s="11" t="s">
        <v>1478</v>
      </c>
      <c r="E1582" s="11" t="s">
        <v>555</v>
      </c>
      <c r="F1582" s="11">
        <v>2009.0</v>
      </c>
      <c r="G1582" s="40">
        <v>189.0</v>
      </c>
      <c r="H1582" s="40" t="s">
        <v>188</v>
      </c>
      <c r="I1582" s="40" t="s">
        <v>188</v>
      </c>
      <c r="J1582" s="73" t="s">
        <v>188</v>
      </c>
      <c r="K1582" s="66" t="s">
        <v>188</v>
      </c>
      <c r="L1582" s="29" t="s">
        <v>260</v>
      </c>
    </row>
    <row r="1583">
      <c r="A1583" s="11" t="s">
        <v>1480</v>
      </c>
      <c r="B1583" s="11" t="s">
        <v>248</v>
      </c>
      <c r="C1583" s="157" t="s">
        <v>1481</v>
      </c>
      <c r="D1583" s="11" t="s">
        <v>1478</v>
      </c>
      <c r="E1583" s="11" t="s">
        <v>555</v>
      </c>
      <c r="F1583" s="11">
        <v>2011.0</v>
      </c>
      <c r="G1583" s="40">
        <v>189.0</v>
      </c>
      <c r="H1583" s="40" t="s">
        <v>188</v>
      </c>
      <c r="I1583" s="40" t="s">
        <v>188</v>
      </c>
      <c r="J1583" s="73" t="s">
        <v>188</v>
      </c>
      <c r="K1583" s="66" t="s">
        <v>188</v>
      </c>
      <c r="L1583" s="29" t="s">
        <v>260</v>
      </c>
    </row>
    <row r="1584">
      <c r="A1584" s="11" t="s">
        <v>1480</v>
      </c>
      <c r="B1584" s="11" t="s">
        <v>248</v>
      </c>
      <c r="C1584" s="157" t="s">
        <v>1481</v>
      </c>
      <c r="D1584" s="11" t="s">
        <v>1478</v>
      </c>
      <c r="E1584" s="11" t="s">
        <v>555</v>
      </c>
      <c r="F1584" s="11">
        <v>2012.0</v>
      </c>
      <c r="G1584" s="40">
        <v>189.0</v>
      </c>
      <c r="H1584" s="40" t="s">
        <v>188</v>
      </c>
      <c r="I1584" s="40" t="s">
        <v>188</v>
      </c>
      <c r="J1584" s="73" t="s">
        <v>188</v>
      </c>
      <c r="K1584" s="66" t="s">
        <v>188</v>
      </c>
      <c r="L1584" s="29" t="s">
        <v>260</v>
      </c>
    </row>
    <row r="1585">
      <c r="A1585" s="11" t="s">
        <v>1480</v>
      </c>
      <c r="B1585" s="11" t="s">
        <v>248</v>
      </c>
      <c r="C1585" s="157" t="s">
        <v>1481</v>
      </c>
      <c r="D1585" s="11" t="s">
        <v>1478</v>
      </c>
      <c r="E1585" s="11" t="s">
        <v>555</v>
      </c>
      <c r="F1585" s="11">
        <v>2013.0</v>
      </c>
      <c r="G1585" s="40">
        <v>142.0</v>
      </c>
      <c r="H1585" s="40" t="s">
        <v>188</v>
      </c>
      <c r="I1585" s="40" t="s">
        <v>188</v>
      </c>
      <c r="J1585" s="73" t="s">
        <v>188</v>
      </c>
      <c r="K1585" s="66" t="s">
        <v>188</v>
      </c>
      <c r="L1585" s="29" t="s">
        <v>260</v>
      </c>
    </row>
    <row r="1586">
      <c r="A1586" s="11" t="s">
        <v>1480</v>
      </c>
      <c r="B1586" s="11" t="s">
        <v>248</v>
      </c>
      <c r="C1586" s="157" t="s">
        <v>1481</v>
      </c>
      <c r="D1586" s="11" t="s">
        <v>1478</v>
      </c>
      <c r="E1586" s="11" t="s">
        <v>555</v>
      </c>
      <c r="F1586" s="11">
        <v>2014.0</v>
      </c>
      <c r="G1586" s="40">
        <v>95.0</v>
      </c>
      <c r="H1586" s="40" t="s">
        <v>188</v>
      </c>
      <c r="I1586" s="40" t="s">
        <v>188</v>
      </c>
      <c r="J1586" s="73" t="s">
        <v>188</v>
      </c>
      <c r="K1586" s="66" t="s">
        <v>188</v>
      </c>
      <c r="L1586" s="29" t="s">
        <v>260</v>
      </c>
    </row>
    <row r="1587">
      <c r="A1587" s="11" t="s">
        <v>1480</v>
      </c>
      <c r="B1587" s="11" t="s">
        <v>248</v>
      </c>
      <c r="C1587" s="157" t="s">
        <v>1481</v>
      </c>
      <c r="D1587" s="11" t="s">
        <v>1478</v>
      </c>
      <c r="E1587" s="11" t="s">
        <v>555</v>
      </c>
      <c r="F1587" s="11">
        <v>2016.0</v>
      </c>
      <c r="G1587" s="40">
        <v>189.0</v>
      </c>
      <c r="H1587" s="40" t="s">
        <v>188</v>
      </c>
      <c r="I1587" s="40" t="s">
        <v>188</v>
      </c>
      <c r="J1587" s="73" t="s">
        <v>188</v>
      </c>
      <c r="K1587" s="66" t="s">
        <v>188</v>
      </c>
      <c r="L1587" s="29" t="s">
        <v>260</v>
      </c>
    </row>
    <row r="1588">
      <c r="A1588" s="11" t="s">
        <v>1480</v>
      </c>
      <c r="B1588" s="11" t="s">
        <v>248</v>
      </c>
      <c r="C1588" s="157" t="s">
        <v>1481</v>
      </c>
      <c r="D1588" s="11" t="s">
        <v>1478</v>
      </c>
      <c r="E1588" s="11" t="s">
        <v>555</v>
      </c>
      <c r="F1588" s="11">
        <v>2017.0</v>
      </c>
      <c r="G1588" s="40">
        <v>95.0</v>
      </c>
      <c r="H1588" s="40" t="s">
        <v>188</v>
      </c>
      <c r="I1588" s="40" t="s">
        <v>188</v>
      </c>
      <c r="J1588" s="73" t="s">
        <v>188</v>
      </c>
      <c r="K1588" s="66" t="s">
        <v>188</v>
      </c>
      <c r="L1588" s="29" t="s">
        <v>260</v>
      </c>
    </row>
    <row r="1589">
      <c r="A1589" s="11" t="s">
        <v>1480</v>
      </c>
      <c r="B1589" s="11" t="s">
        <v>248</v>
      </c>
      <c r="C1589" s="157" t="s">
        <v>1481</v>
      </c>
      <c r="D1589" s="11" t="s">
        <v>1478</v>
      </c>
      <c r="E1589" s="11" t="s">
        <v>555</v>
      </c>
      <c r="F1589" s="11">
        <v>2018.0</v>
      </c>
      <c r="G1589" s="40">
        <v>189.0</v>
      </c>
      <c r="H1589" s="40" t="s">
        <v>188</v>
      </c>
      <c r="I1589" s="40" t="s">
        <v>188</v>
      </c>
      <c r="J1589" s="73" t="s">
        <v>188</v>
      </c>
      <c r="K1589" s="66" t="s">
        <v>188</v>
      </c>
      <c r="L1589" s="29" t="s">
        <v>260</v>
      </c>
    </row>
    <row r="1590">
      <c r="A1590" s="11" t="s">
        <v>1482</v>
      </c>
      <c r="B1590" s="11" t="s">
        <v>248</v>
      </c>
      <c r="C1590" s="157" t="s">
        <v>1483</v>
      </c>
      <c r="D1590" s="11" t="s">
        <v>1478</v>
      </c>
      <c r="E1590" s="11" t="s">
        <v>555</v>
      </c>
      <c r="F1590" s="11">
        <v>1979.0</v>
      </c>
      <c r="G1590" s="40">
        <v>8333.0</v>
      </c>
      <c r="H1590" s="40" t="s">
        <v>188</v>
      </c>
      <c r="I1590" s="40" t="s">
        <v>188</v>
      </c>
      <c r="J1590" s="73" t="s">
        <v>188</v>
      </c>
      <c r="K1590" s="66" t="s">
        <v>188</v>
      </c>
      <c r="L1590" s="28" t="s">
        <v>260</v>
      </c>
    </row>
    <row r="1591">
      <c r="A1591" s="11" t="s">
        <v>1482</v>
      </c>
      <c r="B1591" s="11" t="s">
        <v>248</v>
      </c>
      <c r="C1591" s="157" t="s">
        <v>1483</v>
      </c>
      <c r="D1591" s="11" t="s">
        <v>1478</v>
      </c>
      <c r="E1591" s="11" t="s">
        <v>555</v>
      </c>
      <c r="F1591" s="11">
        <v>1985.0</v>
      </c>
      <c r="G1591" s="40">
        <v>9801.0</v>
      </c>
      <c r="H1591" s="40" t="s">
        <v>188</v>
      </c>
      <c r="I1591" s="40" t="s">
        <v>188</v>
      </c>
      <c r="J1591" s="73" t="s">
        <v>188</v>
      </c>
      <c r="K1591" s="66" t="s">
        <v>188</v>
      </c>
      <c r="L1591" s="29" t="s">
        <v>260</v>
      </c>
    </row>
    <row r="1592">
      <c r="A1592" s="11" t="s">
        <v>1482</v>
      </c>
      <c r="B1592" s="11" t="s">
        <v>248</v>
      </c>
      <c r="C1592" s="157" t="s">
        <v>1483</v>
      </c>
      <c r="D1592" s="11" t="s">
        <v>1478</v>
      </c>
      <c r="E1592" s="11" t="s">
        <v>555</v>
      </c>
      <c r="F1592" s="11">
        <v>1989.0</v>
      </c>
      <c r="G1592" s="40">
        <v>4356.0</v>
      </c>
      <c r="H1592" s="40" t="s">
        <v>188</v>
      </c>
      <c r="I1592" s="40" t="s">
        <v>188</v>
      </c>
      <c r="J1592" s="73" t="s">
        <v>188</v>
      </c>
      <c r="K1592" s="66" t="s">
        <v>188</v>
      </c>
      <c r="L1592" s="29" t="s">
        <v>260</v>
      </c>
    </row>
    <row r="1593">
      <c r="A1593" s="11" t="s">
        <v>1482</v>
      </c>
      <c r="B1593" s="11" t="s">
        <v>248</v>
      </c>
      <c r="C1593" s="157" t="s">
        <v>1483</v>
      </c>
      <c r="D1593" s="11" t="s">
        <v>1478</v>
      </c>
      <c r="E1593" s="11" t="s">
        <v>555</v>
      </c>
      <c r="F1593" s="11">
        <v>1990.0</v>
      </c>
      <c r="G1593" s="40">
        <v>3788.0</v>
      </c>
      <c r="H1593" s="40" t="s">
        <v>188</v>
      </c>
      <c r="I1593" s="40" t="s">
        <v>188</v>
      </c>
      <c r="J1593" s="73" t="s">
        <v>188</v>
      </c>
      <c r="K1593" s="66" t="s">
        <v>188</v>
      </c>
      <c r="L1593" s="29" t="s">
        <v>260</v>
      </c>
    </row>
    <row r="1594">
      <c r="A1594" s="11" t="s">
        <v>1482</v>
      </c>
      <c r="B1594" s="11" t="s">
        <v>248</v>
      </c>
      <c r="C1594" s="157" t="s">
        <v>1483</v>
      </c>
      <c r="D1594" s="11" t="s">
        <v>1478</v>
      </c>
      <c r="E1594" s="11" t="s">
        <v>555</v>
      </c>
      <c r="F1594" s="11">
        <v>1994.0</v>
      </c>
      <c r="G1594" s="40">
        <v>3409.0</v>
      </c>
      <c r="H1594" s="40" t="s">
        <v>188</v>
      </c>
      <c r="I1594" s="40" t="s">
        <v>188</v>
      </c>
      <c r="J1594" s="73" t="s">
        <v>188</v>
      </c>
      <c r="K1594" s="66" t="s">
        <v>188</v>
      </c>
      <c r="L1594" s="29" t="s">
        <v>260</v>
      </c>
    </row>
    <row r="1595">
      <c r="A1595" s="11" t="s">
        <v>1482</v>
      </c>
      <c r="B1595" s="11" t="s">
        <v>248</v>
      </c>
      <c r="C1595" s="157" t="s">
        <v>1483</v>
      </c>
      <c r="D1595" s="11" t="s">
        <v>1478</v>
      </c>
      <c r="E1595" s="11" t="s">
        <v>555</v>
      </c>
      <c r="F1595" s="11">
        <v>1997.0</v>
      </c>
      <c r="G1595" s="40">
        <v>3220.0</v>
      </c>
      <c r="H1595" s="40" t="s">
        <v>188</v>
      </c>
      <c r="I1595" s="40" t="s">
        <v>188</v>
      </c>
      <c r="J1595" s="73" t="s">
        <v>188</v>
      </c>
      <c r="K1595" s="66" t="s">
        <v>188</v>
      </c>
      <c r="L1595" s="29" t="s">
        <v>260</v>
      </c>
    </row>
    <row r="1596">
      <c r="A1596" s="11" t="s">
        <v>1482</v>
      </c>
      <c r="B1596" s="11" t="s">
        <v>248</v>
      </c>
      <c r="C1596" s="157" t="s">
        <v>1483</v>
      </c>
      <c r="D1596" s="11" t="s">
        <v>1478</v>
      </c>
      <c r="E1596" s="11" t="s">
        <v>555</v>
      </c>
      <c r="F1596" s="11">
        <v>1998.0</v>
      </c>
      <c r="G1596" s="40">
        <v>3030.0</v>
      </c>
      <c r="H1596" s="40" t="s">
        <v>188</v>
      </c>
      <c r="I1596" s="40" t="s">
        <v>188</v>
      </c>
      <c r="J1596" s="73" t="s">
        <v>188</v>
      </c>
      <c r="K1596" s="66" t="s">
        <v>188</v>
      </c>
      <c r="L1596" s="29" t="s">
        <v>260</v>
      </c>
    </row>
    <row r="1597">
      <c r="A1597" s="11" t="s">
        <v>1482</v>
      </c>
      <c r="B1597" s="11" t="s">
        <v>248</v>
      </c>
      <c r="C1597" s="157" t="s">
        <v>1483</v>
      </c>
      <c r="D1597" s="11" t="s">
        <v>1478</v>
      </c>
      <c r="E1597" s="11" t="s">
        <v>555</v>
      </c>
      <c r="F1597" s="11">
        <v>1999.0</v>
      </c>
      <c r="G1597" s="40">
        <v>3030.0</v>
      </c>
      <c r="H1597" s="40" t="s">
        <v>188</v>
      </c>
      <c r="I1597" s="40" t="s">
        <v>188</v>
      </c>
      <c r="J1597" s="73" t="s">
        <v>188</v>
      </c>
      <c r="K1597" s="66" t="s">
        <v>188</v>
      </c>
      <c r="L1597" s="29" t="s">
        <v>260</v>
      </c>
    </row>
    <row r="1598">
      <c r="A1598" s="11" t="s">
        <v>1482</v>
      </c>
      <c r="B1598" s="11" t="s">
        <v>248</v>
      </c>
      <c r="C1598" s="157" t="s">
        <v>1483</v>
      </c>
      <c r="D1598" s="11" t="s">
        <v>1478</v>
      </c>
      <c r="E1598" s="11" t="s">
        <v>555</v>
      </c>
      <c r="F1598" s="11">
        <v>2000.0</v>
      </c>
      <c r="G1598" s="40">
        <v>2888.0</v>
      </c>
      <c r="H1598" s="40" t="s">
        <v>188</v>
      </c>
      <c r="I1598" s="40" t="s">
        <v>188</v>
      </c>
      <c r="J1598" s="73" t="s">
        <v>188</v>
      </c>
      <c r="K1598" s="66" t="s">
        <v>188</v>
      </c>
      <c r="L1598" s="29" t="s">
        <v>260</v>
      </c>
    </row>
    <row r="1599">
      <c r="A1599" s="11" t="s">
        <v>1482</v>
      </c>
      <c r="B1599" s="11" t="s">
        <v>248</v>
      </c>
      <c r="C1599" s="157" t="s">
        <v>1483</v>
      </c>
      <c r="D1599" s="11" t="s">
        <v>1478</v>
      </c>
      <c r="E1599" s="11" t="s">
        <v>555</v>
      </c>
      <c r="F1599" s="11">
        <v>2001.0</v>
      </c>
      <c r="G1599" s="40">
        <v>2746.0</v>
      </c>
      <c r="H1599" s="40" t="s">
        <v>188</v>
      </c>
      <c r="I1599" s="40" t="s">
        <v>188</v>
      </c>
      <c r="J1599" s="73" t="s">
        <v>188</v>
      </c>
      <c r="K1599" s="66" t="s">
        <v>188</v>
      </c>
      <c r="L1599" s="29" t="s">
        <v>260</v>
      </c>
    </row>
    <row r="1600">
      <c r="A1600" s="11" t="s">
        <v>1482</v>
      </c>
      <c r="B1600" s="11" t="s">
        <v>248</v>
      </c>
      <c r="C1600" s="157" t="s">
        <v>1483</v>
      </c>
      <c r="D1600" s="11" t="s">
        <v>1478</v>
      </c>
      <c r="E1600" s="11" t="s">
        <v>555</v>
      </c>
      <c r="F1600" s="11">
        <v>2002.0</v>
      </c>
      <c r="G1600" s="40">
        <v>2888.0</v>
      </c>
      <c r="H1600" s="40" t="s">
        <v>188</v>
      </c>
      <c r="I1600" s="40" t="s">
        <v>188</v>
      </c>
      <c r="J1600" s="73" t="s">
        <v>188</v>
      </c>
      <c r="K1600" s="66" t="s">
        <v>188</v>
      </c>
      <c r="L1600" s="29" t="s">
        <v>260</v>
      </c>
    </row>
    <row r="1601">
      <c r="A1601" s="11" t="s">
        <v>1482</v>
      </c>
      <c r="B1601" s="11" t="s">
        <v>248</v>
      </c>
      <c r="C1601" s="157" t="s">
        <v>1483</v>
      </c>
      <c r="D1601" s="11" t="s">
        <v>1478</v>
      </c>
      <c r="E1601" s="11" t="s">
        <v>555</v>
      </c>
      <c r="F1601" s="11">
        <v>2004.0</v>
      </c>
      <c r="G1601" s="40">
        <v>2794.0</v>
      </c>
      <c r="H1601" s="40" t="s">
        <v>188</v>
      </c>
      <c r="I1601" s="40" t="s">
        <v>188</v>
      </c>
      <c r="J1601" s="73" t="s">
        <v>188</v>
      </c>
      <c r="K1601" s="66" t="s">
        <v>188</v>
      </c>
      <c r="L1601" s="29" t="s">
        <v>260</v>
      </c>
    </row>
    <row r="1602">
      <c r="A1602" s="11" t="s">
        <v>1482</v>
      </c>
      <c r="B1602" s="11" t="s">
        <v>248</v>
      </c>
      <c r="C1602" s="157" t="s">
        <v>1483</v>
      </c>
      <c r="D1602" s="11" t="s">
        <v>1478</v>
      </c>
      <c r="E1602" s="11" t="s">
        <v>555</v>
      </c>
      <c r="F1602" s="11">
        <v>2005.0</v>
      </c>
      <c r="G1602" s="40">
        <v>2936.0</v>
      </c>
      <c r="H1602" s="40" t="s">
        <v>188</v>
      </c>
      <c r="I1602" s="40" t="s">
        <v>188</v>
      </c>
      <c r="J1602" s="73" t="s">
        <v>188</v>
      </c>
      <c r="K1602" s="66" t="s">
        <v>188</v>
      </c>
      <c r="L1602" s="29" t="s">
        <v>260</v>
      </c>
    </row>
    <row r="1603">
      <c r="A1603" s="11" t="s">
        <v>1482</v>
      </c>
      <c r="B1603" s="11" t="s">
        <v>248</v>
      </c>
      <c r="C1603" s="157" t="s">
        <v>1483</v>
      </c>
      <c r="D1603" s="11" t="s">
        <v>1478</v>
      </c>
      <c r="E1603" s="11" t="s">
        <v>555</v>
      </c>
      <c r="F1603" s="11">
        <v>2007.0</v>
      </c>
      <c r="G1603" s="40">
        <v>2841.0</v>
      </c>
      <c r="H1603" s="40" t="s">
        <v>188</v>
      </c>
      <c r="I1603" s="40" t="s">
        <v>188</v>
      </c>
      <c r="J1603" s="73" t="s">
        <v>188</v>
      </c>
      <c r="K1603" s="66" t="s">
        <v>188</v>
      </c>
      <c r="L1603" s="29" t="s">
        <v>260</v>
      </c>
    </row>
    <row r="1604">
      <c r="A1604" s="11" t="s">
        <v>1482</v>
      </c>
      <c r="B1604" s="11" t="s">
        <v>248</v>
      </c>
      <c r="C1604" s="157" t="s">
        <v>1483</v>
      </c>
      <c r="D1604" s="11" t="s">
        <v>1478</v>
      </c>
      <c r="E1604" s="11" t="s">
        <v>555</v>
      </c>
      <c r="F1604" s="11">
        <v>2009.0</v>
      </c>
      <c r="G1604" s="40">
        <v>2746.0</v>
      </c>
      <c r="H1604" s="40" t="s">
        <v>188</v>
      </c>
      <c r="I1604" s="40" t="s">
        <v>188</v>
      </c>
      <c r="J1604" s="73" t="s">
        <v>188</v>
      </c>
      <c r="K1604" s="66" t="s">
        <v>188</v>
      </c>
      <c r="L1604" s="29" t="s">
        <v>260</v>
      </c>
    </row>
    <row r="1605">
      <c r="A1605" s="11" t="s">
        <v>1482</v>
      </c>
      <c r="B1605" s="11" t="s">
        <v>248</v>
      </c>
      <c r="C1605" s="157" t="s">
        <v>1483</v>
      </c>
      <c r="D1605" s="11" t="s">
        <v>1478</v>
      </c>
      <c r="E1605" s="11" t="s">
        <v>555</v>
      </c>
      <c r="F1605" s="11">
        <v>2010.0</v>
      </c>
      <c r="G1605" s="40">
        <v>2652.0</v>
      </c>
      <c r="H1605" s="40" t="s">
        <v>188</v>
      </c>
      <c r="I1605" s="40" t="s">
        <v>188</v>
      </c>
      <c r="J1605" s="73" t="s">
        <v>188</v>
      </c>
      <c r="K1605" s="66" t="s">
        <v>188</v>
      </c>
      <c r="L1605" s="29" t="s">
        <v>260</v>
      </c>
    </row>
    <row r="1606">
      <c r="A1606" s="11" t="s">
        <v>1482</v>
      </c>
      <c r="B1606" s="11" t="s">
        <v>248</v>
      </c>
      <c r="C1606" s="157" t="s">
        <v>1483</v>
      </c>
      <c r="D1606" s="11" t="s">
        <v>1478</v>
      </c>
      <c r="E1606" s="11" t="s">
        <v>555</v>
      </c>
      <c r="F1606" s="11">
        <v>2011.0</v>
      </c>
      <c r="G1606" s="40">
        <v>2652.0</v>
      </c>
      <c r="H1606" s="40" t="s">
        <v>188</v>
      </c>
      <c r="I1606" s="40" t="s">
        <v>188</v>
      </c>
      <c r="J1606" s="73" t="s">
        <v>188</v>
      </c>
      <c r="K1606" s="66" t="s">
        <v>188</v>
      </c>
      <c r="L1606" s="29" t="s">
        <v>260</v>
      </c>
    </row>
    <row r="1607">
      <c r="A1607" s="11" t="s">
        <v>1482</v>
      </c>
      <c r="B1607" s="11" t="s">
        <v>248</v>
      </c>
      <c r="C1607" s="157" t="s">
        <v>1483</v>
      </c>
      <c r="D1607" s="11" t="s">
        <v>1478</v>
      </c>
      <c r="E1607" s="11" t="s">
        <v>555</v>
      </c>
      <c r="F1607" s="11">
        <v>2013.0</v>
      </c>
      <c r="G1607" s="40">
        <v>2462.0</v>
      </c>
      <c r="H1607" s="40" t="s">
        <v>188</v>
      </c>
      <c r="I1607" s="40" t="s">
        <v>188</v>
      </c>
      <c r="J1607" s="73" t="s">
        <v>188</v>
      </c>
      <c r="K1607" s="66" t="s">
        <v>188</v>
      </c>
      <c r="L1607" s="29" t="s">
        <v>260</v>
      </c>
    </row>
    <row r="1608">
      <c r="A1608" s="11" t="s">
        <v>1482</v>
      </c>
      <c r="B1608" s="11" t="s">
        <v>248</v>
      </c>
      <c r="C1608" s="157" t="s">
        <v>1483</v>
      </c>
      <c r="D1608" s="11" t="s">
        <v>1478</v>
      </c>
      <c r="E1608" s="11" t="s">
        <v>555</v>
      </c>
      <c r="F1608" s="11">
        <v>2014.0</v>
      </c>
      <c r="G1608" s="40">
        <v>2462.0</v>
      </c>
      <c r="H1608" s="40" t="s">
        <v>188</v>
      </c>
      <c r="I1608" s="40" t="s">
        <v>188</v>
      </c>
      <c r="J1608" s="73" t="s">
        <v>188</v>
      </c>
      <c r="K1608" s="66" t="s">
        <v>188</v>
      </c>
      <c r="L1608" s="29" t="s">
        <v>260</v>
      </c>
    </row>
    <row r="1609">
      <c r="A1609" s="11" t="s">
        <v>1482</v>
      </c>
      <c r="B1609" s="11" t="s">
        <v>248</v>
      </c>
      <c r="C1609" s="157" t="s">
        <v>1483</v>
      </c>
      <c r="D1609" s="11" t="s">
        <v>1478</v>
      </c>
      <c r="E1609" s="11" t="s">
        <v>555</v>
      </c>
      <c r="F1609" s="11">
        <v>2015.0</v>
      </c>
      <c r="G1609" s="40">
        <v>2462.0</v>
      </c>
      <c r="H1609" s="40" t="s">
        <v>188</v>
      </c>
      <c r="I1609" s="40" t="s">
        <v>188</v>
      </c>
      <c r="J1609" s="73" t="s">
        <v>188</v>
      </c>
      <c r="K1609" s="66" t="s">
        <v>188</v>
      </c>
      <c r="L1609" s="29" t="s">
        <v>260</v>
      </c>
    </row>
    <row r="1610">
      <c r="A1610" s="11" t="s">
        <v>1482</v>
      </c>
      <c r="B1610" s="11" t="s">
        <v>248</v>
      </c>
      <c r="C1610" s="157" t="s">
        <v>1483</v>
      </c>
      <c r="D1610" s="11" t="s">
        <v>1478</v>
      </c>
      <c r="E1610" s="11" t="s">
        <v>555</v>
      </c>
      <c r="F1610" s="11">
        <v>2016.0</v>
      </c>
      <c r="G1610" s="40">
        <v>2462.0</v>
      </c>
      <c r="H1610" s="40" t="s">
        <v>188</v>
      </c>
      <c r="I1610" s="40" t="s">
        <v>188</v>
      </c>
      <c r="J1610" s="73" t="s">
        <v>188</v>
      </c>
      <c r="K1610" s="66" t="s">
        <v>188</v>
      </c>
      <c r="L1610" s="29" t="s">
        <v>260</v>
      </c>
    </row>
    <row r="1611">
      <c r="A1611" s="11" t="s">
        <v>1482</v>
      </c>
      <c r="B1611" s="11" t="s">
        <v>248</v>
      </c>
      <c r="C1611" s="157" t="s">
        <v>1483</v>
      </c>
      <c r="D1611" s="11" t="s">
        <v>1478</v>
      </c>
      <c r="E1611" s="11" t="s">
        <v>555</v>
      </c>
      <c r="F1611" s="11">
        <v>2017.0</v>
      </c>
      <c r="G1611" s="40">
        <v>2462.0</v>
      </c>
      <c r="H1611" s="40" t="s">
        <v>188</v>
      </c>
      <c r="I1611" s="40" t="s">
        <v>188</v>
      </c>
      <c r="J1611" s="73" t="s">
        <v>188</v>
      </c>
      <c r="K1611" s="66" t="s">
        <v>188</v>
      </c>
      <c r="L1611" s="29" t="s">
        <v>260</v>
      </c>
    </row>
    <row r="1612">
      <c r="A1612" s="11" t="s">
        <v>1482</v>
      </c>
      <c r="B1612" s="11" t="s">
        <v>248</v>
      </c>
      <c r="C1612" s="157" t="s">
        <v>1483</v>
      </c>
      <c r="D1612" s="11" t="s">
        <v>1478</v>
      </c>
      <c r="E1612" s="11" t="s">
        <v>555</v>
      </c>
      <c r="F1612" s="11">
        <v>2018.0</v>
      </c>
      <c r="G1612" s="40">
        <v>2273.0</v>
      </c>
      <c r="H1612" s="40" t="s">
        <v>188</v>
      </c>
      <c r="I1612" s="40" t="s">
        <v>188</v>
      </c>
      <c r="J1612" s="73" t="s">
        <v>188</v>
      </c>
      <c r="K1612" s="66" t="s">
        <v>188</v>
      </c>
      <c r="L1612" s="29" t="s">
        <v>260</v>
      </c>
    </row>
    <row r="1613">
      <c r="A1613" s="11" t="s">
        <v>1484</v>
      </c>
      <c r="B1613" s="11" t="s">
        <v>248</v>
      </c>
      <c r="C1613" s="157" t="s">
        <v>1485</v>
      </c>
      <c r="D1613" s="11" t="s">
        <v>1478</v>
      </c>
      <c r="E1613" s="11" t="s">
        <v>555</v>
      </c>
      <c r="F1613" s="11">
        <v>1978.0</v>
      </c>
      <c r="G1613" s="40">
        <v>8343.0</v>
      </c>
      <c r="H1613" s="40" t="s">
        <v>188</v>
      </c>
      <c r="I1613" s="40" t="s">
        <v>188</v>
      </c>
      <c r="J1613" s="73" t="s">
        <v>188</v>
      </c>
      <c r="K1613" s="66" t="s">
        <v>188</v>
      </c>
      <c r="L1613" s="29" t="s">
        <v>260</v>
      </c>
    </row>
    <row r="1614">
      <c r="A1614" s="11" t="s">
        <v>1484</v>
      </c>
      <c r="B1614" s="11" t="s">
        <v>248</v>
      </c>
      <c r="C1614" s="157" t="s">
        <v>1485</v>
      </c>
      <c r="D1614" s="11" t="s">
        <v>1478</v>
      </c>
      <c r="E1614" s="11" t="s">
        <v>555</v>
      </c>
      <c r="F1614" s="11">
        <v>1979.0</v>
      </c>
      <c r="G1614" s="40">
        <v>9578.0</v>
      </c>
      <c r="H1614" s="40" t="s">
        <v>188</v>
      </c>
      <c r="I1614" s="40" t="s">
        <v>188</v>
      </c>
      <c r="J1614" s="73" t="s">
        <v>188</v>
      </c>
      <c r="K1614" s="66" t="s">
        <v>188</v>
      </c>
      <c r="L1614" s="29" t="s">
        <v>260</v>
      </c>
    </row>
    <row r="1615">
      <c r="A1615" s="11" t="s">
        <v>1484</v>
      </c>
      <c r="B1615" s="11" t="s">
        <v>248</v>
      </c>
      <c r="C1615" s="157" t="s">
        <v>1485</v>
      </c>
      <c r="D1615" s="11" t="s">
        <v>1478</v>
      </c>
      <c r="E1615" s="11" t="s">
        <v>555</v>
      </c>
      <c r="F1615" s="11">
        <v>1984.0</v>
      </c>
      <c r="G1615" s="40">
        <v>5908.0</v>
      </c>
      <c r="H1615" s="40" t="s">
        <v>188</v>
      </c>
      <c r="I1615" s="40" t="s">
        <v>188</v>
      </c>
      <c r="J1615" s="73" t="s">
        <v>188</v>
      </c>
      <c r="K1615" s="66" t="s">
        <v>188</v>
      </c>
      <c r="L1615" s="29" t="s">
        <v>260</v>
      </c>
    </row>
    <row r="1616">
      <c r="A1616" s="11" t="s">
        <v>1484</v>
      </c>
      <c r="B1616" s="11" t="s">
        <v>248</v>
      </c>
      <c r="C1616" s="157" t="s">
        <v>1485</v>
      </c>
      <c r="D1616" s="11" t="s">
        <v>1478</v>
      </c>
      <c r="E1616" s="11" t="s">
        <v>555</v>
      </c>
      <c r="F1616" s="11">
        <v>1986.0</v>
      </c>
      <c r="G1616" s="40">
        <v>4165.0</v>
      </c>
      <c r="H1616" s="40" t="s">
        <v>188</v>
      </c>
      <c r="I1616" s="40" t="s">
        <v>188</v>
      </c>
      <c r="J1616" s="73" t="s">
        <v>188</v>
      </c>
      <c r="K1616" s="66" t="s">
        <v>188</v>
      </c>
      <c r="L1616" s="29" t="s">
        <v>260</v>
      </c>
    </row>
    <row r="1617">
      <c r="A1617" s="11" t="s">
        <v>1484</v>
      </c>
      <c r="B1617" s="11" t="s">
        <v>248</v>
      </c>
      <c r="C1617" s="157" t="s">
        <v>1485</v>
      </c>
      <c r="D1617" s="11" t="s">
        <v>1478</v>
      </c>
      <c r="E1617" s="11" t="s">
        <v>555</v>
      </c>
      <c r="F1617" s="11">
        <v>1990.0</v>
      </c>
      <c r="G1617" s="40">
        <v>2432.0</v>
      </c>
      <c r="H1617" s="40" t="s">
        <v>188</v>
      </c>
      <c r="I1617" s="40" t="s">
        <v>188</v>
      </c>
      <c r="J1617" s="73" t="s">
        <v>188</v>
      </c>
      <c r="K1617" s="66" t="s">
        <v>188</v>
      </c>
      <c r="L1617" s="29" t="s">
        <v>260</v>
      </c>
    </row>
    <row r="1618">
      <c r="A1618" s="11" t="s">
        <v>1484</v>
      </c>
      <c r="B1618" s="11" t="s">
        <v>248</v>
      </c>
      <c r="C1618" s="157" t="s">
        <v>1485</v>
      </c>
      <c r="D1618" s="11" t="s">
        <v>1478</v>
      </c>
      <c r="E1618" s="11" t="s">
        <v>555</v>
      </c>
      <c r="F1618" s="11">
        <v>1991.0</v>
      </c>
      <c r="G1618" s="40">
        <v>2295.0</v>
      </c>
      <c r="H1618" s="40" t="s">
        <v>188</v>
      </c>
      <c r="I1618" s="40" t="s">
        <v>188</v>
      </c>
      <c r="J1618" s="73" t="s">
        <v>188</v>
      </c>
      <c r="K1618" s="66" t="s">
        <v>188</v>
      </c>
      <c r="L1618" s="29" t="s">
        <v>260</v>
      </c>
    </row>
    <row r="1619">
      <c r="A1619" s="11" t="s">
        <v>1484</v>
      </c>
      <c r="B1619" s="11" t="s">
        <v>248</v>
      </c>
      <c r="C1619" s="157" t="s">
        <v>1485</v>
      </c>
      <c r="D1619" s="11" t="s">
        <v>1478</v>
      </c>
      <c r="E1619" s="11" t="s">
        <v>555</v>
      </c>
      <c r="F1619" s="11">
        <v>1992.0</v>
      </c>
      <c r="G1619" s="40">
        <v>2157.0</v>
      </c>
      <c r="H1619" s="40" t="s">
        <v>188</v>
      </c>
      <c r="I1619" s="40" t="s">
        <v>188</v>
      </c>
      <c r="J1619" s="73" t="s">
        <v>188</v>
      </c>
      <c r="K1619" s="66" t="s">
        <v>188</v>
      </c>
      <c r="L1619" s="29" t="s">
        <v>260</v>
      </c>
    </row>
    <row r="1620">
      <c r="A1620" s="11" t="s">
        <v>1484</v>
      </c>
      <c r="B1620" s="11" t="s">
        <v>248</v>
      </c>
      <c r="C1620" s="157" t="s">
        <v>1485</v>
      </c>
      <c r="D1620" s="11" t="s">
        <v>1478</v>
      </c>
      <c r="E1620" s="11" t="s">
        <v>555</v>
      </c>
      <c r="F1620" s="11">
        <v>1993.0</v>
      </c>
      <c r="G1620" s="40">
        <v>2162.0</v>
      </c>
      <c r="H1620" s="40" t="s">
        <v>188</v>
      </c>
      <c r="I1620" s="40" t="s">
        <v>188</v>
      </c>
      <c r="J1620" s="73" t="s">
        <v>188</v>
      </c>
      <c r="K1620" s="66" t="s">
        <v>188</v>
      </c>
      <c r="L1620" s="29" t="s">
        <v>260</v>
      </c>
    </row>
    <row r="1621">
      <c r="A1621" s="11" t="s">
        <v>1484</v>
      </c>
      <c r="B1621" s="11" t="s">
        <v>248</v>
      </c>
      <c r="C1621" s="157" t="s">
        <v>1485</v>
      </c>
      <c r="D1621" s="11" t="s">
        <v>1478</v>
      </c>
      <c r="E1621" s="11" t="s">
        <v>555</v>
      </c>
      <c r="F1621" s="11">
        <v>1994.0</v>
      </c>
      <c r="G1621" s="40">
        <v>1978.0</v>
      </c>
      <c r="H1621" s="40" t="s">
        <v>188</v>
      </c>
      <c r="I1621" s="40" t="s">
        <v>188</v>
      </c>
      <c r="J1621" s="73" t="s">
        <v>188</v>
      </c>
      <c r="K1621" s="66" t="s">
        <v>188</v>
      </c>
      <c r="L1621" s="29" t="s">
        <v>260</v>
      </c>
    </row>
    <row r="1622">
      <c r="A1622" s="11" t="s">
        <v>1484</v>
      </c>
      <c r="B1622" s="11" t="s">
        <v>248</v>
      </c>
      <c r="C1622" s="157" t="s">
        <v>1485</v>
      </c>
      <c r="D1622" s="11" t="s">
        <v>1478</v>
      </c>
      <c r="E1622" s="11" t="s">
        <v>555</v>
      </c>
      <c r="F1622" s="11">
        <v>1996.0</v>
      </c>
      <c r="G1622" s="40">
        <v>1891.0</v>
      </c>
      <c r="H1622" s="40" t="s">
        <v>188</v>
      </c>
      <c r="I1622" s="40" t="s">
        <v>188</v>
      </c>
      <c r="J1622" s="73" t="s">
        <v>188</v>
      </c>
      <c r="K1622" s="66" t="s">
        <v>188</v>
      </c>
      <c r="L1622" s="29" t="s">
        <v>260</v>
      </c>
    </row>
    <row r="1623">
      <c r="A1623" s="11" t="s">
        <v>1484</v>
      </c>
      <c r="B1623" s="11" t="s">
        <v>248</v>
      </c>
      <c r="C1623" s="157" t="s">
        <v>1485</v>
      </c>
      <c r="D1623" s="11" t="s">
        <v>1478</v>
      </c>
      <c r="E1623" s="11" t="s">
        <v>555</v>
      </c>
      <c r="F1623" s="11">
        <v>1998.0</v>
      </c>
      <c r="G1623" s="40">
        <v>1806.0</v>
      </c>
      <c r="H1623" s="40" t="s">
        <v>188</v>
      </c>
      <c r="I1623" s="40" t="s">
        <v>188</v>
      </c>
      <c r="J1623" s="73" t="s">
        <v>188</v>
      </c>
      <c r="K1623" s="66" t="s">
        <v>188</v>
      </c>
      <c r="L1623" s="29" t="s">
        <v>260</v>
      </c>
    </row>
    <row r="1624">
      <c r="A1624" s="11" t="s">
        <v>1484</v>
      </c>
      <c r="B1624" s="11" t="s">
        <v>248</v>
      </c>
      <c r="C1624" s="157" t="s">
        <v>1485</v>
      </c>
      <c r="D1624" s="11" t="s">
        <v>1478</v>
      </c>
      <c r="E1624" s="11" t="s">
        <v>555</v>
      </c>
      <c r="F1624" s="11">
        <v>2000.0</v>
      </c>
      <c r="G1624" s="40">
        <v>1816.0</v>
      </c>
      <c r="H1624" s="40" t="s">
        <v>188</v>
      </c>
      <c r="I1624" s="40" t="s">
        <v>188</v>
      </c>
      <c r="J1624" s="73" t="s">
        <v>188</v>
      </c>
      <c r="K1624" s="66" t="s">
        <v>188</v>
      </c>
      <c r="L1624" s="29" t="s">
        <v>260</v>
      </c>
    </row>
    <row r="1625">
      <c r="A1625" s="11" t="s">
        <v>1484</v>
      </c>
      <c r="B1625" s="11" t="s">
        <v>248</v>
      </c>
      <c r="C1625" s="157" t="s">
        <v>1485</v>
      </c>
      <c r="D1625" s="11" t="s">
        <v>1478</v>
      </c>
      <c r="E1625" s="11" t="s">
        <v>555</v>
      </c>
      <c r="F1625" s="11">
        <v>2001.0</v>
      </c>
      <c r="G1625" s="40">
        <v>1631.0</v>
      </c>
      <c r="H1625" s="40" t="s">
        <v>188</v>
      </c>
      <c r="I1625" s="40" t="s">
        <v>188</v>
      </c>
      <c r="J1625" s="73" t="s">
        <v>188</v>
      </c>
      <c r="K1625" s="66" t="s">
        <v>188</v>
      </c>
      <c r="L1625" s="29" t="s">
        <v>260</v>
      </c>
    </row>
    <row r="1626">
      <c r="A1626" s="11" t="s">
        <v>1484</v>
      </c>
      <c r="B1626" s="11" t="s">
        <v>248</v>
      </c>
      <c r="C1626" s="157" t="s">
        <v>1485</v>
      </c>
      <c r="D1626" s="11" t="s">
        <v>1478</v>
      </c>
      <c r="E1626" s="11" t="s">
        <v>555</v>
      </c>
      <c r="F1626" s="11">
        <v>2002.0</v>
      </c>
      <c r="G1626" s="40">
        <v>2014.0</v>
      </c>
      <c r="H1626" s="40" t="s">
        <v>188</v>
      </c>
      <c r="I1626" s="40" t="s">
        <v>188</v>
      </c>
      <c r="J1626" s="73" t="s">
        <v>188</v>
      </c>
      <c r="K1626" s="66" t="s">
        <v>188</v>
      </c>
      <c r="L1626" s="29" t="s">
        <v>260</v>
      </c>
    </row>
    <row r="1627">
      <c r="A1627" s="11" t="s">
        <v>1484</v>
      </c>
      <c r="B1627" s="11" t="s">
        <v>248</v>
      </c>
      <c r="C1627" s="157" t="s">
        <v>1485</v>
      </c>
      <c r="D1627" s="11" t="s">
        <v>1478</v>
      </c>
      <c r="E1627" s="11" t="s">
        <v>555</v>
      </c>
      <c r="F1627" s="11">
        <v>2003.0</v>
      </c>
      <c r="G1627" s="40">
        <v>1734.0</v>
      </c>
      <c r="H1627" s="40" t="s">
        <v>188</v>
      </c>
      <c r="I1627" s="40" t="s">
        <v>188</v>
      </c>
      <c r="J1627" s="73" t="s">
        <v>188</v>
      </c>
      <c r="K1627" s="66" t="s">
        <v>188</v>
      </c>
      <c r="L1627" s="29" t="s">
        <v>260</v>
      </c>
    </row>
    <row r="1628">
      <c r="A1628" s="11" t="s">
        <v>1484</v>
      </c>
      <c r="B1628" s="11" t="s">
        <v>248</v>
      </c>
      <c r="C1628" s="157" t="s">
        <v>1485</v>
      </c>
      <c r="D1628" s="11" t="s">
        <v>1478</v>
      </c>
      <c r="E1628" s="11" t="s">
        <v>555</v>
      </c>
      <c r="F1628" s="11">
        <v>2004.0</v>
      </c>
      <c r="G1628" s="40">
        <v>2023.0</v>
      </c>
      <c r="H1628" s="40" t="s">
        <v>188</v>
      </c>
      <c r="I1628" s="40" t="s">
        <v>188</v>
      </c>
      <c r="J1628" s="73" t="s">
        <v>188</v>
      </c>
      <c r="K1628" s="66" t="s">
        <v>188</v>
      </c>
      <c r="L1628" s="29" t="s">
        <v>260</v>
      </c>
    </row>
    <row r="1629">
      <c r="A1629" s="11" t="s">
        <v>1484</v>
      </c>
      <c r="B1629" s="11" t="s">
        <v>248</v>
      </c>
      <c r="C1629" s="157" t="s">
        <v>1485</v>
      </c>
      <c r="D1629" s="11" t="s">
        <v>1478</v>
      </c>
      <c r="E1629" s="11" t="s">
        <v>555</v>
      </c>
      <c r="F1629" s="11">
        <v>2005.0</v>
      </c>
      <c r="G1629" s="40">
        <v>2027.0</v>
      </c>
      <c r="H1629" s="40" t="s">
        <v>188</v>
      </c>
      <c r="I1629" s="40" t="s">
        <v>188</v>
      </c>
      <c r="J1629" s="73" t="s">
        <v>188</v>
      </c>
      <c r="K1629" s="66" t="s">
        <v>188</v>
      </c>
      <c r="L1629" s="29" t="s">
        <v>260</v>
      </c>
    </row>
    <row r="1630">
      <c r="A1630" s="11" t="s">
        <v>1484</v>
      </c>
      <c r="B1630" s="11" t="s">
        <v>248</v>
      </c>
      <c r="C1630" s="157" t="s">
        <v>1485</v>
      </c>
      <c r="D1630" s="11" t="s">
        <v>1478</v>
      </c>
      <c r="E1630" s="11" t="s">
        <v>555</v>
      </c>
      <c r="F1630" s="11">
        <v>2009.0</v>
      </c>
      <c r="G1630" s="40">
        <v>2614.0</v>
      </c>
      <c r="H1630" s="40" t="s">
        <v>188</v>
      </c>
      <c r="I1630" s="40" t="s">
        <v>188</v>
      </c>
      <c r="J1630" s="73" t="s">
        <v>188</v>
      </c>
      <c r="K1630" s="66" t="s">
        <v>188</v>
      </c>
      <c r="L1630" s="29" t="s">
        <v>260</v>
      </c>
    </row>
    <row r="1631">
      <c r="A1631" s="11" t="s">
        <v>1484</v>
      </c>
      <c r="B1631" s="11" t="s">
        <v>248</v>
      </c>
      <c r="C1631" s="157" t="s">
        <v>1485</v>
      </c>
      <c r="D1631" s="11" t="s">
        <v>1478</v>
      </c>
      <c r="E1631" s="11" t="s">
        <v>555</v>
      </c>
      <c r="F1631" s="11">
        <v>2011.0</v>
      </c>
      <c r="G1631" s="40">
        <v>2908.0</v>
      </c>
      <c r="H1631" s="40" t="s">
        <v>188</v>
      </c>
      <c r="I1631" s="40" t="s">
        <v>188</v>
      </c>
      <c r="J1631" s="73" t="s">
        <v>188</v>
      </c>
      <c r="K1631" s="66" t="s">
        <v>188</v>
      </c>
      <c r="L1631" s="29" t="s">
        <v>260</v>
      </c>
    </row>
    <row r="1632">
      <c r="A1632" s="11" t="s">
        <v>1484</v>
      </c>
      <c r="B1632" s="11" t="s">
        <v>248</v>
      </c>
      <c r="C1632" s="157" t="s">
        <v>1485</v>
      </c>
      <c r="D1632" s="11" t="s">
        <v>1478</v>
      </c>
      <c r="E1632" s="11" t="s">
        <v>555</v>
      </c>
      <c r="F1632" s="11">
        <v>2013.0</v>
      </c>
      <c r="G1632" s="40">
        <v>3012.0</v>
      </c>
      <c r="H1632" s="40" t="s">
        <v>188</v>
      </c>
      <c r="I1632" s="40" t="s">
        <v>188</v>
      </c>
      <c r="J1632" s="73" t="s">
        <v>188</v>
      </c>
      <c r="K1632" s="66" t="s">
        <v>188</v>
      </c>
      <c r="L1632" s="29" t="s">
        <v>260</v>
      </c>
    </row>
    <row r="1633">
      <c r="A1633" s="11" t="s">
        <v>1484</v>
      </c>
      <c r="B1633" s="11" t="s">
        <v>248</v>
      </c>
      <c r="C1633" s="157" t="s">
        <v>1485</v>
      </c>
      <c r="D1633" s="11" t="s">
        <v>1478</v>
      </c>
      <c r="E1633" s="11" t="s">
        <v>555</v>
      </c>
      <c r="F1633" s="11">
        <v>2014.0</v>
      </c>
      <c r="G1633" s="40">
        <v>2685.0</v>
      </c>
      <c r="H1633" s="40" t="s">
        <v>188</v>
      </c>
      <c r="I1633" s="40" t="s">
        <v>188</v>
      </c>
      <c r="J1633" s="73" t="s">
        <v>188</v>
      </c>
      <c r="K1633" s="66" t="s">
        <v>188</v>
      </c>
      <c r="L1633" s="29" t="s">
        <v>260</v>
      </c>
    </row>
    <row r="1634">
      <c r="A1634" s="11" t="s">
        <v>1484</v>
      </c>
      <c r="B1634" s="11" t="s">
        <v>248</v>
      </c>
      <c r="C1634" s="157" t="s">
        <v>1485</v>
      </c>
      <c r="D1634" s="11" t="s">
        <v>1478</v>
      </c>
      <c r="E1634" s="11" t="s">
        <v>555</v>
      </c>
      <c r="F1634" s="11">
        <v>2015.0</v>
      </c>
      <c r="G1634" s="40">
        <v>2926.0</v>
      </c>
      <c r="H1634" s="40" t="s">
        <v>188</v>
      </c>
      <c r="I1634" s="40" t="s">
        <v>188</v>
      </c>
      <c r="J1634" s="73" t="s">
        <v>188</v>
      </c>
      <c r="K1634" s="66" t="s">
        <v>188</v>
      </c>
      <c r="L1634" s="29" t="s">
        <v>260</v>
      </c>
    </row>
    <row r="1635">
      <c r="A1635" s="11" t="s">
        <v>1484</v>
      </c>
      <c r="B1635" s="11" t="s">
        <v>248</v>
      </c>
      <c r="C1635" s="157" t="s">
        <v>1485</v>
      </c>
      <c r="D1635" s="11" t="s">
        <v>1478</v>
      </c>
      <c r="E1635" s="11" t="s">
        <v>555</v>
      </c>
      <c r="F1635" s="11">
        <v>2016.0</v>
      </c>
      <c r="G1635" s="40">
        <v>3025.0</v>
      </c>
      <c r="H1635" s="40" t="s">
        <v>188</v>
      </c>
      <c r="I1635" s="40" t="s">
        <v>188</v>
      </c>
      <c r="J1635" s="73" t="s">
        <v>188</v>
      </c>
      <c r="K1635" s="66" t="s">
        <v>188</v>
      </c>
      <c r="L1635" s="29" t="s">
        <v>260</v>
      </c>
    </row>
    <row r="1636">
      <c r="A1636" s="11" t="s">
        <v>1484</v>
      </c>
      <c r="B1636" s="11" t="s">
        <v>248</v>
      </c>
      <c r="C1636" s="157" t="s">
        <v>1485</v>
      </c>
      <c r="D1636" s="11" t="s">
        <v>1478</v>
      </c>
      <c r="E1636" s="11" t="s">
        <v>555</v>
      </c>
      <c r="F1636" s="11">
        <v>2017.0</v>
      </c>
      <c r="G1636" s="40">
        <v>3030.0</v>
      </c>
      <c r="H1636" s="40" t="s">
        <v>188</v>
      </c>
      <c r="I1636" s="40" t="s">
        <v>188</v>
      </c>
      <c r="J1636" s="73" t="s">
        <v>188</v>
      </c>
      <c r="K1636" s="66" t="s">
        <v>188</v>
      </c>
      <c r="L1636" s="29" t="s">
        <v>260</v>
      </c>
    </row>
    <row r="1637">
      <c r="A1637" s="11" t="s">
        <v>1484</v>
      </c>
      <c r="B1637" s="11" t="s">
        <v>248</v>
      </c>
      <c r="C1637" s="157" t="s">
        <v>1485</v>
      </c>
      <c r="D1637" s="11" t="s">
        <v>1478</v>
      </c>
      <c r="E1637" s="11" t="s">
        <v>555</v>
      </c>
      <c r="F1637" s="11">
        <v>2018.0</v>
      </c>
      <c r="G1637" s="40">
        <v>3034.0</v>
      </c>
      <c r="H1637" s="40" t="s">
        <v>188</v>
      </c>
      <c r="I1637" s="40" t="s">
        <v>188</v>
      </c>
      <c r="J1637" s="73" t="s">
        <v>188</v>
      </c>
      <c r="K1637" s="66" t="s">
        <v>188</v>
      </c>
      <c r="L1637" s="29" t="s">
        <v>260</v>
      </c>
    </row>
    <row r="1638">
      <c r="A1638" s="11" t="s">
        <v>1484</v>
      </c>
      <c r="B1638" s="11" t="s">
        <v>248</v>
      </c>
      <c r="C1638" s="157" t="s">
        <v>1485</v>
      </c>
      <c r="D1638" s="11" t="s">
        <v>1478</v>
      </c>
      <c r="E1638" s="11" t="s">
        <v>555</v>
      </c>
      <c r="F1638" s="11">
        <v>2019.0</v>
      </c>
      <c r="G1638" s="40">
        <v>3229.0</v>
      </c>
      <c r="H1638" s="40" t="s">
        <v>188</v>
      </c>
      <c r="I1638" s="40" t="s">
        <v>188</v>
      </c>
      <c r="J1638" s="73" t="s">
        <v>188</v>
      </c>
      <c r="K1638" s="66" t="s">
        <v>188</v>
      </c>
      <c r="L1638" s="29" t="s">
        <v>260</v>
      </c>
    </row>
    <row r="1639">
      <c r="A1639" s="11" t="s">
        <v>1486</v>
      </c>
      <c r="B1639" s="11" t="s">
        <v>248</v>
      </c>
      <c r="C1639" s="157" t="s">
        <v>1487</v>
      </c>
      <c r="D1639" s="11" t="s">
        <v>1478</v>
      </c>
      <c r="E1639" s="11" t="s">
        <v>555</v>
      </c>
      <c r="F1639" s="11">
        <v>1978.0</v>
      </c>
      <c r="G1639" s="40">
        <v>568.0</v>
      </c>
      <c r="H1639" s="40" t="s">
        <v>188</v>
      </c>
      <c r="I1639" s="40" t="s">
        <v>188</v>
      </c>
      <c r="J1639" s="73" t="s">
        <v>188</v>
      </c>
      <c r="K1639" s="66" t="s">
        <v>188</v>
      </c>
      <c r="L1639" s="29" t="s">
        <v>260</v>
      </c>
    </row>
    <row r="1640">
      <c r="A1640" s="11" t="s">
        <v>1486</v>
      </c>
      <c r="B1640" s="11" t="s">
        <v>248</v>
      </c>
      <c r="C1640" s="157" t="s">
        <v>1487</v>
      </c>
      <c r="D1640" s="11" t="s">
        <v>1478</v>
      </c>
      <c r="E1640" s="11" t="s">
        <v>555</v>
      </c>
      <c r="F1640" s="11">
        <v>1989.0</v>
      </c>
      <c r="G1640" s="40">
        <v>1136.0</v>
      </c>
      <c r="H1640" s="40" t="s">
        <v>188</v>
      </c>
      <c r="I1640" s="40" t="s">
        <v>188</v>
      </c>
      <c r="J1640" s="73" t="s">
        <v>188</v>
      </c>
      <c r="K1640" s="66" t="s">
        <v>188</v>
      </c>
      <c r="L1640" s="29" t="s">
        <v>260</v>
      </c>
    </row>
    <row r="1641">
      <c r="A1641" s="11" t="s">
        <v>1486</v>
      </c>
      <c r="B1641" s="11" t="s">
        <v>248</v>
      </c>
      <c r="C1641" s="157" t="s">
        <v>1487</v>
      </c>
      <c r="D1641" s="11" t="s">
        <v>1478</v>
      </c>
      <c r="E1641" s="11" t="s">
        <v>555</v>
      </c>
      <c r="F1641" s="11">
        <v>1990.0</v>
      </c>
      <c r="G1641" s="40">
        <v>1136.0</v>
      </c>
      <c r="H1641" s="40" t="s">
        <v>188</v>
      </c>
      <c r="I1641" s="40" t="s">
        <v>188</v>
      </c>
      <c r="J1641" s="73" t="s">
        <v>188</v>
      </c>
      <c r="K1641" s="66" t="s">
        <v>188</v>
      </c>
      <c r="L1641" s="29" t="s">
        <v>260</v>
      </c>
    </row>
    <row r="1642">
      <c r="A1642" s="11" t="s">
        <v>1486</v>
      </c>
      <c r="B1642" s="11" t="s">
        <v>248</v>
      </c>
      <c r="C1642" s="157" t="s">
        <v>1487</v>
      </c>
      <c r="D1642" s="11" t="s">
        <v>1478</v>
      </c>
      <c r="E1642" s="11" t="s">
        <v>555</v>
      </c>
      <c r="F1642" s="11">
        <v>1991.0</v>
      </c>
      <c r="G1642" s="40">
        <v>1184.0</v>
      </c>
      <c r="H1642" s="40" t="s">
        <v>188</v>
      </c>
      <c r="I1642" s="40" t="s">
        <v>188</v>
      </c>
      <c r="J1642" s="73" t="s">
        <v>188</v>
      </c>
      <c r="K1642" s="66" t="s">
        <v>188</v>
      </c>
      <c r="L1642" s="29" t="s">
        <v>260</v>
      </c>
    </row>
    <row r="1643">
      <c r="A1643" s="11" t="s">
        <v>1486</v>
      </c>
      <c r="B1643" s="11" t="s">
        <v>248</v>
      </c>
      <c r="C1643" s="157" t="s">
        <v>1487</v>
      </c>
      <c r="D1643" s="11" t="s">
        <v>1478</v>
      </c>
      <c r="E1643" s="11" t="s">
        <v>555</v>
      </c>
      <c r="F1643" s="11">
        <v>1993.0</v>
      </c>
      <c r="G1643" s="40">
        <v>1136.0</v>
      </c>
      <c r="H1643" s="40" t="s">
        <v>188</v>
      </c>
      <c r="I1643" s="40" t="s">
        <v>188</v>
      </c>
      <c r="J1643" s="73" t="s">
        <v>188</v>
      </c>
      <c r="K1643" s="66" t="s">
        <v>188</v>
      </c>
      <c r="L1643" s="29" t="s">
        <v>260</v>
      </c>
    </row>
    <row r="1644">
      <c r="A1644" s="11" t="s">
        <v>1486</v>
      </c>
      <c r="B1644" s="11" t="s">
        <v>248</v>
      </c>
      <c r="C1644" s="157" t="s">
        <v>1487</v>
      </c>
      <c r="D1644" s="11" t="s">
        <v>1478</v>
      </c>
      <c r="E1644" s="11" t="s">
        <v>555</v>
      </c>
      <c r="F1644" s="11">
        <v>1994.0</v>
      </c>
      <c r="G1644" s="40">
        <v>947.0</v>
      </c>
      <c r="H1644" s="40" t="s">
        <v>188</v>
      </c>
      <c r="I1644" s="40" t="s">
        <v>188</v>
      </c>
      <c r="J1644" s="73" t="s">
        <v>188</v>
      </c>
      <c r="K1644" s="66" t="s">
        <v>188</v>
      </c>
      <c r="L1644" s="29" t="s">
        <v>260</v>
      </c>
    </row>
    <row r="1645">
      <c r="A1645" s="11" t="s">
        <v>1486</v>
      </c>
      <c r="B1645" s="11" t="s">
        <v>248</v>
      </c>
      <c r="C1645" s="157" t="s">
        <v>1487</v>
      </c>
      <c r="D1645" s="11" t="s">
        <v>1478</v>
      </c>
      <c r="E1645" s="11" t="s">
        <v>555</v>
      </c>
      <c r="F1645" s="11">
        <v>1996.0</v>
      </c>
      <c r="G1645" s="40">
        <v>663.0</v>
      </c>
      <c r="H1645" s="40" t="s">
        <v>188</v>
      </c>
      <c r="I1645" s="40" t="s">
        <v>188</v>
      </c>
      <c r="J1645" s="73" t="s">
        <v>188</v>
      </c>
      <c r="K1645" s="66" t="s">
        <v>188</v>
      </c>
      <c r="L1645" s="29" t="s">
        <v>260</v>
      </c>
    </row>
    <row r="1646">
      <c r="A1646" s="11" t="s">
        <v>1486</v>
      </c>
      <c r="B1646" s="11" t="s">
        <v>248</v>
      </c>
      <c r="C1646" s="157" t="s">
        <v>1487</v>
      </c>
      <c r="D1646" s="11" t="s">
        <v>1478</v>
      </c>
      <c r="E1646" s="11" t="s">
        <v>555</v>
      </c>
      <c r="F1646" s="11">
        <v>1997.0</v>
      </c>
      <c r="G1646" s="40">
        <v>758.0</v>
      </c>
      <c r="H1646" s="40" t="s">
        <v>188</v>
      </c>
      <c r="I1646" s="40" t="s">
        <v>188</v>
      </c>
      <c r="J1646" s="73" t="s">
        <v>188</v>
      </c>
      <c r="K1646" s="66" t="s">
        <v>188</v>
      </c>
      <c r="L1646" s="29" t="s">
        <v>260</v>
      </c>
    </row>
    <row r="1647">
      <c r="A1647" s="11" t="s">
        <v>1486</v>
      </c>
      <c r="B1647" s="11" t="s">
        <v>248</v>
      </c>
      <c r="C1647" s="157" t="s">
        <v>1487</v>
      </c>
      <c r="D1647" s="11" t="s">
        <v>1478</v>
      </c>
      <c r="E1647" s="11" t="s">
        <v>555</v>
      </c>
      <c r="F1647" s="11">
        <v>1998.0</v>
      </c>
      <c r="G1647" s="40">
        <v>758.0</v>
      </c>
      <c r="H1647" s="40" t="s">
        <v>188</v>
      </c>
      <c r="I1647" s="40" t="s">
        <v>188</v>
      </c>
      <c r="J1647" s="73" t="s">
        <v>188</v>
      </c>
      <c r="K1647" s="66" t="s">
        <v>188</v>
      </c>
      <c r="L1647" s="29" t="s">
        <v>260</v>
      </c>
    </row>
    <row r="1648">
      <c r="A1648" s="11" t="s">
        <v>1486</v>
      </c>
      <c r="B1648" s="11" t="s">
        <v>248</v>
      </c>
      <c r="C1648" s="157" t="s">
        <v>1487</v>
      </c>
      <c r="D1648" s="11" t="s">
        <v>1478</v>
      </c>
      <c r="E1648" s="11" t="s">
        <v>555</v>
      </c>
      <c r="F1648" s="11">
        <v>2000.0</v>
      </c>
      <c r="G1648" s="40">
        <v>758.0</v>
      </c>
      <c r="H1648" s="40" t="s">
        <v>188</v>
      </c>
      <c r="I1648" s="40" t="s">
        <v>188</v>
      </c>
      <c r="J1648" s="73" t="s">
        <v>188</v>
      </c>
      <c r="K1648" s="66" t="s">
        <v>188</v>
      </c>
      <c r="L1648" s="29" t="s">
        <v>260</v>
      </c>
    </row>
    <row r="1649">
      <c r="A1649" s="11" t="s">
        <v>1486</v>
      </c>
      <c r="B1649" s="11" t="s">
        <v>248</v>
      </c>
      <c r="C1649" s="157" t="s">
        <v>1487</v>
      </c>
      <c r="D1649" s="11" t="s">
        <v>1478</v>
      </c>
      <c r="E1649" s="11" t="s">
        <v>555</v>
      </c>
      <c r="F1649" s="11">
        <v>2001.0</v>
      </c>
      <c r="G1649" s="40">
        <v>710.0</v>
      </c>
      <c r="H1649" s="40" t="s">
        <v>188</v>
      </c>
      <c r="I1649" s="40" t="s">
        <v>188</v>
      </c>
      <c r="J1649" s="73" t="s">
        <v>188</v>
      </c>
      <c r="K1649" s="66" t="s">
        <v>188</v>
      </c>
      <c r="L1649" s="29" t="s">
        <v>260</v>
      </c>
    </row>
    <row r="1650">
      <c r="A1650" s="11" t="s">
        <v>1486</v>
      </c>
      <c r="B1650" s="11" t="s">
        <v>248</v>
      </c>
      <c r="C1650" s="157" t="s">
        <v>1487</v>
      </c>
      <c r="D1650" s="11" t="s">
        <v>1478</v>
      </c>
      <c r="E1650" s="11" t="s">
        <v>555</v>
      </c>
      <c r="F1650" s="11">
        <v>2002.0</v>
      </c>
      <c r="G1650" s="40">
        <v>663.0</v>
      </c>
      <c r="H1650" s="40" t="s">
        <v>188</v>
      </c>
      <c r="I1650" s="40" t="s">
        <v>188</v>
      </c>
      <c r="J1650" s="73" t="s">
        <v>188</v>
      </c>
      <c r="K1650" s="66" t="s">
        <v>188</v>
      </c>
      <c r="L1650" s="29" t="s">
        <v>260</v>
      </c>
    </row>
    <row r="1651">
      <c r="A1651" s="11" t="s">
        <v>1486</v>
      </c>
      <c r="B1651" s="11" t="s">
        <v>248</v>
      </c>
      <c r="C1651" s="157" t="s">
        <v>1487</v>
      </c>
      <c r="D1651" s="11" t="s">
        <v>1478</v>
      </c>
      <c r="E1651" s="11" t="s">
        <v>555</v>
      </c>
      <c r="F1651" s="11">
        <v>2003.0</v>
      </c>
      <c r="G1651" s="40">
        <v>758.0</v>
      </c>
      <c r="H1651" s="40" t="s">
        <v>188</v>
      </c>
      <c r="I1651" s="40" t="s">
        <v>188</v>
      </c>
      <c r="J1651" s="73" t="s">
        <v>188</v>
      </c>
      <c r="K1651" s="66" t="s">
        <v>188</v>
      </c>
      <c r="L1651" s="29" t="s">
        <v>260</v>
      </c>
    </row>
    <row r="1652">
      <c r="A1652" s="11" t="s">
        <v>1486</v>
      </c>
      <c r="B1652" s="11" t="s">
        <v>248</v>
      </c>
      <c r="C1652" s="157" t="s">
        <v>1487</v>
      </c>
      <c r="D1652" s="11" t="s">
        <v>1478</v>
      </c>
      <c r="E1652" s="11" t="s">
        <v>555</v>
      </c>
      <c r="F1652" s="11">
        <v>2004.0</v>
      </c>
      <c r="G1652" s="40">
        <v>758.0</v>
      </c>
      <c r="H1652" s="40" t="s">
        <v>188</v>
      </c>
      <c r="I1652" s="40" t="s">
        <v>188</v>
      </c>
      <c r="J1652" s="73" t="s">
        <v>188</v>
      </c>
      <c r="K1652" s="66" t="s">
        <v>188</v>
      </c>
      <c r="L1652" s="29" t="s">
        <v>260</v>
      </c>
    </row>
    <row r="1653">
      <c r="A1653" s="11" t="s">
        <v>1486</v>
      </c>
      <c r="B1653" s="11" t="s">
        <v>248</v>
      </c>
      <c r="C1653" s="157" t="s">
        <v>1487</v>
      </c>
      <c r="D1653" s="11" t="s">
        <v>1478</v>
      </c>
      <c r="E1653" s="11" t="s">
        <v>555</v>
      </c>
      <c r="F1653" s="11">
        <v>2005.0</v>
      </c>
      <c r="G1653" s="40">
        <v>758.0</v>
      </c>
      <c r="H1653" s="40" t="s">
        <v>188</v>
      </c>
      <c r="I1653" s="40" t="s">
        <v>188</v>
      </c>
      <c r="J1653" s="73" t="s">
        <v>188</v>
      </c>
      <c r="K1653" s="66" t="s">
        <v>188</v>
      </c>
      <c r="L1653" s="29" t="s">
        <v>260</v>
      </c>
    </row>
    <row r="1654">
      <c r="A1654" s="11" t="s">
        <v>1486</v>
      </c>
      <c r="B1654" s="11" t="s">
        <v>248</v>
      </c>
      <c r="C1654" s="157" t="s">
        <v>1487</v>
      </c>
      <c r="D1654" s="11" t="s">
        <v>1478</v>
      </c>
      <c r="E1654" s="11" t="s">
        <v>555</v>
      </c>
      <c r="F1654" s="11">
        <v>2009.0</v>
      </c>
      <c r="G1654" s="40">
        <v>1089.0</v>
      </c>
      <c r="H1654" s="40" t="s">
        <v>188</v>
      </c>
      <c r="I1654" s="40" t="s">
        <v>188</v>
      </c>
      <c r="J1654" s="73" t="s">
        <v>188</v>
      </c>
      <c r="K1654" s="66" t="s">
        <v>188</v>
      </c>
      <c r="L1654" s="29" t="s">
        <v>260</v>
      </c>
    </row>
    <row r="1655">
      <c r="A1655" s="11" t="s">
        <v>1486</v>
      </c>
      <c r="B1655" s="11" t="s">
        <v>248</v>
      </c>
      <c r="C1655" s="157" t="s">
        <v>1487</v>
      </c>
      <c r="D1655" s="11" t="s">
        <v>1478</v>
      </c>
      <c r="E1655" s="11" t="s">
        <v>555</v>
      </c>
      <c r="F1655" s="11">
        <v>2010.0</v>
      </c>
      <c r="G1655" s="40">
        <v>947.0</v>
      </c>
      <c r="H1655" s="40" t="s">
        <v>188</v>
      </c>
      <c r="I1655" s="40" t="s">
        <v>188</v>
      </c>
      <c r="J1655" s="73" t="s">
        <v>188</v>
      </c>
      <c r="K1655" s="66" t="s">
        <v>188</v>
      </c>
      <c r="L1655" s="29" t="s">
        <v>260</v>
      </c>
    </row>
    <row r="1656">
      <c r="A1656" s="11" t="s">
        <v>1486</v>
      </c>
      <c r="B1656" s="11" t="s">
        <v>248</v>
      </c>
      <c r="C1656" s="157" t="s">
        <v>1487</v>
      </c>
      <c r="D1656" s="11" t="s">
        <v>1478</v>
      </c>
      <c r="E1656" s="11" t="s">
        <v>555</v>
      </c>
      <c r="F1656" s="11">
        <v>2011.0</v>
      </c>
      <c r="G1656" s="40">
        <v>1136.0</v>
      </c>
      <c r="H1656" s="40" t="s">
        <v>188</v>
      </c>
      <c r="I1656" s="40" t="s">
        <v>188</v>
      </c>
      <c r="J1656" s="73" t="s">
        <v>188</v>
      </c>
      <c r="K1656" s="66" t="s">
        <v>188</v>
      </c>
      <c r="L1656" s="29" t="s">
        <v>260</v>
      </c>
    </row>
    <row r="1657">
      <c r="A1657" s="11" t="s">
        <v>1486</v>
      </c>
      <c r="B1657" s="11" t="s">
        <v>248</v>
      </c>
      <c r="C1657" s="157" t="s">
        <v>1487</v>
      </c>
      <c r="D1657" s="11" t="s">
        <v>1478</v>
      </c>
      <c r="E1657" s="11" t="s">
        <v>555</v>
      </c>
      <c r="F1657" s="11">
        <v>2013.0</v>
      </c>
      <c r="G1657" s="40">
        <v>1231.0</v>
      </c>
      <c r="H1657" s="40" t="s">
        <v>188</v>
      </c>
      <c r="I1657" s="40" t="s">
        <v>188</v>
      </c>
      <c r="J1657" s="73" t="s">
        <v>188</v>
      </c>
      <c r="K1657" s="66" t="s">
        <v>188</v>
      </c>
      <c r="L1657" s="29" t="s">
        <v>260</v>
      </c>
    </row>
    <row r="1658">
      <c r="A1658" s="11" t="s">
        <v>1486</v>
      </c>
      <c r="B1658" s="11" t="s">
        <v>248</v>
      </c>
      <c r="C1658" s="157" t="s">
        <v>1487</v>
      </c>
      <c r="D1658" s="11" t="s">
        <v>1478</v>
      </c>
      <c r="E1658" s="11" t="s">
        <v>555</v>
      </c>
      <c r="F1658" s="11">
        <v>2015.0</v>
      </c>
      <c r="G1658" s="40">
        <v>1231.0</v>
      </c>
      <c r="H1658" s="40" t="s">
        <v>188</v>
      </c>
      <c r="I1658" s="40" t="s">
        <v>188</v>
      </c>
      <c r="J1658" s="73" t="s">
        <v>188</v>
      </c>
      <c r="K1658" s="66" t="s">
        <v>188</v>
      </c>
      <c r="L1658" s="29" t="s">
        <v>260</v>
      </c>
    </row>
    <row r="1659">
      <c r="A1659" s="11" t="s">
        <v>1486</v>
      </c>
      <c r="B1659" s="11" t="s">
        <v>248</v>
      </c>
      <c r="C1659" s="157" t="s">
        <v>1487</v>
      </c>
      <c r="D1659" s="11" t="s">
        <v>1478</v>
      </c>
      <c r="E1659" s="11" t="s">
        <v>555</v>
      </c>
      <c r="F1659" s="11">
        <v>2017.0</v>
      </c>
      <c r="G1659" s="40">
        <v>758.0</v>
      </c>
      <c r="H1659" s="40" t="s">
        <v>188</v>
      </c>
      <c r="I1659" s="40" t="s">
        <v>188</v>
      </c>
      <c r="J1659" s="73" t="s">
        <v>188</v>
      </c>
      <c r="K1659" s="66" t="s">
        <v>188</v>
      </c>
      <c r="L1659" s="29" t="s">
        <v>260</v>
      </c>
    </row>
    <row r="1660">
      <c r="A1660" s="11" t="s">
        <v>1486</v>
      </c>
      <c r="B1660" s="11" t="s">
        <v>248</v>
      </c>
      <c r="C1660" s="157" t="s">
        <v>1487</v>
      </c>
      <c r="D1660" s="11" t="s">
        <v>1478</v>
      </c>
      <c r="E1660" s="11" t="s">
        <v>555</v>
      </c>
      <c r="F1660" s="11">
        <v>2019.0</v>
      </c>
      <c r="G1660" s="40">
        <v>1184.0</v>
      </c>
      <c r="H1660" s="40" t="s">
        <v>188</v>
      </c>
      <c r="I1660" s="40" t="s">
        <v>188</v>
      </c>
      <c r="J1660" s="73" t="s">
        <v>188</v>
      </c>
      <c r="K1660" s="66" t="s">
        <v>188</v>
      </c>
      <c r="L1660" s="29" t="s">
        <v>260</v>
      </c>
    </row>
    <row r="1661">
      <c r="A1661" s="11" t="s">
        <v>1488</v>
      </c>
      <c r="B1661" s="11" t="s">
        <v>248</v>
      </c>
      <c r="C1661" s="157" t="s">
        <v>1489</v>
      </c>
      <c r="D1661" s="11" t="s">
        <v>1478</v>
      </c>
      <c r="E1661" s="11" t="s">
        <v>555</v>
      </c>
      <c r="F1661" s="11">
        <v>1978.0</v>
      </c>
      <c r="G1661" s="40">
        <v>17992.0</v>
      </c>
      <c r="H1661" s="40" t="s">
        <v>188</v>
      </c>
      <c r="I1661" s="40" t="s">
        <v>188</v>
      </c>
      <c r="J1661" s="73" t="s">
        <v>188</v>
      </c>
      <c r="K1661" s="66" t="s">
        <v>188</v>
      </c>
      <c r="L1661" s="29" t="s">
        <v>260</v>
      </c>
    </row>
    <row r="1662">
      <c r="A1662" s="11" t="s">
        <v>1488</v>
      </c>
      <c r="B1662" s="11" t="s">
        <v>248</v>
      </c>
      <c r="C1662" s="157" t="s">
        <v>1489</v>
      </c>
      <c r="D1662" s="11" t="s">
        <v>1478</v>
      </c>
      <c r="E1662" s="11" t="s">
        <v>555</v>
      </c>
      <c r="F1662" s="11">
        <v>1979.0</v>
      </c>
      <c r="G1662" s="40">
        <v>18182.0</v>
      </c>
      <c r="H1662" s="40" t="s">
        <v>188</v>
      </c>
      <c r="I1662" s="40" t="s">
        <v>188</v>
      </c>
      <c r="J1662" s="73" t="s">
        <v>188</v>
      </c>
      <c r="K1662" s="66" t="s">
        <v>188</v>
      </c>
      <c r="L1662" s="29" t="s">
        <v>260</v>
      </c>
    </row>
    <row r="1663">
      <c r="A1663" s="11" t="s">
        <v>1488</v>
      </c>
      <c r="B1663" s="11" t="s">
        <v>248</v>
      </c>
      <c r="C1663" s="157" t="s">
        <v>1489</v>
      </c>
      <c r="D1663" s="11" t="s">
        <v>1478</v>
      </c>
      <c r="E1663" s="11" t="s">
        <v>555</v>
      </c>
      <c r="F1663" s="11">
        <v>1984.0</v>
      </c>
      <c r="G1663" s="40">
        <v>12879.0</v>
      </c>
      <c r="H1663" s="40" t="s">
        <v>188</v>
      </c>
      <c r="I1663" s="40" t="s">
        <v>188</v>
      </c>
      <c r="J1663" s="73" t="s">
        <v>188</v>
      </c>
      <c r="K1663" s="66" t="s">
        <v>188</v>
      </c>
      <c r="L1663" s="29" t="s">
        <v>260</v>
      </c>
    </row>
    <row r="1664">
      <c r="A1664" s="11" t="s">
        <v>1488</v>
      </c>
      <c r="B1664" s="11" t="s">
        <v>248</v>
      </c>
      <c r="C1664" s="157" t="s">
        <v>1489</v>
      </c>
      <c r="D1664" s="11" t="s">
        <v>1478</v>
      </c>
      <c r="E1664" s="11" t="s">
        <v>555</v>
      </c>
      <c r="F1664" s="11">
        <v>1986.0</v>
      </c>
      <c r="G1664" s="40">
        <v>10985.0</v>
      </c>
      <c r="H1664" s="40" t="s">
        <v>188</v>
      </c>
      <c r="I1664" s="40" t="s">
        <v>188</v>
      </c>
      <c r="J1664" s="73" t="s">
        <v>188</v>
      </c>
      <c r="K1664" s="66" t="s">
        <v>188</v>
      </c>
      <c r="L1664" s="29" t="s">
        <v>260</v>
      </c>
    </row>
    <row r="1665">
      <c r="A1665" s="11" t="s">
        <v>1488</v>
      </c>
      <c r="B1665" s="11" t="s">
        <v>248</v>
      </c>
      <c r="C1665" s="157" t="s">
        <v>1489</v>
      </c>
      <c r="D1665" s="11" t="s">
        <v>1478</v>
      </c>
      <c r="E1665" s="11" t="s">
        <v>555</v>
      </c>
      <c r="F1665" s="11">
        <v>1989.0</v>
      </c>
      <c r="G1665" s="40">
        <v>6487.0</v>
      </c>
      <c r="H1665" s="40" t="s">
        <v>188</v>
      </c>
      <c r="I1665" s="40" t="s">
        <v>188</v>
      </c>
      <c r="J1665" s="73" t="s">
        <v>188</v>
      </c>
      <c r="K1665" s="66" t="s">
        <v>188</v>
      </c>
      <c r="L1665" s="29" t="s">
        <v>260</v>
      </c>
    </row>
    <row r="1666">
      <c r="A1666" s="11" t="s">
        <v>1488</v>
      </c>
      <c r="B1666" s="11" t="s">
        <v>248</v>
      </c>
      <c r="C1666" s="157" t="s">
        <v>1489</v>
      </c>
      <c r="D1666" s="11" t="s">
        <v>1478</v>
      </c>
      <c r="E1666" s="11" t="s">
        <v>555</v>
      </c>
      <c r="F1666" s="11">
        <v>1990.0</v>
      </c>
      <c r="G1666" s="40">
        <v>4924.0</v>
      </c>
      <c r="H1666" s="40" t="s">
        <v>188</v>
      </c>
      <c r="I1666" s="40" t="s">
        <v>188</v>
      </c>
      <c r="J1666" s="73" t="s">
        <v>188</v>
      </c>
      <c r="K1666" s="66" t="s">
        <v>188</v>
      </c>
      <c r="L1666" s="29" t="s">
        <v>260</v>
      </c>
    </row>
    <row r="1667">
      <c r="A1667" s="11" t="s">
        <v>1488</v>
      </c>
      <c r="B1667" s="11" t="s">
        <v>248</v>
      </c>
      <c r="C1667" s="157" t="s">
        <v>1489</v>
      </c>
      <c r="D1667" s="11" t="s">
        <v>1478</v>
      </c>
      <c r="E1667" s="11" t="s">
        <v>555</v>
      </c>
      <c r="F1667" s="11">
        <v>1991.0</v>
      </c>
      <c r="G1667" s="40">
        <v>4545.0</v>
      </c>
      <c r="H1667" s="40" t="s">
        <v>188</v>
      </c>
      <c r="I1667" s="40" t="s">
        <v>188</v>
      </c>
      <c r="J1667" s="73" t="s">
        <v>188</v>
      </c>
      <c r="K1667" s="66" t="s">
        <v>188</v>
      </c>
      <c r="L1667" s="29" t="s">
        <v>260</v>
      </c>
    </row>
    <row r="1668">
      <c r="A1668" s="11" t="s">
        <v>1488</v>
      </c>
      <c r="B1668" s="11" t="s">
        <v>248</v>
      </c>
      <c r="C1668" s="157" t="s">
        <v>1489</v>
      </c>
      <c r="D1668" s="11" t="s">
        <v>1478</v>
      </c>
      <c r="E1668" s="11" t="s">
        <v>555</v>
      </c>
      <c r="F1668" s="11">
        <v>1992.0</v>
      </c>
      <c r="G1668" s="40">
        <v>3598.0</v>
      </c>
      <c r="H1668" s="40" t="s">
        <v>188</v>
      </c>
      <c r="I1668" s="40" t="s">
        <v>188</v>
      </c>
      <c r="J1668" s="73" t="s">
        <v>188</v>
      </c>
      <c r="K1668" s="66" t="s">
        <v>188</v>
      </c>
      <c r="L1668" s="29" t="s">
        <v>260</v>
      </c>
    </row>
    <row r="1669">
      <c r="A1669" s="11" t="s">
        <v>1488</v>
      </c>
      <c r="B1669" s="11" t="s">
        <v>248</v>
      </c>
      <c r="C1669" s="157" t="s">
        <v>1489</v>
      </c>
      <c r="D1669" s="11" t="s">
        <v>1478</v>
      </c>
      <c r="E1669" s="11" t="s">
        <v>555</v>
      </c>
      <c r="F1669" s="11">
        <v>1993.0</v>
      </c>
      <c r="G1669" s="40">
        <v>3220.0</v>
      </c>
      <c r="H1669" s="40" t="s">
        <v>188</v>
      </c>
      <c r="I1669" s="40" t="s">
        <v>188</v>
      </c>
      <c r="J1669" s="73" t="s">
        <v>188</v>
      </c>
      <c r="K1669" s="66" t="s">
        <v>188</v>
      </c>
      <c r="L1669" s="29" t="s">
        <v>260</v>
      </c>
    </row>
    <row r="1670">
      <c r="A1670" s="11" t="s">
        <v>1488</v>
      </c>
      <c r="B1670" s="11" t="s">
        <v>248</v>
      </c>
      <c r="C1670" s="157" t="s">
        <v>1489</v>
      </c>
      <c r="D1670" s="11" t="s">
        <v>1478</v>
      </c>
      <c r="E1670" s="11" t="s">
        <v>555</v>
      </c>
      <c r="F1670" s="11">
        <v>1994.0</v>
      </c>
      <c r="G1670" s="40">
        <v>2983.0</v>
      </c>
      <c r="H1670" s="40" t="s">
        <v>188</v>
      </c>
      <c r="I1670" s="40" t="s">
        <v>188</v>
      </c>
      <c r="J1670" s="73" t="s">
        <v>188</v>
      </c>
      <c r="K1670" s="66" t="s">
        <v>188</v>
      </c>
      <c r="L1670" s="29" t="s">
        <v>260</v>
      </c>
    </row>
    <row r="1671">
      <c r="A1671" s="11" t="s">
        <v>1488</v>
      </c>
      <c r="B1671" s="11" t="s">
        <v>248</v>
      </c>
      <c r="C1671" s="157" t="s">
        <v>1489</v>
      </c>
      <c r="D1671" s="11" t="s">
        <v>1478</v>
      </c>
      <c r="E1671" s="11" t="s">
        <v>555</v>
      </c>
      <c r="F1671" s="11">
        <v>1996.0</v>
      </c>
      <c r="G1671" s="40">
        <v>2273.0</v>
      </c>
      <c r="H1671" s="40" t="s">
        <v>188</v>
      </c>
      <c r="I1671" s="40" t="s">
        <v>188</v>
      </c>
      <c r="J1671" s="73" t="s">
        <v>188</v>
      </c>
      <c r="K1671" s="66" t="s">
        <v>188</v>
      </c>
      <c r="L1671" s="29" t="s">
        <v>260</v>
      </c>
    </row>
    <row r="1672">
      <c r="A1672" s="11" t="s">
        <v>1488</v>
      </c>
      <c r="B1672" s="11" t="s">
        <v>248</v>
      </c>
      <c r="C1672" s="157" t="s">
        <v>1489</v>
      </c>
      <c r="D1672" s="11" t="s">
        <v>1478</v>
      </c>
      <c r="E1672" s="11" t="s">
        <v>555</v>
      </c>
      <c r="F1672" s="11">
        <v>1997.0</v>
      </c>
      <c r="G1672" s="40">
        <v>2273.0</v>
      </c>
      <c r="H1672" s="40" t="s">
        <v>188</v>
      </c>
      <c r="I1672" s="40" t="s">
        <v>188</v>
      </c>
      <c r="J1672" s="73" t="s">
        <v>188</v>
      </c>
      <c r="K1672" s="66" t="s">
        <v>188</v>
      </c>
      <c r="L1672" s="29" t="s">
        <v>260</v>
      </c>
    </row>
    <row r="1673">
      <c r="A1673" s="11" t="s">
        <v>1488</v>
      </c>
      <c r="B1673" s="11" t="s">
        <v>248</v>
      </c>
      <c r="C1673" s="157" t="s">
        <v>1489</v>
      </c>
      <c r="D1673" s="11" t="s">
        <v>1478</v>
      </c>
      <c r="E1673" s="11" t="s">
        <v>555</v>
      </c>
      <c r="F1673" s="11">
        <v>1998.0</v>
      </c>
      <c r="G1673" s="40">
        <v>1941.0</v>
      </c>
      <c r="H1673" s="40" t="s">
        <v>188</v>
      </c>
      <c r="I1673" s="40" t="s">
        <v>188</v>
      </c>
      <c r="J1673" s="73" t="s">
        <v>188</v>
      </c>
      <c r="K1673" s="66" t="s">
        <v>188</v>
      </c>
      <c r="L1673" s="29" t="s">
        <v>260</v>
      </c>
    </row>
    <row r="1674">
      <c r="A1674" s="11" t="s">
        <v>1488</v>
      </c>
      <c r="B1674" s="11" t="s">
        <v>248</v>
      </c>
      <c r="C1674" s="157" t="s">
        <v>1489</v>
      </c>
      <c r="D1674" s="11" t="s">
        <v>1478</v>
      </c>
      <c r="E1674" s="11" t="s">
        <v>555</v>
      </c>
      <c r="F1674" s="11">
        <v>2000.0</v>
      </c>
      <c r="G1674" s="40">
        <v>1989.0</v>
      </c>
      <c r="H1674" s="40" t="s">
        <v>188</v>
      </c>
      <c r="I1674" s="40" t="s">
        <v>188</v>
      </c>
      <c r="J1674" s="73" t="s">
        <v>188</v>
      </c>
      <c r="K1674" s="66" t="s">
        <v>188</v>
      </c>
      <c r="L1674" s="29" t="s">
        <v>260</v>
      </c>
    </row>
    <row r="1675">
      <c r="A1675" s="11" t="s">
        <v>1488</v>
      </c>
      <c r="B1675" s="11" t="s">
        <v>248</v>
      </c>
      <c r="C1675" s="157" t="s">
        <v>1489</v>
      </c>
      <c r="D1675" s="11" t="s">
        <v>1478</v>
      </c>
      <c r="E1675" s="11" t="s">
        <v>555</v>
      </c>
      <c r="F1675" s="11">
        <v>2001.0</v>
      </c>
      <c r="G1675" s="40">
        <v>1657.0</v>
      </c>
      <c r="H1675" s="40" t="s">
        <v>188</v>
      </c>
      <c r="I1675" s="40" t="s">
        <v>188</v>
      </c>
      <c r="J1675" s="73" t="s">
        <v>188</v>
      </c>
      <c r="K1675" s="66" t="s">
        <v>188</v>
      </c>
      <c r="L1675" s="29" t="s">
        <v>260</v>
      </c>
    </row>
    <row r="1676">
      <c r="A1676" s="11" t="s">
        <v>1488</v>
      </c>
      <c r="B1676" s="11" t="s">
        <v>248</v>
      </c>
      <c r="C1676" s="157" t="s">
        <v>1489</v>
      </c>
      <c r="D1676" s="11" t="s">
        <v>1478</v>
      </c>
      <c r="E1676" s="11" t="s">
        <v>555</v>
      </c>
      <c r="F1676" s="11">
        <v>2002.0</v>
      </c>
      <c r="G1676" s="40">
        <v>1752.0</v>
      </c>
      <c r="H1676" s="40" t="s">
        <v>188</v>
      </c>
      <c r="I1676" s="40" t="s">
        <v>188</v>
      </c>
      <c r="J1676" s="73" t="s">
        <v>188</v>
      </c>
      <c r="K1676" s="66" t="s">
        <v>188</v>
      </c>
      <c r="L1676" s="29" t="s">
        <v>260</v>
      </c>
    </row>
    <row r="1677">
      <c r="A1677" s="11" t="s">
        <v>1488</v>
      </c>
      <c r="B1677" s="11" t="s">
        <v>248</v>
      </c>
      <c r="C1677" s="157" t="s">
        <v>1489</v>
      </c>
      <c r="D1677" s="11" t="s">
        <v>1478</v>
      </c>
      <c r="E1677" s="11" t="s">
        <v>555</v>
      </c>
      <c r="F1677" s="11">
        <v>2003.0</v>
      </c>
      <c r="G1677" s="40">
        <v>1705.0</v>
      </c>
      <c r="H1677" s="40" t="s">
        <v>188</v>
      </c>
      <c r="I1677" s="40" t="s">
        <v>188</v>
      </c>
      <c r="J1677" s="73" t="s">
        <v>188</v>
      </c>
      <c r="K1677" s="66" t="s">
        <v>188</v>
      </c>
      <c r="L1677" s="29" t="s">
        <v>260</v>
      </c>
    </row>
    <row r="1678">
      <c r="A1678" s="11" t="s">
        <v>1488</v>
      </c>
      <c r="B1678" s="11" t="s">
        <v>248</v>
      </c>
      <c r="C1678" s="157" t="s">
        <v>1489</v>
      </c>
      <c r="D1678" s="11" t="s">
        <v>1478</v>
      </c>
      <c r="E1678" s="11" t="s">
        <v>555</v>
      </c>
      <c r="F1678" s="11">
        <v>2004.0</v>
      </c>
      <c r="G1678" s="40">
        <v>1705.0</v>
      </c>
      <c r="H1678" s="40" t="s">
        <v>188</v>
      </c>
      <c r="I1678" s="40" t="s">
        <v>188</v>
      </c>
      <c r="J1678" s="73" t="s">
        <v>188</v>
      </c>
      <c r="K1678" s="66" t="s">
        <v>188</v>
      </c>
      <c r="L1678" s="29" t="s">
        <v>260</v>
      </c>
    </row>
    <row r="1679">
      <c r="A1679" s="11" t="s">
        <v>1488</v>
      </c>
      <c r="B1679" s="11" t="s">
        <v>248</v>
      </c>
      <c r="C1679" s="157" t="s">
        <v>1489</v>
      </c>
      <c r="D1679" s="11" t="s">
        <v>1478</v>
      </c>
      <c r="E1679" s="11" t="s">
        <v>555</v>
      </c>
      <c r="F1679" s="11">
        <v>2005.0</v>
      </c>
      <c r="G1679" s="40">
        <v>1705.0</v>
      </c>
      <c r="H1679" s="40" t="s">
        <v>188</v>
      </c>
      <c r="I1679" s="40" t="s">
        <v>188</v>
      </c>
      <c r="J1679" s="73" t="s">
        <v>188</v>
      </c>
      <c r="K1679" s="66" t="s">
        <v>188</v>
      </c>
      <c r="L1679" s="29" t="s">
        <v>260</v>
      </c>
    </row>
    <row r="1680">
      <c r="A1680" s="11" t="s">
        <v>1488</v>
      </c>
      <c r="B1680" s="11" t="s">
        <v>248</v>
      </c>
      <c r="C1680" s="157" t="s">
        <v>1489</v>
      </c>
      <c r="D1680" s="11" t="s">
        <v>1478</v>
      </c>
      <c r="E1680" s="11" t="s">
        <v>555</v>
      </c>
      <c r="F1680" s="11">
        <v>2007.0</v>
      </c>
      <c r="G1680" s="40">
        <v>1894.0</v>
      </c>
      <c r="H1680" s="40" t="s">
        <v>188</v>
      </c>
      <c r="I1680" s="40" t="s">
        <v>188</v>
      </c>
      <c r="J1680" s="73" t="s">
        <v>188</v>
      </c>
      <c r="K1680" s="66" t="s">
        <v>188</v>
      </c>
      <c r="L1680" s="29" t="s">
        <v>260</v>
      </c>
    </row>
    <row r="1681">
      <c r="A1681" s="11" t="s">
        <v>1488</v>
      </c>
      <c r="B1681" s="11" t="s">
        <v>248</v>
      </c>
      <c r="C1681" s="157" t="s">
        <v>1489</v>
      </c>
      <c r="D1681" s="11" t="s">
        <v>1478</v>
      </c>
      <c r="E1681" s="11" t="s">
        <v>555</v>
      </c>
      <c r="F1681" s="11">
        <v>2009.0</v>
      </c>
      <c r="G1681" s="40">
        <v>1941.0</v>
      </c>
      <c r="H1681" s="40" t="s">
        <v>188</v>
      </c>
      <c r="I1681" s="40" t="s">
        <v>188</v>
      </c>
      <c r="J1681" s="73" t="s">
        <v>188</v>
      </c>
      <c r="K1681" s="66" t="s">
        <v>188</v>
      </c>
      <c r="L1681" s="29" t="s">
        <v>260</v>
      </c>
    </row>
    <row r="1682">
      <c r="A1682" s="11" t="s">
        <v>1488</v>
      </c>
      <c r="B1682" s="11" t="s">
        <v>248</v>
      </c>
      <c r="C1682" s="157" t="s">
        <v>1489</v>
      </c>
      <c r="D1682" s="11" t="s">
        <v>1478</v>
      </c>
      <c r="E1682" s="11" t="s">
        <v>555</v>
      </c>
      <c r="F1682" s="11">
        <v>2010.0</v>
      </c>
      <c r="G1682" s="40">
        <v>2083.0</v>
      </c>
      <c r="H1682" s="40" t="s">
        <v>188</v>
      </c>
      <c r="I1682" s="40" t="s">
        <v>188</v>
      </c>
      <c r="J1682" s="73" t="s">
        <v>188</v>
      </c>
      <c r="K1682" s="66" t="s">
        <v>188</v>
      </c>
      <c r="L1682" s="29" t="s">
        <v>260</v>
      </c>
    </row>
    <row r="1683">
      <c r="A1683" s="11" t="s">
        <v>1488</v>
      </c>
      <c r="B1683" s="11" t="s">
        <v>248</v>
      </c>
      <c r="C1683" s="157" t="s">
        <v>1489</v>
      </c>
      <c r="D1683" s="11" t="s">
        <v>1478</v>
      </c>
      <c r="E1683" s="11" t="s">
        <v>555</v>
      </c>
      <c r="F1683" s="11">
        <v>2011.0</v>
      </c>
      <c r="G1683" s="40">
        <v>2273.0</v>
      </c>
      <c r="H1683" s="40" t="s">
        <v>188</v>
      </c>
      <c r="I1683" s="40" t="s">
        <v>188</v>
      </c>
      <c r="J1683" s="73" t="s">
        <v>188</v>
      </c>
      <c r="K1683" s="66" t="s">
        <v>188</v>
      </c>
      <c r="L1683" s="29" t="s">
        <v>260</v>
      </c>
    </row>
    <row r="1684">
      <c r="A1684" s="11" t="s">
        <v>1488</v>
      </c>
      <c r="B1684" s="11" t="s">
        <v>248</v>
      </c>
      <c r="C1684" s="157" t="s">
        <v>1489</v>
      </c>
      <c r="D1684" s="11" t="s">
        <v>1478</v>
      </c>
      <c r="E1684" s="11" t="s">
        <v>555</v>
      </c>
      <c r="F1684" s="11">
        <v>2013.0</v>
      </c>
      <c r="G1684" s="40">
        <v>2652.0</v>
      </c>
      <c r="H1684" s="40" t="s">
        <v>188</v>
      </c>
      <c r="I1684" s="40" t="s">
        <v>188</v>
      </c>
      <c r="J1684" s="73" t="s">
        <v>188</v>
      </c>
      <c r="K1684" s="66" t="s">
        <v>188</v>
      </c>
      <c r="L1684" s="29" t="s">
        <v>260</v>
      </c>
    </row>
    <row r="1685" ht="1.5" customHeight="1">
      <c r="A1685" s="11" t="s">
        <v>1488</v>
      </c>
      <c r="B1685" s="11" t="s">
        <v>248</v>
      </c>
      <c r="C1685" s="157" t="s">
        <v>1489</v>
      </c>
      <c r="D1685" s="11" t="s">
        <v>1478</v>
      </c>
      <c r="E1685" s="11" t="s">
        <v>555</v>
      </c>
      <c r="F1685" s="11">
        <v>2015.0</v>
      </c>
      <c r="G1685" s="40">
        <v>2699.0</v>
      </c>
      <c r="H1685" s="40" t="s">
        <v>188</v>
      </c>
      <c r="I1685" s="40" t="s">
        <v>188</v>
      </c>
      <c r="J1685" s="73" t="s">
        <v>188</v>
      </c>
      <c r="K1685" s="66" t="s">
        <v>188</v>
      </c>
      <c r="L1685" s="29" t="s">
        <v>260</v>
      </c>
    </row>
    <row r="1686">
      <c r="A1686" s="11" t="s">
        <v>1488</v>
      </c>
      <c r="B1686" s="11" t="s">
        <v>248</v>
      </c>
      <c r="C1686" s="157" t="s">
        <v>1489</v>
      </c>
      <c r="D1686" s="11" t="s">
        <v>1478</v>
      </c>
      <c r="E1686" s="11" t="s">
        <v>555</v>
      </c>
      <c r="F1686" s="11">
        <v>2017.0</v>
      </c>
      <c r="G1686" s="40">
        <v>2225.0</v>
      </c>
      <c r="H1686" s="40" t="s">
        <v>188</v>
      </c>
      <c r="I1686" s="40" t="s">
        <v>188</v>
      </c>
      <c r="J1686" s="73" t="s">
        <v>188</v>
      </c>
      <c r="K1686" s="66" t="s">
        <v>188</v>
      </c>
      <c r="L1686" s="29" t="s">
        <v>260</v>
      </c>
    </row>
    <row r="1687">
      <c r="A1687" s="11" t="s">
        <v>1488</v>
      </c>
      <c r="B1687" s="11" t="s">
        <v>248</v>
      </c>
      <c r="C1687" s="157" t="s">
        <v>1489</v>
      </c>
      <c r="D1687" s="11" t="s">
        <v>1478</v>
      </c>
      <c r="E1687" s="11" t="s">
        <v>555</v>
      </c>
      <c r="F1687" s="11">
        <v>2018.0</v>
      </c>
      <c r="G1687" s="40">
        <v>2557.0</v>
      </c>
      <c r="H1687" s="40" t="s">
        <v>188</v>
      </c>
      <c r="I1687" s="40" t="s">
        <v>188</v>
      </c>
      <c r="J1687" s="73" t="s">
        <v>188</v>
      </c>
      <c r="K1687" s="66" t="s">
        <v>188</v>
      </c>
      <c r="L1687" s="29" t="s">
        <v>260</v>
      </c>
    </row>
    <row r="1688">
      <c r="A1688" s="11" t="s">
        <v>1488</v>
      </c>
      <c r="B1688" s="11" t="s">
        <v>248</v>
      </c>
      <c r="C1688" s="157" t="s">
        <v>1489</v>
      </c>
      <c r="D1688" s="11" t="s">
        <v>1478</v>
      </c>
      <c r="E1688" s="11" t="s">
        <v>555</v>
      </c>
      <c r="F1688" s="11">
        <v>2019.0</v>
      </c>
      <c r="G1688" s="40">
        <v>2699.0</v>
      </c>
      <c r="H1688" s="40" t="s">
        <v>188</v>
      </c>
      <c r="I1688" s="40" t="s">
        <v>188</v>
      </c>
      <c r="J1688" s="73" t="s">
        <v>188</v>
      </c>
      <c r="K1688" s="66" t="s">
        <v>188</v>
      </c>
      <c r="L1688" s="29" t="s">
        <v>260</v>
      </c>
    </row>
    <row r="1689">
      <c r="A1689" s="11" t="s">
        <v>1476</v>
      </c>
      <c r="B1689" s="11" t="s">
        <v>248</v>
      </c>
      <c r="C1689" s="157" t="s">
        <v>1477</v>
      </c>
      <c r="D1689" s="11" t="s">
        <v>1478</v>
      </c>
      <c r="E1689" s="11" t="s">
        <v>418</v>
      </c>
      <c r="F1689" s="11">
        <v>1978.0</v>
      </c>
      <c r="G1689" s="40">
        <v>17083.0</v>
      </c>
      <c r="H1689" s="40" t="s">
        <v>188</v>
      </c>
      <c r="I1689" s="40" t="s">
        <v>188</v>
      </c>
      <c r="J1689" s="73" t="s">
        <v>188</v>
      </c>
      <c r="K1689" s="66" t="s">
        <v>188</v>
      </c>
      <c r="L1689" s="29" t="s">
        <v>260</v>
      </c>
    </row>
    <row r="1690">
      <c r="A1690" s="11" t="s">
        <v>1476</v>
      </c>
      <c r="B1690" s="11" t="s">
        <v>248</v>
      </c>
      <c r="C1690" s="157" t="s">
        <v>1477</v>
      </c>
      <c r="D1690" s="11" t="s">
        <v>1478</v>
      </c>
      <c r="E1690" s="11" t="s">
        <v>418</v>
      </c>
      <c r="F1690" s="11">
        <v>1979.0</v>
      </c>
      <c r="G1690" s="40">
        <v>15833.0</v>
      </c>
      <c r="H1690" s="40" t="s">
        <v>188</v>
      </c>
      <c r="I1690" s="40" t="s">
        <v>188</v>
      </c>
      <c r="J1690" s="73" t="s">
        <v>188</v>
      </c>
      <c r="K1690" s="66" t="s">
        <v>188</v>
      </c>
      <c r="L1690" s="29" t="s">
        <v>260</v>
      </c>
    </row>
    <row r="1691">
      <c r="A1691" s="11" t="s">
        <v>1476</v>
      </c>
      <c r="B1691" s="11" t="s">
        <v>248</v>
      </c>
      <c r="C1691" s="157" t="s">
        <v>1477</v>
      </c>
      <c r="D1691" s="11" t="s">
        <v>1478</v>
      </c>
      <c r="E1691" s="11" t="s">
        <v>418</v>
      </c>
      <c r="F1691" s="11">
        <v>1982.0</v>
      </c>
      <c r="G1691" s="40">
        <v>13333.0</v>
      </c>
      <c r="H1691" s="40" t="s">
        <v>188</v>
      </c>
      <c r="I1691" s="40" t="s">
        <v>188</v>
      </c>
      <c r="J1691" s="73" t="s">
        <v>188</v>
      </c>
      <c r="K1691" s="66" t="s">
        <v>188</v>
      </c>
      <c r="L1691" s="29" t="s">
        <v>260</v>
      </c>
    </row>
    <row r="1692">
      <c r="A1692" s="11" t="s">
        <v>1476</v>
      </c>
      <c r="B1692" s="11" t="s">
        <v>248</v>
      </c>
      <c r="C1692" s="157" t="s">
        <v>1477</v>
      </c>
      <c r="D1692" s="11" t="s">
        <v>1478</v>
      </c>
      <c r="E1692" s="11" t="s">
        <v>418</v>
      </c>
      <c r="F1692" s="11">
        <v>1983.0</v>
      </c>
      <c r="G1692" s="40">
        <v>12083.0</v>
      </c>
      <c r="H1692" s="40" t="s">
        <v>188</v>
      </c>
      <c r="I1692" s="40" t="s">
        <v>188</v>
      </c>
      <c r="J1692" s="73" t="s">
        <v>188</v>
      </c>
      <c r="K1692" s="66" t="s">
        <v>188</v>
      </c>
      <c r="L1692" s="29" t="s">
        <v>260</v>
      </c>
    </row>
    <row r="1693">
      <c r="A1693" s="11" t="s">
        <v>1476</v>
      </c>
      <c r="B1693" s="11" t="s">
        <v>248</v>
      </c>
      <c r="C1693" s="157" t="s">
        <v>1477</v>
      </c>
      <c r="D1693" s="11" t="s">
        <v>1478</v>
      </c>
      <c r="E1693" s="11" t="s">
        <v>418</v>
      </c>
      <c r="F1693" s="11">
        <v>1984.0</v>
      </c>
      <c r="G1693" s="40">
        <v>13542.0</v>
      </c>
      <c r="H1693" s="40" t="s">
        <v>188</v>
      </c>
      <c r="I1693" s="40" t="s">
        <v>188</v>
      </c>
      <c r="J1693" s="73" t="s">
        <v>188</v>
      </c>
      <c r="K1693" s="66" t="s">
        <v>188</v>
      </c>
      <c r="L1693" s="29" t="s">
        <v>260</v>
      </c>
    </row>
    <row r="1694">
      <c r="A1694" s="11" t="s">
        <v>1476</v>
      </c>
      <c r="B1694" s="11" t="s">
        <v>248</v>
      </c>
      <c r="C1694" s="157" t="s">
        <v>1477</v>
      </c>
      <c r="D1694" s="11" t="s">
        <v>1478</v>
      </c>
      <c r="E1694" s="11" t="s">
        <v>418</v>
      </c>
      <c r="F1694" s="11">
        <v>1985.0</v>
      </c>
      <c r="G1694" s="40">
        <v>12708.0</v>
      </c>
      <c r="H1694" s="40" t="s">
        <v>188</v>
      </c>
      <c r="I1694" s="40" t="s">
        <v>188</v>
      </c>
      <c r="J1694" s="73" t="s">
        <v>188</v>
      </c>
      <c r="K1694" s="66" t="s">
        <v>188</v>
      </c>
      <c r="L1694" s="29" t="s">
        <v>260</v>
      </c>
    </row>
    <row r="1695">
      <c r="A1695" s="11" t="s">
        <v>1476</v>
      </c>
      <c r="B1695" s="11" t="s">
        <v>248</v>
      </c>
      <c r="C1695" s="157" t="s">
        <v>1477</v>
      </c>
      <c r="D1695" s="11" t="s">
        <v>1478</v>
      </c>
      <c r="E1695" s="11" t="s">
        <v>418</v>
      </c>
      <c r="F1695" s="11">
        <v>1986.0</v>
      </c>
      <c r="G1695" s="40">
        <v>10417.0</v>
      </c>
      <c r="H1695" s="40" t="s">
        <v>188</v>
      </c>
      <c r="I1695" s="40" t="s">
        <v>188</v>
      </c>
      <c r="J1695" s="73" t="s">
        <v>188</v>
      </c>
      <c r="K1695" s="66" t="s">
        <v>188</v>
      </c>
      <c r="L1695" s="29" t="s">
        <v>260</v>
      </c>
    </row>
    <row r="1696">
      <c r="A1696" s="11" t="s">
        <v>1476</v>
      </c>
      <c r="B1696" s="11" t="s">
        <v>248</v>
      </c>
      <c r="C1696" s="157" t="s">
        <v>1477</v>
      </c>
      <c r="D1696" s="11" t="s">
        <v>1478</v>
      </c>
      <c r="E1696" s="11" t="s">
        <v>418</v>
      </c>
      <c r="F1696" s="11">
        <v>1987.0</v>
      </c>
      <c r="G1696" s="40">
        <v>8333.0</v>
      </c>
      <c r="H1696" s="40" t="s">
        <v>188</v>
      </c>
      <c r="I1696" s="40" t="s">
        <v>188</v>
      </c>
      <c r="J1696" s="73" t="s">
        <v>188</v>
      </c>
      <c r="K1696" s="66" t="s">
        <v>188</v>
      </c>
      <c r="L1696" s="29" t="s">
        <v>260</v>
      </c>
    </row>
    <row r="1697">
      <c r="A1697" s="11" t="s">
        <v>1476</v>
      </c>
      <c r="B1697" s="11" t="s">
        <v>248</v>
      </c>
      <c r="C1697" s="157" t="s">
        <v>1477</v>
      </c>
      <c r="D1697" s="11" t="s">
        <v>1478</v>
      </c>
      <c r="E1697" s="11" t="s">
        <v>418</v>
      </c>
      <c r="F1697" s="11">
        <v>1988.0</v>
      </c>
      <c r="G1697" s="40">
        <v>7500.0</v>
      </c>
      <c r="H1697" s="40" t="s">
        <v>188</v>
      </c>
      <c r="I1697" s="40" t="s">
        <v>188</v>
      </c>
      <c r="J1697" s="73" t="s">
        <v>188</v>
      </c>
      <c r="K1697" s="66" t="s">
        <v>188</v>
      </c>
      <c r="L1697" s="29" t="s">
        <v>260</v>
      </c>
    </row>
    <row r="1698">
      <c r="A1698" s="11" t="s">
        <v>1476</v>
      </c>
      <c r="B1698" s="11" t="s">
        <v>248</v>
      </c>
      <c r="C1698" s="157" t="s">
        <v>1477</v>
      </c>
      <c r="D1698" s="11" t="s">
        <v>1478</v>
      </c>
      <c r="E1698" s="11" t="s">
        <v>418</v>
      </c>
      <c r="F1698" s="11">
        <v>1989.0</v>
      </c>
      <c r="G1698" s="40">
        <v>4375.0</v>
      </c>
      <c r="H1698" s="40" t="s">
        <v>188</v>
      </c>
      <c r="I1698" s="40" t="s">
        <v>188</v>
      </c>
      <c r="J1698" s="73" t="s">
        <v>188</v>
      </c>
      <c r="K1698" s="66" t="s">
        <v>188</v>
      </c>
      <c r="L1698" s="29" t="s">
        <v>260</v>
      </c>
    </row>
    <row r="1699">
      <c r="A1699" s="11" t="s">
        <v>1476</v>
      </c>
      <c r="B1699" s="11" t="s">
        <v>248</v>
      </c>
      <c r="C1699" s="157" t="s">
        <v>1477</v>
      </c>
      <c r="D1699" s="11" t="s">
        <v>1478</v>
      </c>
      <c r="E1699" s="11" t="s">
        <v>418</v>
      </c>
      <c r="F1699" s="11">
        <v>1990.0</v>
      </c>
      <c r="G1699" s="40">
        <v>6250.0</v>
      </c>
      <c r="H1699" s="40" t="s">
        <v>188</v>
      </c>
      <c r="I1699" s="40" t="s">
        <v>188</v>
      </c>
      <c r="J1699" s="73" t="s">
        <v>188</v>
      </c>
      <c r="K1699" s="66" t="s">
        <v>188</v>
      </c>
      <c r="L1699" s="29" t="s">
        <v>260</v>
      </c>
    </row>
    <row r="1700">
      <c r="A1700" s="11" t="s">
        <v>1476</v>
      </c>
      <c r="B1700" s="11" t="s">
        <v>248</v>
      </c>
      <c r="C1700" s="157" t="s">
        <v>1477</v>
      </c>
      <c r="D1700" s="11" t="s">
        <v>1478</v>
      </c>
      <c r="E1700" s="11" t="s">
        <v>418</v>
      </c>
      <c r="F1700" s="11">
        <v>1991.0</v>
      </c>
      <c r="G1700" s="40">
        <v>6250.0</v>
      </c>
      <c r="H1700" s="40" t="s">
        <v>188</v>
      </c>
      <c r="I1700" s="40" t="s">
        <v>188</v>
      </c>
      <c r="J1700" s="73" t="s">
        <v>188</v>
      </c>
      <c r="K1700" s="66" t="s">
        <v>188</v>
      </c>
      <c r="L1700" s="29" t="s">
        <v>260</v>
      </c>
    </row>
    <row r="1701">
      <c r="A1701" s="11" t="s">
        <v>1476</v>
      </c>
      <c r="B1701" s="11" t="s">
        <v>248</v>
      </c>
      <c r="C1701" s="157" t="s">
        <v>1477</v>
      </c>
      <c r="D1701" s="11" t="s">
        <v>1478</v>
      </c>
      <c r="E1701" s="11" t="s">
        <v>418</v>
      </c>
      <c r="F1701" s="11">
        <v>1992.0</v>
      </c>
      <c r="G1701" s="40">
        <v>6875.0</v>
      </c>
      <c r="H1701" s="40" t="s">
        <v>188</v>
      </c>
      <c r="I1701" s="40" t="s">
        <v>188</v>
      </c>
      <c r="J1701" s="73" t="s">
        <v>188</v>
      </c>
      <c r="K1701" s="66" t="s">
        <v>188</v>
      </c>
      <c r="L1701" s="29" t="s">
        <v>260</v>
      </c>
    </row>
    <row r="1702">
      <c r="A1702" s="11" t="s">
        <v>1476</v>
      </c>
      <c r="B1702" s="11" t="s">
        <v>248</v>
      </c>
      <c r="C1702" s="157" t="s">
        <v>1477</v>
      </c>
      <c r="D1702" s="11" t="s">
        <v>1478</v>
      </c>
      <c r="E1702" s="11" t="s">
        <v>418</v>
      </c>
      <c r="F1702" s="11">
        <v>1993.0</v>
      </c>
      <c r="G1702" s="40">
        <v>6667.0</v>
      </c>
      <c r="H1702" s="40" t="s">
        <v>188</v>
      </c>
      <c r="I1702" s="40" t="s">
        <v>188</v>
      </c>
      <c r="J1702" s="73" t="s">
        <v>188</v>
      </c>
      <c r="K1702" s="66" t="s">
        <v>188</v>
      </c>
      <c r="L1702" s="29" t="s">
        <v>260</v>
      </c>
    </row>
    <row r="1703">
      <c r="A1703" s="11" t="s">
        <v>1476</v>
      </c>
      <c r="B1703" s="11" t="s">
        <v>248</v>
      </c>
      <c r="C1703" s="157" t="s">
        <v>1477</v>
      </c>
      <c r="D1703" s="11" t="s">
        <v>1478</v>
      </c>
      <c r="E1703" s="11" t="s">
        <v>418</v>
      </c>
      <c r="F1703" s="11">
        <v>1994.0</v>
      </c>
      <c r="G1703" s="40">
        <v>6771.0</v>
      </c>
      <c r="H1703" s="40" t="s">
        <v>188</v>
      </c>
      <c r="I1703" s="40" t="s">
        <v>188</v>
      </c>
      <c r="J1703" s="73" t="s">
        <v>188</v>
      </c>
      <c r="K1703" s="66" t="s">
        <v>188</v>
      </c>
      <c r="L1703" s="29" t="s">
        <v>260</v>
      </c>
    </row>
    <row r="1704">
      <c r="A1704" s="11" t="s">
        <v>1476</v>
      </c>
      <c r="B1704" s="11" t="s">
        <v>248</v>
      </c>
      <c r="C1704" s="157" t="s">
        <v>1477</v>
      </c>
      <c r="D1704" s="11" t="s">
        <v>1478</v>
      </c>
      <c r="E1704" s="11" t="s">
        <v>418</v>
      </c>
      <c r="F1704" s="11">
        <v>1996.0</v>
      </c>
      <c r="G1704" s="40">
        <v>6979.0</v>
      </c>
      <c r="H1704" s="40" t="s">
        <v>188</v>
      </c>
      <c r="I1704" s="40" t="s">
        <v>188</v>
      </c>
      <c r="J1704" s="73" t="s">
        <v>188</v>
      </c>
      <c r="K1704" s="66" t="s">
        <v>188</v>
      </c>
      <c r="L1704" s="29" t="s">
        <v>260</v>
      </c>
    </row>
    <row r="1705">
      <c r="A1705" s="11" t="s">
        <v>1476</v>
      </c>
      <c r="B1705" s="11" t="s">
        <v>248</v>
      </c>
      <c r="C1705" s="157" t="s">
        <v>1477</v>
      </c>
      <c r="D1705" s="11" t="s">
        <v>1478</v>
      </c>
      <c r="E1705" s="11" t="s">
        <v>418</v>
      </c>
      <c r="F1705" s="11">
        <v>1997.0</v>
      </c>
      <c r="G1705" s="40">
        <v>6562.0</v>
      </c>
      <c r="H1705" s="40" t="s">
        <v>188</v>
      </c>
      <c r="I1705" s="40" t="s">
        <v>188</v>
      </c>
      <c r="J1705" s="73" t="s">
        <v>188</v>
      </c>
      <c r="K1705" s="66" t="s">
        <v>188</v>
      </c>
      <c r="L1705" s="29" t="s">
        <v>260</v>
      </c>
    </row>
    <row r="1706">
      <c r="A1706" s="11" t="s">
        <v>1476</v>
      </c>
      <c r="B1706" s="11" t="s">
        <v>248</v>
      </c>
      <c r="C1706" s="157" t="s">
        <v>1477</v>
      </c>
      <c r="D1706" s="11" t="s">
        <v>1478</v>
      </c>
      <c r="E1706" s="11" t="s">
        <v>418</v>
      </c>
      <c r="F1706" s="11">
        <v>1998.0</v>
      </c>
      <c r="G1706" s="40">
        <v>6667.0</v>
      </c>
      <c r="H1706" s="40" t="s">
        <v>188</v>
      </c>
      <c r="I1706" s="40" t="s">
        <v>188</v>
      </c>
      <c r="J1706" s="73" t="s">
        <v>188</v>
      </c>
      <c r="K1706" s="66" t="s">
        <v>188</v>
      </c>
      <c r="L1706" s="29" t="s">
        <v>260</v>
      </c>
    </row>
    <row r="1707">
      <c r="A1707" s="11" t="s">
        <v>1476</v>
      </c>
      <c r="B1707" s="11" t="s">
        <v>248</v>
      </c>
      <c r="C1707" s="157" t="s">
        <v>1477</v>
      </c>
      <c r="D1707" s="11" t="s">
        <v>1478</v>
      </c>
      <c r="E1707" s="11" t="s">
        <v>418</v>
      </c>
      <c r="F1707" s="11">
        <v>1999.0</v>
      </c>
      <c r="G1707" s="40">
        <v>6667.0</v>
      </c>
      <c r="H1707" s="40" t="s">
        <v>188</v>
      </c>
      <c r="I1707" s="40" t="s">
        <v>188</v>
      </c>
      <c r="J1707" s="73" t="s">
        <v>188</v>
      </c>
      <c r="K1707" s="66" t="s">
        <v>188</v>
      </c>
      <c r="L1707" s="29" t="s">
        <v>260</v>
      </c>
    </row>
    <row r="1708">
      <c r="A1708" s="11" t="s">
        <v>1476</v>
      </c>
      <c r="B1708" s="11" t="s">
        <v>248</v>
      </c>
      <c r="C1708" s="157" t="s">
        <v>1477</v>
      </c>
      <c r="D1708" s="11" t="s">
        <v>1478</v>
      </c>
      <c r="E1708" s="11" t="s">
        <v>418</v>
      </c>
      <c r="F1708" s="11">
        <v>2000.0</v>
      </c>
      <c r="G1708" s="40">
        <v>5833.0</v>
      </c>
      <c r="H1708" s="40" t="s">
        <v>188</v>
      </c>
      <c r="I1708" s="40" t="s">
        <v>188</v>
      </c>
      <c r="J1708" s="73" t="s">
        <v>188</v>
      </c>
      <c r="K1708" s="66" t="s">
        <v>188</v>
      </c>
      <c r="L1708" s="29" t="s">
        <v>260</v>
      </c>
    </row>
    <row r="1709">
      <c r="A1709" s="11" t="s">
        <v>1476</v>
      </c>
      <c r="B1709" s="11" t="s">
        <v>248</v>
      </c>
      <c r="C1709" s="157" t="s">
        <v>1477</v>
      </c>
      <c r="D1709" s="11" t="s">
        <v>1478</v>
      </c>
      <c r="E1709" s="11" t="s">
        <v>418</v>
      </c>
      <c r="F1709" s="11">
        <v>2001.0</v>
      </c>
      <c r="G1709" s="40">
        <v>6667.0</v>
      </c>
      <c r="H1709" s="40" t="s">
        <v>188</v>
      </c>
      <c r="I1709" s="40" t="s">
        <v>188</v>
      </c>
      <c r="J1709" s="73" t="s">
        <v>188</v>
      </c>
      <c r="K1709" s="66" t="s">
        <v>188</v>
      </c>
      <c r="L1709" s="29" t="s">
        <v>260</v>
      </c>
    </row>
    <row r="1710">
      <c r="A1710" s="11" t="s">
        <v>1476</v>
      </c>
      <c r="B1710" s="11" t="s">
        <v>248</v>
      </c>
      <c r="C1710" s="157" t="s">
        <v>1477</v>
      </c>
      <c r="D1710" s="11" t="s">
        <v>1478</v>
      </c>
      <c r="E1710" s="11" t="s">
        <v>418</v>
      </c>
      <c r="F1710" s="11">
        <v>2002.0</v>
      </c>
      <c r="G1710" s="40">
        <v>6042.0</v>
      </c>
      <c r="H1710" s="40" t="s">
        <v>188</v>
      </c>
      <c r="I1710" s="40" t="s">
        <v>188</v>
      </c>
      <c r="J1710" s="73" t="s">
        <v>188</v>
      </c>
      <c r="K1710" s="66" t="s">
        <v>188</v>
      </c>
      <c r="L1710" s="29" t="s">
        <v>260</v>
      </c>
    </row>
    <row r="1711">
      <c r="A1711" s="11" t="s">
        <v>1476</v>
      </c>
      <c r="B1711" s="11" t="s">
        <v>248</v>
      </c>
      <c r="C1711" s="157" t="s">
        <v>1477</v>
      </c>
      <c r="D1711" s="11" t="s">
        <v>1478</v>
      </c>
      <c r="E1711" s="11" t="s">
        <v>418</v>
      </c>
      <c r="F1711" s="11">
        <v>2004.0</v>
      </c>
      <c r="G1711" s="40">
        <v>7083.0</v>
      </c>
      <c r="H1711" s="40" t="s">
        <v>188</v>
      </c>
      <c r="I1711" s="40" t="s">
        <v>188</v>
      </c>
      <c r="J1711" s="73" t="s">
        <v>188</v>
      </c>
      <c r="K1711" s="66" t="s">
        <v>188</v>
      </c>
      <c r="L1711" s="29" t="s">
        <v>260</v>
      </c>
    </row>
    <row r="1712">
      <c r="A1712" s="11" t="s">
        <v>1476</v>
      </c>
      <c r="B1712" s="11" t="s">
        <v>248</v>
      </c>
      <c r="C1712" s="157" t="s">
        <v>1477</v>
      </c>
      <c r="D1712" s="11" t="s">
        <v>1478</v>
      </c>
      <c r="E1712" s="11" t="s">
        <v>418</v>
      </c>
      <c r="F1712" s="11">
        <v>2005.0</v>
      </c>
      <c r="G1712" s="40">
        <v>7083.0</v>
      </c>
      <c r="H1712" s="40" t="s">
        <v>188</v>
      </c>
      <c r="I1712" s="40" t="s">
        <v>188</v>
      </c>
      <c r="J1712" s="73" t="s">
        <v>188</v>
      </c>
      <c r="K1712" s="66" t="s">
        <v>188</v>
      </c>
      <c r="L1712" s="29" t="s">
        <v>260</v>
      </c>
    </row>
    <row r="1713">
      <c r="A1713" s="11" t="s">
        <v>1476</v>
      </c>
      <c r="B1713" s="11" t="s">
        <v>248</v>
      </c>
      <c r="C1713" s="157" t="s">
        <v>1477</v>
      </c>
      <c r="D1713" s="11" t="s">
        <v>1478</v>
      </c>
      <c r="E1713" s="11" t="s">
        <v>418</v>
      </c>
      <c r="F1713" s="11">
        <v>2006.0</v>
      </c>
      <c r="G1713" s="40">
        <v>7083.0</v>
      </c>
      <c r="H1713" s="40" t="s">
        <v>188</v>
      </c>
      <c r="I1713" s="40" t="s">
        <v>188</v>
      </c>
      <c r="J1713" s="73" t="s">
        <v>188</v>
      </c>
      <c r="K1713" s="66" t="s">
        <v>188</v>
      </c>
      <c r="L1713" s="29" t="s">
        <v>260</v>
      </c>
    </row>
    <row r="1714">
      <c r="A1714" s="11" t="s">
        <v>1476</v>
      </c>
      <c r="B1714" s="11" t="s">
        <v>248</v>
      </c>
      <c r="C1714" s="157" t="s">
        <v>1477</v>
      </c>
      <c r="D1714" s="11" t="s">
        <v>1478</v>
      </c>
      <c r="E1714" s="11" t="s">
        <v>418</v>
      </c>
      <c r="F1714" s="11">
        <v>2007.0</v>
      </c>
      <c r="G1714" s="40">
        <v>7083.0</v>
      </c>
      <c r="H1714" s="40" t="s">
        <v>188</v>
      </c>
      <c r="I1714" s="40" t="s">
        <v>188</v>
      </c>
      <c r="J1714" s="73" t="s">
        <v>188</v>
      </c>
      <c r="K1714" s="66" t="s">
        <v>188</v>
      </c>
      <c r="L1714" s="29" t="s">
        <v>260</v>
      </c>
    </row>
    <row r="1715">
      <c r="A1715" s="11" t="s">
        <v>1476</v>
      </c>
      <c r="B1715" s="11" t="s">
        <v>248</v>
      </c>
      <c r="C1715" s="157" t="s">
        <v>1477</v>
      </c>
      <c r="D1715" s="11" t="s">
        <v>1478</v>
      </c>
      <c r="E1715" s="11" t="s">
        <v>418</v>
      </c>
      <c r="F1715" s="11">
        <v>2008.0</v>
      </c>
      <c r="G1715" s="40">
        <v>7500.0</v>
      </c>
      <c r="H1715" s="40" t="s">
        <v>188</v>
      </c>
      <c r="I1715" s="40" t="s">
        <v>188</v>
      </c>
      <c r="J1715" s="73" t="s">
        <v>188</v>
      </c>
      <c r="K1715" s="66" t="s">
        <v>188</v>
      </c>
      <c r="L1715" s="29" t="s">
        <v>260</v>
      </c>
    </row>
    <row r="1716">
      <c r="A1716" s="11" t="s">
        <v>1476</v>
      </c>
      <c r="B1716" s="11" t="s">
        <v>248</v>
      </c>
      <c r="C1716" s="157" t="s">
        <v>1477</v>
      </c>
      <c r="D1716" s="11" t="s">
        <v>1478</v>
      </c>
      <c r="E1716" s="11" t="s">
        <v>418</v>
      </c>
      <c r="F1716" s="11">
        <v>2009.0</v>
      </c>
      <c r="G1716" s="40">
        <v>7500.0</v>
      </c>
      <c r="H1716" s="40" t="s">
        <v>188</v>
      </c>
      <c r="I1716" s="40" t="s">
        <v>188</v>
      </c>
      <c r="J1716" s="73" t="s">
        <v>188</v>
      </c>
      <c r="K1716" s="66" t="s">
        <v>188</v>
      </c>
      <c r="L1716" s="29" t="s">
        <v>260</v>
      </c>
    </row>
    <row r="1717">
      <c r="A1717" s="11" t="s">
        <v>1476</v>
      </c>
      <c r="B1717" s="11" t="s">
        <v>248</v>
      </c>
      <c r="C1717" s="157" t="s">
        <v>1477</v>
      </c>
      <c r="D1717" s="11" t="s">
        <v>1478</v>
      </c>
      <c r="E1717" s="11" t="s">
        <v>418</v>
      </c>
      <c r="F1717" s="11">
        <v>2010.0</v>
      </c>
      <c r="G1717" s="40">
        <v>7917.0</v>
      </c>
      <c r="H1717" s="40" t="s">
        <v>188</v>
      </c>
      <c r="I1717" s="40" t="s">
        <v>188</v>
      </c>
      <c r="J1717" s="73" t="s">
        <v>188</v>
      </c>
      <c r="K1717" s="66" t="s">
        <v>188</v>
      </c>
      <c r="L1717" s="29" t="s">
        <v>260</v>
      </c>
    </row>
    <row r="1718">
      <c r="A1718" s="11" t="s">
        <v>1476</v>
      </c>
      <c r="B1718" s="11" t="s">
        <v>248</v>
      </c>
      <c r="C1718" s="157" t="s">
        <v>1477</v>
      </c>
      <c r="D1718" s="11" t="s">
        <v>1478</v>
      </c>
      <c r="E1718" s="11" t="s">
        <v>418</v>
      </c>
      <c r="F1718" s="11">
        <v>2011.0</v>
      </c>
      <c r="G1718" s="40">
        <v>7500.0</v>
      </c>
      <c r="H1718" s="40" t="s">
        <v>188</v>
      </c>
      <c r="I1718" s="40" t="s">
        <v>188</v>
      </c>
      <c r="J1718" s="73" t="s">
        <v>188</v>
      </c>
      <c r="K1718" s="66" t="s">
        <v>188</v>
      </c>
      <c r="L1718" s="29" t="s">
        <v>260</v>
      </c>
    </row>
    <row r="1719">
      <c r="A1719" s="11" t="s">
        <v>1476</v>
      </c>
      <c r="B1719" s="11" t="s">
        <v>248</v>
      </c>
      <c r="C1719" s="157" t="s">
        <v>1477</v>
      </c>
      <c r="D1719" s="11" t="s">
        <v>1478</v>
      </c>
      <c r="E1719" s="11" t="s">
        <v>418</v>
      </c>
      <c r="F1719" s="11">
        <v>2012.0</v>
      </c>
      <c r="G1719" s="40">
        <v>7917.0</v>
      </c>
      <c r="H1719" s="40" t="s">
        <v>188</v>
      </c>
      <c r="I1719" s="40" t="s">
        <v>188</v>
      </c>
      <c r="J1719" s="73" t="s">
        <v>188</v>
      </c>
      <c r="K1719" s="66" t="s">
        <v>188</v>
      </c>
      <c r="L1719" s="29" t="s">
        <v>260</v>
      </c>
    </row>
    <row r="1720">
      <c r="A1720" s="11" t="s">
        <v>1476</v>
      </c>
      <c r="B1720" s="11" t="s">
        <v>248</v>
      </c>
      <c r="C1720" s="157" t="s">
        <v>1477</v>
      </c>
      <c r="D1720" s="11" t="s">
        <v>1478</v>
      </c>
      <c r="E1720" s="11" t="s">
        <v>418</v>
      </c>
      <c r="F1720" s="11">
        <v>2013.0</v>
      </c>
      <c r="G1720" s="40">
        <v>7917.0</v>
      </c>
      <c r="H1720" s="40" t="s">
        <v>188</v>
      </c>
      <c r="I1720" s="40" t="s">
        <v>188</v>
      </c>
      <c r="J1720" s="73" t="s">
        <v>188</v>
      </c>
      <c r="K1720" s="66" t="s">
        <v>188</v>
      </c>
      <c r="L1720" s="29" t="s">
        <v>260</v>
      </c>
    </row>
    <row r="1721">
      <c r="A1721" s="11" t="s">
        <v>1476</v>
      </c>
      <c r="B1721" s="11" t="s">
        <v>248</v>
      </c>
      <c r="C1721" s="157" t="s">
        <v>1477</v>
      </c>
      <c r="D1721" s="11" t="s">
        <v>1478</v>
      </c>
      <c r="E1721" s="11" t="s">
        <v>418</v>
      </c>
      <c r="F1721" s="11">
        <v>2014.0</v>
      </c>
      <c r="G1721" s="40">
        <v>7812.0</v>
      </c>
      <c r="H1721" s="40" t="s">
        <v>188</v>
      </c>
      <c r="I1721" s="40" t="s">
        <v>188</v>
      </c>
      <c r="J1721" s="73" t="s">
        <v>188</v>
      </c>
      <c r="K1721" s="66" t="s">
        <v>188</v>
      </c>
      <c r="L1721" s="29" t="s">
        <v>260</v>
      </c>
    </row>
    <row r="1722">
      <c r="A1722" s="11" t="s">
        <v>1476</v>
      </c>
      <c r="B1722" s="11" t="s">
        <v>248</v>
      </c>
      <c r="C1722" s="157" t="s">
        <v>1477</v>
      </c>
      <c r="D1722" s="11" t="s">
        <v>1478</v>
      </c>
      <c r="E1722" s="11" t="s">
        <v>418</v>
      </c>
      <c r="F1722" s="11">
        <v>2015.0</v>
      </c>
      <c r="G1722" s="40">
        <v>8333.0</v>
      </c>
      <c r="H1722" s="40" t="s">
        <v>188</v>
      </c>
      <c r="I1722" s="40" t="s">
        <v>188</v>
      </c>
      <c r="J1722" s="73" t="s">
        <v>188</v>
      </c>
      <c r="K1722" s="66" t="s">
        <v>188</v>
      </c>
      <c r="L1722" s="29" t="s">
        <v>260</v>
      </c>
    </row>
    <row r="1723">
      <c r="A1723" s="11" t="s">
        <v>1476</v>
      </c>
      <c r="B1723" s="11" t="s">
        <v>248</v>
      </c>
      <c r="C1723" s="157" t="s">
        <v>1477</v>
      </c>
      <c r="D1723" s="11" t="s">
        <v>1478</v>
      </c>
      <c r="E1723" s="11" t="s">
        <v>418</v>
      </c>
      <c r="F1723" s="11">
        <v>2016.0</v>
      </c>
      <c r="G1723" s="40">
        <v>8333.0</v>
      </c>
      <c r="H1723" s="40" t="s">
        <v>188</v>
      </c>
      <c r="I1723" s="40" t="s">
        <v>188</v>
      </c>
      <c r="J1723" s="73" t="s">
        <v>188</v>
      </c>
      <c r="K1723" s="66" t="s">
        <v>188</v>
      </c>
      <c r="L1723" s="29" t="s">
        <v>260</v>
      </c>
    </row>
    <row r="1724">
      <c r="A1724" s="11" t="s">
        <v>1476</v>
      </c>
      <c r="B1724" s="11" t="s">
        <v>248</v>
      </c>
      <c r="C1724" s="157" t="s">
        <v>1477</v>
      </c>
      <c r="D1724" s="11" t="s">
        <v>1478</v>
      </c>
      <c r="E1724" s="11" t="s">
        <v>418</v>
      </c>
      <c r="F1724" s="11">
        <v>2017.0</v>
      </c>
      <c r="G1724" s="40">
        <v>8750.0</v>
      </c>
      <c r="H1724" s="40" t="s">
        <v>188</v>
      </c>
      <c r="I1724" s="40" t="s">
        <v>188</v>
      </c>
      <c r="J1724" s="73" t="s">
        <v>188</v>
      </c>
      <c r="K1724" s="66" t="s">
        <v>188</v>
      </c>
      <c r="L1724" s="29" t="s">
        <v>260</v>
      </c>
    </row>
    <row r="1725">
      <c r="A1725" s="11" t="s">
        <v>1476</v>
      </c>
      <c r="B1725" s="11" t="s">
        <v>248</v>
      </c>
      <c r="C1725" s="157" t="s">
        <v>1477</v>
      </c>
      <c r="D1725" s="11" t="s">
        <v>1478</v>
      </c>
      <c r="E1725" s="11" t="s">
        <v>418</v>
      </c>
      <c r="F1725" s="11">
        <v>2018.0</v>
      </c>
      <c r="G1725" s="40">
        <v>8750.0</v>
      </c>
      <c r="H1725" s="40" t="s">
        <v>188</v>
      </c>
      <c r="I1725" s="40" t="s">
        <v>188</v>
      </c>
      <c r="J1725" s="73" t="s">
        <v>188</v>
      </c>
      <c r="K1725" s="66" t="s">
        <v>188</v>
      </c>
      <c r="L1725" s="29" t="s">
        <v>260</v>
      </c>
    </row>
    <row r="1726">
      <c r="A1726" s="11" t="s">
        <v>1480</v>
      </c>
      <c r="B1726" s="11" t="s">
        <v>248</v>
      </c>
      <c r="C1726" s="157" t="s">
        <v>1481</v>
      </c>
      <c r="D1726" s="11" t="s">
        <v>1478</v>
      </c>
      <c r="E1726" s="11" t="s">
        <v>418</v>
      </c>
      <c r="F1726" s="11">
        <v>1978.0</v>
      </c>
      <c r="G1726" s="40">
        <v>28542.0</v>
      </c>
      <c r="H1726" s="40" t="s">
        <v>188</v>
      </c>
      <c r="I1726" s="40" t="s">
        <v>188</v>
      </c>
      <c r="J1726" s="73" t="s">
        <v>188</v>
      </c>
      <c r="K1726" s="66" t="s">
        <v>188</v>
      </c>
      <c r="L1726" s="29" t="s">
        <v>260</v>
      </c>
    </row>
    <row r="1727">
      <c r="A1727" s="11" t="s">
        <v>1480</v>
      </c>
      <c r="B1727" s="11" t="s">
        <v>248</v>
      </c>
      <c r="C1727" s="157" t="s">
        <v>1481</v>
      </c>
      <c r="D1727" s="11" t="s">
        <v>1478</v>
      </c>
      <c r="E1727" s="11" t="s">
        <v>418</v>
      </c>
      <c r="F1727" s="11">
        <v>1979.0</v>
      </c>
      <c r="G1727" s="40">
        <v>22396.0</v>
      </c>
      <c r="H1727" s="40" t="s">
        <v>188</v>
      </c>
      <c r="I1727" s="40" t="s">
        <v>188</v>
      </c>
      <c r="J1727" s="73" t="s">
        <v>188</v>
      </c>
      <c r="K1727" s="66" t="s">
        <v>188</v>
      </c>
      <c r="L1727" s="29" t="s">
        <v>260</v>
      </c>
    </row>
    <row r="1728">
      <c r="A1728" s="11" t="s">
        <v>1480</v>
      </c>
      <c r="B1728" s="11" t="s">
        <v>248</v>
      </c>
      <c r="C1728" s="157" t="s">
        <v>1481</v>
      </c>
      <c r="D1728" s="11" t="s">
        <v>1478</v>
      </c>
      <c r="E1728" s="11" t="s">
        <v>418</v>
      </c>
      <c r="F1728" s="11">
        <v>1985.0</v>
      </c>
      <c r="G1728" s="40">
        <v>8750.0</v>
      </c>
      <c r="H1728" s="40" t="s">
        <v>188</v>
      </c>
      <c r="I1728" s="40" t="s">
        <v>188</v>
      </c>
      <c r="J1728" s="73" t="s">
        <v>188</v>
      </c>
      <c r="K1728" s="66" t="s">
        <v>188</v>
      </c>
      <c r="L1728" s="29" t="s">
        <v>260</v>
      </c>
    </row>
    <row r="1729">
      <c r="A1729" s="11" t="s">
        <v>1480</v>
      </c>
      <c r="B1729" s="11" t="s">
        <v>248</v>
      </c>
      <c r="C1729" s="157" t="s">
        <v>1481</v>
      </c>
      <c r="D1729" s="11" t="s">
        <v>1478</v>
      </c>
      <c r="E1729" s="11" t="s">
        <v>418</v>
      </c>
      <c r="F1729" s="11">
        <v>1988.0</v>
      </c>
      <c r="G1729" s="40">
        <v>5521.0</v>
      </c>
      <c r="H1729" s="40" t="s">
        <v>188</v>
      </c>
      <c r="I1729" s="40" t="s">
        <v>188</v>
      </c>
      <c r="J1729" s="73" t="s">
        <v>188</v>
      </c>
      <c r="K1729" s="66" t="s">
        <v>188</v>
      </c>
      <c r="L1729" s="29" t="s">
        <v>260</v>
      </c>
    </row>
    <row r="1730">
      <c r="A1730" s="11" t="s">
        <v>1480</v>
      </c>
      <c r="B1730" s="11" t="s">
        <v>248</v>
      </c>
      <c r="C1730" s="157" t="s">
        <v>1481</v>
      </c>
      <c r="D1730" s="11" t="s">
        <v>1478</v>
      </c>
      <c r="E1730" s="11" t="s">
        <v>418</v>
      </c>
      <c r="F1730" s="11">
        <v>1989.0</v>
      </c>
      <c r="G1730" s="40">
        <v>5833.0</v>
      </c>
      <c r="H1730" s="40" t="s">
        <v>188</v>
      </c>
      <c r="I1730" s="40" t="s">
        <v>188</v>
      </c>
      <c r="J1730" s="73" t="s">
        <v>188</v>
      </c>
      <c r="K1730" s="66" t="s">
        <v>188</v>
      </c>
      <c r="L1730" s="29" t="s">
        <v>260</v>
      </c>
    </row>
    <row r="1731">
      <c r="A1731" s="11" t="s">
        <v>1480</v>
      </c>
      <c r="B1731" s="11" t="s">
        <v>248</v>
      </c>
      <c r="C1731" s="157" t="s">
        <v>1481</v>
      </c>
      <c r="D1731" s="11" t="s">
        <v>1478</v>
      </c>
      <c r="E1731" s="11" t="s">
        <v>418</v>
      </c>
      <c r="F1731" s="11">
        <v>1991.0</v>
      </c>
      <c r="G1731" s="40">
        <v>5000.0</v>
      </c>
      <c r="H1731" s="40" t="s">
        <v>188</v>
      </c>
      <c r="I1731" s="40" t="s">
        <v>188</v>
      </c>
      <c r="J1731" s="73" t="s">
        <v>188</v>
      </c>
      <c r="K1731" s="66" t="s">
        <v>188</v>
      </c>
      <c r="L1731" s="29" t="s">
        <v>260</v>
      </c>
    </row>
    <row r="1732">
      <c r="A1732" s="11" t="s">
        <v>1480</v>
      </c>
      <c r="B1732" s="11" t="s">
        <v>248</v>
      </c>
      <c r="C1732" s="157" t="s">
        <v>1481</v>
      </c>
      <c r="D1732" s="11" t="s">
        <v>1478</v>
      </c>
      <c r="E1732" s="11" t="s">
        <v>418</v>
      </c>
      <c r="F1732" s="11">
        <v>1992.0</v>
      </c>
      <c r="G1732" s="40">
        <v>4583.0</v>
      </c>
      <c r="H1732" s="40" t="s">
        <v>188</v>
      </c>
      <c r="I1732" s="40" t="s">
        <v>188</v>
      </c>
      <c r="J1732" s="73" t="s">
        <v>188</v>
      </c>
      <c r="K1732" s="66" t="s">
        <v>188</v>
      </c>
      <c r="L1732" s="29" t="s">
        <v>260</v>
      </c>
    </row>
    <row r="1733">
      <c r="A1733" s="11" t="s">
        <v>1480</v>
      </c>
      <c r="B1733" s="11" t="s">
        <v>248</v>
      </c>
      <c r="C1733" s="157" t="s">
        <v>1481</v>
      </c>
      <c r="D1733" s="11" t="s">
        <v>1478</v>
      </c>
      <c r="E1733" s="11" t="s">
        <v>418</v>
      </c>
      <c r="F1733" s="11">
        <v>1994.0</v>
      </c>
      <c r="G1733" s="40">
        <v>3333.0</v>
      </c>
      <c r="H1733" s="40" t="s">
        <v>188</v>
      </c>
      <c r="I1733" s="40" t="s">
        <v>188</v>
      </c>
      <c r="J1733" s="73" t="s">
        <v>188</v>
      </c>
      <c r="K1733" s="66" t="s">
        <v>188</v>
      </c>
      <c r="L1733" s="29" t="s">
        <v>260</v>
      </c>
    </row>
    <row r="1734">
      <c r="A1734" s="11" t="s">
        <v>1480</v>
      </c>
      <c r="B1734" s="11" t="s">
        <v>248</v>
      </c>
      <c r="C1734" s="157" t="s">
        <v>1481</v>
      </c>
      <c r="D1734" s="11" t="s">
        <v>1478</v>
      </c>
      <c r="E1734" s="11" t="s">
        <v>418</v>
      </c>
      <c r="F1734" s="11">
        <v>1996.0</v>
      </c>
      <c r="G1734" s="40">
        <v>3333.0</v>
      </c>
      <c r="H1734" s="40" t="s">
        <v>188</v>
      </c>
      <c r="I1734" s="40" t="s">
        <v>188</v>
      </c>
      <c r="J1734" s="73" t="s">
        <v>188</v>
      </c>
      <c r="K1734" s="66" t="s">
        <v>188</v>
      </c>
      <c r="L1734" s="29" t="s">
        <v>260</v>
      </c>
    </row>
    <row r="1735">
      <c r="A1735" s="11" t="s">
        <v>1480</v>
      </c>
      <c r="B1735" s="11" t="s">
        <v>248</v>
      </c>
      <c r="C1735" s="157" t="s">
        <v>1481</v>
      </c>
      <c r="D1735" s="11" t="s">
        <v>1478</v>
      </c>
      <c r="E1735" s="11" t="s">
        <v>418</v>
      </c>
      <c r="F1735" s="11">
        <v>1998.0</v>
      </c>
      <c r="G1735" s="40">
        <v>2917.0</v>
      </c>
      <c r="H1735" s="40" t="s">
        <v>188</v>
      </c>
      <c r="I1735" s="40" t="s">
        <v>188</v>
      </c>
      <c r="J1735" s="73" t="s">
        <v>188</v>
      </c>
      <c r="K1735" s="66" t="s">
        <v>188</v>
      </c>
      <c r="L1735" s="29" t="s">
        <v>260</v>
      </c>
    </row>
    <row r="1736">
      <c r="A1736" s="11" t="s">
        <v>1480</v>
      </c>
      <c r="B1736" s="11" t="s">
        <v>248</v>
      </c>
      <c r="C1736" s="157" t="s">
        <v>1481</v>
      </c>
      <c r="D1736" s="11" t="s">
        <v>1478</v>
      </c>
      <c r="E1736" s="11" t="s">
        <v>418</v>
      </c>
      <c r="F1736" s="11">
        <v>2000.0</v>
      </c>
      <c r="G1736" s="40">
        <v>1667.0</v>
      </c>
      <c r="H1736" s="40" t="s">
        <v>188</v>
      </c>
      <c r="I1736" s="40" t="s">
        <v>188</v>
      </c>
      <c r="J1736" s="73" t="s">
        <v>188</v>
      </c>
      <c r="K1736" s="66" t="s">
        <v>188</v>
      </c>
      <c r="L1736" s="29" t="s">
        <v>260</v>
      </c>
    </row>
    <row r="1737">
      <c r="A1737" s="11" t="s">
        <v>1480</v>
      </c>
      <c r="B1737" s="11" t="s">
        <v>248</v>
      </c>
      <c r="C1737" s="157" t="s">
        <v>1481</v>
      </c>
      <c r="D1737" s="11" t="s">
        <v>1478</v>
      </c>
      <c r="E1737" s="11" t="s">
        <v>418</v>
      </c>
      <c r="F1737" s="11">
        <v>2002.0</v>
      </c>
      <c r="G1737" s="40">
        <v>1042.0</v>
      </c>
      <c r="H1737" s="40" t="s">
        <v>188</v>
      </c>
      <c r="I1737" s="40" t="s">
        <v>188</v>
      </c>
      <c r="J1737" s="73" t="s">
        <v>188</v>
      </c>
      <c r="K1737" s="66" t="s">
        <v>188</v>
      </c>
      <c r="L1737" s="29" t="s">
        <v>260</v>
      </c>
    </row>
    <row r="1738">
      <c r="A1738" s="11" t="s">
        <v>1480</v>
      </c>
      <c r="B1738" s="11" t="s">
        <v>248</v>
      </c>
      <c r="C1738" s="157" t="s">
        <v>1481</v>
      </c>
      <c r="D1738" s="11" t="s">
        <v>1478</v>
      </c>
      <c r="E1738" s="11" t="s">
        <v>418</v>
      </c>
      <c r="F1738" s="11">
        <v>2004.0</v>
      </c>
      <c r="G1738" s="40">
        <v>1250.0</v>
      </c>
      <c r="H1738" s="40" t="s">
        <v>188</v>
      </c>
      <c r="I1738" s="40" t="s">
        <v>188</v>
      </c>
      <c r="J1738" s="73" t="s">
        <v>188</v>
      </c>
      <c r="K1738" s="66" t="s">
        <v>188</v>
      </c>
      <c r="L1738" s="29" t="s">
        <v>260</v>
      </c>
    </row>
    <row r="1739">
      <c r="A1739" s="11" t="s">
        <v>1480</v>
      </c>
      <c r="B1739" s="11" t="s">
        <v>248</v>
      </c>
      <c r="C1739" s="157" t="s">
        <v>1481</v>
      </c>
      <c r="D1739" s="11" t="s">
        <v>1478</v>
      </c>
      <c r="E1739" s="11" t="s">
        <v>418</v>
      </c>
      <c r="F1739" s="11">
        <v>2005.0</v>
      </c>
      <c r="G1739" s="40">
        <v>1042.0</v>
      </c>
      <c r="H1739" s="40" t="s">
        <v>188</v>
      </c>
      <c r="I1739" s="40" t="s">
        <v>188</v>
      </c>
      <c r="J1739" s="73" t="s">
        <v>188</v>
      </c>
      <c r="K1739" s="66" t="s">
        <v>188</v>
      </c>
      <c r="L1739" s="29" t="s">
        <v>260</v>
      </c>
    </row>
    <row r="1740">
      <c r="A1740" s="11" t="s">
        <v>1480</v>
      </c>
      <c r="B1740" s="11" t="s">
        <v>248</v>
      </c>
      <c r="C1740" s="157" t="s">
        <v>1481</v>
      </c>
      <c r="D1740" s="11" t="s">
        <v>1478</v>
      </c>
      <c r="E1740" s="11" t="s">
        <v>418</v>
      </c>
      <c r="F1740" s="11">
        <v>2006.0</v>
      </c>
      <c r="G1740" s="40">
        <v>833.0</v>
      </c>
      <c r="H1740" s="40" t="s">
        <v>188</v>
      </c>
      <c r="I1740" s="40" t="s">
        <v>188</v>
      </c>
      <c r="J1740" s="73" t="s">
        <v>188</v>
      </c>
      <c r="K1740" s="66" t="s">
        <v>188</v>
      </c>
      <c r="L1740" s="29" t="s">
        <v>260</v>
      </c>
    </row>
    <row r="1741">
      <c r="A1741" s="11" t="s">
        <v>1480</v>
      </c>
      <c r="B1741" s="11" t="s">
        <v>248</v>
      </c>
      <c r="C1741" s="157" t="s">
        <v>1481</v>
      </c>
      <c r="D1741" s="11" t="s">
        <v>1478</v>
      </c>
      <c r="E1741" s="11" t="s">
        <v>418</v>
      </c>
      <c r="F1741" s="11">
        <v>2008.0</v>
      </c>
      <c r="G1741" s="40">
        <v>833.0</v>
      </c>
      <c r="H1741" s="40" t="s">
        <v>188</v>
      </c>
      <c r="I1741" s="40" t="s">
        <v>188</v>
      </c>
      <c r="J1741" s="73" t="s">
        <v>188</v>
      </c>
      <c r="K1741" s="66" t="s">
        <v>188</v>
      </c>
      <c r="L1741" s="29" t="s">
        <v>260</v>
      </c>
    </row>
    <row r="1742">
      <c r="A1742" s="11" t="s">
        <v>1480</v>
      </c>
      <c r="B1742" s="11" t="s">
        <v>248</v>
      </c>
      <c r="C1742" s="157" t="s">
        <v>1481</v>
      </c>
      <c r="D1742" s="11" t="s">
        <v>1478</v>
      </c>
      <c r="E1742" s="11" t="s">
        <v>418</v>
      </c>
      <c r="F1742" s="11">
        <v>2010.0</v>
      </c>
      <c r="G1742" s="40">
        <v>833.0</v>
      </c>
      <c r="H1742" s="40" t="s">
        <v>188</v>
      </c>
      <c r="I1742" s="40" t="s">
        <v>188</v>
      </c>
      <c r="J1742" s="73" t="s">
        <v>188</v>
      </c>
      <c r="K1742" s="66" t="s">
        <v>188</v>
      </c>
      <c r="L1742" s="29" t="s">
        <v>260</v>
      </c>
    </row>
    <row r="1743">
      <c r="A1743" s="11" t="s">
        <v>1480</v>
      </c>
      <c r="B1743" s="11" t="s">
        <v>248</v>
      </c>
      <c r="C1743" s="157" t="s">
        <v>1481</v>
      </c>
      <c r="D1743" s="11" t="s">
        <v>1478</v>
      </c>
      <c r="E1743" s="11" t="s">
        <v>418</v>
      </c>
      <c r="F1743" s="11">
        <v>2011.0</v>
      </c>
      <c r="G1743" s="40">
        <v>729.0</v>
      </c>
      <c r="H1743" s="40" t="s">
        <v>188</v>
      </c>
      <c r="I1743" s="40" t="s">
        <v>188</v>
      </c>
      <c r="J1743" s="73" t="s">
        <v>188</v>
      </c>
      <c r="K1743" s="66" t="s">
        <v>188</v>
      </c>
      <c r="L1743" s="29" t="s">
        <v>260</v>
      </c>
    </row>
    <row r="1744">
      <c r="A1744" s="11" t="s">
        <v>1480</v>
      </c>
      <c r="B1744" s="11" t="s">
        <v>248</v>
      </c>
      <c r="C1744" s="157" t="s">
        <v>1481</v>
      </c>
      <c r="D1744" s="11" t="s">
        <v>1478</v>
      </c>
      <c r="E1744" s="11" t="s">
        <v>418</v>
      </c>
      <c r="F1744" s="11">
        <v>2012.0</v>
      </c>
      <c r="G1744" s="40">
        <v>625.0</v>
      </c>
      <c r="H1744" s="40" t="s">
        <v>188</v>
      </c>
      <c r="I1744" s="40" t="s">
        <v>188</v>
      </c>
      <c r="J1744" s="73" t="s">
        <v>188</v>
      </c>
      <c r="K1744" s="66" t="s">
        <v>188</v>
      </c>
      <c r="L1744" s="29" t="s">
        <v>260</v>
      </c>
    </row>
    <row r="1745">
      <c r="A1745" s="11" t="s">
        <v>1480</v>
      </c>
      <c r="B1745" s="11" t="s">
        <v>248</v>
      </c>
      <c r="C1745" s="157" t="s">
        <v>1481</v>
      </c>
      <c r="D1745" s="11" t="s">
        <v>1478</v>
      </c>
      <c r="E1745" s="11" t="s">
        <v>418</v>
      </c>
      <c r="F1745" s="11">
        <v>2013.0</v>
      </c>
      <c r="G1745" s="40">
        <v>625.0</v>
      </c>
      <c r="H1745" s="40" t="s">
        <v>188</v>
      </c>
      <c r="I1745" s="40" t="s">
        <v>188</v>
      </c>
      <c r="J1745" s="73" t="s">
        <v>188</v>
      </c>
      <c r="K1745" s="66" t="s">
        <v>188</v>
      </c>
      <c r="L1745" s="29" t="s">
        <v>260</v>
      </c>
    </row>
    <row r="1746">
      <c r="A1746" s="11" t="s">
        <v>1480</v>
      </c>
      <c r="B1746" s="11" t="s">
        <v>248</v>
      </c>
      <c r="C1746" s="157" t="s">
        <v>1481</v>
      </c>
      <c r="D1746" s="11" t="s">
        <v>1478</v>
      </c>
      <c r="E1746" s="11" t="s">
        <v>418</v>
      </c>
      <c r="F1746" s="11">
        <v>2014.0</v>
      </c>
      <c r="G1746" s="40">
        <v>417.0</v>
      </c>
      <c r="H1746" s="40" t="s">
        <v>188</v>
      </c>
      <c r="I1746" s="40" t="s">
        <v>188</v>
      </c>
      <c r="J1746" s="73" t="s">
        <v>188</v>
      </c>
      <c r="K1746" s="66" t="s">
        <v>188</v>
      </c>
      <c r="L1746" s="29" t="s">
        <v>260</v>
      </c>
    </row>
    <row r="1747">
      <c r="A1747" s="11" t="s">
        <v>1480</v>
      </c>
      <c r="B1747" s="11" t="s">
        <v>248</v>
      </c>
      <c r="C1747" s="157" t="s">
        <v>1481</v>
      </c>
      <c r="D1747" s="11" t="s">
        <v>1478</v>
      </c>
      <c r="E1747" s="11" t="s">
        <v>418</v>
      </c>
      <c r="F1747" s="11">
        <v>2015.0</v>
      </c>
      <c r="G1747" s="40">
        <v>417.0</v>
      </c>
      <c r="H1747" s="40" t="s">
        <v>188</v>
      </c>
      <c r="I1747" s="40" t="s">
        <v>188</v>
      </c>
      <c r="J1747" s="73" t="s">
        <v>188</v>
      </c>
      <c r="K1747" s="66" t="s">
        <v>188</v>
      </c>
      <c r="L1747" s="29" t="s">
        <v>260</v>
      </c>
    </row>
    <row r="1748">
      <c r="A1748" s="11" t="s">
        <v>1480</v>
      </c>
      <c r="B1748" s="11" t="s">
        <v>248</v>
      </c>
      <c r="C1748" s="157" t="s">
        <v>1481</v>
      </c>
      <c r="D1748" s="11" t="s">
        <v>1478</v>
      </c>
      <c r="E1748" s="11" t="s">
        <v>418</v>
      </c>
      <c r="F1748" s="11">
        <v>2016.0</v>
      </c>
      <c r="G1748" s="40">
        <v>417.0</v>
      </c>
      <c r="H1748" s="40" t="s">
        <v>188</v>
      </c>
      <c r="I1748" s="40" t="s">
        <v>188</v>
      </c>
      <c r="J1748" s="73" t="s">
        <v>188</v>
      </c>
      <c r="K1748" s="66" t="s">
        <v>188</v>
      </c>
      <c r="L1748" s="29" t="s">
        <v>260</v>
      </c>
    </row>
    <row r="1749">
      <c r="A1749" s="11" t="s">
        <v>1480</v>
      </c>
      <c r="B1749" s="11" t="s">
        <v>248</v>
      </c>
      <c r="C1749" s="157" t="s">
        <v>1481</v>
      </c>
      <c r="D1749" s="11" t="s">
        <v>1478</v>
      </c>
      <c r="E1749" s="11" t="s">
        <v>418</v>
      </c>
      <c r="F1749" s="11">
        <v>2017.0</v>
      </c>
      <c r="G1749" s="40">
        <v>417.0</v>
      </c>
      <c r="H1749" s="40" t="s">
        <v>188</v>
      </c>
      <c r="I1749" s="40" t="s">
        <v>188</v>
      </c>
      <c r="J1749" s="73" t="s">
        <v>188</v>
      </c>
      <c r="K1749" s="66" t="s">
        <v>188</v>
      </c>
      <c r="L1749" s="29" t="s">
        <v>260</v>
      </c>
    </row>
    <row r="1750">
      <c r="A1750" s="11" t="s">
        <v>1480</v>
      </c>
      <c r="B1750" s="11" t="s">
        <v>248</v>
      </c>
      <c r="C1750" s="157" t="s">
        <v>1481</v>
      </c>
      <c r="D1750" s="11" t="s">
        <v>1478</v>
      </c>
      <c r="E1750" s="11" t="s">
        <v>418</v>
      </c>
      <c r="F1750" s="11">
        <v>2018.0</v>
      </c>
      <c r="G1750" s="40">
        <v>417.0</v>
      </c>
      <c r="H1750" s="40" t="s">
        <v>188</v>
      </c>
      <c r="I1750" s="40" t="s">
        <v>188</v>
      </c>
      <c r="J1750" s="73" t="s">
        <v>188</v>
      </c>
      <c r="K1750" s="66" t="s">
        <v>188</v>
      </c>
      <c r="L1750" s="29" t="s">
        <v>260</v>
      </c>
    </row>
    <row r="1751">
      <c r="A1751" s="11" t="s">
        <v>1482</v>
      </c>
      <c r="B1751" s="11" t="s">
        <v>248</v>
      </c>
      <c r="C1751" s="157" t="s">
        <v>1483</v>
      </c>
      <c r="D1751" s="11" t="s">
        <v>1478</v>
      </c>
      <c r="E1751" s="11" t="s">
        <v>418</v>
      </c>
      <c r="F1751" s="11">
        <v>1978.0</v>
      </c>
      <c r="G1751" s="40">
        <v>45067.0</v>
      </c>
      <c r="H1751" s="40" t="s">
        <v>188</v>
      </c>
      <c r="I1751" s="40" t="s">
        <v>188</v>
      </c>
      <c r="J1751" s="73" t="s">
        <v>188</v>
      </c>
      <c r="K1751" s="66" t="s">
        <v>188</v>
      </c>
      <c r="L1751" s="29" t="s">
        <v>260</v>
      </c>
    </row>
    <row r="1752">
      <c r="A1752" s="11" t="s">
        <v>1482</v>
      </c>
      <c r="B1752" s="11" t="s">
        <v>248</v>
      </c>
      <c r="C1752" s="157" t="s">
        <v>1483</v>
      </c>
      <c r="D1752" s="11" t="s">
        <v>1478</v>
      </c>
      <c r="E1752" s="11" t="s">
        <v>418</v>
      </c>
      <c r="F1752" s="11">
        <v>1979.0</v>
      </c>
      <c r="G1752" s="40">
        <v>41745.0</v>
      </c>
      <c r="H1752" s="40" t="s">
        <v>188</v>
      </c>
      <c r="I1752" s="40" t="s">
        <v>188</v>
      </c>
      <c r="J1752" s="73" t="s">
        <v>188</v>
      </c>
      <c r="K1752" s="66" t="s">
        <v>188</v>
      </c>
      <c r="L1752" s="29" t="s">
        <v>260</v>
      </c>
    </row>
    <row r="1753">
      <c r="A1753" s="11" t="s">
        <v>1482</v>
      </c>
      <c r="B1753" s="11" t="s">
        <v>248</v>
      </c>
      <c r="C1753" s="157" t="s">
        <v>1483</v>
      </c>
      <c r="D1753" s="11" t="s">
        <v>1478</v>
      </c>
      <c r="E1753" s="11" t="s">
        <v>418</v>
      </c>
      <c r="F1753" s="11">
        <v>1985.0</v>
      </c>
      <c r="G1753" s="40">
        <v>28264.0</v>
      </c>
      <c r="H1753" s="40" t="s">
        <v>188</v>
      </c>
      <c r="I1753" s="40" t="s">
        <v>188</v>
      </c>
      <c r="J1753" s="73" t="s">
        <v>188</v>
      </c>
      <c r="K1753" s="66" t="s">
        <v>188</v>
      </c>
      <c r="L1753" s="29" t="s">
        <v>260</v>
      </c>
    </row>
    <row r="1754">
      <c r="A1754" s="11" t="s">
        <v>1482</v>
      </c>
      <c r="B1754" s="11" t="s">
        <v>248</v>
      </c>
      <c r="C1754" s="157" t="s">
        <v>1483</v>
      </c>
      <c r="D1754" s="11" t="s">
        <v>1478</v>
      </c>
      <c r="E1754" s="11" t="s">
        <v>418</v>
      </c>
      <c r="F1754" s="11">
        <v>1987.0</v>
      </c>
      <c r="G1754" s="40">
        <v>16827.0</v>
      </c>
      <c r="H1754" s="40" t="s">
        <v>188</v>
      </c>
      <c r="I1754" s="40" t="s">
        <v>188</v>
      </c>
      <c r="J1754" s="73" t="s">
        <v>188</v>
      </c>
      <c r="K1754" s="66" t="s">
        <v>188</v>
      </c>
      <c r="L1754" s="29" t="s">
        <v>260</v>
      </c>
    </row>
    <row r="1755">
      <c r="A1755" s="11" t="s">
        <v>1482</v>
      </c>
      <c r="B1755" s="11" t="s">
        <v>248</v>
      </c>
      <c r="C1755" s="157" t="s">
        <v>1483</v>
      </c>
      <c r="D1755" s="11" t="s">
        <v>1478</v>
      </c>
      <c r="E1755" s="11" t="s">
        <v>418</v>
      </c>
      <c r="F1755" s="11">
        <v>1989.0</v>
      </c>
      <c r="G1755" s="40">
        <v>10178.0</v>
      </c>
      <c r="H1755" s="40" t="s">
        <v>188</v>
      </c>
      <c r="I1755" s="40" t="s">
        <v>188</v>
      </c>
      <c r="J1755" s="73" t="s">
        <v>188</v>
      </c>
      <c r="K1755" s="66" t="s">
        <v>188</v>
      </c>
      <c r="L1755" s="29" t="s">
        <v>260</v>
      </c>
    </row>
    <row r="1756">
      <c r="A1756" s="11" t="s">
        <v>1482</v>
      </c>
      <c r="B1756" s="11" t="s">
        <v>248</v>
      </c>
      <c r="C1756" s="157" t="s">
        <v>1483</v>
      </c>
      <c r="D1756" s="11" t="s">
        <v>1478</v>
      </c>
      <c r="E1756" s="11" t="s">
        <v>418</v>
      </c>
      <c r="F1756" s="11">
        <v>1990.0</v>
      </c>
      <c r="G1756" s="40">
        <v>11023.0</v>
      </c>
      <c r="H1756" s="40" t="s">
        <v>188</v>
      </c>
      <c r="I1756" s="40" t="s">
        <v>188</v>
      </c>
      <c r="J1756" s="73" t="s">
        <v>188</v>
      </c>
      <c r="K1756" s="66" t="s">
        <v>188</v>
      </c>
      <c r="L1756" s="29" t="s">
        <v>260</v>
      </c>
    </row>
    <row r="1757">
      <c r="A1757" s="11" t="s">
        <v>1482</v>
      </c>
      <c r="B1757" s="11" t="s">
        <v>248</v>
      </c>
      <c r="C1757" s="157" t="s">
        <v>1483</v>
      </c>
      <c r="D1757" s="11" t="s">
        <v>1478</v>
      </c>
      <c r="E1757" s="11" t="s">
        <v>418</v>
      </c>
      <c r="F1757" s="11">
        <v>1991.0</v>
      </c>
      <c r="G1757" s="40">
        <v>10615.0</v>
      </c>
      <c r="H1757" s="40" t="s">
        <v>188</v>
      </c>
      <c r="I1757" s="40" t="s">
        <v>188</v>
      </c>
      <c r="J1757" s="73" t="s">
        <v>188</v>
      </c>
      <c r="K1757" s="66" t="s">
        <v>188</v>
      </c>
      <c r="L1757" s="29" t="s">
        <v>260</v>
      </c>
    </row>
    <row r="1758">
      <c r="A1758" s="11" t="s">
        <v>1482</v>
      </c>
      <c r="B1758" s="11" t="s">
        <v>248</v>
      </c>
      <c r="C1758" s="157" t="s">
        <v>1483</v>
      </c>
      <c r="D1758" s="11" t="s">
        <v>1478</v>
      </c>
      <c r="E1758" s="11" t="s">
        <v>418</v>
      </c>
      <c r="F1758" s="11">
        <v>1992.0</v>
      </c>
      <c r="G1758" s="40">
        <v>9376.0</v>
      </c>
      <c r="H1758" s="40" t="s">
        <v>188</v>
      </c>
      <c r="I1758" s="40" t="s">
        <v>188</v>
      </c>
      <c r="J1758" s="73" t="s">
        <v>188</v>
      </c>
      <c r="K1758" s="66" t="s">
        <v>188</v>
      </c>
      <c r="L1758" s="29" t="s">
        <v>260</v>
      </c>
    </row>
    <row r="1759">
      <c r="A1759" s="11" t="s">
        <v>1482</v>
      </c>
      <c r="B1759" s="11" t="s">
        <v>248</v>
      </c>
      <c r="C1759" s="157" t="s">
        <v>1483</v>
      </c>
      <c r="D1759" s="11" t="s">
        <v>1478</v>
      </c>
      <c r="E1759" s="11" t="s">
        <v>418</v>
      </c>
      <c r="F1759" s="11">
        <v>1994.0</v>
      </c>
      <c r="G1759" s="40">
        <v>8564.0</v>
      </c>
      <c r="H1759" s="40" t="s">
        <v>188</v>
      </c>
      <c r="I1759" s="40" t="s">
        <v>188</v>
      </c>
      <c r="J1759" s="73" t="s">
        <v>188</v>
      </c>
      <c r="K1759" s="66" t="s">
        <v>188</v>
      </c>
      <c r="L1759" s="29" t="s">
        <v>260</v>
      </c>
    </row>
    <row r="1760">
      <c r="A1760" s="11" t="s">
        <v>1482</v>
      </c>
      <c r="B1760" s="11" t="s">
        <v>248</v>
      </c>
      <c r="C1760" s="157" t="s">
        <v>1483</v>
      </c>
      <c r="D1760" s="11" t="s">
        <v>1478</v>
      </c>
      <c r="E1760" s="11" t="s">
        <v>418</v>
      </c>
      <c r="F1760" s="11">
        <v>1996.0</v>
      </c>
      <c r="G1760" s="40">
        <v>8167.0</v>
      </c>
      <c r="H1760" s="40" t="s">
        <v>188</v>
      </c>
      <c r="I1760" s="40" t="s">
        <v>188</v>
      </c>
      <c r="J1760" s="73" t="s">
        <v>188</v>
      </c>
      <c r="K1760" s="66" t="s">
        <v>188</v>
      </c>
      <c r="L1760" s="29" t="s">
        <v>260</v>
      </c>
    </row>
    <row r="1761">
      <c r="A1761" s="11" t="s">
        <v>1482</v>
      </c>
      <c r="B1761" s="11" t="s">
        <v>248</v>
      </c>
      <c r="C1761" s="157" t="s">
        <v>1483</v>
      </c>
      <c r="D1761" s="11" t="s">
        <v>1478</v>
      </c>
      <c r="E1761" s="11" t="s">
        <v>418</v>
      </c>
      <c r="F1761" s="11">
        <v>1998.0</v>
      </c>
      <c r="G1761" s="40">
        <v>8604.0</v>
      </c>
      <c r="H1761" s="40" t="s">
        <v>188</v>
      </c>
      <c r="I1761" s="40" t="s">
        <v>188</v>
      </c>
      <c r="J1761" s="73" t="s">
        <v>188</v>
      </c>
      <c r="K1761" s="66" t="s">
        <v>188</v>
      </c>
      <c r="L1761" s="29" t="s">
        <v>260</v>
      </c>
    </row>
    <row r="1762">
      <c r="A1762" s="11" t="s">
        <v>1482</v>
      </c>
      <c r="B1762" s="11" t="s">
        <v>248</v>
      </c>
      <c r="C1762" s="157" t="s">
        <v>1483</v>
      </c>
      <c r="D1762" s="11" t="s">
        <v>1478</v>
      </c>
      <c r="E1762" s="11" t="s">
        <v>418</v>
      </c>
      <c r="F1762" s="11">
        <v>2000.0</v>
      </c>
      <c r="G1762" s="40">
        <v>7791.0</v>
      </c>
      <c r="H1762" s="40" t="s">
        <v>188</v>
      </c>
      <c r="I1762" s="40" t="s">
        <v>188</v>
      </c>
      <c r="J1762" s="73" t="s">
        <v>188</v>
      </c>
      <c r="K1762" s="66" t="s">
        <v>188</v>
      </c>
      <c r="L1762" s="29" t="s">
        <v>260</v>
      </c>
    </row>
    <row r="1763">
      <c r="A1763" s="11" t="s">
        <v>1482</v>
      </c>
      <c r="B1763" s="11" t="s">
        <v>248</v>
      </c>
      <c r="C1763" s="157" t="s">
        <v>1483</v>
      </c>
      <c r="D1763" s="11" t="s">
        <v>1478</v>
      </c>
      <c r="E1763" s="11" t="s">
        <v>418</v>
      </c>
      <c r="F1763" s="11">
        <v>2002.0</v>
      </c>
      <c r="G1763" s="40">
        <v>7809.0</v>
      </c>
      <c r="H1763" s="40" t="s">
        <v>188</v>
      </c>
      <c r="I1763" s="40" t="s">
        <v>188</v>
      </c>
      <c r="J1763" s="73" t="s">
        <v>188</v>
      </c>
      <c r="K1763" s="66" t="s">
        <v>188</v>
      </c>
      <c r="L1763" s="29" t="s">
        <v>260</v>
      </c>
    </row>
    <row r="1764">
      <c r="A1764" s="11" t="s">
        <v>1482</v>
      </c>
      <c r="B1764" s="11" t="s">
        <v>248</v>
      </c>
      <c r="C1764" s="157" t="s">
        <v>1483</v>
      </c>
      <c r="D1764" s="11" t="s">
        <v>1478</v>
      </c>
      <c r="E1764" s="11" t="s">
        <v>418</v>
      </c>
      <c r="F1764" s="11">
        <v>2004.0</v>
      </c>
      <c r="G1764" s="40">
        <v>8246.0</v>
      </c>
      <c r="H1764" s="40" t="s">
        <v>188</v>
      </c>
      <c r="I1764" s="40" t="s">
        <v>188</v>
      </c>
      <c r="J1764" s="73" t="s">
        <v>188</v>
      </c>
      <c r="K1764" s="66" t="s">
        <v>188</v>
      </c>
      <c r="L1764" s="29" t="s">
        <v>260</v>
      </c>
    </row>
    <row r="1765">
      <c r="A1765" s="11" t="s">
        <v>1482</v>
      </c>
      <c r="B1765" s="11" t="s">
        <v>248</v>
      </c>
      <c r="C1765" s="157" t="s">
        <v>1483</v>
      </c>
      <c r="D1765" s="11" t="s">
        <v>1478</v>
      </c>
      <c r="E1765" s="11" t="s">
        <v>418</v>
      </c>
      <c r="F1765" s="11">
        <v>2005.0</v>
      </c>
      <c r="G1765" s="40">
        <v>7841.0</v>
      </c>
      <c r="H1765" s="40" t="s">
        <v>188</v>
      </c>
      <c r="I1765" s="40" t="s">
        <v>188</v>
      </c>
      <c r="J1765" s="73" t="s">
        <v>188</v>
      </c>
      <c r="K1765" s="66" t="s">
        <v>188</v>
      </c>
      <c r="L1765" s="29" t="s">
        <v>260</v>
      </c>
    </row>
    <row r="1766">
      <c r="A1766" s="11" t="s">
        <v>1482</v>
      </c>
      <c r="B1766" s="11" t="s">
        <v>248</v>
      </c>
      <c r="C1766" s="157" t="s">
        <v>1483</v>
      </c>
      <c r="D1766" s="11" t="s">
        <v>1478</v>
      </c>
      <c r="E1766" s="11" t="s">
        <v>418</v>
      </c>
      <c r="F1766" s="11">
        <v>2006.0</v>
      </c>
      <c r="G1766" s="40">
        <v>7850.0</v>
      </c>
      <c r="H1766" s="40" t="s">
        <v>188</v>
      </c>
      <c r="I1766" s="40" t="s">
        <v>188</v>
      </c>
      <c r="J1766" s="73" t="s">
        <v>188</v>
      </c>
      <c r="K1766" s="66" t="s">
        <v>188</v>
      </c>
      <c r="L1766" s="29" t="s">
        <v>260</v>
      </c>
    </row>
    <row r="1767">
      <c r="A1767" s="11" t="s">
        <v>1482</v>
      </c>
      <c r="B1767" s="11" t="s">
        <v>248</v>
      </c>
      <c r="C1767" s="157" t="s">
        <v>1483</v>
      </c>
      <c r="D1767" s="11" t="s">
        <v>1478</v>
      </c>
      <c r="E1767" s="11" t="s">
        <v>418</v>
      </c>
      <c r="F1767" s="11">
        <v>2007.0</v>
      </c>
      <c r="G1767" s="40">
        <v>7442.0</v>
      </c>
      <c r="H1767" s="40" t="s">
        <v>188</v>
      </c>
      <c r="I1767" s="40" t="s">
        <v>188</v>
      </c>
      <c r="J1767" s="73" t="s">
        <v>188</v>
      </c>
      <c r="K1767" s="66" t="s">
        <v>188</v>
      </c>
      <c r="L1767" s="29" t="s">
        <v>260</v>
      </c>
    </row>
    <row r="1768">
      <c r="A1768" s="11" t="s">
        <v>1482</v>
      </c>
      <c r="B1768" s="11" t="s">
        <v>248</v>
      </c>
      <c r="C1768" s="157" t="s">
        <v>1483</v>
      </c>
      <c r="D1768" s="11" t="s">
        <v>1478</v>
      </c>
      <c r="E1768" s="11" t="s">
        <v>418</v>
      </c>
      <c r="F1768" s="11">
        <v>2008.0</v>
      </c>
      <c r="G1768" s="40">
        <v>7453.0</v>
      </c>
      <c r="H1768" s="40" t="s">
        <v>188</v>
      </c>
      <c r="I1768" s="40" t="s">
        <v>188</v>
      </c>
      <c r="J1768" s="73" t="s">
        <v>188</v>
      </c>
      <c r="K1768" s="66" t="s">
        <v>188</v>
      </c>
      <c r="L1768" s="29" t="s">
        <v>260</v>
      </c>
    </row>
    <row r="1769">
      <c r="A1769" s="11" t="s">
        <v>1482</v>
      </c>
      <c r="B1769" s="11" t="s">
        <v>248</v>
      </c>
      <c r="C1769" s="157" t="s">
        <v>1483</v>
      </c>
      <c r="D1769" s="11" t="s">
        <v>1478</v>
      </c>
      <c r="E1769" s="11" t="s">
        <v>418</v>
      </c>
      <c r="F1769" s="11">
        <v>2009.0</v>
      </c>
      <c r="G1769" s="40">
        <v>7465.0</v>
      </c>
      <c r="H1769" s="40" t="s">
        <v>188</v>
      </c>
      <c r="I1769" s="40" t="s">
        <v>188</v>
      </c>
      <c r="J1769" s="73" t="s">
        <v>188</v>
      </c>
      <c r="K1769" s="66" t="s">
        <v>188</v>
      </c>
      <c r="L1769" s="29" t="s">
        <v>260</v>
      </c>
    </row>
    <row r="1770">
      <c r="A1770" s="11" t="s">
        <v>1482</v>
      </c>
      <c r="B1770" s="11" t="s">
        <v>248</v>
      </c>
      <c r="C1770" s="157" t="s">
        <v>1483</v>
      </c>
      <c r="D1770" s="11" t="s">
        <v>1478</v>
      </c>
      <c r="E1770" s="11" t="s">
        <v>418</v>
      </c>
      <c r="F1770" s="11">
        <v>2010.0</v>
      </c>
      <c r="G1770" s="40">
        <v>7682.0</v>
      </c>
      <c r="H1770" s="40" t="s">
        <v>188</v>
      </c>
      <c r="I1770" s="40" t="s">
        <v>188</v>
      </c>
      <c r="J1770" s="73" t="s">
        <v>188</v>
      </c>
      <c r="K1770" s="66" t="s">
        <v>188</v>
      </c>
      <c r="L1770" s="29" t="s">
        <v>260</v>
      </c>
    </row>
    <row r="1771">
      <c r="A1771" s="11" t="s">
        <v>1482</v>
      </c>
      <c r="B1771" s="11" t="s">
        <v>248</v>
      </c>
      <c r="C1771" s="157" t="s">
        <v>1483</v>
      </c>
      <c r="D1771" s="11" t="s">
        <v>1478</v>
      </c>
      <c r="E1771" s="11" t="s">
        <v>418</v>
      </c>
      <c r="F1771" s="11">
        <v>2011.0</v>
      </c>
      <c r="G1771" s="40">
        <v>7692.0</v>
      </c>
      <c r="H1771" s="40" t="s">
        <v>188</v>
      </c>
      <c r="I1771" s="40" t="s">
        <v>188</v>
      </c>
      <c r="J1771" s="73" t="s">
        <v>188</v>
      </c>
      <c r="K1771" s="66" t="s">
        <v>188</v>
      </c>
      <c r="L1771" s="29" t="s">
        <v>260</v>
      </c>
    </row>
    <row r="1772">
      <c r="A1772" s="11" t="s">
        <v>1482</v>
      </c>
      <c r="B1772" s="11" t="s">
        <v>248</v>
      </c>
      <c r="C1772" s="157" t="s">
        <v>1483</v>
      </c>
      <c r="D1772" s="11" t="s">
        <v>1478</v>
      </c>
      <c r="E1772" s="11" t="s">
        <v>418</v>
      </c>
      <c r="F1772" s="11">
        <v>2012.0</v>
      </c>
      <c r="G1772" s="40">
        <v>7494.0</v>
      </c>
      <c r="H1772" s="40" t="s">
        <v>188</v>
      </c>
      <c r="I1772" s="40" t="s">
        <v>188</v>
      </c>
      <c r="J1772" s="73" t="s">
        <v>188</v>
      </c>
      <c r="K1772" s="66" t="s">
        <v>188</v>
      </c>
      <c r="L1772" s="29" t="s">
        <v>260</v>
      </c>
    </row>
    <row r="1773">
      <c r="A1773" s="11" t="s">
        <v>1482</v>
      </c>
      <c r="B1773" s="11" t="s">
        <v>248</v>
      </c>
      <c r="C1773" s="157" t="s">
        <v>1483</v>
      </c>
      <c r="D1773" s="11" t="s">
        <v>1478</v>
      </c>
      <c r="E1773" s="11" t="s">
        <v>418</v>
      </c>
      <c r="F1773" s="11">
        <v>2013.0</v>
      </c>
      <c r="G1773" s="40">
        <v>7503.0</v>
      </c>
      <c r="H1773" s="40" t="s">
        <v>188</v>
      </c>
      <c r="I1773" s="40" t="s">
        <v>188</v>
      </c>
      <c r="J1773" s="73" t="s">
        <v>188</v>
      </c>
      <c r="K1773" s="66" t="s">
        <v>188</v>
      </c>
      <c r="L1773" s="29" t="s">
        <v>260</v>
      </c>
    </row>
    <row r="1774">
      <c r="A1774" s="11" t="s">
        <v>1482</v>
      </c>
      <c r="B1774" s="11" t="s">
        <v>248</v>
      </c>
      <c r="C1774" s="157" t="s">
        <v>1483</v>
      </c>
      <c r="D1774" s="11" t="s">
        <v>1478</v>
      </c>
      <c r="E1774" s="11" t="s">
        <v>418</v>
      </c>
      <c r="F1774" s="11">
        <v>2014.0</v>
      </c>
      <c r="G1774" s="40">
        <v>6681.0</v>
      </c>
      <c r="H1774" s="40" t="s">
        <v>188</v>
      </c>
      <c r="I1774" s="40" t="s">
        <v>188</v>
      </c>
      <c r="J1774" s="73" t="s">
        <v>188</v>
      </c>
      <c r="K1774" s="66" t="s">
        <v>188</v>
      </c>
      <c r="L1774" s="29" t="s">
        <v>260</v>
      </c>
    </row>
    <row r="1775">
      <c r="A1775" s="11" t="s">
        <v>1482</v>
      </c>
      <c r="B1775" s="11" t="s">
        <v>248</v>
      </c>
      <c r="C1775" s="157" t="s">
        <v>1483</v>
      </c>
      <c r="D1775" s="11" t="s">
        <v>1478</v>
      </c>
      <c r="E1775" s="11" t="s">
        <v>418</v>
      </c>
      <c r="F1775" s="11">
        <v>2015.0</v>
      </c>
      <c r="G1775" s="40">
        <v>7107.0</v>
      </c>
      <c r="H1775" s="40" t="s">
        <v>188</v>
      </c>
      <c r="I1775" s="40" t="s">
        <v>188</v>
      </c>
      <c r="J1775" s="73" t="s">
        <v>188</v>
      </c>
      <c r="K1775" s="66" t="s">
        <v>188</v>
      </c>
      <c r="L1775" s="29" t="s">
        <v>260</v>
      </c>
    </row>
    <row r="1776">
      <c r="A1776" s="11" t="s">
        <v>1482</v>
      </c>
      <c r="B1776" s="11" t="s">
        <v>248</v>
      </c>
      <c r="C1776" s="157" t="s">
        <v>1483</v>
      </c>
      <c r="D1776" s="11" t="s">
        <v>1478</v>
      </c>
      <c r="E1776" s="11" t="s">
        <v>418</v>
      </c>
      <c r="F1776" s="11">
        <v>2016.0</v>
      </c>
      <c r="G1776" s="40">
        <v>7535.0</v>
      </c>
      <c r="H1776" s="40" t="s">
        <v>188</v>
      </c>
      <c r="I1776" s="40" t="s">
        <v>188</v>
      </c>
      <c r="J1776" s="73" t="s">
        <v>188</v>
      </c>
      <c r="K1776" s="66" t="s">
        <v>188</v>
      </c>
      <c r="L1776" s="29" t="s">
        <v>260</v>
      </c>
    </row>
    <row r="1777">
      <c r="A1777" s="11" t="s">
        <v>1482</v>
      </c>
      <c r="B1777" s="11" t="s">
        <v>248</v>
      </c>
      <c r="C1777" s="157" t="s">
        <v>1483</v>
      </c>
      <c r="D1777" s="11" t="s">
        <v>1478</v>
      </c>
      <c r="E1777" s="11" t="s">
        <v>418</v>
      </c>
      <c r="F1777" s="11">
        <v>2017.0</v>
      </c>
      <c r="G1777" s="40">
        <v>7547.0</v>
      </c>
      <c r="H1777" s="40" t="s">
        <v>188</v>
      </c>
      <c r="I1777" s="40" t="s">
        <v>188</v>
      </c>
      <c r="J1777" s="73" t="s">
        <v>188</v>
      </c>
      <c r="K1777" s="66" t="s">
        <v>188</v>
      </c>
      <c r="L1777" s="29" t="s">
        <v>260</v>
      </c>
    </row>
    <row r="1778">
      <c r="A1778" s="11" t="s">
        <v>1482</v>
      </c>
      <c r="B1778" s="11" t="s">
        <v>248</v>
      </c>
      <c r="C1778" s="157" t="s">
        <v>1483</v>
      </c>
      <c r="D1778" s="11" t="s">
        <v>1478</v>
      </c>
      <c r="E1778" s="11" t="s">
        <v>418</v>
      </c>
      <c r="F1778" s="11">
        <v>2018.0</v>
      </c>
      <c r="G1778" s="40">
        <v>7555.0</v>
      </c>
      <c r="H1778" s="40" t="s">
        <v>188</v>
      </c>
      <c r="I1778" s="40" t="s">
        <v>188</v>
      </c>
      <c r="J1778" s="73" t="s">
        <v>188</v>
      </c>
      <c r="K1778" s="66" t="s">
        <v>188</v>
      </c>
      <c r="L1778" s="29" t="s">
        <v>260</v>
      </c>
    </row>
    <row r="1779">
      <c r="A1779" s="11" t="s">
        <v>1486</v>
      </c>
      <c r="B1779" s="11" t="s">
        <v>248</v>
      </c>
      <c r="C1779" s="157" t="s">
        <v>1487</v>
      </c>
      <c r="D1779" s="11" t="s">
        <v>1478</v>
      </c>
      <c r="E1779" s="11" t="s">
        <v>418</v>
      </c>
      <c r="F1779" s="11">
        <v>1978.0</v>
      </c>
      <c r="G1779" s="40">
        <v>9583.0</v>
      </c>
      <c r="H1779" s="40" t="s">
        <v>188</v>
      </c>
      <c r="I1779" s="40" t="s">
        <v>188</v>
      </c>
      <c r="J1779" s="73" t="s">
        <v>188</v>
      </c>
      <c r="K1779" s="66" t="s">
        <v>188</v>
      </c>
      <c r="L1779" s="29" t="s">
        <v>260</v>
      </c>
    </row>
    <row r="1780">
      <c r="A1780" s="11" t="s">
        <v>1486</v>
      </c>
      <c r="B1780" s="11" t="s">
        <v>248</v>
      </c>
      <c r="C1780" s="157" t="s">
        <v>1487</v>
      </c>
      <c r="D1780" s="11" t="s">
        <v>1478</v>
      </c>
      <c r="E1780" s="11" t="s">
        <v>418</v>
      </c>
      <c r="F1780" s="11">
        <v>1979.0</v>
      </c>
      <c r="G1780" s="40">
        <v>10000.0</v>
      </c>
      <c r="H1780" s="40" t="s">
        <v>188</v>
      </c>
      <c r="I1780" s="40" t="s">
        <v>188</v>
      </c>
      <c r="J1780" s="73" t="s">
        <v>188</v>
      </c>
      <c r="K1780" s="66" t="s">
        <v>188</v>
      </c>
      <c r="L1780" s="29" t="s">
        <v>260</v>
      </c>
    </row>
    <row r="1781">
      <c r="A1781" s="11" t="s">
        <v>1486</v>
      </c>
      <c r="B1781" s="11" t="s">
        <v>248</v>
      </c>
      <c r="C1781" s="157" t="s">
        <v>1487</v>
      </c>
      <c r="D1781" s="11" t="s">
        <v>1478</v>
      </c>
      <c r="E1781" s="11" t="s">
        <v>418</v>
      </c>
      <c r="F1781" s="11">
        <v>1989.0</v>
      </c>
      <c r="G1781" s="40">
        <v>7917.0</v>
      </c>
      <c r="H1781" s="40" t="s">
        <v>188</v>
      </c>
      <c r="I1781" s="40" t="s">
        <v>188</v>
      </c>
      <c r="J1781" s="73" t="s">
        <v>188</v>
      </c>
      <c r="K1781" s="66" t="s">
        <v>188</v>
      </c>
      <c r="L1781" s="29" t="s">
        <v>260</v>
      </c>
    </row>
    <row r="1782">
      <c r="A1782" s="11" t="s">
        <v>1486</v>
      </c>
      <c r="B1782" s="11" t="s">
        <v>248</v>
      </c>
      <c r="C1782" s="157" t="s">
        <v>1487</v>
      </c>
      <c r="D1782" s="11" t="s">
        <v>1478</v>
      </c>
      <c r="E1782" s="11" t="s">
        <v>418</v>
      </c>
      <c r="F1782" s="11">
        <v>1990.0</v>
      </c>
      <c r="G1782" s="40">
        <v>6250.0</v>
      </c>
      <c r="H1782" s="40" t="s">
        <v>188</v>
      </c>
      <c r="I1782" s="40" t="s">
        <v>188</v>
      </c>
      <c r="J1782" s="73" t="s">
        <v>188</v>
      </c>
      <c r="K1782" s="66" t="s">
        <v>188</v>
      </c>
      <c r="L1782" s="29" t="s">
        <v>260</v>
      </c>
    </row>
    <row r="1783">
      <c r="A1783" s="11" t="s">
        <v>1486</v>
      </c>
      <c r="B1783" s="11" t="s">
        <v>248</v>
      </c>
      <c r="C1783" s="157" t="s">
        <v>1487</v>
      </c>
      <c r="D1783" s="11" t="s">
        <v>1478</v>
      </c>
      <c r="E1783" s="11" t="s">
        <v>418</v>
      </c>
      <c r="F1783" s="11">
        <v>1991.0</v>
      </c>
      <c r="G1783" s="40">
        <v>5417.0</v>
      </c>
      <c r="H1783" s="40" t="s">
        <v>188</v>
      </c>
      <c r="I1783" s="40" t="s">
        <v>188</v>
      </c>
      <c r="J1783" s="73" t="s">
        <v>188</v>
      </c>
      <c r="K1783" s="66" t="s">
        <v>188</v>
      </c>
      <c r="L1783" s="29" t="s">
        <v>260</v>
      </c>
    </row>
    <row r="1784">
      <c r="A1784" s="11" t="s">
        <v>1486</v>
      </c>
      <c r="B1784" s="11" t="s">
        <v>248</v>
      </c>
      <c r="C1784" s="157" t="s">
        <v>1487</v>
      </c>
      <c r="D1784" s="11" t="s">
        <v>1478</v>
      </c>
      <c r="E1784" s="11" t="s">
        <v>418</v>
      </c>
      <c r="F1784" s="11">
        <v>1992.0</v>
      </c>
      <c r="G1784" s="40">
        <v>4583.0</v>
      </c>
      <c r="H1784" s="40" t="s">
        <v>188</v>
      </c>
      <c r="I1784" s="40" t="s">
        <v>188</v>
      </c>
      <c r="J1784" s="73" t="s">
        <v>188</v>
      </c>
      <c r="K1784" s="66" t="s">
        <v>188</v>
      </c>
      <c r="L1784" s="29" t="s">
        <v>260</v>
      </c>
    </row>
    <row r="1785">
      <c r="A1785" s="11" t="s">
        <v>1486</v>
      </c>
      <c r="B1785" s="11" t="s">
        <v>248</v>
      </c>
      <c r="C1785" s="157" t="s">
        <v>1487</v>
      </c>
      <c r="D1785" s="11" t="s">
        <v>1478</v>
      </c>
      <c r="E1785" s="11" t="s">
        <v>418</v>
      </c>
      <c r="F1785" s="11">
        <v>1994.0</v>
      </c>
      <c r="G1785" s="40">
        <v>4271.0</v>
      </c>
      <c r="H1785" s="40" t="s">
        <v>188</v>
      </c>
      <c r="I1785" s="40" t="s">
        <v>188</v>
      </c>
      <c r="J1785" s="73" t="s">
        <v>188</v>
      </c>
      <c r="K1785" s="66" t="s">
        <v>188</v>
      </c>
      <c r="L1785" s="29" t="s">
        <v>260</v>
      </c>
    </row>
    <row r="1786">
      <c r="A1786" s="11" t="s">
        <v>1486</v>
      </c>
      <c r="B1786" s="11" t="s">
        <v>248</v>
      </c>
      <c r="C1786" s="157" t="s">
        <v>1487</v>
      </c>
      <c r="D1786" s="11" t="s">
        <v>1478</v>
      </c>
      <c r="E1786" s="11" t="s">
        <v>418</v>
      </c>
      <c r="F1786" s="11">
        <v>1996.0</v>
      </c>
      <c r="G1786" s="40">
        <v>2604.0</v>
      </c>
      <c r="H1786" s="40" t="s">
        <v>188</v>
      </c>
      <c r="I1786" s="40" t="s">
        <v>188</v>
      </c>
      <c r="J1786" s="73" t="s">
        <v>188</v>
      </c>
      <c r="K1786" s="66" t="s">
        <v>188</v>
      </c>
      <c r="L1786" s="29" t="s">
        <v>260</v>
      </c>
    </row>
    <row r="1787">
      <c r="A1787" s="11" t="s">
        <v>1486</v>
      </c>
      <c r="B1787" s="11" t="s">
        <v>248</v>
      </c>
      <c r="C1787" s="157" t="s">
        <v>1487</v>
      </c>
      <c r="D1787" s="11" t="s">
        <v>1478</v>
      </c>
      <c r="E1787" s="11" t="s">
        <v>418</v>
      </c>
      <c r="F1787" s="11">
        <v>1997.0</v>
      </c>
      <c r="G1787" s="40">
        <v>3333.0</v>
      </c>
      <c r="H1787" s="40" t="s">
        <v>188</v>
      </c>
      <c r="I1787" s="40" t="s">
        <v>188</v>
      </c>
      <c r="J1787" s="73" t="s">
        <v>188</v>
      </c>
      <c r="K1787" s="66" t="s">
        <v>188</v>
      </c>
      <c r="L1787" s="29" t="s">
        <v>260</v>
      </c>
    </row>
    <row r="1788">
      <c r="A1788" s="11" t="s">
        <v>1486</v>
      </c>
      <c r="B1788" s="11" t="s">
        <v>248</v>
      </c>
      <c r="C1788" s="157" t="s">
        <v>1487</v>
      </c>
      <c r="D1788" s="11" t="s">
        <v>1478</v>
      </c>
      <c r="E1788" s="11" t="s">
        <v>418</v>
      </c>
      <c r="F1788" s="11">
        <v>1998.0</v>
      </c>
      <c r="G1788" s="40">
        <v>2500.0</v>
      </c>
      <c r="H1788" s="40" t="s">
        <v>188</v>
      </c>
      <c r="I1788" s="40" t="s">
        <v>188</v>
      </c>
      <c r="J1788" s="73" t="s">
        <v>188</v>
      </c>
      <c r="K1788" s="66" t="s">
        <v>188</v>
      </c>
      <c r="L1788" s="29" t="s">
        <v>260</v>
      </c>
    </row>
    <row r="1789">
      <c r="A1789" s="11" t="s">
        <v>1486</v>
      </c>
      <c r="B1789" s="11" t="s">
        <v>248</v>
      </c>
      <c r="C1789" s="157" t="s">
        <v>1487</v>
      </c>
      <c r="D1789" s="11" t="s">
        <v>1478</v>
      </c>
      <c r="E1789" s="11" t="s">
        <v>418</v>
      </c>
      <c r="F1789" s="11">
        <v>2000.0</v>
      </c>
      <c r="G1789" s="40">
        <v>2500.0</v>
      </c>
      <c r="H1789" s="40" t="s">
        <v>188</v>
      </c>
      <c r="I1789" s="40" t="s">
        <v>188</v>
      </c>
      <c r="J1789" s="73" t="s">
        <v>188</v>
      </c>
      <c r="K1789" s="66" t="s">
        <v>188</v>
      </c>
      <c r="L1789" s="29" t="s">
        <v>260</v>
      </c>
    </row>
    <row r="1790">
      <c r="A1790" s="11" t="s">
        <v>1486</v>
      </c>
      <c r="B1790" s="11" t="s">
        <v>248</v>
      </c>
      <c r="C1790" s="157" t="s">
        <v>1487</v>
      </c>
      <c r="D1790" s="11" t="s">
        <v>1478</v>
      </c>
      <c r="E1790" s="11" t="s">
        <v>418</v>
      </c>
      <c r="F1790" s="11">
        <v>2002.0</v>
      </c>
      <c r="G1790" s="40">
        <v>3333.0</v>
      </c>
      <c r="H1790" s="40" t="s">
        <v>188</v>
      </c>
      <c r="I1790" s="40" t="s">
        <v>188</v>
      </c>
      <c r="J1790" s="73" t="s">
        <v>188</v>
      </c>
      <c r="K1790" s="66" t="s">
        <v>188</v>
      </c>
      <c r="L1790" s="29" t="s">
        <v>260</v>
      </c>
    </row>
    <row r="1791">
      <c r="A1791" s="11" t="s">
        <v>1486</v>
      </c>
      <c r="B1791" s="11" t="s">
        <v>248</v>
      </c>
      <c r="C1791" s="157" t="s">
        <v>1487</v>
      </c>
      <c r="D1791" s="11" t="s">
        <v>1478</v>
      </c>
      <c r="E1791" s="11" t="s">
        <v>418</v>
      </c>
      <c r="F1791" s="11">
        <v>2004.0</v>
      </c>
      <c r="G1791" s="40">
        <v>3333.0</v>
      </c>
      <c r="H1791" s="40" t="s">
        <v>188</v>
      </c>
      <c r="I1791" s="40" t="s">
        <v>188</v>
      </c>
      <c r="J1791" s="73" t="s">
        <v>188</v>
      </c>
      <c r="K1791" s="66" t="s">
        <v>188</v>
      </c>
      <c r="L1791" s="29" t="s">
        <v>260</v>
      </c>
    </row>
    <row r="1792">
      <c r="A1792" s="11" t="s">
        <v>1486</v>
      </c>
      <c r="B1792" s="11" t="s">
        <v>248</v>
      </c>
      <c r="C1792" s="157" t="s">
        <v>1487</v>
      </c>
      <c r="D1792" s="11" t="s">
        <v>1478</v>
      </c>
      <c r="E1792" s="11" t="s">
        <v>418</v>
      </c>
      <c r="F1792" s="11">
        <v>2005.0</v>
      </c>
      <c r="G1792" s="40">
        <v>3750.0</v>
      </c>
      <c r="H1792" s="40" t="s">
        <v>188</v>
      </c>
      <c r="I1792" s="40" t="s">
        <v>188</v>
      </c>
      <c r="J1792" s="73" t="s">
        <v>188</v>
      </c>
      <c r="K1792" s="66" t="s">
        <v>188</v>
      </c>
      <c r="L1792" s="29" t="s">
        <v>260</v>
      </c>
    </row>
    <row r="1793">
      <c r="A1793" s="11" t="s">
        <v>1486</v>
      </c>
      <c r="B1793" s="11" t="s">
        <v>248</v>
      </c>
      <c r="C1793" s="157" t="s">
        <v>1487</v>
      </c>
      <c r="D1793" s="11" t="s">
        <v>1478</v>
      </c>
      <c r="E1793" s="11" t="s">
        <v>418</v>
      </c>
      <c r="F1793" s="11">
        <v>2006.0</v>
      </c>
      <c r="G1793" s="40">
        <v>3750.0</v>
      </c>
      <c r="H1793" s="40" t="s">
        <v>188</v>
      </c>
      <c r="I1793" s="40" t="s">
        <v>188</v>
      </c>
      <c r="J1793" s="73" t="s">
        <v>188</v>
      </c>
      <c r="K1793" s="66" t="s">
        <v>188</v>
      </c>
      <c r="L1793" s="29" t="s">
        <v>260</v>
      </c>
    </row>
    <row r="1794">
      <c r="A1794" s="11" t="s">
        <v>1486</v>
      </c>
      <c r="B1794" s="11" t="s">
        <v>248</v>
      </c>
      <c r="C1794" s="157" t="s">
        <v>1487</v>
      </c>
      <c r="D1794" s="11" t="s">
        <v>1478</v>
      </c>
      <c r="E1794" s="11" t="s">
        <v>418</v>
      </c>
      <c r="F1794" s="11">
        <v>2007.0</v>
      </c>
      <c r="G1794" s="40">
        <v>3750.0</v>
      </c>
      <c r="H1794" s="40" t="s">
        <v>188</v>
      </c>
      <c r="I1794" s="40" t="s">
        <v>188</v>
      </c>
      <c r="J1794" s="73" t="s">
        <v>188</v>
      </c>
      <c r="K1794" s="66" t="s">
        <v>188</v>
      </c>
      <c r="L1794" s="29" t="s">
        <v>260</v>
      </c>
    </row>
    <row r="1795">
      <c r="A1795" s="11" t="s">
        <v>1486</v>
      </c>
      <c r="B1795" s="11" t="s">
        <v>248</v>
      </c>
      <c r="C1795" s="157" t="s">
        <v>1487</v>
      </c>
      <c r="D1795" s="11" t="s">
        <v>1478</v>
      </c>
      <c r="E1795" s="11" t="s">
        <v>418</v>
      </c>
      <c r="F1795" s="11">
        <v>2008.0</v>
      </c>
      <c r="G1795" s="40">
        <v>5000.0</v>
      </c>
      <c r="H1795" s="40" t="s">
        <v>188</v>
      </c>
      <c r="I1795" s="40" t="s">
        <v>188</v>
      </c>
      <c r="J1795" s="73" t="s">
        <v>188</v>
      </c>
      <c r="K1795" s="66" t="s">
        <v>188</v>
      </c>
      <c r="L1795" s="29" t="s">
        <v>260</v>
      </c>
    </row>
    <row r="1796">
      <c r="A1796" s="11" t="s">
        <v>1486</v>
      </c>
      <c r="B1796" s="11" t="s">
        <v>248</v>
      </c>
      <c r="C1796" s="157" t="s">
        <v>1487</v>
      </c>
      <c r="D1796" s="11" t="s">
        <v>1478</v>
      </c>
      <c r="E1796" s="11" t="s">
        <v>418</v>
      </c>
      <c r="F1796" s="11">
        <v>2009.0</v>
      </c>
      <c r="G1796" s="40">
        <v>4167.0</v>
      </c>
      <c r="H1796" s="40" t="s">
        <v>188</v>
      </c>
      <c r="I1796" s="40" t="s">
        <v>188</v>
      </c>
      <c r="J1796" s="73" t="s">
        <v>188</v>
      </c>
      <c r="K1796" s="66" t="s">
        <v>188</v>
      </c>
      <c r="L1796" s="29" t="s">
        <v>260</v>
      </c>
    </row>
    <row r="1797">
      <c r="A1797" s="11" t="s">
        <v>1486</v>
      </c>
      <c r="B1797" s="11" t="s">
        <v>248</v>
      </c>
      <c r="C1797" s="157" t="s">
        <v>1487</v>
      </c>
      <c r="D1797" s="11" t="s">
        <v>1478</v>
      </c>
      <c r="E1797" s="11" t="s">
        <v>418</v>
      </c>
      <c r="F1797" s="11">
        <v>2010.0</v>
      </c>
      <c r="G1797" s="40">
        <v>4167.0</v>
      </c>
      <c r="H1797" s="40" t="s">
        <v>188</v>
      </c>
      <c r="I1797" s="40" t="s">
        <v>188</v>
      </c>
      <c r="J1797" s="73" t="s">
        <v>188</v>
      </c>
      <c r="K1797" s="66" t="s">
        <v>188</v>
      </c>
      <c r="L1797" s="29" t="s">
        <v>260</v>
      </c>
    </row>
    <row r="1798">
      <c r="A1798" s="11" t="s">
        <v>1486</v>
      </c>
      <c r="B1798" s="11" t="s">
        <v>248</v>
      </c>
      <c r="C1798" s="157" t="s">
        <v>1487</v>
      </c>
      <c r="D1798" s="11" t="s">
        <v>1478</v>
      </c>
      <c r="E1798" s="11" t="s">
        <v>418</v>
      </c>
      <c r="F1798" s="11">
        <v>2011.0</v>
      </c>
      <c r="G1798" s="40">
        <v>5417.0</v>
      </c>
      <c r="H1798" s="40" t="s">
        <v>188</v>
      </c>
      <c r="I1798" s="40" t="s">
        <v>188</v>
      </c>
      <c r="J1798" s="73" t="s">
        <v>188</v>
      </c>
      <c r="K1798" s="66" t="s">
        <v>188</v>
      </c>
      <c r="L1798" s="29" t="s">
        <v>260</v>
      </c>
    </row>
    <row r="1799">
      <c r="A1799" s="11" t="s">
        <v>1486</v>
      </c>
      <c r="B1799" s="11" t="s">
        <v>248</v>
      </c>
      <c r="C1799" s="157" t="s">
        <v>1487</v>
      </c>
      <c r="D1799" s="11" t="s">
        <v>1478</v>
      </c>
      <c r="E1799" s="11" t="s">
        <v>418</v>
      </c>
      <c r="F1799" s="11">
        <v>2013.0</v>
      </c>
      <c r="G1799" s="40">
        <v>5417.0</v>
      </c>
      <c r="H1799" s="40" t="s">
        <v>188</v>
      </c>
      <c r="I1799" s="40" t="s">
        <v>188</v>
      </c>
      <c r="J1799" s="73" t="s">
        <v>188</v>
      </c>
      <c r="K1799" s="66" t="s">
        <v>188</v>
      </c>
      <c r="L1799" s="29" t="s">
        <v>260</v>
      </c>
    </row>
    <row r="1800">
      <c r="A1800" s="11" t="s">
        <v>1486</v>
      </c>
      <c r="B1800" s="11" t="s">
        <v>248</v>
      </c>
      <c r="C1800" s="157" t="s">
        <v>1487</v>
      </c>
      <c r="D1800" s="11" t="s">
        <v>1478</v>
      </c>
      <c r="E1800" s="11" t="s">
        <v>418</v>
      </c>
      <c r="F1800" s="11">
        <v>2015.0</v>
      </c>
      <c r="G1800" s="40">
        <v>6250.0</v>
      </c>
      <c r="H1800" s="40" t="s">
        <v>188</v>
      </c>
      <c r="I1800" s="40" t="s">
        <v>188</v>
      </c>
      <c r="J1800" s="73" t="s">
        <v>188</v>
      </c>
      <c r="K1800" s="66" t="s">
        <v>188</v>
      </c>
      <c r="L1800" s="29" t="s">
        <v>260</v>
      </c>
    </row>
    <row r="1801">
      <c r="A1801" s="11" t="s">
        <v>1486</v>
      </c>
      <c r="B1801" s="11" t="s">
        <v>248</v>
      </c>
      <c r="C1801" s="157" t="s">
        <v>1487</v>
      </c>
      <c r="D1801" s="11" t="s">
        <v>1478</v>
      </c>
      <c r="E1801" s="11" t="s">
        <v>418</v>
      </c>
      <c r="F1801" s="11">
        <v>2017.0</v>
      </c>
      <c r="G1801" s="40">
        <v>5000.0</v>
      </c>
      <c r="H1801" s="40" t="s">
        <v>188</v>
      </c>
      <c r="I1801" s="40" t="s">
        <v>188</v>
      </c>
      <c r="J1801" s="73" t="s">
        <v>188</v>
      </c>
      <c r="K1801" s="66" t="s">
        <v>188</v>
      </c>
      <c r="L1801" s="29" t="s">
        <v>260</v>
      </c>
    </row>
    <row r="1802">
      <c r="A1802" s="11" t="s">
        <v>1486</v>
      </c>
      <c r="B1802" s="11" t="s">
        <v>248</v>
      </c>
      <c r="C1802" s="157" t="s">
        <v>1487</v>
      </c>
      <c r="D1802" s="11" t="s">
        <v>1478</v>
      </c>
      <c r="E1802" s="11" t="s">
        <v>418</v>
      </c>
      <c r="F1802" s="11">
        <v>2019.0</v>
      </c>
      <c r="G1802" s="40">
        <v>4167.0</v>
      </c>
      <c r="H1802" s="40" t="s">
        <v>188</v>
      </c>
      <c r="I1802" s="40" t="s">
        <v>188</v>
      </c>
      <c r="J1802" s="73" t="s">
        <v>188</v>
      </c>
      <c r="K1802" s="66" t="s">
        <v>188</v>
      </c>
      <c r="L1802" s="29" t="s">
        <v>260</v>
      </c>
    </row>
    <row r="1803">
      <c r="A1803" s="11" t="s">
        <v>1484</v>
      </c>
      <c r="B1803" s="11" t="s">
        <v>248</v>
      </c>
      <c r="C1803" s="157" t="s">
        <v>1485</v>
      </c>
      <c r="D1803" s="11" t="s">
        <v>1478</v>
      </c>
      <c r="E1803" s="11" t="s">
        <v>418</v>
      </c>
      <c r="F1803" s="11">
        <v>1978.0</v>
      </c>
      <c r="G1803" s="40">
        <v>18354.0</v>
      </c>
      <c r="H1803" s="40" t="s">
        <v>188</v>
      </c>
      <c r="I1803" s="40" t="s">
        <v>188</v>
      </c>
      <c r="J1803" s="73" t="s">
        <v>188</v>
      </c>
      <c r="K1803" s="66" t="s">
        <v>188</v>
      </c>
      <c r="L1803" s="29" t="s">
        <v>260</v>
      </c>
    </row>
    <row r="1804">
      <c r="A1804" s="11" t="s">
        <v>1484</v>
      </c>
      <c r="B1804" s="11" t="s">
        <v>248</v>
      </c>
      <c r="C1804" s="157" t="s">
        <v>1485</v>
      </c>
      <c r="D1804" s="11" t="s">
        <v>1478</v>
      </c>
      <c r="E1804" s="11" t="s">
        <v>418</v>
      </c>
      <c r="F1804" s="11">
        <v>1979.0</v>
      </c>
      <c r="G1804" s="40">
        <v>15030.0</v>
      </c>
      <c r="H1804" s="40" t="s">
        <v>188</v>
      </c>
      <c r="I1804" s="40" t="s">
        <v>188</v>
      </c>
      <c r="J1804" s="73" t="s">
        <v>188</v>
      </c>
      <c r="K1804" s="66" t="s">
        <v>188</v>
      </c>
      <c r="L1804" s="29" t="s">
        <v>260</v>
      </c>
    </row>
    <row r="1805">
      <c r="A1805" s="11" t="s">
        <v>1484</v>
      </c>
      <c r="B1805" s="11" t="s">
        <v>248</v>
      </c>
      <c r="C1805" s="157" t="s">
        <v>1485</v>
      </c>
      <c r="D1805" s="11" t="s">
        <v>1478</v>
      </c>
      <c r="E1805" s="11" t="s">
        <v>418</v>
      </c>
      <c r="F1805" s="11">
        <v>1985.0</v>
      </c>
      <c r="G1805" s="40">
        <v>8842.0</v>
      </c>
      <c r="H1805" s="40" t="s">
        <v>188</v>
      </c>
      <c r="I1805" s="40" t="s">
        <v>188</v>
      </c>
      <c r="J1805" s="73" t="s">
        <v>188</v>
      </c>
      <c r="K1805" s="66" t="s">
        <v>188</v>
      </c>
      <c r="L1805" s="29" t="s">
        <v>260</v>
      </c>
    </row>
    <row r="1806">
      <c r="A1806" s="11" t="s">
        <v>1484</v>
      </c>
      <c r="B1806" s="11" t="s">
        <v>248</v>
      </c>
      <c r="C1806" s="157" t="s">
        <v>1485</v>
      </c>
      <c r="D1806" s="11" t="s">
        <v>1478</v>
      </c>
      <c r="E1806" s="11" t="s">
        <v>418</v>
      </c>
      <c r="F1806" s="11">
        <v>1986.0</v>
      </c>
      <c r="G1806" s="40">
        <v>8437.0</v>
      </c>
      <c r="H1806" s="40" t="s">
        <v>188</v>
      </c>
      <c r="I1806" s="40" t="s">
        <v>188</v>
      </c>
      <c r="J1806" s="73" t="s">
        <v>188</v>
      </c>
      <c r="K1806" s="66" t="s">
        <v>188</v>
      </c>
      <c r="L1806" s="29" t="s">
        <v>260</v>
      </c>
    </row>
    <row r="1807">
      <c r="A1807" s="11" t="s">
        <v>1484</v>
      </c>
      <c r="B1807" s="11" t="s">
        <v>248</v>
      </c>
      <c r="C1807" s="157" t="s">
        <v>1485</v>
      </c>
      <c r="D1807" s="11" t="s">
        <v>1478</v>
      </c>
      <c r="E1807" s="11" t="s">
        <v>418</v>
      </c>
      <c r="F1807" s="11">
        <v>1987.0</v>
      </c>
      <c r="G1807" s="40">
        <v>6779.0</v>
      </c>
      <c r="H1807" s="40" t="s">
        <v>188</v>
      </c>
      <c r="I1807" s="40" t="s">
        <v>188</v>
      </c>
      <c r="J1807" s="73" t="s">
        <v>188</v>
      </c>
      <c r="K1807" s="66" t="s">
        <v>188</v>
      </c>
      <c r="L1807" s="29" t="s">
        <v>260</v>
      </c>
    </row>
    <row r="1808">
      <c r="A1808" s="11" t="s">
        <v>1484</v>
      </c>
      <c r="B1808" s="11" t="s">
        <v>248</v>
      </c>
      <c r="C1808" s="157" t="s">
        <v>1485</v>
      </c>
      <c r="D1808" s="11" t="s">
        <v>1478</v>
      </c>
      <c r="E1808" s="11" t="s">
        <v>418</v>
      </c>
      <c r="F1808" s="11">
        <v>1988.0</v>
      </c>
      <c r="G1808" s="40">
        <v>7207.0</v>
      </c>
      <c r="H1808" s="40" t="s">
        <v>188</v>
      </c>
      <c r="I1808" s="40" t="s">
        <v>188</v>
      </c>
      <c r="J1808" s="73" t="s">
        <v>188</v>
      </c>
      <c r="K1808" s="66" t="s">
        <v>188</v>
      </c>
      <c r="L1808" s="29" t="s">
        <v>260</v>
      </c>
    </row>
    <row r="1809">
      <c r="A1809" s="11" t="s">
        <v>1484</v>
      </c>
      <c r="B1809" s="11" t="s">
        <v>248</v>
      </c>
      <c r="C1809" s="157" t="s">
        <v>1485</v>
      </c>
      <c r="D1809" s="11" t="s">
        <v>1478</v>
      </c>
      <c r="E1809" s="11" t="s">
        <v>418</v>
      </c>
      <c r="F1809" s="11">
        <v>1989.0</v>
      </c>
      <c r="G1809" s="40">
        <v>6175.0</v>
      </c>
      <c r="H1809" s="40" t="s">
        <v>188</v>
      </c>
      <c r="I1809" s="40" t="s">
        <v>188</v>
      </c>
      <c r="J1809" s="73" t="s">
        <v>188</v>
      </c>
      <c r="K1809" s="66" t="s">
        <v>188</v>
      </c>
      <c r="L1809" s="29" t="s">
        <v>260</v>
      </c>
    </row>
    <row r="1810">
      <c r="A1810" s="11" t="s">
        <v>1484</v>
      </c>
      <c r="B1810" s="11" t="s">
        <v>248</v>
      </c>
      <c r="C1810" s="157" t="s">
        <v>1485</v>
      </c>
      <c r="D1810" s="11" t="s">
        <v>1478</v>
      </c>
      <c r="E1810" s="11" t="s">
        <v>418</v>
      </c>
      <c r="F1810" s="11">
        <v>1990.0</v>
      </c>
      <c r="G1810" s="40">
        <v>5978.0</v>
      </c>
      <c r="H1810" s="40" t="s">
        <v>188</v>
      </c>
      <c r="I1810" s="40" t="s">
        <v>188</v>
      </c>
      <c r="J1810" s="73" t="s">
        <v>188</v>
      </c>
      <c r="K1810" s="66" t="s">
        <v>188</v>
      </c>
      <c r="L1810" s="29" t="s">
        <v>260</v>
      </c>
    </row>
    <row r="1811">
      <c r="A1811" s="11" t="s">
        <v>1484</v>
      </c>
      <c r="B1811" s="11" t="s">
        <v>248</v>
      </c>
      <c r="C1811" s="157" t="s">
        <v>1485</v>
      </c>
      <c r="D1811" s="11" t="s">
        <v>1478</v>
      </c>
      <c r="E1811" s="11" t="s">
        <v>418</v>
      </c>
      <c r="F1811" s="11">
        <v>1991.0</v>
      </c>
      <c r="G1811" s="40">
        <v>5987.0</v>
      </c>
      <c r="H1811" s="40" t="s">
        <v>188</v>
      </c>
      <c r="I1811" s="40" t="s">
        <v>188</v>
      </c>
      <c r="J1811" s="73" t="s">
        <v>188</v>
      </c>
      <c r="K1811" s="66" t="s">
        <v>188</v>
      </c>
      <c r="L1811" s="29" t="s">
        <v>260</v>
      </c>
    </row>
    <row r="1812">
      <c r="A1812" s="11" t="s">
        <v>1484</v>
      </c>
      <c r="B1812" s="11" t="s">
        <v>248</v>
      </c>
      <c r="C1812" s="157" t="s">
        <v>1485</v>
      </c>
      <c r="D1812" s="11" t="s">
        <v>1478</v>
      </c>
      <c r="E1812" s="11" t="s">
        <v>418</v>
      </c>
      <c r="F1812" s="11">
        <v>1992.0</v>
      </c>
      <c r="G1812" s="40">
        <v>5996.0</v>
      </c>
      <c r="H1812" s="40" t="s">
        <v>188</v>
      </c>
      <c r="I1812" s="40" t="s">
        <v>188</v>
      </c>
      <c r="J1812" s="73" t="s">
        <v>188</v>
      </c>
      <c r="K1812" s="66" t="s">
        <v>188</v>
      </c>
      <c r="L1812" s="29" t="s">
        <v>260</v>
      </c>
    </row>
    <row r="1813">
      <c r="A1813" s="11" t="s">
        <v>1484</v>
      </c>
      <c r="B1813" s="11" t="s">
        <v>248</v>
      </c>
      <c r="C1813" s="157" t="s">
        <v>1485</v>
      </c>
      <c r="D1813" s="11" t="s">
        <v>1478</v>
      </c>
      <c r="E1813" s="11" t="s">
        <v>418</v>
      </c>
      <c r="F1813" s="11">
        <v>1994.0</v>
      </c>
      <c r="G1813" s="40">
        <v>6746.0</v>
      </c>
      <c r="H1813" s="40" t="s">
        <v>188</v>
      </c>
      <c r="I1813" s="40" t="s">
        <v>188</v>
      </c>
      <c r="J1813" s="73" t="s">
        <v>188</v>
      </c>
      <c r="K1813" s="66" t="s">
        <v>188</v>
      </c>
      <c r="L1813" s="29" t="s">
        <v>260</v>
      </c>
    </row>
    <row r="1814">
      <c r="A1814" s="11" t="s">
        <v>1484</v>
      </c>
      <c r="B1814" s="11" t="s">
        <v>248</v>
      </c>
      <c r="C1814" s="157" t="s">
        <v>1485</v>
      </c>
      <c r="D1814" s="11" t="s">
        <v>1478</v>
      </c>
      <c r="E1814" s="11" t="s">
        <v>418</v>
      </c>
      <c r="F1814" s="11">
        <v>1996.0</v>
      </c>
      <c r="G1814" s="40">
        <v>6454.0</v>
      </c>
      <c r="H1814" s="40" t="s">
        <v>188</v>
      </c>
      <c r="I1814" s="40" t="s">
        <v>188</v>
      </c>
      <c r="J1814" s="73" t="s">
        <v>188</v>
      </c>
      <c r="K1814" s="66" t="s">
        <v>188</v>
      </c>
      <c r="L1814" s="29" t="s">
        <v>260</v>
      </c>
    </row>
    <row r="1815">
      <c r="A1815" s="11" t="s">
        <v>1484</v>
      </c>
      <c r="B1815" s="11" t="s">
        <v>248</v>
      </c>
      <c r="C1815" s="157" t="s">
        <v>1485</v>
      </c>
      <c r="D1815" s="11" t="s">
        <v>1478</v>
      </c>
      <c r="E1815" s="11" t="s">
        <v>418</v>
      </c>
      <c r="F1815" s="11">
        <v>1997.0</v>
      </c>
      <c r="G1815" s="40">
        <v>6463.0</v>
      </c>
      <c r="H1815" s="40" t="s">
        <v>188</v>
      </c>
      <c r="I1815" s="40" t="s">
        <v>188</v>
      </c>
      <c r="J1815" s="73" t="s">
        <v>188</v>
      </c>
      <c r="K1815" s="66" t="s">
        <v>188</v>
      </c>
      <c r="L1815" s="29" t="s">
        <v>260</v>
      </c>
    </row>
    <row r="1816">
      <c r="A1816" s="11" t="s">
        <v>1484</v>
      </c>
      <c r="B1816" s="11" t="s">
        <v>248</v>
      </c>
      <c r="C1816" s="157" t="s">
        <v>1485</v>
      </c>
      <c r="D1816" s="11" t="s">
        <v>1478</v>
      </c>
      <c r="E1816" s="11" t="s">
        <v>418</v>
      </c>
      <c r="F1816" s="11">
        <v>1998.0</v>
      </c>
      <c r="G1816" s="40">
        <v>6475.0</v>
      </c>
      <c r="H1816" s="40" t="s">
        <v>188</v>
      </c>
      <c r="I1816" s="40" t="s">
        <v>188</v>
      </c>
      <c r="J1816" s="73" t="s">
        <v>188</v>
      </c>
      <c r="K1816" s="66" t="s">
        <v>188</v>
      </c>
      <c r="L1816" s="29" t="s">
        <v>260</v>
      </c>
    </row>
    <row r="1817">
      <c r="A1817" s="11" t="s">
        <v>1484</v>
      </c>
      <c r="B1817" s="11" t="s">
        <v>248</v>
      </c>
      <c r="C1817" s="157" t="s">
        <v>1485</v>
      </c>
      <c r="D1817" s="11" t="s">
        <v>1478</v>
      </c>
      <c r="E1817" s="11" t="s">
        <v>418</v>
      </c>
      <c r="F1817" s="11">
        <v>2000.0</v>
      </c>
      <c r="G1817" s="40">
        <v>4829.0</v>
      </c>
      <c r="H1817" s="40" t="s">
        <v>188</v>
      </c>
      <c r="I1817" s="40" t="s">
        <v>188</v>
      </c>
      <c r="J1817" s="73" t="s">
        <v>188</v>
      </c>
      <c r="K1817" s="66" t="s">
        <v>188</v>
      </c>
      <c r="L1817" s="29" t="s">
        <v>260</v>
      </c>
    </row>
    <row r="1818">
      <c r="A1818" s="11" t="s">
        <v>1484</v>
      </c>
      <c r="B1818" s="11" t="s">
        <v>248</v>
      </c>
      <c r="C1818" s="157" t="s">
        <v>1485</v>
      </c>
      <c r="D1818" s="11" t="s">
        <v>1478</v>
      </c>
      <c r="E1818" s="11" t="s">
        <v>418</v>
      </c>
      <c r="F1818" s="11">
        <v>2002.0</v>
      </c>
      <c r="G1818" s="40">
        <v>5683.0</v>
      </c>
      <c r="H1818" s="40" t="s">
        <v>188</v>
      </c>
      <c r="I1818" s="40" t="s">
        <v>188</v>
      </c>
      <c r="J1818" s="73" t="s">
        <v>188</v>
      </c>
      <c r="K1818" s="66" t="s">
        <v>188</v>
      </c>
      <c r="L1818" s="29" t="s">
        <v>260</v>
      </c>
    </row>
    <row r="1819">
      <c r="A1819" s="11" t="s">
        <v>1484</v>
      </c>
      <c r="B1819" s="11" t="s">
        <v>248</v>
      </c>
      <c r="C1819" s="157" t="s">
        <v>1485</v>
      </c>
      <c r="D1819" s="11" t="s">
        <v>1478</v>
      </c>
      <c r="E1819" s="11" t="s">
        <v>418</v>
      </c>
      <c r="F1819" s="11">
        <v>2004.0</v>
      </c>
      <c r="G1819" s="40">
        <v>6537.0</v>
      </c>
      <c r="H1819" s="40" t="s">
        <v>188</v>
      </c>
      <c r="I1819" s="40" t="s">
        <v>188</v>
      </c>
      <c r="J1819" s="73" t="s">
        <v>188</v>
      </c>
      <c r="K1819" s="66" t="s">
        <v>188</v>
      </c>
      <c r="L1819" s="29" t="s">
        <v>260</v>
      </c>
    </row>
    <row r="1820">
      <c r="A1820" s="11" t="s">
        <v>1484</v>
      </c>
      <c r="B1820" s="11" t="s">
        <v>248</v>
      </c>
      <c r="C1820" s="157" t="s">
        <v>1485</v>
      </c>
      <c r="D1820" s="11" t="s">
        <v>1478</v>
      </c>
      <c r="E1820" s="11" t="s">
        <v>418</v>
      </c>
      <c r="F1820" s="11">
        <v>2005.0</v>
      </c>
      <c r="G1820" s="40">
        <v>5818.0</v>
      </c>
      <c r="H1820" s="40" t="s">
        <v>188</v>
      </c>
      <c r="I1820" s="40" t="s">
        <v>188</v>
      </c>
      <c r="J1820" s="73" t="s">
        <v>188</v>
      </c>
      <c r="K1820" s="66" t="s">
        <v>188</v>
      </c>
      <c r="L1820" s="29" t="s">
        <v>260</v>
      </c>
    </row>
    <row r="1821">
      <c r="A1821" s="11" t="s">
        <v>1484</v>
      </c>
      <c r="B1821" s="11" t="s">
        <v>248</v>
      </c>
      <c r="C1821" s="157" t="s">
        <v>1485</v>
      </c>
      <c r="D1821" s="11" t="s">
        <v>1478</v>
      </c>
      <c r="E1821" s="11" t="s">
        <v>418</v>
      </c>
      <c r="F1821" s="11">
        <v>2006.0</v>
      </c>
      <c r="G1821" s="40">
        <v>6557.0</v>
      </c>
      <c r="H1821" s="40" t="s">
        <v>188</v>
      </c>
      <c r="I1821" s="40" t="s">
        <v>188</v>
      </c>
      <c r="J1821" s="73" t="s">
        <v>188</v>
      </c>
      <c r="K1821" s="66" t="s">
        <v>188</v>
      </c>
      <c r="L1821" s="29" t="s">
        <v>260</v>
      </c>
    </row>
    <row r="1822">
      <c r="A1822" s="11" t="s">
        <v>1484</v>
      </c>
      <c r="B1822" s="11" t="s">
        <v>248</v>
      </c>
      <c r="C1822" s="157" t="s">
        <v>1485</v>
      </c>
      <c r="D1822" s="11" t="s">
        <v>1478</v>
      </c>
      <c r="E1822" s="11" t="s">
        <v>418</v>
      </c>
      <c r="F1822" s="11">
        <v>2007.0</v>
      </c>
      <c r="G1822" s="40">
        <v>6983.0</v>
      </c>
      <c r="H1822" s="40" t="s">
        <v>188</v>
      </c>
      <c r="I1822" s="40" t="s">
        <v>188</v>
      </c>
      <c r="J1822" s="73" t="s">
        <v>188</v>
      </c>
      <c r="K1822" s="66" t="s">
        <v>188</v>
      </c>
      <c r="L1822" s="29" t="s">
        <v>260</v>
      </c>
    </row>
    <row r="1823">
      <c r="A1823" s="11" t="s">
        <v>1484</v>
      </c>
      <c r="B1823" s="11" t="s">
        <v>248</v>
      </c>
      <c r="C1823" s="157" t="s">
        <v>1485</v>
      </c>
      <c r="D1823" s="11" t="s">
        <v>1478</v>
      </c>
      <c r="E1823" s="11" t="s">
        <v>418</v>
      </c>
      <c r="F1823" s="11">
        <v>2008.0</v>
      </c>
      <c r="G1823" s="40">
        <v>6995.0</v>
      </c>
      <c r="H1823" s="40" t="s">
        <v>188</v>
      </c>
      <c r="I1823" s="40" t="s">
        <v>188</v>
      </c>
      <c r="J1823" s="73" t="s">
        <v>188</v>
      </c>
      <c r="K1823" s="66" t="s">
        <v>188</v>
      </c>
      <c r="L1823" s="29" t="s">
        <v>260</v>
      </c>
    </row>
    <row r="1824">
      <c r="A1824" s="11" t="s">
        <v>1484</v>
      </c>
      <c r="B1824" s="11" t="s">
        <v>248</v>
      </c>
      <c r="C1824" s="157" t="s">
        <v>1485</v>
      </c>
      <c r="D1824" s="11" t="s">
        <v>1478</v>
      </c>
      <c r="E1824" s="11" t="s">
        <v>418</v>
      </c>
      <c r="F1824" s="11">
        <v>2009.0</v>
      </c>
      <c r="G1824" s="40">
        <v>7420.0</v>
      </c>
      <c r="H1824" s="40" t="s">
        <v>188</v>
      </c>
      <c r="I1824" s="40" t="s">
        <v>188</v>
      </c>
      <c r="J1824" s="73" t="s">
        <v>188</v>
      </c>
      <c r="K1824" s="66" t="s">
        <v>188</v>
      </c>
      <c r="L1824" s="29" t="s">
        <v>260</v>
      </c>
    </row>
    <row r="1825">
      <c r="A1825" s="11" t="s">
        <v>1484</v>
      </c>
      <c r="B1825" s="11" t="s">
        <v>248</v>
      </c>
      <c r="C1825" s="157" t="s">
        <v>1485</v>
      </c>
      <c r="D1825" s="11" t="s">
        <v>1478</v>
      </c>
      <c r="E1825" s="11" t="s">
        <v>418</v>
      </c>
      <c r="F1825" s="11">
        <v>2010.0</v>
      </c>
      <c r="G1825" s="40">
        <v>7849.0</v>
      </c>
      <c r="H1825" s="40" t="s">
        <v>188</v>
      </c>
      <c r="I1825" s="40" t="s">
        <v>188</v>
      </c>
      <c r="J1825" s="73" t="s">
        <v>188</v>
      </c>
      <c r="K1825" s="66" t="s">
        <v>188</v>
      </c>
      <c r="L1825" s="29" t="s">
        <v>260</v>
      </c>
    </row>
    <row r="1826">
      <c r="A1826" s="11" t="s">
        <v>1484</v>
      </c>
      <c r="B1826" s="11" t="s">
        <v>248</v>
      </c>
      <c r="C1826" s="157" t="s">
        <v>1485</v>
      </c>
      <c r="D1826" s="11" t="s">
        <v>1478</v>
      </c>
      <c r="E1826" s="11" t="s">
        <v>418</v>
      </c>
      <c r="F1826" s="11">
        <v>2011.0</v>
      </c>
      <c r="G1826" s="40">
        <v>8899.0</v>
      </c>
      <c r="H1826" s="40" t="s">
        <v>188</v>
      </c>
      <c r="I1826" s="40" t="s">
        <v>188</v>
      </c>
      <c r="J1826" s="73" t="s">
        <v>188</v>
      </c>
      <c r="K1826" s="66" t="s">
        <v>188</v>
      </c>
      <c r="L1826" s="29" t="s">
        <v>260</v>
      </c>
    </row>
    <row r="1827">
      <c r="A1827" s="11" t="s">
        <v>1484</v>
      </c>
      <c r="B1827" s="11" t="s">
        <v>248</v>
      </c>
      <c r="C1827" s="157" t="s">
        <v>1485</v>
      </c>
      <c r="D1827" s="11" t="s">
        <v>1478</v>
      </c>
      <c r="E1827" s="11" t="s">
        <v>418</v>
      </c>
      <c r="F1827" s="11">
        <v>2013.0</v>
      </c>
      <c r="G1827" s="40">
        <v>8712.0</v>
      </c>
      <c r="H1827" s="40" t="s">
        <v>188</v>
      </c>
      <c r="I1827" s="40" t="s">
        <v>188</v>
      </c>
      <c r="J1827" s="73" t="s">
        <v>188</v>
      </c>
      <c r="K1827" s="66" t="s">
        <v>188</v>
      </c>
      <c r="L1827" s="29" t="s">
        <v>260</v>
      </c>
    </row>
    <row r="1828">
      <c r="A1828" s="11" t="s">
        <v>1484</v>
      </c>
      <c r="B1828" s="11" t="s">
        <v>248</v>
      </c>
      <c r="C1828" s="157" t="s">
        <v>1485</v>
      </c>
      <c r="D1828" s="11" t="s">
        <v>1478</v>
      </c>
      <c r="E1828" s="11" t="s">
        <v>418</v>
      </c>
      <c r="F1828" s="11">
        <v>2014.0</v>
      </c>
      <c r="G1828" s="40">
        <v>8409.0</v>
      </c>
      <c r="H1828" s="40" t="s">
        <v>188</v>
      </c>
      <c r="I1828" s="40" t="s">
        <v>188</v>
      </c>
      <c r="J1828" s="73" t="s">
        <v>188</v>
      </c>
      <c r="K1828" s="66" t="s">
        <v>188</v>
      </c>
      <c r="L1828" s="29" t="s">
        <v>260</v>
      </c>
    </row>
    <row r="1829">
      <c r="A1829" s="11" t="s">
        <v>1484</v>
      </c>
      <c r="B1829" s="11" t="s">
        <v>248</v>
      </c>
      <c r="C1829" s="157" t="s">
        <v>1485</v>
      </c>
      <c r="D1829" s="11" t="s">
        <v>1478</v>
      </c>
      <c r="E1829" s="11" t="s">
        <v>418</v>
      </c>
      <c r="F1829" s="11">
        <v>2015.0</v>
      </c>
      <c r="G1829" s="40">
        <v>8732.0</v>
      </c>
      <c r="H1829" s="40" t="s">
        <v>188</v>
      </c>
      <c r="I1829" s="40" t="s">
        <v>188</v>
      </c>
      <c r="J1829" s="73" t="s">
        <v>188</v>
      </c>
      <c r="K1829" s="66" t="s">
        <v>188</v>
      </c>
      <c r="L1829" s="29" t="s">
        <v>260</v>
      </c>
    </row>
    <row r="1830">
      <c r="A1830" s="11" t="s">
        <v>1484</v>
      </c>
      <c r="B1830" s="11" t="s">
        <v>248</v>
      </c>
      <c r="C1830" s="157" t="s">
        <v>1485</v>
      </c>
      <c r="D1830" s="11" t="s">
        <v>1478</v>
      </c>
      <c r="E1830" s="11" t="s">
        <v>418</v>
      </c>
      <c r="F1830" s="11">
        <v>2016.0</v>
      </c>
      <c r="G1830" s="40">
        <v>8743.0</v>
      </c>
      <c r="H1830" s="40" t="s">
        <v>188</v>
      </c>
      <c r="I1830" s="40" t="s">
        <v>188</v>
      </c>
      <c r="J1830" s="73" t="s">
        <v>188</v>
      </c>
      <c r="K1830" s="66" t="s">
        <v>188</v>
      </c>
      <c r="L1830" s="29" t="s">
        <v>260</v>
      </c>
    </row>
    <row r="1831">
      <c r="A1831" s="11" t="s">
        <v>1484</v>
      </c>
      <c r="B1831" s="11" t="s">
        <v>248</v>
      </c>
      <c r="C1831" s="157" t="s">
        <v>1485</v>
      </c>
      <c r="D1831" s="11" t="s">
        <v>1478</v>
      </c>
      <c r="E1831" s="11" t="s">
        <v>418</v>
      </c>
      <c r="F1831" s="11">
        <v>2017.0</v>
      </c>
      <c r="G1831" s="40">
        <v>9170.0</v>
      </c>
      <c r="H1831" s="40" t="s">
        <v>188</v>
      </c>
      <c r="I1831" s="40" t="s">
        <v>188</v>
      </c>
      <c r="J1831" s="73" t="s">
        <v>188</v>
      </c>
      <c r="K1831" s="66" t="s">
        <v>188</v>
      </c>
      <c r="L1831" s="29" t="s">
        <v>260</v>
      </c>
    </row>
    <row r="1832">
      <c r="A1832" s="11" t="s">
        <v>1484</v>
      </c>
      <c r="B1832" s="11" t="s">
        <v>248</v>
      </c>
      <c r="C1832" s="157" t="s">
        <v>1485</v>
      </c>
      <c r="D1832" s="11" t="s">
        <v>1478</v>
      </c>
      <c r="E1832" s="11" t="s">
        <v>418</v>
      </c>
      <c r="F1832" s="11">
        <v>2018.0</v>
      </c>
      <c r="G1832" s="40">
        <v>9178.0</v>
      </c>
      <c r="H1832" s="40" t="s">
        <v>188</v>
      </c>
      <c r="I1832" s="40" t="s">
        <v>188</v>
      </c>
      <c r="J1832" s="73" t="s">
        <v>188</v>
      </c>
      <c r="K1832" s="66" t="s">
        <v>188</v>
      </c>
      <c r="L1832" s="29" t="s">
        <v>260</v>
      </c>
    </row>
    <row r="1833">
      <c r="A1833" s="11" t="s">
        <v>1484</v>
      </c>
      <c r="B1833" s="11" t="s">
        <v>248</v>
      </c>
      <c r="C1833" s="157" t="s">
        <v>1485</v>
      </c>
      <c r="D1833" s="11" t="s">
        <v>1478</v>
      </c>
      <c r="E1833" s="11" t="s">
        <v>418</v>
      </c>
      <c r="F1833" s="11">
        <v>2019.0</v>
      </c>
      <c r="G1833" s="40">
        <v>9086.0</v>
      </c>
      <c r="H1833" s="40" t="s">
        <v>188</v>
      </c>
      <c r="I1833" s="40" t="s">
        <v>188</v>
      </c>
      <c r="J1833" s="73" t="s">
        <v>188</v>
      </c>
      <c r="K1833" s="66" t="s">
        <v>188</v>
      </c>
      <c r="L1833" s="29" t="s">
        <v>260</v>
      </c>
    </row>
    <row r="1834">
      <c r="A1834" s="11" t="s">
        <v>1488</v>
      </c>
      <c r="B1834" s="11" t="s">
        <v>248</v>
      </c>
      <c r="C1834" s="157" t="s">
        <v>1489</v>
      </c>
      <c r="D1834" s="11" t="s">
        <v>1478</v>
      </c>
      <c r="E1834" s="11" t="s">
        <v>418</v>
      </c>
      <c r="F1834" s="11">
        <v>1978.0</v>
      </c>
      <c r="G1834" s="40">
        <v>37571.0</v>
      </c>
      <c r="H1834" s="40" t="s">
        <v>188</v>
      </c>
      <c r="I1834" s="40" t="s">
        <v>188</v>
      </c>
      <c r="J1834" s="73" t="s">
        <v>188</v>
      </c>
      <c r="K1834" s="66" t="s">
        <v>188</v>
      </c>
      <c r="L1834" s="29" t="s">
        <v>260</v>
      </c>
    </row>
    <row r="1835">
      <c r="A1835" s="11" t="s">
        <v>1488</v>
      </c>
      <c r="B1835" s="11" t="s">
        <v>248</v>
      </c>
      <c r="C1835" s="157" t="s">
        <v>1489</v>
      </c>
      <c r="D1835" s="11" t="s">
        <v>1478</v>
      </c>
      <c r="E1835" s="11" t="s">
        <v>418</v>
      </c>
      <c r="F1835" s="11">
        <v>1979.0</v>
      </c>
      <c r="G1835" s="40">
        <v>37999.0</v>
      </c>
      <c r="H1835" s="40" t="s">
        <v>188</v>
      </c>
      <c r="I1835" s="40" t="s">
        <v>188</v>
      </c>
      <c r="J1835" s="73" t="s">
        <v>188</v>
      </c>
      <c r="K1835" s="66" t="s">
        <v>188</v>
      </c>
      <c r="L1835" s="29" t="s">
        <v>260</v>
      </c>
    </row>
    <row r="1836">
      <c r="A1836" s="11" t="s">
        <v>1488</v>
      </c>
      <c r="B1836" s="11" t="s">
        <v>248</v>
      </c>
      <c r="C1836" s="157" t="s">
        <v>1489</v>
      </c>
      <c r="D1836" s="11" t="s">
        <v>1478</v>
      </c>
      <c r="E1836" s="11" t="s">
        <v>418</v>
      </c>
      <c r="F1836" s="11">
        <v>1985.0</v>
      </c>
      <c r="G1836" s="40">
        <v>27435.0</v>
      </c>
      <c r="H1836" s="40" t="s">
        <v>188</v>
      </c>
      <c r="I1836" s="40" t="s">
        <v>188</v>
      </c>
      <c r="J1836" s="73" t="s">
        <v>188</v>
      </c>
      <c r="K1836" s="66" t="s">
        <v>188</v>
      </c>
      <c r="L1836" s="29" t="s">
        <v>260</v>
      </c>
    </row>
    <row r="1837">
      <c r="A1837" s="11" t="s">
        <v>1488</v>
      </c>
      <c r="B1837" s="11" t="s">
        <v>248</v>
      </c>
      <c r="C1837" s="157" t="s">
        <v>1489</v>
      </c>
      <c r="D1837" s="11" t="s">
        <v>1478</v>
      </c>
      <c r="E1837" s="11" t="s">
        <v>418</v>
      </c>
      <c r="F1837" s="11">
        <v>1986.0</v>
      </c>
      <c r="G1837" s="40">
        <v>23903.0</v>
      </c>
      <c r="H1837" s="40" t="s">
        <v>188</v>
      </c>
      <c r="I1837" s="40" t="s">
        <v>188</v>
      </c>
      <c r="J1837" s="73" t="s">
        <v>188</v>
      </c>
      <c r="K1837" s="66" t="s">
        <v>188</v>
      </c>
      <c r="L1837" s="29" t="s">
        <v>260</v>
      </c>
    </row>
    <row r="1838">
      <c r="A1838" s="11" t="s">
        <v>1488</v>
      </c>
      <c r="B1838" s="11" t="s">
        <v>248</v>
      </c>
      <c r="C1838" s="157" t="s">
        <v>1489</v>
      </c>
      <c r="D1838" s="11" t="s">
        <v>1478</v>
      </c>
      <c r="E1838" s="11" t="s">
        <v>418</v>
      </c>
      <c r="F1838" s="11">
        <v>1988.0</v>
      </c>
      <c r="G1838" s="40">
        <v>15173.0</v>
      </c>
      <c r="H1838" s="40" t="s">
        <v>188</v>
      </c>
      <c r="I1838" s="40" t="s">
        <v>188</v>
      </c>
      <c r="J1838" s="73" t="s">
        <v>188</v>
      </c>
      <c r="K1838" s="66" t="s">
        <v>188</v>
      </c>
      <c r="L1838" s="29" t="s">
        <v>260</v>
      </c>
    </row>
    <row r="1839">
      <c r="A1839" s="11" t="s">
        <v>1488</v>
      </c>
      <c r="B1839" s="11" t="s">
        <v>248</v>
      </c>
      <c r="C1839" s="157" t="s">
        <v>1489</v>
      </c>
      <c r="D1839" s="11" t="s">
        <v>1478</v>
      </c>
      <c r="E1839" s="11" t="s">
        <v>418</v>
      </c>
      <c r="F1839" s="11">
        <v>1989.0</v>
      </c>
      <c r="G1839" s="40">
        <v>12268.0</v>
      </c>
      <c r="H1839" s="40" t="s">
        <v>188</v>
      </c>
      <c r="I1839" s="40" t="s">
        <v>188</v>
      </c>
      <c r="J1839" s="73" t="s">
        <v>188</v>
      </c>
      <c r="K1839" s="66" t="s">
        <v>188</v>
      </c>
      <c r="L1839" s="29" t="s">
        <v>260</v>
      </c>
    </row>
    <row r="1840">
      <c r="A1840" s="11" t="s">
        <v>1488</v>
      </c>
      <c r="B1840" s="11" t="s">
        <v>248</v>
      </c>
      <c r="C1840" s="157" t="s">
        <v>1489</v>
      </c>
      <c r="D1840" s="11" t="s">
        <v>1478</v>
      </c>
      <c r="E1840" s="11" t="s">
        <v>418</v>
      </c>
      <c r="F1840" s="11">
        <v>1990.0</v>
      </c>
      <c r="G1840" s="40">
        <v>10402.0</v>
      </c>
      <c r="H1840" s="40" t="s">
        <v>188</v>
      </c>
      <c r="I1840" s="40" t="s">
        <v>188</v>
      </c>
      <c r="J1840" s="73" t="s">
        <v>188</v>
      </c>
      <c r="K1840" s="66" t="s">
        <v>188</v>
      </c>
      <c r="L1840" s="29" t="s">
        <v>260</v>
      </c>
    </row>
    <row r="1841">
      <c r="A1841" s="11" t="s">
        <v>1488</v>
      </c>
      <c r="B1841" s="11" t="s">
        <v>248</v>
      </c>
      <c r="C1841" s="157" t="s">
        <v>1489</v>
      </c>
      <c r="D1841" s="11" t="s">
        <v>1478</v>
      </c>
      <c r="E1841" s="11" t="s">
        <v>418</v>
      </c>
      <c r="F1841" s="11">
        <v>1991.0</v>
      </c>
      <c r="G1841" s="40">
        <v>8953.0</v>
      </c>
      <c r="H1841" s="40" t="s">
        <v>188</v>
      </c>
      <c r="I1841" s="40" t="s">
        <v>188</v>
      </c>
      <c r="J1841" s="73" t="s">
        <v>188</v>
      </c>
      <c r="K1841" s="66" t="s">
        <v>188</v>
      </c>
      <c r="L1841" s="29" t="s">
        <v>260</v>
      </c>
    </row>
    <row r="1842">
      <c r="A1842" s="11" t="s">
        <v>1488</v>
      </c>
      <c r="B1842" s="11" t="s">
        <v>248</v>
      </c>
      <c r="C1842" s="157" t="s">
        <v>1489</v>
      </c>
      <c r="D1842" s="11" t="s">
        <v>1478</v>
      </c>
      <c r="E1842" s="11" t="s">
        <v>418</v>
      </c>
      <c r="F1842" s="11">
        <v>1992.0</v>
      </c>
      <c r="G1842" s="40">
        <v>8548.0</v>
      </c>
      <c r="H1842" s="40" t="s">
        <v>188</v>
      </c>
      <c r="I1842" s="40" t="s">
        <v>188</v>
      </c>
      <c r="J1842" s="73" t="s">
        <v>188</v>
      </c>
      <c r="K1842" s="66" t="s">
        <v>188</v>
      </c>
      <c r="L1842" s="29" t="s">
        <v>260</v>
      </c>
    </row>
    <row r="1843">
      <c r="A1843" s="11" t="s">
        <v>1488</v>
      </c>
      <c r="B1843" s="11" t="s">
        <v>248</v>
      </c>
      <c r="C1843" s="157" t="s">
        <v>1489</v>
      </c>
      <c r="D1843" s="11" t="s">
        <v>1478</v>
      </c>
      <c r="E1843" s="11" t="s">
        <v>418</v>
      </c>
      <c r="F1843" s="11">
        <v>1994.0</v>
      </c>
      <c r="G1843" s="40">
        <v>7735.0</v>
      </c>
      <c r="H1843" s="40" t="s">
        <v>188</v>
      </c>
      <c r="I1843" s="40" t="s">
        <v>188</v>
      </c>
      <c r="J1843" s="73" t="s">
        <v>188</v>
      </c>
      <c r="K1843" s="66" t="s">
        <v>188</v>
      </c>
      <c r="L1843" s="29" t="s">
        <v>260</v>
      </c>
    </row>
    <row r="1844">
      <c r="A1844" s="11" t="s">
        <v>1488</v>
      </c>
      <c r="B1844" s="11" t="s">
        <v>248</v>
      </c>
      <c r="C1844" s="157" t="s">
        <v>1489</v>
      </c>
      <c r="D1844" s="11" t="s">
        <v>1478</v>
      </c>
      <c r="E1844" s="11" t="s">
        <v>418</v>
      </c>
      <c r="F1844" s="11">
        <v>1996.0</v>
      </c>
      <c r="G1844" s="40">
        <v>6505.0</v>
      </c>
      <c r="H1844" s="40" t="s">
        <v>188</v>
      </c>
      <c r="I1844" s="40" t="s">
        <v>188</v>
      </c>
      <c r="J1844" s="73" t="s">
        <v>188</v>
      </c>
      <c r="K1844" s="66" t="s">
        <v>188</v>
      </c>
      <c r="L1844" s="29" t="s">
        <v>260</v>
      </c>
    </row>
    <row r="1845">
      <c r="A1845" s="11" t="s">
        <v>1488</v>
      </c>
      <c r="B1845" s="11" t="s">
        <v>248</v>
      </c>
      <c r="C1845" s="157" t="s">
        <v>1489</v>
      </c>
      <c r="D1845" s="11" t="s">
        <v>1478</v>
      </c>
      <c r="E1845" s="11" t="s">
        <v>418</v>
      </c>
      <c r="F1845" s="11">
        <v>1997.0</v>
      </c>
      <c r="G1845" s="40">
        <v>5889.0</v>
      </c>
      <c r="H1845" s="40" t="s">
        <v>188</v>
      </c>
      <c r="I1845" s="40" t="s">
        <v>188</v>
      </c>
      <c r="J1845" s="73" t="s">
        <v>188</v>
      </c>
      <c r="K1845" s="66" t="s">
        <v>188</v>
      </c>
      <c r="L1845" s="29" t="s">
        <v>260</v>
      </c>
    </row>
    <row r="1846">
      <c r="A1846" s="11" t="s">
        <v>1488</v>
      </c>
      <c r="B1846" s="11" t="s">
        <v>248</v>
      </c>
      <c r="C1846" s="157" t="s">
        <v>1489</v>
      </c>
      <c r="D1846" s="11" t="s">
        <v>1478</v>
      </c>
      <c r="E1846" s="11" t="s">
        <v>418</v>
      </c>
      <c r="F1846" s="11">
        <v>1998.0</v>
      </c>
      <c r="G1846" s="40">
        <v>5692.0</v>
      </c>
      <c r="H1846" s="40" t="s">
        <v>188</v>
      </c>
      <c r="I1846" s="40" t="s">
        <v>188</v>
      </c>
      <c r="J1846" s="73" t="s">
        <v>188</v>
      </c>
      <c r="K1846" s="66" t="s">
        <v>188</v>
      </c>
      <c r="L1846" s="29" t="s">
        <v>260</v>
      </c>
    </row>
    <row r="1847">
      <c r="A1847" s="11" t="s">
        <v>1488</v>
      </c>
      <c r="B1847" s="11" t="s">
        <v>248</v>
      </c>
      <c r="C1847" s="157" t="s">
        <v>1489</v>
      </c>
      <c r="D1847" s="11" t="s">
        <v>1478</v>
      </c>
      <c r="E1847" s="11" t="s">
        <v>418</v>
      </c>
      <c r="F1847" s="11">
        <v>2000.0</v>
      </c>
      <c r="G1847" s="40">
        <v>5713.0</v>
      </c>
      <c r="H1847" s="40" t="s">
        <v>188</v>
      </c>
      <c r="I1847" s="40" t="s">
        <v>188</v>
      </c>
      <c r="J1847" s="73" t="s">
        <v>188</v>
      </c>
      <c r="K1847" s="66" t="s">
        <v>188</v>
      </c>
      <c r="L1847" s="29" t="s">
        <v>260</v>
      </c>
    </row>
    <row r="1848">
      <c r="A1848" s="11" t="s">
        <v>1488</v>
      </c>
      <c r="B1848" s="11" t="s">
        <v>248</v>
      </c>
      <c r="C1848" s="157" t="s">
        <v>1489</v>
      </c>
      <c r="D1848" s="11" t="s">
        <v>1478</v>
      </c>
      <c r="E1848" s="11" t="s">
        <v>418</v>
      </c>
      <c r="F1848" s="11">
        <v>2002.0</v>
      </c>
      <c r="G1848" s="40">
        <v>5524.0</v>
      </c>
      <c r="H1848" s="40" t="s">
        <v>188</v>
      </c>
      <c r="I1848" s="40" t="s">
        <v>188</v>
      </c>
      <c r="J1848" s="73" t="s">
        <v>188</v>
      </c>
      <c r="K1848" s="66" t="s">
        <v>188</v>
      </c>
      <c r="L1848" s="29" t="s">
        <v>260</v>
      </c>
    </row>
    <row r="1849">
      <c r="A1849" s="11" t="s">
        <v>1488</v>
      </c>
      <c r="B1849" s="11" t="s">
        <v>248</v>
      </c>
      <c r="C1849" s="157" t="s">
        <v>1489</v>
      </c>
      <c r="D1849" s="11" t="s">
        <v>1478</v>
      </c>
      <c r="E1849" s="11" t="s">
        <v>418</v>
      </c>
      <c r="F1849" s="11">
        <v>2004.0</v>
      </c>
      <c r="G1849" s="40">
        <v>5335.0</v>
      </c>
      <c r="H1849" s="40" t="s">
        <v>188</v>
      </c>
      <c r="I1849" s="40" t="s">
        <v>188</v>
      </c>
      <c r="J1849" s="73" t="s">
        <v>188</v>
      </c>
      <c r="K1849" s="66" t="s">
        <v>188</v>
      </c>
      <c r="L1849" s="29" t="s">
        <v>260</v>
      </c>
    </row>
    <row r="1850">
      <c r="A1850" s="11" t="s">
        <v>1488</v>
      </c>
      <c r="B1850" s="11" t="s">
        <v>248</v>
      </c>
      <c r="C1850" s="157" t="s">
        <v>1489</v>
      </c>
      <c r="D1850" s="11" t="s">
        <v>1478</v>
      </c>
      <c r="E1850" s="11" t="s">
        <v>418</v>
      </c>
      <c r="F1850" s="11">
        <v>2005.0</v>
      </c>
      <c r="G1850" s="40">
        <v>6180.0</v>
      </c>
      <c r="H1850" s="40" t="s">
        <v>188</v>
      </c>
      <c r="I1850" s="40" t="s">
        <v>188</v>
      </c>
      <c r="J1850" s="73" t="s">
        <v>188</v>
      </c>
      <c r="K1850" s="66" t="s">
        <v>188</v>
      </c>
      <c r="L1850" s="29" t="s">
        <v>260</v>
      </c>
    </row>
    <row r="1851">
      <c r="A1851" s="11" t="s">
        <v>1488</v>
      </c>
      <c r="B1851" s="11" t="s">
        <v>248</v>
      </c>
      <c r="C1851" s="157" t="s">
        <v>1489</v>
      </c>
      <c r="D1851" s="11" t="s">
        <v>1478</v>
      </c>
      <c r="E1851" s="11" t="s">
        <v>418</v>
      </c>
      <c r="F1851" s="11">
        <v>2006.0</v>
      </c>
      <c r="G1851" s="40">
        <v>5877.0</v>
      </c>
      <c r="H1851" s="40" t="s">
        <v>188</v>
      </c>
      <c r="I1851" s="40" t="s">
        <v>188</v>
      </c>
      <c r="J1851" s="73" t="s">
        <v>188</v>
      </c>
      <c r="K1851" s="66" t="s">
        <v>188</v>
      </c>
      <c r="L1851" s="29" t="s">
        <v>260</v>
      </c>
    </row>
    <row r="1852">
      <c r="A1852" s="11" t="s">
        <v>1488</v>
      </c>
      <c r="B1852" s="11" t="s">
        <v>248</v>
      </c>
      <c r="C1852" s="157" t="s">
        <v>1489</v>
      </c>
      <c r="D1852" s="11" t="s">
        <v>1478</v>
      </c>
      <c r="E1852" s="11" t="s">
        <v>418</v>
      </c>
      <c r="F1852" s="11">
        <v>2007.0</v>
      </c>
      <c r="G1852" s="40">
        <v>5888.0</v>
      </c>
      <c r="H1852" s="40" t="s">
        <v>188</v>
      </c>
      <c r="I1852" s="40" t="s">
        <v>188</v>
      </c>
      <c r="J1852" s="73" t="s">
        <v>188</v>
      </c>
      <c r="K1852" s="66" t="s">
        <v>188</v>
      </c>
      <c r="L1852" s="29" t="s">
        <v>260</v>
      </c>
    </row>
    <row r="1853">
      <c r="A1853" s="11" t="s">
        <v>1488</v>
      </c>
      <c r="B1853" s="11" t="s">
        <v>248</v>
      </c>
      <c r="C1853" s="157" t="s">
        <v>1489</v>
      </c>
      <c r="D1853" s="11" t="s">
        <v>1478</v>
      </c>
      <c r="E1853" s="11" t="s">
        <v>418</v>
      </c>
      <c r="F1853" s="11">
        <v>2008.0</v>
      </c>
      <c r="G1853" s="40">
        <v>5584.0</v>
      </c>
      <c r="H1853" s="40" t="s">
        <v>188</v>
      </c>
      <c r="I1853" s="40" t="s">
        <v>188</v>
      </c>
      <c r="J1853" s="73" t="s">
        <v>188</v>
      </c>
      <c r="K1853" s="66" t="s">
        <v>188</v>
      </c>
      <c r="L1853" s="29" t="s">
        <v>260</v>
      </c>
    </row>
    <row r="1854">
      <c r="A1854" s="11" t="s">
        <v>1488</v>
      </c>
      <c r="B1854" s="11" t="s">
        <v>248</v>
      </c>
      <c r="C1854" s="157" t="s">
        <v>1489</v>
      </c>
      <c r="D1854" s="11" t="s">
        <v>1478</v>
      </c>
      <c r="E1854" s="11" t="s">
        <v>418</v>
      </c>
      <c r="F1854" s="11">
        <v>2009.0</v>
      </c>
      <c r="G1854" s="40">
        <v>6221.0</v>
      </c>
      <c r="H1854" s="40" t="s">
        <v>188</v>
      </c>
      <c r="I1854" s="40" t="s">
        <v>188</v>
      </c>
      <c r="J1854" s="73" t="s">
        <v>188</v>
      </c>
      <c r="K1854" s="66" t="s">
        <v>188</v>
      </c>
      <c r="L1854" s="29" t="s">
        <v>260</v>
      </c>
    </row>
    <row r="1855">
      <c r="A1855" s="11" t="s">
        <v>1488</v>
      </c>
      <c r="B1855" s="11" t="s">
        <v>248</v>
      </c>
      <c r="C1855" s="157" t="s">
        <v>1489</v>
      </c>
      <c r="D1855" s="11" t="s">
        <v>1478</v>
      </c>
      <c r="E1855" s="11" t="s">
        <v>418</v>
      </c>
      <c r="F1855" s="11">
        <v>2010.0</v>
      </c>
      <c r="G1855" s="40">
        <v>5396.0</v>
      </c>
      <c r="H1855" s="40" t="s">
        <v>188</v>
      </c>
      <c r="I1855" s="40" t="s">
        <v>188</v>
      </c>
      <c r="J1855" s="73" t="s">
        <v>188</v>
      </c>
      <c r="K1855" s="66" t="s">
        <v>188</v>
      </c>
      <c r="L1855" s="29" t="s">
        <v>260</v>
      </c>
    </row>
    <row r="1856">
      <c r="A1856" s="11" t="s">
        <v>1488</v>
      </c>
      <c r="B1856" s="11" t="s">
        <v>248</v>
      </c>
      <c r="C1856" s="157" t="s">
        <v>1489</v>
      </c>
      <c r="D1856" s="11" t="s">
        <v>1478</v>
      </c>
      <c r="E1856" s="11" t="s">
        <v>418</v>
      </c>
      <c r="F1856" s="11">
        <v>2011.0</v>
      </c>
      <c r="G1856" s="40">
        <v>7075.0</v>
      </c>
      <c r="H1856" s="40" t="s">
        <v>188</v>
      </c>
      <c r="I1856" s="40" t="s">
        <v>188</v>
      </c>
      <c r="J1856" s="73" t="s">
        <v>188</v>
      </c>
      <c r="K1856" s="66" t="s">
        <v>188</v>
      </c>
      <c r="L1856" s="29" t="s">
        <v>260</v>
      </c>
    </row>
    <row r="1857">
      <c r="A1857" s="11" t="s">
        <v>1488</v>
      </c>
      <c r="B1857" s="11" t="s">
        <v>248</v>
      </c>
      <c r="C1857" s="157" t="s">
        <v>1489</v>
      </c>
      <c r="D1857" s="11" t="s">
        <v>1478</v>
      </c>
      <c r="E1857" s="11" t="s">
        <v>418</v>
      </c>
      <c r="F1857" s="11">
        <v>2013.0</v>
      </c>
      <c r="G1857" s="40">
        <v>7928.0</v>
      </c>
      <c r="H1857" s="40" t="s">
        <v>188</v>
      </c>
      <c r="I1857" s="40" t="s">
        <v>188</v>
      </c>
      <c r="J1857" s="73" t="s">
        <v>188</v>
      </c>
      <c r="K1857" s="66" t="s">
        <v>188</v>
      </c>
      <c r="L1857" s="29" t="s">
        <v>260</v>
      </c>
    </row>
    <row r="1858">
      <c r="A1858" s="11" t="s">
        <v>1488</v>
      </c>
      <c r="B1858" s="11" t="s">
        <v>248</v>
      </c>
      <c r="C1858" s="157" t="s">
        <v>1489</v>
      </c>
      <c r="D1858" s="11" t="s">
        <v>1478</v>
      </c>
      <c r="E1858" s="11" t="s">
        <v>418</v>
      </c>
      <c r="F1858" s="11">
        <v>2015.0</v>
      </c>
      <c r="G1858" s="40">
        <v>8781.0</v>
      </c>
      <c r="H1858" s="40" t="s">
        <v>188</v>
      </c>
      <c r="I1858" s="40" t="s">
        <v>188</v>
      </c>
      <c r="J1858" s="73" t="s">
        <v>188</v>
      </c>
      <c r="K1858" s="66" t="s">
        <v>188</v>
      </c>
      <c r="L1858" s="29" t="s">
        <v>260</v>
      </c>
    </row>
    <row r="1859">
      <c r="A1859" s="11" t="s">
        <v>1488</v>
      </c>
      <c r="B1859" s="11" t="s">
        <v>248</v>
      </c>
      <c r="C1859" s="157" t="s">
        <v>1489</v>
      </c>
      <c r="D1859" s="11" t="s">
        <v>1478</v>
      </c>
      <c r="E1859" s="11" t="s">
        <v>418</v>
      </c>
      <c r="F1859" s="11">
        <v>2017.0</v>
      </c>
      <c r="G1859" s="40">
        <v>9739.0</v>
      </c>
      <c r="H1859" s="40" t="s">
        <v>188</v>
      </c>
      <c r="I1859" s="40" t="s">
        <v>188</v>
      </c>
      <c r="J1859" s="73" t="s">
        <v>188</v>
      </c>
      <c r="K1859" s="66" t="s">
        <v>188</v>
      </c>
      <c r="L1859" s="29" t="s">
        <v>260</v>
      </c>
    </row>
    <row r="1860">
      <c r="A1860" s="11" t="s">
        <v>1488</v>
      </c>
      <c r="B1860" s="11" t="s">
        <v>248</v>
      </c>
      <c r="C1860" s="157" t="s">
        <v>1489</v>
      </c>
      <c r="D1860" s="11" t="s">
        <v>1478</v>
      </c>
      <c r="E1860" s="11" t="s">
        <v>418</v>
      </c>
      <c r="F1860" s="11">
        <v>2018.0</v>
      </c>
      <c r="G1860" s="40">
        <v>8812.0</v>
      </c>
      <c r="H1860" s="40" t="s">
        <v>188</v>
      </c>
      <c r="I1860" s="40" t="s">
        <v>188</v>
      </c>
      <c r="J1860" s="73" t="s">
        <v>188</v>
      </c>
      <c r="K1860" s="66" t="s">
        <v>188</v>
      </c>
      <c r="L1860" s="29" t="s">
        <v>260</v>
      </c>
    </row>
    <row r="1861">
      <c r="A1861" s="11" t="s">
        <v>1488</v>
      </c>
      <c r="B1861" s="11" t="s">
        <v>248</v>
      </c>
      <c r="C1861" s="157" t="s">
        <v>1489</v>
      </c>
      <c r="D1861" s="11" t="s">
        <v>1478</v>
      </c>
      <c r="E1861" s="11" t="s">
        <v>418</v>
      </c>
      <c r="F1861" s="11">
        <v>2019.0</v>
      </c>
      <c r="G1861" s="40">
        <v>8198.0</v>
      </c>
      <c r="H1861" s="40" t="s">
        <v>188</v>
      </c>
      <c r="I1861" s="40" t="s">
        <v>188</v>
      </c>
      <c r="J1861" s="73" t="s">
        <v>188</v>
      </c>
      <c r="K1861" s="66" t="s">
        <v>188</v>
      </c>
      <c r="L1861" s="29" t="s">
        <v>260</v>
      </c>
    </row>
    <row r="1862">
      <c r="A1862" s="45" t="s">
        <v>1229</v>
      </c>
      <c r="B1862" s="45" t="s">
        <v>603</v>
      </c>
      <c r="C1862" s="11" t="s">
        <v>1380</v>
      </c>
      <c r="D1862" s="25" t="s">
        <v>257</v>
      </c>
      <c r="E1862" s="45" t="s">
        <v>1053</v>
      </c>
      <c r="F1862" s="47">
        <v>1991.0</v>
      </c>
      <c r="G1862" s="48">
        <v>35812.0</v>
      </c>
      <c r="H1862" s="48" t="s">
        <v>188</v>
      </c>
      <c r="I1862" s="40" t="s">
        <v>188</v>
      </c>
      <c r="J1862" s="73" t="s">
        <v>188</v>
      </c>
      <c r="K1862" s="66" t="s">
        <v>188</v>
      </c>
      <c r="L1862" s="29" t="s">
        <v>939</v>
      </c>
      <c r="M1862" s="51"/>
      <c r="N1862" s="51"/>
      <c r="O1862" s="51"/>
      <c r="P1862" s="51"/>
      <c r="Q1862" s="51"/>
      <c r="R1862" s="51"/>
      <c r="S1862" s="51"/>
      <c r="T1862" s="51"/>
      <c r="U1862" s="51"/>
      <c r="V1862" s="51"/>
      <c r="W1862" s="51"/>
      <c r="X1862" s="51"/>
      <c r="Y1862" s="51"/>
      <c r="Z1862" s="51"/>
      <c r="AA1862" s="51"/>
      <c r="AB1862" s="51"/>
      <c r="AC1862" s="51"/>
      <c r="AD1862" s="51"/>
      <c r="AE1862" s="51"/>
    </row>
    <row r="1863">
      <c r="A1863" s="45" t="s">
        <v>1229</v>
      </c>
      <c r="B1863" s="45" t="s">
        <v>603</v>
      </c>
      <c r="C1863" s="11" t="s">
        <v>1380</v>
      </c>
      <c r="D1863" s="25" t="s">
        <v>257</v>
      </c>
      <c r="E1863" s="45" t="s">
        <v>1053</v>
      </c>
      <c r="F1863" s="47">
        <v>1993.0</v>
      </c>
      <c r="G1863" s="48">
        <v>28838.0</v>
      </c>
      <c r="H1863" s="48">
        <f t="shared" ref="H1863:I1863" si="1185">F1863-F1862</f>
        <v>2</v>
      </c>
      <c r="I1863" s="48">
        <f t="shared" si="1185"/>
        <v>-6974</v>
      </c>
      <c r="J1863" s="78">
        <f t="shared" ref="J1863:J1868" si="1187">I1863/G1862</f>
        <v>-0.1947391936</v>
      </c>
      <c r="K1863" s="66">
        <f t="shared" ref="K1863:K1868" si="1188">J1863/H1863</f>
        <v>-0.09736959678</v>
      </c>
      <c r="L1863" s="29" t="s">
        <v>939</v>
      </c>
      <c r="M1863" s="51"/>
      <c r="N1863" s="51"/>
      <c r="O1863" s="51"/>
      <c r="P1863" s="51"/>
      <c r="Q1863" s="51"/>
      <c r="R1863" s="51"/>
      <c r="S1863" s="51"/>
      <c r="T1863" s="51"/>
      <c r="U1863" s="51"/>
      <c r="V1863" s="51"/>
      <c r="W1863" s="51"/>
      <c r="X1863" s="51"/>
      <c r="Y1863" s="51"/>
      <c r="Z1863" s="51"/>
      <c r="AA1863" s="51"/>
      <c r="AB1863" s="51"/>
      <c r="AC1863" s="51"/>
      <c r="AD1863" s="51"/>
      <c r="AE1863" s="51"/>
    </row>
    <row r="1864">
      <c r="A1864" s="45" t="s">
        <v>1229</v>
      </c>
      <c r="B1864" s="45" t="s">
        <v>603</v>
      </c>
      <c r="C1864" s="11" t="s">
        <v>1380</v>
      </c>
      <c r="D1864" s="25" t="s">
        <v>257</v>
      </c>
      <c r="E1864" s="45" t="s">
        <v>1053</v>
      </c>
      <c r="F1864" s="47">
        <v>1996.0</v>
      </c>
      <c r="G1864" s="48">
        <v>8648.0</v>
      </c>
      <c r="H1864" s="48">
        <f t="shared" ref="H1864:I1864" si="1186">F1864-F1863</f>
        <v>3</v>
      </c>
      <c r="I1864" s="48">
        <f t="shared" si="1186"/>
        <v>-20190</v>
      </c>
      <c r="J1864" s="78">
        <f t="shared" si="1187"/>
        <v>-0.7001179</v>
      </c>
      <c r="K1864" s="66">
        <f t="shared" si="1188"/>
        <v>-0.2333726333</v>
      </c>
      <c r="L1864" s="29" t="s">
        <v>939</v>
      </c>
      <c r="M1864" s="51"/>
      <c r="N1864" s="51"/>
      <c r="O1864" s="51"/>
      <c r="P1864" s="51"/>
      <c r="Q1864" s="51"/>
      <c r="R1864" s="51"/>
      <c r="S1864" s="51"/>
      <c r="T1864" s="51"/>
      <c r="U1864" s="51"/>
      <c r="V1864" s="51"/>
      <c r="W1864" s="51"/>
      <c r="X1864" s="51"/>
      <c r="Y1864" s="51"/>
      <c r="Z1864" s="51"/>
      <c r="AA1864" s="51"/>
      <c r="AB1864" s="51"/>
      <c r="AC1864" s="51"/>
      <c r="AD1864" s="51"/>
      <c r="AE1864" s="51"/>
    </row>
    <row r="1865">
      <c r="A1865" s="45" t="s">
        <v>1229</v>
      </c>
      <c r="B1865" s="45" t="s">
        <v>603</v>
      </c>
      <c r="C1865" s="11" t="s">
        <v>1380</v>
      </c>
      <c r="D1865" s="25" t="s">
        <v>257</v>
      </c>
      <c r="E1865" s="45" t="s">
        <v>1053</v>
      </c>
      <c r="F1865" s="47">
        <v>2001.0</v>
      </c>
      <c r="G1865" s="48">
        <v>28953.0</v>
      </c>
      <c r="H1865" s="48">
        <f t="shared" ref="H1865:I1865" si="1189">F1865-F1864</f>
        <v>5</v>
      </c>
      <c r="I1865" s="48">
        <f t="shared" si="1189"/>
        <v>20305</v>
      </c>
      <c r="J1865" s="78">
        <f t="shared" si="1187"/>
        <v>2.347941721</v>
      </c>
      <c r="K1865" s="66">
        <f t="shared" si="1188"/>
        <v>0.4695883441</v>
      </c>
      <c r="L1865" s="29" t="s">
        <v>939</v>
      </c>
      <c r="M1865" s="51"/>
      <c r="N1865" s="51"/>
      <c r="O1865" s="51"/>
      <c r="P1865" s="51"/>
      <c r="Q1865" s="51"/>
      <c r="R1865" s="51"/>
      <c r="S1865" s="51"/>
      <c r="T1865" s="51"/>
      <c r="U1865" s="51"/>
      <c r="V1865" s="51"/>
      <c r="W1865" s="51"/>
      <c r="X1865" s="51"/>
      <c r="Y1865" s="51"/>
      <c r="Z1865" s="51"/>
      <c r="AA1865" s="51"/>
      <c r="AB1865" s="51"/>
      <c r="AC1865" s="51"/>
      <c r="AD1865" s="51"/>
      <c r="AE1865" s="51"/>
    </row>
    <row r="1866">
      <c r="A1866" s="45" t="s">
        <v>1229</v>
      </c>
      <c r="B1866" s="45" t="s">
        <v>603</v>
      </c>
      <c r="C1866" s="11" t="s">
        <v>1380</v>
      </c>
      <c r="D1866" s="25" t="s">
        <v>257</v>
      </c>
      <c r="E1866" s="45" t="s">
        <v>1053</v>
      </c>
      <c r="F1866" s="47">
        <v>2005.0</v>
      </c>
      <c r="G1866" s="48">
        <v>61696.0</v>
      </c>
      <c r="H1866" s="48">
        <f t="shared" ref="H1866:I1866" si="1190">F1866-F1865</f>
        <v>4</v>
      </c>
      <c r="I1866" s="48">
        <f t="shared" si="1190"/>
        <v>32743</v>
      </c>
      <c r="J1866" s="78">
        <f t="shared" si="1187"/>
        <v>1.130901806</v>
      </c>
      <c r="K1866" s="66">
        <f t="shared" si="1188"/>
        <v>0.2827254516</v>
      </c>
      <c r="L1866" s="29" t="s">
        <v>939</v>
      </c>
      <c r="M1866" s="51"/>
      <c r="N1866" s="51"/>
      <c r="O1866" s="51"/>
      <c r="P1866" s="51"/>
      <c r="Q1866" s="51"/>
      <c r="R1866" s="51"/>
      <c r="S1866" s="51"/>
      <c r="T1866" s="51"/>
      <c r="U1866" s="51"/>
      <c r="V1866" s="51"/>
      <c r="W1866" s="51"/>
      <c r="X1866" s="51"/>
      <c r="Y1866" s="51"/>
      <c r="Z1866" s="51"/>
      <c r="AA1866" s="51"/>
      <c r="AB1866" s="51"/>
      <c r="AC1866" s="51"/>
      <c r="AD1866" s="51"/>
      <c r="AE1866" s="51"/>
    </row>
    <row r="1867">
      <c r="A1867" s="45" t="s">
        <v>1229</v>
      </c>
      <c r="B1867" s="45" t="s">
        <v>603</v>
      </c>
      <c r="C1867" s="11" t="s">
        <v>1380</v>
      </c>
      <c r="D1867" s="25" t="s">
        <v>257</v>
      </c>
      <c r="E1867" s="45" t="s">
        <v>1053</v>
      </c>
      <c r="F1867" s="47">
        <v>2008.0</v>
      </c>
      <c r="G1867" s="48">
        <v>9210.0</v>
      </c>
      <c r="H1867" s="48">
        <f t="shared" ref="H1867:I1867" si="1191">F1867-F1866</f>
        <v>3</v>
      </c>
      <c r="I1867" s="48">
        <f t="shared" si="1191"/>
        <v>-52486</v>
      </c>
      <c r="J1867" s="78">
        <f t="shared" si="1187"/>
        <v>-0.8507196577</v>
      </c>
      <c r="K1867" s="66">
        <f t="shared" si="1188"/>
        <v>-0.2835732192</v>
      </c>
      <c r="L1867" s="29" t="s">
        <v>939</v>
      </c>
      <c r="M1867" s="51"/>
      <c r="N1867" s="51"/>
      <c r="O1867" s="51"/>
      <c r="P1867" s="51"/>
      <c r="Q1867" s="51"/>
      <c r="R1867" s="51"/>
      <c r="S1867" s="51"/>
      <c r="T1867" s="51"/>
      <c r="U1867" s="51"/>
      <c r="V1867" s="51"/>
      <c r="W1867" s="51"/>
      <c r="X1867" s="51"/>
      <c r="Y1867" s="51"/>
      <c r="Z1867" s="51"/>
      <c r="AA1867" s="51"/>
      <c r="AB1867" s="51"/>
      <c r="AC1867" s="51"/>
      <c r="AD1867" s="51"/>
      <c r="AE1867" s="51"/>
    </row>
    <row r="1868">
      <c r="A1868" s="45" t="s">
        <v>1229</v>
      </c>
      <c r="B1868" s="45" t="s">
        <v>603</v>
      </c>
      <c r="C1868" s="11" t="s">
        <v>1380</v>
      </c>
      <c r="D1868" s="25" t="s">
        <v>257</v>
      </c>
      <c r="E1868" s="45" t="s">
        <v>1053</v>
      </c>
      <c r="F1868" s="47">
        <v>2014.0</v>
      </c>
      <c r="G1868" s="48">
        <v>90619.0</v>
      </c>
      <c r="H1868" s="48">
        <f t="shared" ref="H1868:I1868" si="1192">F1868-F1867</f>
        <v>6</v>
      </c>
      <c r="I1868" s="48">
        <f t="shared" si="1192"/>
        <v>81409</v>
      </c>
      <c r="J1868" s="78">
        <f t="shared" si="1187"/>
        <v>8.839196526</v>
      </c>
      <c r="K1868" s="66">
        <f t="shared" si="1188"/>
        <v>1.473199421</v>
      </c>
      <c r="L1868" s="29" t="s">
        <v>939</v>
      </c>
      <c r="M1868" s="51"/>
      <c r="N1868" s="51"/>
      <c r="O1868" s="51"/>
      <c r="P1868" s="51"/>
      <c r="Q1868" s="51"/>
      <c r="R1868" s="51"/>
      <c r="S1868" s="51"/>
      <c r="T1868" s="51"/>
      <c r="U1868" s="51"/>
      <c r="V1868" s="51"/>
      <c r="W1868" s="51"/>
      <c r="X1868" s="51"/>
      <c r="Y1868" s="51"/>
      <c r="Z1868" s="51"/>
      <c r="AA1868" s="51"/>
      <c r="AB1868" s="51"/>
      <c r="AC1868" s="51"/>
      <c r="AD1868" s="51"/>
      <c r="AE1868" s="51"/>
    </row>
    <row r="1869">
      <c r="A1869" s="45" t="s">
        <v>1245</v>
      </c>
      <c r="B1869" s="45" t="s">
        <v>603</v>
      </c>
      <c r="C1869" s="11" t="s">
        <v>1381</v>
      </c>
      <c r="D1869" s="25" t="s">
        <v>257</v>
      </c>
      <c r="E1869" s="45" t="s">
        <v>1053</v>
      </c>
      <c r="F1869" s="47">
        <v>2002.0</v>
      </c>
      <c r="G1869" s="48">
        <v>33896.0</v>
      </c>
      <c r="H1869" s="48" t="s">
        <v>188</v>
      </c>
      <c r="I1869" s="48" t="s">
        <v>188</v>
      </c>
      <c r="J1869" s="78" t="s">
        <v>188</v>
      </c>
      <c r="K1869" s="66" t="s">
        <v>188</v>
      </c>
      <c r="L1869" s="29" t="s">
        <v>81</v>
      </c>
      <c r="M1869" s="51"/>
      <c r="N1869" s="51"/>
      <c r="O1869" s="51"/>
      <c r="P1869" s="51"/>
      <c r="Q1869" s="51"/>
      <c r="R1869" s="51"/>
      <c r="S1869" s="51"/>
      <c r="T1869" s="51"/>
      <c r="U1869" s="51"/>
      <c r="V1869" s="51"/>
      <c r="W1869" s="51"/>
      <c r="X1869" s="51"/>
      <c r="Y1869" s="51"/>
      <c r="Z1869" s="51"/>
      <c r="AA1869" s="51"/>
      <c r="AB1869" s="51"/>
      <c r="AC1869" s="51"/>
      <c r="AD1869" s="51"/>
      <c r="AE1869" s="51"/>
    </row>
    <row r="1870">
      <c r="A1870" s="45" t="s">
        <v>1245</v>
      </c>
      <c r="B1870" s="45" t="s">
        <v>603</v>
      </c>
      <c r="C1870" s="11" t="s">
        <v>1381</v>
      </c>
      <c r="D1870" s="25" t="s">
        <v>257</v>
      </c>
      <c r="E1870" s="45" t="s">
        <v>1053</v>
      </c>
      <c r="F1870" s="47">
        <v>2010.0</v>
      </c>
      <c r="G1870" s="48">
        <v>61029.0</v>
      </c>
      <c r="H1870" s="48">
        <f t="shared" ref="H1870:I1870" si="1193">F1870-F1869</f>
        <v>8</v>
      </c>
      <c r="I1870" s="48">
        <f t="shared" si="1193"/>
        <v>27133</v>
      </c>
      <c r="J1870" s="78">
        <f t="shared" ref="J1870:J1871" si="1195">I1870/G1869</f>
        <v>0.8004779325</v>
      </c>
      <c r="K1870" s="66">
        <f t="shared" ref="K1870:K1871" si="1196">J1870/H1870</f>
        <v>0.1000597416</v>
      </c>
      <c r="L1870" s="29" t="s">
        <v>81</v>
      </c>
      <c r="M1870" s="51"/>
      <c r="N1870" s="51"/>
      <c r="O1870" s="51"/>
      <c r="P1870" s="51"/>
      <c r="Q1870" s="51"/>
      <c r="R1870" s="51"/>
      <c r="S1870" s="51"/>
      <c r="T1870" s="51"/>
      <c r="U1870" s="51"/>
      <c r="V1870" s="51"/>
      <c r="W1870" s="51"/>
      <c r="X1870" s="51"/>
      <c r="Y1870" s="51"/>
      <c r="Z1870" s="51"/>
      <c r="AA1870" s="51"/>
      <c r="AB1870" s="51"/>
      <c r="AC1870" s="51"/>
      <c r="AD1870" s="51"/>
      <c r="AE1870" s="51"/>
    </row>
    <row r="1871">
      <c r="A1871" s="45" t="s">
        <v>1245</v>
      </c>
      <c r="B1871" s="45" t="s">
        <v>603</v>
      </c>
      <c r="C1871" s="11" t="s">
        <v>1381</v>
      </c>
      <c r="D1871" s="25" t="s">
        <v>257</v>
      </c>
      <c r="E1871" s="45" t="s">
        <v>1053</v>
      </c>
      <c r="F1871" s="47">
        <v>2017.0</v>
      </c>
      <c r="G1871" s="48">
        <v>34271.0</v>
      </c>
      <c r="H1871" s="48">
        <f t="shared" ref="H1871:I1871" si="1194">F1871-F1870</f>
        <v>7</v>
      </c>
      <c r="I1871" s="48">
        <f t="shared" si="1194"/>
        <v>-26758</v>
      </c>
      <c r="J1871" s="78">
        <f t="shared" si="1195"/>
        <v>-0.4384472955</v>
      </c>
      <c r="K1871" s="66">
        <f t="shared" si="1196"/>
        <v>-0.06263532794</v>
      </c>
      <c r="L1871" s="29" t="s">
        <v>81</v>
      </c>
      <c r="M1871" s="51"/>
      <c r="N1871" s="51"/>
      <c r="O1871" s="51"/>
      <c r="P1871" s="51"/>
      <c r="Q1871" s="51"/>
      <c r="R1871" s="51"/>
      <c r="S1871" s="51"/>
      <c r="T1871" s="51"/>
      <c r="U1871" s="51"/>
      <c r="V1871" s="51"/>
      <c r="W1871" s="51"/>
      <c r="X1871" s="51"/>
      <c r="Y1871" s="51"/>
      <c r="Z1871" s="51"/>
      <c r="AA1871" s="51"/>
      <c r="AB1871" s="51"/>
      <c r="AC1871" s="51"/>
      <c r="AD1871" s="51"/>
      <c r="AE1871" s="51"/>
    </row>
    <row r="1872">
      <c r="A1872" s="45" t="s">
        <v>1245</v>
      </c>
      <c r="B1872" s="45" t="s">
        <v>603</v>
      </c>
      <c r="C1872" s="11" t="s">
        <v>1381</v>
      </c>
      <c r="D1872" s="25" t="s">
        <v>436</v>
      </c>
      <c r="E1872" s="45" t="s">
        <v>1053</v>
      </c>
      <c r="F1872" s="47">
        <v>2002.0</v>
      </c>
      <c r="G1872" s="48">
        <v>35817.0</v>
      </c>
      <c r="H1872" s="48" t="s">
        <v>188</v>
      </c>
      <c r="I1872" s="48" t="s">
        <v>188</v>
      </c>
      <c r="J1872" s="78" t="s">
        <v>188</v>
      </c>
      <c r="K1872" s="66" t="s">
        <v>188</v>
      </c>
      <c r="L1872" s="29" t="s">
        <v>81</v>
      </c>
      <c r="M1872" s="51"/>
      <c r="N1872" s="51"/>
      <c r="O1872" s="51"/>
      <c r="P1872" s="51"/>
      <c r="Q1872" s="51"/>
      <c r="R1872" s="51"/>
      <c r="S1872" s="51"/>
      <c r="T1872" s="51"/>
      <c r="U1872" s="51"/>
      <c r="V1872" s="51"/>
      <c r="W1872" s="51"/>
      <c r="X1872" s="51"/>
      <c r="Y1872" s="51"/>
      <c r="Z1872" s="51"/>
      <c r="AA1872" s="51"/>
      <c r="AB1872" s="51"/>
      <c r="AC1872" s="51"/>
      <c r="AD1872" s="51"/>
      <c r="AE1872" s="51"/>
    </row>
    <row r="1873">
      <c r="A1873" s="45" t="s">
        <v>1245</v>
      </c>
      <c r="B1873" s="45" t="s">
        <v>603</v>
      </c>
      <c r="C1873" s="11" t="s">
        <v>1381</v>
      </c>
      <c r="D1873" s="25" t="s">
        <v>436</v>
      </c>
      <c r="E1873" s="45" t="s">
        <v>1053</v>
      </c>
      <c r="F1873" s="47">
        <v>2010.0</v>
      </c>
      <c r="G1873" s="48">
        <v>36886.0</v>
      </c>
      <c r="H1873" s="48">
        <f t="shared" ref="H1873:I1873" si="1197">F1873-F1872</f>
        <v>8</v>
      </c>
      <c r="I1873" s="48">
        <f t="shared" si="1197"/>
        <v>1069</v>
      </c>
      <c r="J1873" s="78">
        <f t="shared" ref="J1873:J1874" si="1199">I1873/G1872</f>
        <v>0.02984616244</v>
      </c>
      <c r="K1873" s="66">
        <f t="shared" ref="K1873:K1874" si="1200">J1873/H1873</f>
        <v>0.003730770305</v>
      </c>
      <c r="L1873" s="29" t="s">
        <v>81</v>
      </c>
      <c r="M1873" s="51"/>
      <c r="N1873" s="51"/>
      <c r="O1873" s="51"/>
      <c r="P1873" s="51"/>
      <c r="Q1873" s="51"/>
      <c r="R1873" s="51"/>
      <c r="S1873" s="51"/>
      <c r="T1873" s="51"/>
      <c r="U1873" s="51"/>
      <c r="V1873" s="51"/>
      <c r="W1873" s="51"/>
      <c r="X1873" s="51"/>
      <c r="Y1873" s="51"/>
      <c r="Z1873" s="51"/>
      <c r="AA1873" s="51"/>
      <c r="AB1873" s="51"/>
      <c r="AC1873" s="51"/>
      <c r="AD1873" s="51"/>
      <c r="AE1873" s="51"/>
    </row>
    <row r="1874">
      <c r="A1874" s="45" t="s">
        <v>1245</v>
      </c>
      <c r="B1874" s="45" t="s">
        <v>603</v>
      </c>
      <c r="C1874" s="11" t="s">
        <v>1381</v>
      </c>
      <c r="D1874" s="25" t="s">
        <v>436</v>
      </c>
      <c r="E1874" s="45" t="s">
        <v>1053</v>
      </c>
      <c r="F1874" s="47">
        <v>2017.0</v>
      </c>
      <c r="G1874" s="48">
        <v>35179.0</v>
      </c>
      <c r="H1874" s="48">
        <f t="shared" ref="H1874:I1874" si="1198">F1874-F1873</f>
        <v>7</v>
      </c>
      <c r="I1874" s="48">
        <f t="shared" si="1198"/>
        <v>-1707</v>
      </c>
      <c r="J1874" s="78">
        <f t="shared" si="1199"/>
        <v>-0.04627772054</v>
      </c>
      <c r="K1874" s="66">
        <f t="shared" si="1200"/>
        <v>-0.006611102935</v>
      </c>
      <c r="L1874" s="29" t="s">
        <v>81</v>
      </c>
      <c r="M1874" s="51"/>
      <c r="N1874" s="51"/>
      <c r="O1874" s="51"/>
      <c r="P1874" s="51"/>
      <c r="Q1874" s="51"/>
      <c r="R1874" s="51"/>
      <c r="S1874" s="51"/>
      <c r="T1874" s="51"/>
      <c r="U1874" s="51"/>
      <c r="V1874" s="51"/>
      <c r="W1874" s="51"/>
      <c r="X1874" s="51"/>
      <c r="Y1874" s="51"/>
      <c r="Z1874" s="51"/>
      <c r="AA1874" s="51"/>
      <c r="AB1874" s="51"/>
      <c r="AC1874" s="51"/>
      <c r="AD1874" s="51"/>
      <c r="AE1874" s="51"/>
    </row>
    <row r="1875">
      <c r="A1875" s="45" t="s">
        <v>1229</v>
      </c>
      <c r="B1875" s="11" t="s">
        <v>603</v>
      </c>
      <c r="C1875" s="11" t="s">
        <v>1380</v>
      </c>
      <c r="D1875" s="11" t="s">
        <v>157</v>
      </c>
      <c r="E1875" s="11" t="s">
        <v>158</v>
      </c>
      <c r="F1875" s="11">
        <v>1996.0</v>
      </c>
      <c r="G1875" s="40">
        <v>17758.0</v>
      </c>
      <c r="H1875" s="40" t="s">
        <v>188</v>
      </c>
      <c r="I1875" s="40" t="s">
        <v>188</v>
      </c>
      <c r="J1875" s="73" t="s">
        <v>188</v>
      </c>
      <c r="K1875" s="66" t="s">
        <v>188</v>
      </c>
      <c r="L1875" s="11" t="s">
        <v>160</v>
      </c>
    </row>
    <row r="1876">
      <c r="A1876" s="45" t="s">
        <v>1229</v>
      </c>
      <c r="B1876" s="11" t="s">
        <v>603</v>
      </c>
      <c r="C1876" s="11" t="s">
        <v>1380</v>
      </c>
      <c r="D1876" s="11" t="s">
        <v>157</v>
      </c>
      <c r="E1876" s="11" t="s">
        <v>158</v>
      </c>
      <c r="F1876" s="11">
        <v>2001.0</v>
      </c>
      <c r="G1876" s="40">
        <v>26215.0</v>
      </c>
      <c r="H1876" s="40">
        <f t="shared" ref="H1876:I1876" si="1201">F1876-F1875</f>
        <v>5</v>
      </c>
      <c r="I1876" s="40">
        <f t="shared" si="1201"/>
        <v>8457</v>
      </c>
      <c r="J1876" s="73">
        <f t="shared" ref="J1876:J1880" si="1203">I1876/G1875</f>
        <v>0.4762360626</v>
      </c>
      <c r="K1876" s="66">
        <f t="shared" ref="K1876:K1880" si="1204">J1876/H1876</f>
        <v>0.09524721252</v>
      </c>
      <c r="L1876" s="11" t="s">
        <v>160</v>
      </c>
    </row>
    <row r="1877">
      <c r="A1877" s="45" t="s">
        <v>1229</v>
      </c>
      <c r="B1877" s="11" t="s">
        <v>603</v>
      </c>
      <c r="C1877" s="11" t="s">
        <v>1380</v>
      </c>
      <c r="D1877" s="11" t="s">
        <v>157</v>
      </c>
      <c r="E1877" s="11" t="s">
        <v>158</v>
      </c>
      <c r="F1877" s="11">
        <v>2005.0</v>
      </c>
      <c r="G1877" s="40">
        <v>47974.0</v>
      </c>
      <c r="H1877" s="40">
        <f t="shared" ref="H1877:I1877" si="1202">F1877-F1876</f>
        <v>4</v>
      </c>
      <c r="I1877" s="40">
        <f t="shared" si="1202"/>
        <v>21759</v>
      </c>
      <c r="J1877" s="73">
        <f t="shared" si="1203"/>
        <v>0.8300209804</v>
      </c>
      <c r="K1877" s="66">
        <f t="shared" si="1204"/>
        <v>0.2075052451</v>
      </c>
      <c r="L1877" s="11" t="s">
        <v>160</v>
      </c>
    </row>
    <row r="1878">
      <c r="A1878" s="45" t="s">
        <v>1229</v>
      </c>
      <c r="B1878" s="11" t="s">
        <v>603</v>
      </c>
      <c r="C1878" s="11" t="s">
        <v>1380</v>
      </c>
      <c r="D1878" s="11" t="s">
        <v>157</v>
      </c>
      <c r="E1878" s="11" t="s">
        <v>158</v>
      </c>
      <c r="F1878" s="11">
        <v>2008.0</v>
      </c>
      <c r="G1878" s="40">
        <v>46563.0</v>
      </c>
      <c r="H1878" s="40">
        <f t="shared" ref="H1878:I1878" si="1205">F1878-F1877</f>
        <v>3</v>
      </c>
      <c r="I1878" s="40">
        <f t="shared" si="1205"/>
        <v>-1411</v>
      </c>
      <c r="J1878" s="73">
        <f t="shared" si="1203"/>
        <v>-0.02941176471</v>
      </c>
      <c r="K1878" s="66">
        <f t="shared" si="1204"/>
        <v>-0.009803921569</v>
      </c>
      <c r="L1878" s="11" t="s">
        <v>160</v>
      </c>
    </row>
    <row r="1879">
      <c r="A1879" s="45" t="s">
        <v>1229</v>
      </c>
      <c r="B1879" s="11" t="s">
        <v>603</v>
      </c>
      <c r="C1879" s="11" t="s">
        <v>1380</v>
      </c>
      <c r="D1879" s="11" t="s">
        <v>157</v>
      </c>
      <c r="E1879" s="11" t="s">
        <v>158</v>
      </c>
      <c r="F1879" s="11">
        <v>2014.0</v>
      </c>
      <c r="G1879" s="40">
        <v>70107.0</v>
      </c>
      <c r="H1879" s="40">
        <f t="shared" ref="H1879:I1879" si="1206">F1879-F1878</f>
        <v>6</v>
      </c>
      <c r="I1879" s="40">
        <f t="shared" si="1206"/>
        <v>23544</v>
      </c>
      <c r="J1879" s="73">
        <f t="shared" si="1203"/>
        <v>0.5056375234</v>
      </c>
      <c r="K1879" s="66">
        <f t="shared" si="1204"/>
        <v>0.08427292056</v>
      </c>
      <c r="L1879" s="11" t="s">
        <v>160</v>
      </c>
    </row>
    <row r="1880">
      <c r="A1880" s="45" t="s">
        <v>1229</v>
      </c>
      <c r="B1880" s="11" t="s">
        <v>603</v>
      </c>
      <c r="C1880" s="11" t="s">
        <v>1380</v>
      </c>
      <c r="D1880" s="11" t="s">
        <v>157</v>
      </c>
      <c r="E1880" s="11" t="s">
        <v>158</v>
      </c>
      <c r="F1880" s="11">
        <v>2018.0</v>
      </c>
      <c r="G1880" s="40">
        <v>29988.0</v>
      </c>
      <c r="H1880" s="40">
        <f t="shared" ref="H1880:I1880" si="1207">F1880-F1879</f>
        <v>4</v>
      </c>
      <c r="I1880" s="40">
        <f t="shared" si="1207"/>
        <v>-40119</v>
      </c>
      <c r="J1880" s="73">
        <f t="shared" si="1203"/>
        <v>-0.5722538406</v>
      </c>
      <c r="K1880" s="66">
        <f t="shared" si="1204"/>
        <v>-0.1430634601</v>
      </c>
      <c r="L1880" s="11" t="s">
        <v>160</v>
      </c>
    </row>
    <row r="1881">
      <c r="A1881" s="11"/>
      <c r="B1881" s="11"/>
      <c r="C1881" s="11"/>
      <c r="D1881" s="11"/>
      <c r="E1881" s="11"/>
      <c r="F1881" s="11"/>
      <c r="G1881" s="40"/>
      <c r="H1881" s="40"/>
      <c r="I1881" s="40"/>
      <c r="J1881" s="73"/>
      <c r="K1881" s="73"/>
      <c r="L1881" s="11"/>
    </row>
    <row r="1882">
      <c r="A1882" s="80"/>
      <c r="B1882" s="80"/>
      <c r="C1882" s="80"/>
      <c r="D1882" s="59"/>
      <c r="E1882" s="59"/>
      <c r="F1882" s="83"/>
      <c r="G1882" s="76"/>
      <c r="H1882" s="76"/>
      <c r="I1882" s="76"/>
      <c r="J1882" s="93"/>
      <c r="K1882" s="93"/>
      <c r="L1882" s="82"/>
      <c r="M1882" s="54"/>
      <c r="N1882" s="54"/>
      <c r="O1882" s="54"/>
      <c r="P1882" s="54"/>
      <c r="Q1882" s="54"/>
      <c r="R1882" s="54"/>
      <c r="S1882" s="54"/>
      <c r="T1882" s="54"/>
      <c r="U1882" s="54"/>
      <c r="V1882" s="54"/>
      <c r="W1882" s="54"/>
      <c r="X1882" s="54"/>
      <c r="Y1882" s="54"/>
      <c r="Z1882" s="54"/>
      <c r="AA1882" s="54"/>
      <c r="AB1882" s="54"/>
      <c r="AC1882" s="54"/>
      <c r="AD1882" s="54"/>
      <c r="AE1882" s="54"/>
    </row>
    <row r="1883">
      <c r="A1883" s="80"/>
      <c r="B1883" s="80"/>
      <c r="C1883" s="80"/>
      <c r="D1883" s="59"/>
      <c r="E1883" s="59"/>
      <c r="F1883" s="83"/>
      <c r="G1883" s="76"/>
      <c r="H1883" s="76"/>
      <c r="I1883" s="76"/>
      <c r="J1883" s="93"/>
      <c r="K1883" s="93"/>
      <c r="L1883" s="82"/>
      <c r="M1883" s="54"/>
      <c r="N1883" s="54"/>
      <c r="O1883" s="54"/>
      <c r="P1883" s="54"/>
      <c r="Q1883" s="54"/>
      <c r="R1883" s="54"/>
      <c r="S1883" s="54"/>
      <c r="T1883" s="54"/>
      <c r="U1883" s="54"/>
      <c r="V1883" s="54"/>
      <c r="W1883" s="54"/>
      <c r="X1883" s="54"/>
      <c r="Y1883" s="54"/>
      <c r="Z1883" s="54"/>
      <c r="AA1883" s="54"/>
      <c r="AB1883" s="54"/>
      <c r="AC1883" s="54"/>
      <c r="AD1883" s="54"/>
      <c r="AE1883" s="54"/>
    </row>
    <row r="1884">
      <c r="A1884" s="80"/>
      <c r="B1884" s="80"/>
      <c r="C1884" s="80"/>
      <c r="D1884" s="59"/>
      <c r="E1884" s="59"/>
      <c r="F1884" s="83"/>
      <c r="G1884" s="76"/>
      <c r="H1884" s="76"/>
      <c r="I1884" s="76"/>
      <c r="J1884" s="93"/>
      <c r="K1884" s="93"/>
      <c r="L1884" s="82"/>
      <c r="M1884" s="54"/>
      <c r="N1884" s="54"/>
      <c r="O1884" s="54"/>
      <c r="P1884" s="54"/>
      <c r="Q1884" s="54"/>
      <c r="R1884" s="54"/>
      <c r="S1884" s="54"/>
      <c r="T1884" s="54"/>
      <c r="U1884" s="54"/>
      <c r="V1884" s="54"/>
      <c r="W1884" s="54"/>
      <c r="X1884" s="54"/>
      <c r="Y1884" s="54"/>
      <c r="Z1884" s="54"/>
      <c r="AA1884" s="54"/>
      <c r="AB1884" s="54"/>
      <c r="AC1884" s="54"/>
      <c r="AD1884" s="54"/>
      <c r="AE1884" s="54"/>
    </row>
    <row r="1885">
      <c r="A1885" s="80"/>
      <c r="B1885" s="80"/>
      <c r="C1885" s="80"/>
      <c r="D1885" s="59"/>
      <c r="E1885" s="59"/>
      <c r="F1885" s="83"/>
      <c r="G1885" s="76"/>
      <c r="H1885" s="76"/>
      <c r="I1885" s="76"/>
      <c r="J1885" s="93"/>
      <c r="K1885" s="93"/>
      <c r="L1885" s="82"/>
      <c r="M1885" s="54"/>
      <c r="N1885" s="54"/>
      <c r="O1885" s="54"/>
      <c r="P1885" s="54"/>
      <c r="Q1885" s="54"/>
      <c r="R1885" s="54"/>
      <c r="S1885" s="54"/>
      <c r="T1885" s="54"/>
      <c r="U1885" s="54"/>
      <c r="V1885" s="54"/>
      <c r="W1885" s="54"/>
      <c r="X1885" s="54"/>
      <c r="Y1885" s="54"/>
      <c r="Z1885" s="54"/>
      <c r="AA1885" s="54"/>
      <c r="AB1885" s="54"/>
      <c r="AC1885" s="54"/>
      <c r="AD1885" s="54"/>
      <c r="AE1885" s="54"/>
    </row>
    <row r="1886">
      <c r="A1886" s="80"/>
      <c r="B1886" s="80"/>
      <c r="C1886" s="80"/>
      <c r="D1886" s="59"/>
      <c r="E1886" s="59"/>
      <c r="F1886" s="83"/>
      <c r="G1886" s="76"/>
      <c r="H1886" s="76"/>
      <c r="I1886" s="76"/>
      <c r="J1886" s="93"/>
      <c r="K1886" s="93"/>
      <c r="L1886" s="82"/>
      <c r="M1886" s="54"/>
      <c r="N1886" s="54"/>
      <c r="O1886" s="54"/>
      <c r="P1886" s="54"/>
      <c r="Q1886" s="54"/>
      <c r="R1886" s="54"/>
      <c r="S1886" s="54"/>
      <c r="T1886" s="54"/>
      <c r="U1886" s="54"/>
      <c r="V1886" s="54"/>
      <c r="W1886" s="54"/>
      <c r="X1886" s="54"/>
      <c r="Y1886" s="54"/>
      <c r="Z1886" s="54"/>
      <c r="AA1886" s="54"/>
      <c r="AB1886" s="54"/>
      <c r="AC1886" s="54"/>
      <c r="AD1886" s="54"/>
      <c r="AE1886" s="54"/>
    </row>
    <row r="1887">
      <c r="A1887" s="80"/>
      <c r="B1887" s="80"/>
      <c r="C1887" s="80"/>
      <c r="D1887" s="59"/>
      <c r="E1887" s="59"/>
      <c r="F1887" s="83"/>
      <c r="G1887" s="76"/>
      <c r="H1887" s="76"/>
      <c r="I1887" s="76"/>
      <c r="J1887" s="93"/>
      <c r="K1887" s="93"/>
      <c r="L1887" s="82"/>
      <c r="M1887" s="54"/>
      <c r="N1887" s="54"/>
      <c r="O1887" s="54"/>
      <c r="P1887" s="54"/>
      <c r="Q1887" s="54"/>
      <c r="R1887" s="54"/>
      <c r="S1887" s="54"/>
      <c r="T1887" s="54"/>
      <c r="U1887" s="54"/>
      <c r="V1887" s="54"/>
      <c r="W1887" s="54"/>
      <c r="X1887" s="54"/>
      <c r="Y1887" s="54"/>
      <c r="Z1887" s="54"/>
      <c r="AA1887" s="54"/>
      <c r="AB1887" s="54"/>
      <c r="AC1887" s="54"/>
      <c r="AD1887" s="54"/>
      <c r="AE1887" s="54"/>
    </row>
    <row r="1888">
      <c r="A1888" s="80"/>
      <c r="B1888" s="80"/>
      <c r="C1888" s="80"/>
      <c r="D1888" s="59"/>
      <c r="E1888" s="59"/>
      <c r="F1888" s="83"/>
      <c r="G1888" s="76"/>
      <c r="H1888" s="76"/>
      <c r="I1888" s="76"/>
      <c r="J1888" s="93"/>
      <c r="K1888" s="93"/>
      <c r="L1888" s="82"/>
      <c r="M1888" s="54"/>
      <c r="N1888" s="54"/>
      <c r="O1888" s="54"/>
      <c r="P1888" s="54"/>
      <c r="Q1888" s="54"/>
      <c r="R1888" s="54"/>
      <c r="S1888" s="54"/>
      <c r="T1888" s="54"/>
      <c r="U1888" s="54"/>
      <c r="V1888" s="54"/>
      <c r="W1888" s="54"/>
      <c r="X1888" s="54"/>
      <c r="Y1888" s="54"/>
      <c r="Z1888" s="54"/>
      <c r="AA1888" s="54"/>
      <c r="AB1888" s="54"/>
      <c r="AC1888" s="54"/>
      <c r="AD1888" s="54"/>
      <c r="AE1888" s="54"/>
    </row>
    <row r="1889">
      <c r="A1889" s="80"/>
      <c r="B1889" s="80"/>
      <c r="C1889" s="80"/>
      <c r="D1889" s="59"/>
      <c r="E1889" s="59"/>
      <c r="F1889" s="83"/>
      <c r="G1889" s="76"/>
      <c r="H1889" s="76"/>
      <c r="I1889" s="76"/>
      <c r="J1889" s="93"/>
      <c r="K1889" s="93"/>
      <c r="L1889" s="82"/>
      <c r="M1889" s="54"/>
      <c r="N1889" s="54"/>
      <c r="O1889" s="54"/>
      <c r="P1889" s="54"/>
      <c r="Q1889" s="54"/>
      <c r="R1889" s="54"/>
      <c r="S1889" s="54"/>
      <c r="T1889" s="54"/>
      <c r="U1889" s="54"/>
      <c r="V1889" s="54"/>
      <c r="W1889" s="54"/>
      <c r="X1889" s="54"/>
      <c r="Y1889" s="54"/>
      <c r="Z1889" s="54"/>
      <c r="AA1889" s="54"/>
      <c r="AB1889" s="54"/>
      <c r="AC1889" s="54"/>
      <c r="AD1889" s="54"/>
      <c r="AE1889" s="54"/>
    </row>
    <row r="1890">
      <c r="A1890" s="80"/>
      <c r="B1890" s="80"/>
      <c r="C1890" s="80"/>
      <c r="D1890" s="59"/>
      <c r="E1890" s="59"/>
      <c r="F1890" s="83"/>
      <c r="G1890" s="76"/>
      <c r="H1890" s="76"/>
      <c r="I1890" s="76"/>
      <c r="J1890" s="93"/>
      <c r="K1890" s="93"/>
      <c r="L1890" s="82"/>
      <c r="M1890" s="54"/>
      <c r="N1890" s="54"/>
      <c r="O1890" s="54"/>
      <c r="P1890" s="54"/>
      <c r="Q1890" s="54"/>
      <c r="R1890" s="54"/>
      <c r="S1890" s="54"/>
      <c r="T1890" s="54"/>
      <c r="U1890" s="54"/>
      <c r="V1890" s="54"/>
      <c r="W1890" s="54"/>
      <c r="X1890" s="54"/>
      <c r="Y1890" s="54"/>
      <c r="Z1890" s="54"/>
      <c r="AA1890" s="54"/>
      <c r="AB1890" s="54"/>
      <c r="AC1890" s="54"/>
      <c r="AD1890" s="54"/>
      <c r="AE1890" s="54"/>
    </row>
    <row r="1891">
      <c r="A1891" s="80"/>
      <c r="B1891" s="80"/>
      <c r="C1891" s="80"/>
      <c r="D1891" s="59"/>
      <c r="E1891" s="59"/>
      <c r="F1891" s="83"/>
      <c r="G1891" s="76"/>
      <c r="H1891" s="76"/>
      <c r="I1891" s="76"/>
      <c r="J1891" s="93"/>
      <c r="K1891" s="93"/>
      <c r="L1891" s="82"/>
      <c r="M1891" s="54"/>
      <c r="N1891" s="54"/>
      <c r="O1891" s="54"/>
      <c r="P1891" s="54"/>
      <c r="Q1891" s="54"/>
      <c r="R1891" s="54"/>
      <c r="S1891" s="54"/>
      <c r="T1891" s="54"/>
      <c r="U1891" s="54"/>
      <c r="V1891" s="54"/>
      <c r="W1891" s="54"/>
      <c r="X1891" s="54"/>
      <c r="Y1891" s="54"/>
      <c r="Z1891" s="54"/>
      <c r="AA1891" s="54"/>
      <c r="AB1891" s="54"/>
      <c r="AC1891" s="54"/>
      <c r="AD1891" s="54"/>
      <c r="AE1891" s="54"/>
    </row>
    <row r="1892">
      <c r="A1892" s="80"/>
      <c r="B1892" s="80"/>
      <c r="C1892" s="80"/>
      <c r="D1892" s="59"/>
      <c r="E1892" s="59"/>
      <c r="F1892" s="83"/>
      <c r="G1892" s="76"/>
      <c r="H1892" s="76"/>
      <c r="I1892" s="76"/>
      <c r="J1892" s="93"/>
      <c r="K1892" s="93"/>
      <c r="L1892" s="82"/>
      <c r="M1892" s="54"/>
      <c r="N1892" s="54"/>
      <c r="O1892" s="54"/>
      <c r="P1892" s="54"/>
      <c r="Q1892" s="54"/>
      <c r="R1892" s="54"/>
      <c r="S1892" s="54"/>
      <c r="T1892" s="54"/>
      <c r="U1892" s="54"/>
      <c r="V1892" s="54"/>
      <c r="W1892" s="54"/>
      <c r="X1892" s="54"/>
      <c r="Y1892" s="54"/>
      <c r="Z1892" s="54"/>
      <c r="AA1892" s="54"/>
      <c r="AB1892" s="54"/>
      <c r="AC1892" s="54"/>
      <c r="AD1892" s="54"/>
      <c r="AE1892" s="54"/>
    </row>
    <row r="1893">
      <c r="A1893" s="80"/>
      <c r="B1893" s="80"/>
      <c r="C1893" s="80"/>
      <c r="D1893" s="59"/>
      <c r="E1893" s="59"/>
      <c r="F1893" s="83"/>
      <c r="G1893" s="76"/>
      <c r="H1893" s="76"/>
      <c r="I1893" s="76"/>
      <c r="J1893" s="93"/>
      <c r="K1893" s="93"/>
      <c r="L1893" s="82"/>
      <c r="M1893" s="54"/>
      <c r="N1893" s="54"/>
      <c r="O1893" s="54"/>
      <c r="P1893" s="54"/>
      <c r="Q1893" s="54"/>
      <c r="R1893" s="54"/>
      <c r="S1893" s="54"/>
      <c r="T1893" s="54"/>
      <c r="U1893" s="54"/>
      <c r="V1893" s="54"/>
      <c r="W1893" s="54"/>
      <c r="X1893" s="54"/>
      <c r="Y1893" s="54"/>
      <c r="Z1893" s="54"/>
      <c r="AA1893" s="54"/>
      <c r="AB1893" s="54"/>
      <c r="AC1893" s="54"/>
      <c r="AD1893" s="54"/>
      <c r="AE1893" s="54"/>
    </row>
    <row r="1894">
      <c r="A1894" s="80"/>
      <c r="B1894" s="80"/>
      <c r="C1894" s="80"/>
      <c r="D1894" s="59"/>
      <c r="E1894" s="59"/>
      <c r="F1894" s="83"/>
      <c r="G1894" s="76"/>
      <c r="H1894" s="76"/>
      <c r="I1894" s="76"/>
      <c r="J1894" s="93"/>
      <c r="K1894" s="93"/>
      <c r="L1894" s="82"/>
      <c r="M1894" s="54"/>
      <c r="N1894" s="54"/>
      <c r="O1894" s="54"/>
      <c r="P1894" s="54"/>
      <c r="Q1894" s="54"/>
      <c r="R1894" s="54"/>
      <c r="S1894" s="54"/>
      <c r="T1894" s="54"/>
      <c r="U1894" s="54"/>
      <c r="V1894" s="54"/>
      <c r="W1894" s="54"/>
      <c r="X1894" s="54"/>
      <c r="Y1894" s="54"/>
      <c r="Z1894" s="54"/>
      <c r="AA1894" s="54"/>
      <c r="AB1894" s="54"/>
      <c r="AC1894" s="54"/>
      <c r="AD1894" s="54"/>
      <c r="AE1894" s="54"/>
    </row>
    <row r="1895">
      <c r="A1895" s="80"/>
      <c r="B1895" s="80"/>
      <c r="C1895" s="80"/>
      <c r="D1895" s="59"/>
      <c r="E1895" s="59"/>
      <c r="F1895" s="83"/>
      <c r="G1895" s="76"/>
      <c r="H1895" s="76"/>
      <c r="I1895" s="76"/>
      <c r="J1895" s="93"/>
      <c r="K1895" s="93"/>
      <c r="L1895" s="82"/>
      <c r="M1895" s="54"/>
      <c r="N1895" s="54"/>
      <c r="O1895" s="54"/>
      <c r="P1895" s="54"/>
      <c r="Q1895" s="54"/>
      <c r="R1895" s="54"/>
      <c r="S1895" s="54"/>
      <c r="T1895" s="54"/>
      <c r="U1895" s="54"/>
      <c r="V1895" s="54"/>
      <c r="W1895" s="54"/>
      <c r="X1895" s="54"/>
      <c r="Y1895" s="54"/>
      <c r="Z1895" s="54"/>
      <c r="AA1895" s="54"/>
      <c r="AB1895" s="54"/>
      <c r="AC1895" s="54"/>
      <c r="AD1895" s="54"/>
      <c r="AE1895" s="54"/>
    </row>
    <row r="1896">
      <c r="A1896" s="80"/>
      <c r="B1896" s="80"/>
      <c r="C1896" s="80"/>
      <c r="D1896" s="59"/>
      <c r="E1896" s="59"/>
      <c r="F1896" s="83"/>
      <c r="G1896" s="76"/>
      <c r="H1896" s="76"/>
      <c r="I1896" s="76"/>
      <c r="J1896" s="93"/>
      <c r="K1896" s="93"/>
      <c r="L1896" s="82"/>
      <c r="M1896" s="54"/>
      <c r="N1896" s="54"/>
      <c r="O1896" s="54"/>
      <c r="P1896" s="54"/>
      <c r="Q1896" s="54"/>
      <c r="R1896" s="54"/>
      <c r="S1896" s="54"/>
      <c r="T1896" s="54"/>
      <c r="U1896" s="54"/>
      <c r="V1896" s="54"/>
      <c r="W1896" s="54"/>
      <c r="X1896" s="54"/>
      <c r="Y1896" s="54"/>
      <c r="Z1896" s="54"/>
      <c r="AA1896" s="54"/>
      <c r="AB1896" s="54"/>
      <c r="AC1896" s="54"/>
      <c r="AD1896" s="54"/>
      <c r="AE1896" s="54"/>
    </row>
    <row r="1897">
      <c r="A1897" s="80"/>
      <c r="B1897" s="80"/>
      <c r="C1897" s="80"/>
      <c r="D1897" s="59"/>
      <c r="E1897" s="59"/>
      <c r="F1897" s="83"/>
      <c r="G1897" s="76"/>
      <c r="H1897" s="76"/>
      <c r="I1897" s="76"/>
      <c r="J1897" s="93"/>
      <c r="K1897" s="93"/>
      <c r="L1897" s="82"/>
      <c r="M1897" s="54"/>
      <c r="N1897" s="54"/>
      <c r="O1897" s="54"/>
      <c r="P1897" s="54"/>
      <c r="Q1897" s="54"/>
      <c r="R1897" s="54"/>
      <c r="S1897" s="54"/>
      <c r="T1897" s="54"/>
      <c r="U1897" s="54"/>
      <c r="V1897" s="54"/>
      <c r="W1897" s="54"/>
      <c r="X1897" s="54"/>
      <c r="Y1897" s="54"/>
      <c r="Z1897" s="54"/>
      <c r="AA1897" s="54"/>
      <c r="AB1897" s="54"/>
      <c r="AC1897" s="54"/>
      <c r="AD1897" s="54"/>
      <c r="AE1897" s="54"/>
    </row>
    <row r="1898">
      <c r="A1898" s="80"/>
      <c r="B1898" s="80"/>
      <c r="C1898" s="80"/>
      <c r="D1898" s="59"/>
      <c r="E1898" s="59"/>
      <c r="F1898" s="83"/>
      <c r="G1898" s="76"/>
      <c r="H1898" s="76"/>
      <c r="I1898" s="76"/>
      <c r="J1898" s="93"/>
      <c r="K1898" s="93"/>
      <c r="L1898" s="82"/>
      <c r="M1898" s="54"/>
      <c r="N1898" s="54"/>
      <c r="O1898" s="54"/>
      <c r="P1898" s="54"/>
      <c r="Q1898" s="54"/>
      <c r="R1898" s="54"/>
      <c r="S1898" s="54"/>
      <c r="T1898" s="54"/>
      <c r="U1898" s="54"/>
      <c r="V1898" s="54"/>
      <c r="W1898" s="54"/>
      <c r="X1898" s="54"/>
      <c r="Y1898" s="54"/>
      <c r="Z1898" s="54"/>
      <c r="AA1898" s="54"/>
      <c r="AB1898" s="54"/>
      <c r="AC1898" s="54"/>
      <c r="AD1898" s="54"/>
      <c r="AE1898" s="54"/>
    </row>
    <row r="1899">
      <c r="A1899" s="80"/>
      <c r="B1899" s="80"/>
      <c r="C1899" s="80"/>
      <c r="D1899" s="59"/>
      <c r="E1899" s="59"/>
      <c r="F1899" s="83"/>
      <c r="G1899" s="76"/>
      <c r="H1899" s="76"/>
      <c r="I1899" s="76"/>
      <c r="J1899" s="93"/>
      <c r="K1899" s="93"/>
      <c r="L1899" s="82"/>
      <c r="M1899" s="54"/>
      <c r="N1899" s="54"/>
      <c r="O1899" s="54"/>
      <c r="P1899" s="54"/>
      <c r="Q1899" s="54"/>
      <c r="R1899" s="54"/>
      <c r="S1899" s="54"/>
      <c r="T1899" s="54"/>
      <c r="U1899" s="54"/>
      <c r="V1899" s="54"/>
      <c r="W1899" s="54"/>
      <c r="X1899" s="54"/>
      <c r="Y1899" s="54"/>
      <c r="Z1899" s="54"/>
      <c r="AA1899" s="54"/>
      <c r="AB1899" s="54"/>
      <c r="AC1899" s="54"/>
      <c r="AD1899" s="54"/>
      <c r="AE1899" s="54"/>
    </row>
    <row r="1900">
      <c r="A1900" s="80"/>
      <c r="B1900" s="80"/>
      <c r="C1900" s="80"/>
      <c r="D1900" s="59"/>
      <c r="E1900" s="59"/>
      <c r="F1900" s="83"/>
      <c r="G1900" s="76"/>
      <c r="H1900" s="76"/>
      <c r="I1900" s="76"/>
      <c r="J1900" s="93"/>
      <c r="K1900" s="93"/>
      <c r="L1900" s="82"/>
      <c r="M1900" s="54"/>
      <c r="N1900" s="54"/>
      <c r="O1900" s="54"/>
      <c r="P1900" s="54"/>
      <c r="Q1900" s="54"/>
      <c r="R1900" s="54"/>
      <c r="S1900" s="54"/>
      <c r="T1900" s="54"/>
      <c r="U1900" s="54"/>
      <c r="V1900" s="54"/>
      <c r="W1900" s="54"/>
      <c r="X1900" s="54"/>
      <c r="Y1900" s="54"/>
      <c r="Z1900" s="54"/>
      <c r="AA1900" s="54"/>
      <c r="AB1900" s="54"/>
      <c r="AC1900" s="54"/>
      <c r="AD1900" s="54"/>
      <c r="AE1900" s="54"/>
    </row>
    <row r="1901">
      <c r="A1901" s="80"/>
      <c r="B1901" s="80"/>
      <c r="C1901" s="80"/>
      <c r="D1901" s="59"/>
      <c r="E1901" s="59"/>
      <c r="F1901" s="83"/>
      <c r="G1901" s="76"/>
      <c r="H1901" s="76"/>
      <c r="I1901" s="76"/>
      <c r="J1901" s="93"/>
      <c r="K1901" s="93"/>
      <c r="L1901" s="82"/>
      <c r="M1901" s="54"/>
      <c r="N1901" s="54"/>
      <c r="O1901" s="54"/>
      <c r="P1901" s="54"/>
      <c r="Q1901" s="54"/>
      <c r="R1901" s="54"/>
      <c r="S1901" s="54"/>
      <c r="T1901" s="54"/>
      <c r="U1901" s="54"/>
      <c r="V1901" s="54"/>
      <c r="W1901" s="54"/>
      <c r="X1901" s="54"/>
      <c r="Y1901" s="54"/>
      <c r="Z1901" s="54"/>
      <c r="AA1901" s="54"/>
      <c r="AB1901" s="54"/>
      <c r="AC1901" s="54"/>
      <c r="AD1901" s="54"/>
      <c r="AE1901" s="54"/>
    </row>
    <row r="1902">
      <c r="A1902" s="80"/>
      <c r="B1902" s="80"/>
      <c r="C1902" s="80"/>
      <c r="D1902" s="59"/>
      <c r="E1902" s="59"/>
      <c r="F1902" s="83"/>
      <c r="G1902" s="76"/>
      <c r="H1902" s="76"/>
      <c r="I1902" s="76"/>
      <c r="J1902" s="93"/>
      <c r="K1902" s="93"/>
      <c r="L1902" s="82"/>
      <c r="M1902" s="54"/>
      <c r="N1902" s="54"/>
      <c r="O1902" s="54"/>
      <c r="P1902" s="54"/>
      <c r="Q1902" s="54"/>
      <c r="R1902" s="54"/>
      <c r="S1902" s="54"/>
      <c r="T1902" s="54"/>
      <c r="U1902" s="54"/>
      <c r="V1902" s="54"/>
      <c r="W1902" s="54"/>
      <c r="X1902" s="54"/>
      <c r="Y1902" s="54"/>
      <c r="Z1902" s="54"/>
      <c r="AA1902" s="54"/>
      <c r="AB1902" s="54"/>
      <c r="AC1902" s="54"/>
      <c r="AD1902" s="54"/>
      <c r="AE1902" s="54"/>
    </row>
    <row r="1903">
      <c r="A1903" s="80"/>
      <c r="B1903" s="80"/>
      <c r="C1903" s="80"/>
      <c r="D1903" s="59"/>
      <c r="E1903" s="59"/>
      <c r="F1903" s="83"/>
      <c r="G1903" s="76"/>
      <c r="H1903" s="76"/>
      <c r="I1903" s="76"/>
      <c r="J1903" s="93"/>
      <c r="K1903" s="93"/>
      <c r="L1903" s="82"/>
      <c r="M1903" s="54"/>
      <c r="N1903" s="54"/>
      <c r="O1903" s="54"/>
      <c r="P1903" s="54"/>
      <c r="Q1903" s="54"/>
      <c r="R1903" s="54"/>
      <c r="S1903" s="54"/>
      <c r="T1903" s="54"/>
      <c r="U1903" s="54"/>
      <c r="V1903" s="54"/>
      <c r="W1903" s="54"/>
      <c r="X1903" s="54"/>
      <c r="Y1903" s="54"/>
      <c r="Z1903" s="54"/>
      <c r="AA1903" s="54"/>
      <c r="AB1903" s="54"/>
      <c r="AC1903" s="54"/>
      <c r="AD1903" s="54"/>
      <c r="AE1903" s="54"/>
    </row>
    <row r="1904">
      <c r="A1904" s="80"/>
      <c r="B1904" s="80"/>
      <c r="C1904" s="80"/>
      <c r="D1904" s="59"/>
      <c r="E1904" s="59"/>
      <c r="F1904" s="83"/>
      <c r="G1904" s="76"/>
      <c r="H1904" s="76"/>
      <c r="I1904" s="76"/>
      <c r="J1904" s="93"/>
      <c r="K1904" s="93"/>
      <c r="L1904" s="82"/>
      <c r="M1904" s="54"/>
      <c r="N1904" s="54"/>
      <c r="O1904" s="54"/>
      <c r="P1904" s="54"/>
      <c r="Q1904" s="54"/>
      <c r="R1904" s="54"/>
      <c r="S1904" s="54"/>
      <c r="T1904" s="54"/>
      <c r="U1904" s="54"/>
      <c r="V1904" s="54"/>
      <c r="W1904" s="54"/>
      <c r="X1904" s="54"/>
      <c r="Y1904" s="54"/>
      <c r="Z1904" s="54"/>
      <c r="AA1904" s="54"/>
      <c r="AB1904" s="54"/>
      <c r="AC1904" s="54"/>
      <c r="AD1904" s="54"/>
      <c r="AE1904" s="54"/>
    </row>
    <row r="1905">
      <c r="A1905" s="80"/>
      <c r="B1905" s="80"/>
      <c r="C1905" s="80"/>
      <c r="D1905" s="59"/>
      <c r="E1905" s="59"/>
      <c r="F1905" s="83"/>
      <c r="G1905" s="76"/>
      <c r="H1905" s="76"/>
      <c r="I1905" s="76"/>
      <c r="J1905" s="93"/>
      <c r="K1905" s="93"/>
      <c r="L1905" s="82"/>
      <c r="M1905" s="54"/>
      <c r="N1905" s="54"/>
      <c r="O1905" s="54"/>
      <c r="P1905" s="54"/>
      <c r="Q1905" s="54"/>
      <c r="R1905" s="54"/>
      <c r="S1905" s="54"/>
      <c r="T1905" s="54"/>
      <c r="U1905" s="54"/>
      <c r="V1905" s="54"/>
      <c r="W1905" s="54"/>
      <c r="X1905" s="54"/>
      <c r="Y1905" s="54"/>
      <c r="Z1905" s="54"/>
      <c r="AA1905" s="54"/>
      <c r="AB1905" s="54"/>
      <c r="AC1905" s="54"/>
      <c r="AD1905" s="54"/>
      <c r="AE1905" s="54"/>
    </row>
    <row r="1906">
      <c r="A1906" s="80"/>
      <c r="B1906" s="80"/>
      <c r="C1906" s="80"/>
      <c r="D1906" s="59"/>
      <c r="E1906" s="59"/>
      <c r="F1906" s="83"/>
      <c r="G1906" s="76"/>
      <c r="H1906" s="76"/>
      <c r="I1906" s="76"/>
      <c r="J1906" s="93"/>
      <c r="K1906" s="93"/>
      <c r="L1906" s="82"/>
      <c r="M1906" s="54"/>
      <c r="N1906" s="54"/>
      <c r="O1906" s="54"/>
      <c r="P1906" s="54"/>
      <c r="Q1906" s="54"/>
      <c r="R1906" s="54"/>
      <c r="S1906" s="54"/>
      <c r="T1906" s="54"/>
      <c r="U1906" s="54"/>
      <c r="V1906" s="54"/>
      <c r="W1906" s="54"/>
      <c r="X1906" s="54"/>
      <c r="Y1906" s="54"/>
      <c r="Z1906" s="54"/>
      <c r="AA1906" s="54"/>
      <c r="AB1906" s="54"/>
      <c r="AC1906" s="54"/>
      <c r="AD1906" s="54"/>
      <c r="AE1906" s="54"/>
    </row>
    <row r="1907">
      <c r="A1907" s="80"/>
      <c r="B1907" s="80"/>
      <c r="C1907" s="80"/>
      <c r="D1907" s="59"/>
      <c r="E1907" s="59"/>
      <c r="F1907" s="83"/>
      <c r="G1907" s="76"/>
      <c r="H1907" s="76"/>
      <c r="I1907" s="76"/>
      <c r="J1907" s="93"/>
      <c r="K1907" s="93"/>
      <c r="L1907" s="82"/>
      <c r="M1907" s="54"/>
      <c r="N1907" s="54"/>
      <c r="O1907" s="54"/>
      <c r="P1907" s="54"/>
      <c r="Q1907" s="54"/>
      <c r="R1907" s="54"/>
      <c r="S1907" s="54"/>
      <c r="T1907" s="54"/>
      <c r="U1907" s="54"/>
      <c r="V1907" s="54"/>
      <c r="W1907" s="54"/>
      <c r="X1907" s="54"/>
      <c r="Y1907" s="54"/>
      <c r="Z1907" s="54"/>
      <c r="AA1907" s="54"/>
      <c r="AB1907" s="54"/>
      <c r="AC1907" s="54"/>
      <c r="AD1907" s="54"/>
      <c r="AE1907" s="54"/>
    </row>
    <row r="1908">
      <c r="A1908" s="80"/>
      <c r="B1908" s="80"/>
      <c r="C1908" s="80"/>
      <c r="D1908" s="59"/>
      <c r="E1908" s="59"/>
      <c r="F1908" s="83"/>
      <c r="G1908" s="76"/>
      <c r="H1908" s="76"/>
      <c r="I1908" s="76"/>
      <c r="J1908" s="93"/>
      <c r="K1908" s="93"/>
      <c r="L1908" s="82"/>
      <c r="M1908" s="54"/>
      <c r="N1908" s="54"/>
      <c r="O1908" s="54"/>
      <c r="P1908" s="54"/>
      <c r="Q1908" s="54"/>
      <c r="R1908" s="54"/>
      <c r="S1908" s="54"/>
      <c r="T1908" s="54"/>
      <c r="U1908" s="54"/>
      <c r="V1908" s="54"/>
      <c r="W1908" s="54"/>
      <c r="X1908" s="54"/>
      <c r="Y1908" s="54"/>
      <c r="Z1908" s="54"/>
      <c r="AA1908" s="54"/>
      <c r="AB1908" s="54"/>
      <c r="AC1908" s="54"/>
      <c r="AD1908" s="54"/>
      <c r="AE1908" s="54"/>
    </row>
    <row r="1909">
      <c r="A1909" s="80"/>
      <c r="B1909" s="80"/>
      <c r="C1909" s="80"/>
      <c r="D1909" s="59"/>
      <c r="E1909" s="59"/>
      <c r="F1909" s="83"/>
      <c r="G1909" s="76"/>
      <c r="H1909" s="76"/>
      <c r="I1909" s="76"/>
      <c r="J1909" s="93"/>
      <c r="K1909" s="93"/>
      <c r="L1909" s="82"/>
      <c r="M1909" s="54"/>
      <c r="N1909" s="54"/>
      <c r="O1909" s="54"/>
      <c r="P1909" s="54"/>
      <c r="Q1909" s="54"/>
      <c r="R1909" s="54"/>
      <c r="S1909" s="54"/>
      <c r="T1909" s="54"/>
      <c r="U1909" s="54"/>
      <c r="V1909" s="54"/>
      <c r="W1909" s="54"/>
      <c r="X1909" s="54"/>
      <c r="Y1909" s="54"/>
      <c r="Z1909" s="54"/>
      <c r="AA1909" s="54"/>
      <c r="AB1909" s="54"/>
      <c r="AC1909" s="54"/>
      <c r="AD1909" s="54"/>
      <c r="AE1909" s="54"/>
    </row>
    <row r="1910">
      <c r="A1910" s="80"/>
      <c r="B1910" s="80"/>
      <c r="C1910" s="80"/>
      <c r="D1910" s="59"/>
      <c r="E1910" s="59"/>
      <c r="F1910" s="83"/>
      <c r="G1910" s="76"/>
      <c r="H1910" s="76"/>
      <c r="I1910" s="76"/>
      <c r="J1910" s="93"/>
      <c r="K1910" s="93"/>
      <c r="L1910" s="82"/>
      <c r="M1910" s="54"/>
      <c r="N1910" s="54"/>
      <c r="O1910" s="54"/>
      <c r="P1910" s="54"/>
      <c r="Q1910" s="54"/>
      <c r="R1910" s="54"/>
      <c r="S1910" s="54"/>
      <c r="T1910" s="54"/>
      <c r="U1910" s="54"/>
      <c r="V1910" s="54"/>
      <c r="W1910" s="54"/>
      <c r="X1910" s="54"/>
      <c r="Y1910" s="54"/>
      <c r="Z1910" s="54"/>
      <c r="AA1910" s="54"/>
      <c r="AB1910" s="54"/>
      <c r="AC1910" s="54"/>
      <c r="AD1910" s="54"/>
      <c r="AE1910" s="54"/>
    </row>
    <row r="1911">
      <c r="A1911" s="80"/>
      <c r="B1911" s="80"/>
      <c r="C1911" s="80"/>
      <c r="D1911" s="59"/>
      <c r="E1911" s="59"/>
      <c r="F1911" s="83"/>
      <c r="G1911" s="76"/>
      <c r="H1911" s="76"/>
      <c r="I1911" s="76"/>
      <c r="J1911" s="93"/>
      <c r="K1911" s="93"/>
      <c r="L1911" s="82"/>
      <c r="M1911" s="54"/>
      <c r="N1911" s="54"/>
      <c r="O1911" s="54"/>
      <c r="P1911" s="54"/>
      <c r="Q1911" s="54"/>
      <c r="R1911" s="54"/>
      <c r="S1911" s="54"/>
      <c r="T1911" s="54"/>
      <c r="U1911" s="54"/>
      <c r="V1911" s="54"/>
      <c r="W1911" s="54"/>
      <c r="X1911" s="54"/>
      <c r="Y1911" s="54"/>
      <c r="Z1911" s="54"/>
      <c r="AA1911" s="54"/>
      <c r="AB1911" s="54"/>
      <c r="AC1911" s="54"/>
      <c r="AD1911" s="54"/>
      <c r="AE1911" s="54"/>
    </row>
    <row r="1912">
      <c r="A1912" s="80"/>
      <c r="B1912" s="80"/>
      <c r="C1912" s="80"/>
      <c r="D1912" s="59"/>
      <c r="E1912" s="59"/>
      <c r="F1912" s="83"/>
      <c r="G1912" s="76"/>
      <c r="H1912" s="76"/>
      <c r="I1912" s="76"/>
      <c r="J1912" s="93"/>
      <c r="K1912" s="93"/>
      <c r="L1912" s="82"/>
      <c r="M1912" s="54"/>
      <c r="N1912" s="54"/>
      <c r="O1912" s="54"/>
      <c r="P1912" s="54"/>
      <c r="Q1912" s="54"/>
      <c r="R1912" s="54"/>
      <c r="S1912" s="54"/>
      <c r="T1912" s="54"/>
      <c r="U1912" s="54"/>
      <c r="V1912" s="54"/>
      <c r="W1912" s="54"/>
      <c r="X1912" s="54"/>
      <c r="Y1912" s="54"/>
      <c r="Z1912" s="54"/>
      <c r="AA1912" s="54"/>
      <c r="AB1912" s="54"/>
      <c r="AC1912" s="54"/>
      <c r="AD1912" s="54"/>
      <c r="AE1912" s="54"/>
    </row>
    <row r="1913">
      <c r="A1913" s="80"/>
      <c r="B1913" s="80"/>
      <c r="C1913" s="80"/>
      <c r="D1913" s="59"/>
      <c r="E1913" s="59"/>
      <c r="F1913" s="83"/>
      <c r="G1913" s="76"/>
      <c r="H1913" s="76"/>
      <c r="I1913" s="76"/>
      <c r="J1913" s="93"/>
      <c r="K1913" s="93"/>
      <c r="L1913" s="82"/>
      <c r="M1913" s="54"/>
      <c r="N1913" s="54"/>
      <c r="O1913" s="54"/>
      <c r="P1913" s="54"/>
      <c r="Q1913" s="54"/>
      <c r="R1913" s="54"/>
      <c r="S1913" s="54"/>
      <c r="T1913" s="54"/>
      <c r="U1913" s="54"/>
      <c r="V1913" s="54"/>
      <c r="W1913" s="54"/>
      <c r="X1913" s="54"/>
      <c r="Y1913" s="54"/>
      <c r="Z1913" s="54"/>
      <c r="AA1913" s="54"/>
      <c r="AB1913" s="54"/>
      <c r="AC1913" s="54"/>
      <c r="AD1913" s="54"/>
      <c r="AE1913" s="54"/>
    </row>
    <row r="1914">
      <c r="A1914" s="80"/>
      <c r="B1914" s="80"/>
      <c r="C1914" s="80"/>
      <c r="D1914" s="59"/>
      <c r="E1914" s="59"/>
      <c r="F1914" s="83"/>
      <c r="G1914" s="76"/>
      <c r="H1914" s="76"/>
      <c r="I1914" s="76"/>
      <c r="J1914" s="93"/>
      <c r="K1914" s="93"/>
      <c r="L1914" s="82"/>
      <c r="M1914" s="54"/>
      <c r="N1914" s="54"/>
      <c r="O1914" s="54"/>
      <c r="P1914" s="54"/>
      <c r="Q1914" s="54"/>
      <c r="R1914" s="54"/>
      <c r="S1914" s="54"/>
      <c r="T1914" s="54"/>
      <c r="U1914" s="54"/>
      <c r="V1914" s="54"/>
      <c r="W1914" s="54"/>
      <c r="X1914" s="54"/>
      <c r="Y1914" s="54"/>
      <c r="Z1914" s="54"/>
      <c r="AA1914" s="54"/>
      <c r="AB1914" s="54"/>
      <c r="AC1914" s="54"/>
      <c r="AD1914" s="54"/>
      <c r="AE1914" s="54"/>
    </row>
    <row r="1915">
      <c r="A1915" s="80"/>
      <c r="B1915" s="80"/>
      <c r="C1915" s="80"/>
      <c r="D1915" s="59"/>
      <c r="E1915" s="59"/>
      <c r="F1915" s="83"/>
      <c r="G1915" s="76"/>
      <c r="H1915" s="76"/>
      <c r="I1915" s="76"/>
      <c r="J1915" s="93"/>
      <c r="K1915" s="93"/>
      <c r="L1915" s="82"/>
      <c r="M1915" s="54"/>
      <c r="N1915" s="54"/>
      <c r="O1915" s="54"/>
      <c r="P1915" s="54"/>
      <c r="Q1915" s="54"/>
      <c r="R1915" s="54"/>
      <c r="S1915" s="54"/>
      <c r="T1915" s="54"/>
      <c r="U1915" s="54"/>
      <c r="V1915" s="54"/>
      <c r="W1915" s="54"/>
      <c r="X1915" s="54"/>
      <c r="Y1915" s="54"/>
      <c r="Z1915" s="54"/>
      <c r="AA1915" s="54"/>
      <c r="AB1915" s="54"/>
      <c r="AC1915" s="54"/>
      <c r="AD1915" s="54"/>
      <c r="AE1915" s="54"/>
    </row>
    <row r="1916">
      <c r="A1916" s="80"/>
      <c r="B1916" s="80"/>
      <c r="C1916" s="80"/>
      <c r="D1916" s="59"/>
      <c r="E1916" s="59"/>
      <c r="F1916" s="83"/>
      <c r="G1916" s="76"/>
      <c r="H1916" s="76"/>
      <c r="I1916" s="76"/>
      <c r="J1916" s="93"/>
      <c r="K1916" s="93"/>
      <c r="L1916" s="82"/>
      <c r="M1916" s="54"/>
      <c r="N1916" s="54"/>
      <c r="O1916" s="54"/>
      <c r="P1916" s="54"/>
      <c r="Q1916" s="54"/>
      <c r="R1916" s="54"/>
      <c r="S1916" s="54"/>
      <c r="T1916" s="54"/>
      <c r="U1916" s="54"/>
      <c r="V1916" s="54"/>
      <c r="W1916" s="54"/>
      <c r="X1916" s="54"/>
      <c r="Y1916" s="54"/>
      <c r="Z1916" s="54"/>
      <c r="AA1916" s="54"/>
      <c r="AB1916" s="54"/>
      <c r="AC1916" s="54"/>
      <c r="AD1916" s="54"/>
      <c r="AE1916" s="54"/>
    </row>
    <row r="1917">
      <c r="A1917" s="80"/>
      <c r="B1917" s="80"/>
      <c r="C1917" s="80"/>
      <c r="D1917" s="59"/>
      <c r="E1917" s="59"/>
      <c r="F1917" s="83"/>
      <c r="G1917" s="76"/>
      <c r="H1917" s="76"/>
      <c r="I1917" s="76"/>
      <c r="J1917" s="93"/>
      <c r="K1917" s="93"/>
      <c r="L1917" s="82"/>
      <c r="M1917" s="54"/>
      <c r="N1917" s="54"/>
      <c r="O1917" s="54"/>
      <c r="P1917" s="54"/>
      <c r="Q1917" s="54"/>
      <c r="R1917" s="54"/>
      <c r="S1917" s="54"/>
      <c r="T1917" s="54"/>
      <c r="U1917" s="54"/>
      <c r="V1917" s="54"/>
      <c r="W1917" s="54"/>
      <c r="X1917" s="54"/>
      <c r="Y1917" s="54"/>
      <c r="Z1917" s="54"/>
      <c r="AA1917" s="54"/>
      <c r="AB1917" s="54"/>
      <c r="AC1917" s="54"/>
      <c r="AD1917" s="54"/>
      <c r="AE1917" s="54"/>
    </row>
    <row r="1918">
      <c r="A1918" s="80"/>
      <c r="B1918" s="80"/>
      <c r="C1918" s="80"/>
      <c r="D1918" s="59"/>
      <c r="E1918" s="59"/>
      <c r="F1918" s="83"/>
      <c r="G1918" s="76"/>
      <c r="H1918" s="76"/>
      <c r="I1918" s="76"/>
      <c r="J1918" s="93"/>
      <c r="K1918" s="93"/>
      <c r="L1918" s="82"/>
      <c r="M1918" s="54"/>
      <c r="N1918" s="54"/>
      <c r="O1918" s="54"/>
      <c r="P1918" s="54"/>
      <c r="Q1918" s="54"/>
      <c r="R1918" s="54"/>
      <c r="S1918" s="54"/>
      <c r="T1918" s="54"/>
      <c r="U1918" s="54"/>
      <c r="V1918" s="54"/>
      <c r="W1918" s="54"/>
      <c r="X1918" s="54"/>
      <c r="Y1918" s="54"/>
      <c r="Z1918" s="54"/>
      <c r="AA1918" s="54"/>
      <c r="AB1918" s="54"/>
      <c r="AC1918" s="54"/>
      <c r="AD1918" s="54"/>
      <c r="AE1918" s="54"/>
    </row>
    <row r="1919">
      <c r="A1919" s="80"/>
      <c r="B1919" s="80"/>
      <c r="C1919" s="80"/>
      <c r="D1919" s="59"/>
      <c r="E1919" s="59"/>
      <c r="F1919" s="83"/>
      <c r="G1919" s="76"/>
      <c r="H1919" s="76"/>
      <c r="I1919" s="76"/>
      <c r="J1919" s="93"/>
      <c r="K1919" s="93"/>
      <c r="L1919" s="82"/>
      <c r="M1919" s="54"/>
      <c r="N1919" s="54"/>
      <c r="O1919" s="54"/>
      <c r="P1919" s="54"/>
      <c r="Q1919" s="54"/>
      <c r="R1919" s="54"/>
      <c r="S1919" s="54"/>
      <c r="T1919" s="54"/>
      <c r="U1919" s="54"/>
      <c r="V1919" s="54"/>
      <c r="W1919" s="54"/>
      <c r="X1919" s="54"/>
      <c r="Y1919" s="54"/>
      <c r="Z1919" s="54"/>
      <c r="AA1919" s="54"/>
      <c r="AB1919" s="54"/>
      <c r="AC1919" s="54"/>
      <c r="AD1919" s="54"/>
      <c r="AE1919" s="54"/>
    </row>
    <row r="1920">
      <c r="A1920" s="80"/>
      <c r="B1920" s="80"/>
      <c r="C1920" s="80"/>
      <c r="D1920" s="59"/>
      <c r="E1920" s="59"/>
      <c r="F1920" s="83"/>
      <c r="G1920" s="76"/>
      <c r="H1920" s="76"/>
      <c r="I1920" s="76"/>
      <c r="J1920" s="93"/>
      <c r="K1920" s="93"/>
      <c r="L1920" s="82"/>
      <c r="M1920" s="54"/>
      <c r="N1920" s="54"/>
      <c r="O1920" s="54"/>
      <c r="P1920" s="54"/>
      <c r="Q1920" s="54"/>
      <c r="R1920" s="54"/>
      <c r="S1920" s="54"/>
      <c r="T1920" s="54"/>
      <c r="U1920" s="54"/>
      <c r="V1920" s="54"/>
      <c r="W1920" s="54"/>
      <c r="X1920" s="54"/>
      <c r="Y1920" s="54"/>
      <c r="Z1920" s="54"/>
      <c r="AA1920" s="54"/>
      <c r="AB1920" s="54"/>
      <c r="AC1920" s="54"/>
      <c r="AD1920" s="54"/>
      <c r="AE1920" s="54"/>
    </row>
    <row r="1921">
      <c r="A1921" s="80"/>
      <c r="B1921" s="80"/>
      <c r="C1921" s="80"/>
      <c r="D1921" s="59"/>
      <c r="E1921" s="59"/>
      <c r="F1921" s="83"/>
      <c r="G1921" s="76"/>
      <c r="H1921" s="76"/>
      <c r="I1921" s="76"/>
      <c r="J1921" s="93"/>
      <c r="K1921" s="93"/>
      <c r="L1921" s="82"/>
      <c r="M1921" s="54"/>
      <c r="N1921" s="54"/>
      <c r="O1921" s="54"/>
      <c r="P1921" s="54"/>
      <c r="Q1921" s="54"/>
      <c r="R1921" s="54"/>
      <c r="S1921" s="54"/>
      <c r="T1921" s="54"/>
      <c r="U1921" s="54"/>
      <c r="V1921" s="54"/>
      <c r="W1921" s="54"/>
      <c r="X1921" s="54"/>
      <c r="Y1921" s="54"/>
      <c r="Z1921" s="54"/>
      <c r="AA1921" s="54"/>
      <c r="AB1921" s="54"/>
      <c r="AC1921" s="54"/>
      <c r="AD1921" s="54"/>
      <c r="AE1921" s="54"/>
    </row>
    <row r="1922">
      <c r="A1922" s="80"/>
      <c r="B1922" s="80"/>
      <c r="C1922" s="80"/>
      <c r="D1922" s="59"/>
      <c r="E1922" s="59"/>
      <c r="F1922" s="83"/>
      <c r="G1922" s="76"/>
      <c r="H1922" s="76"/>
      <c r="I1922" s="76"/>
      <c r="J1922" s="93"/>
      <c r="K1922" s="93"/>
      <c r="L1922" s="82"/>
      <c r="M1922" s="54"/>
      <c r="N1922" s="54"/>
      <c r="O1922" s="54"/>
      <c r="P1922" s="54"/>
      <c r="Q1922" s="54"/>
      <c r="R1922" s="54"/>
      <c r="S1922" s="54"/>
      <c r="T1922" s="54"/>
      <c r="U1922" s="54"/>
      <c r="V1922" s="54"/>
      <c r="W1922" s="54"/>
      <c r="X1922" s="54"/>
      <c r="Y1922" s="54"/>
      <c r="Z1922" s="54"/>
      <c r="AA1922" s="54"/>
      <c r="AB1922" s="54"/>
      <c r="AC1922" s="54"/>
      <c r="AD1922" s="54"/>
      <c r="AE1922" s="54"/>
    </row>
    <row r="1923">
      <c r="A1923" s="80"/>
      <c r="B1923" s="80"/>
      <c r="C1923" s="80"/>
      <c r="D1923" s="59"/>
      <c r="E1923" s="59"/>
      <c r="F1923" s="83"/>
      <c r="G1923" s="76"/>
      <c r="H1923" s="76"/>
      <c r="I1923" s="76"/>
      <c r="J1923" s="93"/>
      <c r="K1923" s="93"/>
      <c r="L1923" s="82"/>
      <c r="M1923" s="54"/>
      <c r="N1923" s="54"/>
      <c r="O1923" s="54"/>
      <c r="P1923" s="54"/>
      <c r="Q1923" s="54"/>
      <c r="R1923" s="54"/>
      <c r="S1923" s="54"/>
      <c r="T1923" s="54"/>
      <c r="U1923" s="54"/>
      <c r="V1923" s="54"/>
      <c r="W1923" s="54"/>
      <c r="X1923" s="54"/>
      <c r="Y1923" s="54"/>
      <c r="Z1923" s="54"/>
      <c r="AA1923" s="54"/>
      <c r="AB1923" s="54"/>
      <c r="AC1923" s="54"/>
      <c r="AD1923" s="54"/>
      <c r="AE1923" s="54"/>
    </row>
    <row r="1924">
      <c r="A1924" s="80"/>
      <c r="B1924" s="80"/>
      <c r="C1924" s="80"/>
      <c r="D1924" s="59"/>
      <c r="E1924" s="59"/>
      <c r="F1924" s="83"/>
      <c r="G1924" s="76"/>
      <c r="H1924" s="76"/>
      <c r="I1924" s="76"/>
      <c r="J1924" s="93"/>
      <c r="K1924" s="93"/>
      <c r="L1924" s="82"/>
      <c r="M1924" s="54"/>
      <c r="N1924" s="54"/>
      <c r="O1924" s="54"/>
      <c r="P1924" s="54"/>
      <c r="Q1924" s="54"/>
      <c r="R1924" s="54"/>
      <c r="S1924" s="54"/>
      <c r="T1924" s="54"/>
      <c r="U1924" s="54"/>
      <c r="V1924" s="54"/>
      <c r="W1924" s="54"/>
      <c r="X1924" s="54"/>
      <c r="Y1924" s="54"/>
      <c r="Z1924" s="54"/>
      <c r="AA1924" s="54"/>
      <c r="AB1924" s="54"/>
      <c r="AC1924" s="54"/>
      <c r="AD1924" s="54"/>
      <c r="AE1924" s="54"/>
    </row>
    <row r="1925">
      <c r="A1925" s="80"/>
      <c r="B1925" s="80"/>
      <c r="C1925" s="80"/>
      <c r="D1925" s="59"/>
      <c r="E1925" s="59"/>
      <c r="F1925" s="83"/>
      <c r="G1925" s="76"/>
      <c r="H1925" s="76"/>
      <c r="I1925" s="76"/>
      <c r="J1925" s="93"/>
      <c r="K1925" s="93"/>
      <c r="L1925" s="82"/>
      <c r="M1925" s="54"/>
      <c r="N1925" s="54"/>
      <c r="O1925" s="54"/>
      <c r="P1925" s="54"/>
      <c r="Q1925" s="54"/>
      <c r="R1925" s="54"/>
      <c r="S1925" s="54"/>
      <c r="T1925" s="54"/>
      <c r="U1925" s="54"/>
      <c r="V1925" s="54"/>
      <c r="W1925" s="54"/>
      <c r="X1925" s="54"/>
      <c r="Y1925" s="54"/>
      <c r="Z1925" s="54"/>
      <c r="AA1925" s="54"/>
      <c r="AB1925" s="54"/>
      <c r="AC1925" s="54"/>
      <c r="AD1925" s="54"/>
      <c r="AE1925" s="54"/>
    </row>
    <row r="1926">
      <c r="A1926" s="80"/>
      <c r="B1926" s="80"/>
      <c r="C1926" s="80"/>
      <c r="D1926" s="59"/>
      <c r="E1926" s="59"/>
      <c r="F1926" s="83"/>
      <c r="G1926" s="76"/>
      <c r="H1926" s="76"/>
      <c r="I1926" s="76"/>
      <c r="J1926" s="93"/>
      <c r="K1926" s="93"/>
      <c r="L1926" s="82"/>
      <c r="M1926" s="54"/>
      <c r="N1926" s="54"/>
      <c r="O1926" s="54"/>
      <c r="P1926" s="54"/>
      <c r="Q1926" s="54"/>
      <c r="R1926" s="54"/>
      <c r="S1926" s="54"/>
      <c r="T1926" s="54"/>
      <c r="U1926" s="54"/>
      <c r="V1926" s="54"/>
      <c r="W1926" s="54"/>
      <c r="X1926" s="54"/>
      <c r="Y1926" s="54"/>
      <c r="Z1926" s="54"/>
      <c r="AA1926" s="54"/>
      <c r="AB1926" s="54"/>
      <c r="AC1926" s="54"/>
      <c r="AD1926" s="54"/>
      <c r="AE1926" s="54"/>
    </row>
    <row r="1927">
      <c r="A1927" s="80"/>
      <c r="B1927" s="80"/>
      <c r="C1927" s="80"/>
      <c r="D1927" s="59"/>
      <c r="E1927" s="59"/>
      <c r="F1927" s="83"/>
      <c r="G1927" s="76"/>
      <c r="H1927" s="76"/>
      <c r="I1927" s="76"/>
      <c r="J1927" s="93"/>
      <c r="K1927" s="93"/>
      <c r="L1927" s="82"/>
      <c r="M1927" s="54"/>
      <c r="N1927" s="54"/>
      <c r="O1927" s="54"/>
      <c r="P1927" s="54"/>
      <c r="Q1927" s="54"/>
      <c r="R1927" s="54"/>
      <c r="S1927" s="54"/>
      <c r="T1927" s="54"/>
      <c r="U1927" s="54"/>
      <c r="V1927" s="54"/>
      <c r="W1927" s="54"/>
      <c r="X1927" s="54"/>
      <c r="Y1927" s="54"/>
      <c r="Z1927" s="54"/>
      <c r="AA1927" s="54"/>
      <c r="AB1927" s="54"/>
      <c r="AC1927" s="54"/>
      <c r="AD1927" s="54"/>
      <c r="AE1927" s="54"/>
    </row>
    <row r="1928">
      <c r="A1928" s="80"/>
      <c r="B1928" s="80"/>
      <c r="C1928" s="80"/>
      <c r="D1928" s="59"/>
      <c r="E1928" s="59"/>
      <c r="F1928" s="83"/>
      <c r="G1928" s="76"/>
      <c r="H1928" s="76"/>
      <c r="I1928" s="76"/>
      <c r="J1928" s="93"/>
      <c r="K1928" s="93"/>
      <c r="L1928" s="82"/>
      <c r="M1928" s="54"/>
      <c r="N1928" s="54"/>
      <c r="O1928" s="54"/>
      <c r="P1928" s="54"/>
      <c r="Q1928" s="54"/>
      <c r="R1928" s="54"/>
      <c r="S1928" s="54"/>
      <c r="T1928" s="54"/>
      <c r="U1928" s="54"/>
      <c r="V1928" s="54"/>
      <c r="W1928" s="54"/>
      <c r="X1928" s="54"/>
      <c r="Y1928" s="54"/>
      <c r="Z1928" s="54"/>
      <c r="AA1928" s="54"/>
      <c r="AB1928" s="54"/>
      <c r="AC1928" s="54"/>
      <c r="AD1928" s="54"/>
      <c r="AE1928" s="54"/>
    </row>
    <row r="1929">
      <c r="A1929" s="80"/>
      <c r="B1929" s="80"/>
      <c r="C1929" s="80"/>
      <c r="D1929" s="59"/>
      <c r="E1929" s="59"/>
      <c r="F1929" s="83"/>
      <c r="G1929" s="76"/>
      <c r="H1929" s="76"/>
      <c r="I1929" s="76"/>
      <c r="J1929" s="93"/>
      <c r="K1929" s="93"/>
      <c r="L1929" s="82"/>
      <c r="M1929" s="54"/>
      <c r="N1929" s="54"/>
      <c r="O1929" s="54"/>
      <c r="P1929" s="54"/>
      <c r="Q1929" s="54"/>
      <c r="R1929" s="54"/>
      <c r="S1929" s="54"/>
      <c r="T1929" s="54"/>
      <c r="U1929" s="54"/>
      <c r="V1929" s="54"/>
      <c r="W1929" s="54"/>
      <c r="X1929" s="54"/>
      <c r="Y1929" s="54"/>
      <c r="Z1929" s="54"/>
      <c r="AA1929" s="54"/>
      <c r="AB1929" s="54"/>
      <c r="AC1929" s="54"/>
      <c r="AD1929" s="54"/>
      <c r="AE1929" s="54"/>
    </row>
    <row r="1930">
      <c r="A1930" s="80"/>
      <c r="B1930" s="80"/>
      <c r="C1930" s="80"/>
      <c r="D1930" s="59"/>
      <c r="E1930" s="59"/>
      <c r="F1930" s="83"/>
      <c r="G1930" s="76"/>
      <c r="H1930" s="76"/>
      <c r="I1930" s="76"/>
      <c r="J1930" s="93"/>
      <c r="K1930" s="93"/>
      <c r="L1930" s="82"/>
      <c r="M1930" s="54"/>
      <c r="N1930" s="54"/>
      <c r="O1930" s="54"/>
      <c r="P1930" s="54"/>
      <c r="Q1930" s="54"/>
      <c r="R1930" s="54"/>
      <c r="S1930" s="54"/>
      <c r="T1930" s="54"/>
      <c r="U1930" s="54"/>
      <c r="V1930" s="54"/>
      <c r="W1930" s="54"/>
      <c r="X1930" s="54"/>
      <c r="Y1930" s="54"/>
      <c r="Z1930" s="54"/>
      <c r="AA1930" s="54"/>
      <c r="AB1930" s="54"/>
      <c r="AC1930" s="54"/>
      <c r="AD1930" s="54"/>
      <c r="AE1930" s="54"/>
    </row>
    <row r="1931">
      <c r="A1931" s="80"/>
      <c r="B1931" s="80"/>
      <c r="C1931" s="80"/>
      <c r="D1931" s="59"/>
      <c r="E1931" s="59"/>
      <c r="F1931" s="83"/>
      <c r="G1931" s="76"/>
      <c r="H1931" s="76"/>
      <c r="I1931" s="76"/>
      <c r="J1931" s="93"/>
      <c r="K1931" s="93"/>
      <c r="L1931" s="82"/>
      <c r="M1931" s="54"/>
      <c r="N1931" s="54"/>
      <c r="O1931" s="54"/>
      <c r="P1931" s="54"/>
      <c r="Q1931" s="54"/>
      <c r="R1931" s="54"/>
      <c r="S1931" s="54"/>
      <c r="T1931" s="54"/>
      <c r="U1931" s="54"/>
      <c r="V1931" s="54"/>
      <c r="W1931" s="54"/>
      <c r="X1931" s="54"/>
      <c r="Y1931" s="54"/>
      <c r="Z1931" s="54"/>
      <c r="AA1931" s="54"/>
      <c r="AB1931" s="54"/>
      <c r="AC1931" s="54"/>
      <c r="AD1931" s="54"/>
      <c r="AE1931" s="54"/>
    </row>
    <row r="1932">
      <c r="A1932" s="80"/>
      <c r="B1932" s="80"/>
      <c r="C1932" s="80"/>
      <c r="D1932" s="59"/>
      <c r="E1932" s="59"/>
      <c r="F1932" s="83"/>
      <c r="G1932" s="76"/>
      <c r="H1932" s="76"/>
      <c r="I1932" s="76"/>
      <c r="J1932" s="93"/>
      <c r="K1932" s="93"/>
      <c r="L1932" s="82"/>
      <c r="M1932" s="54"/>
      <c r="N1932" s="54"/>
      <c r="O1932" s="54"/>
      <c r="P1932" s="54"/>
      <c r="Q1932" s="54"/>
      <c r="R1932" s="54"/>
      <c r="S1932" s="54"/>
      <c r="T1932" s="54"/>
      <c r="U1932" s="54"/>
      <c r="V1932" s="54"/>
      <c r="W1932" s="54"/>
      <c r="X1932" s="54"/>
      <c r="Y1932" s="54"/>
      <c r="Z1932" s="54"/>
      <c r="AA1932" s="54"/>
      <c r="AB1932" s="54"/>
      <c r="AC1932" s="54"/>
      <c r="AD1932" s="54"/>
      <c r="AE1932" s="54"/>
    </row>
    <row r="1933">
      <c r="A1933" s="80"/>
      <c r="B1933" s="80"/>
      <c r="C1933" s="80"/>
      <c r="D1933" s="59"/>
      <c r="E1933" s="59"/>
      <c r="F1933" s="83"/>
      <c r="G1933" s="76"/>
      <c r="H1933" s="76"/>
      <c r="I1933" s="76"/>
      <c r="J1933" s="93"/>
      <c r="K1933" s="93"/>
      <c r="L1933" s="82"/>
      <c r="M1933" s="54"/>
      <c r="N1933" s="54"/>
      <c r="O1933" s="54"/>
      <c r="P1933" s="54"/>
      <c r="Q1933" s="54"/>
      <c r="R1933" s="54"/>
      <c r="S1933" s="54"/>
      <c r="T1933" s="54"/>
      <c r="U1933" s="54"/>
      <c r="V1933" s="54"/>
      <c r="W1933" s="54"/>
      <c r="X1933" s="54"/>
      <c r="Y1933" s="54"/>
      <c r="Z1933" s="54"/>
      <c r="AA1933" s="54"/>
      <c r="AB1933" s="54"/>
      <c r="AC1933" s="54"/>
      <c r="AD1933" s="54"/>
      <c r="AE1933" s="54"/>
    </row>
    <row r="1934">
      <c r="A1934" s="80"/>
      <c r="B1934" s="80"/>
      <c r="C1934" s="80"/>
      <c r="D1934" s="59"/>
      <c r="E1934" s="59"/>
      <c r="F1934" s="83"/>
      <c r="G1934" s="76"/>
      <c r="H1934" s="76"/>
      <c r="I1934" s="76"/>
      <c r="J1934" s="93"/>
      <c r="K1934" s="93"/>
      <c r="L1934" s="82"/>
      <c r="M1934" s="54"/>
      <c r="N1934" s="54"/>
      <c r="O1934" s="54"/>
      <c r="P1934" s="54"/>
      <c r="Q1934" s="54"/>
      <c r="R1934" s="54"/>
      <c r="S1934" s="54"/>
      <c r="T1934" s="54"/>
      <c r="U1934" s="54"/>
      <c r="V1934" s="54"/>
      <c r="W1934" s="54"/>
      <c r="X1934" s="54"/>
      <c r="Y1934" s="54"/>
      <c r="Z1934" s="54"/>
      <c r="AA1934" s="54"/>
      <c r="AB1934" s="54"/>
      <c r="AC1934" s="54"/>
      <c r="AD1934" s="54"/>
      <c r="AE1934" s="54"/>
    </row>
    <row r="1935">
      <c r="A1935" s="80"/>
      <c r="B1935" s="80"/>
      <c r="C1935" s="80"/>
      <c r="D1935" s="59"/>
      <c r="E1935" s="59"/>
      <c r="F1935" s="83"/>
      <c r="G1935" s="76"/>
      <c r="H1935" s="76"/>
      <c r="I1935" s="76"/>
      <c r="J1935" s="93"/>
      <c r="K1935" s="93"/>
      <c r="L1935" s="82"/>
      <c r="M1935" s="54"/>
      <c r="N1935" s="54"/>
      <c r="O1935" s="54"/>
      <c r="P1935" s="54"/>
      <c r="Q1935" s="54"/>
      <c r="R1935" s="54"/>
      <c r="S1935" s="54"/>
      <c r="T1935" s="54"/>
      <c r="U1935" s="54"/>
      <c r="V1935" s="54"/>
      <c r="W1935" s="54"/>
      <c r="X1935" s="54"/>
      <c r="Y1935" s="54"/>
      <c r="Z1935" s="54"/>
      <c r="AA1935" s="54"/>
      <c r="AB1935" s="54"/>
      <c r="AC1935" s="54"/>
      <c r="AD1935" s="54"/>
      <c r="AE1935" s="54"/>
    </row>
    <row r="1936">
      <c r="A1936" s="80"/>
      <c r="B1936" s="80"/>
      <c r="C1936" s="80"/>
      <c r="D1936" s="59"/>
      <c r="E1936" s="59"/>
      <c r="F1936" s="83"/>
      <c r="G1936" s="76"/>
      <c r="H1936" s="76"/>
      <c r="I1936" s="76"/>
      <c r="J1936" s="93"/>
      <c r="K1936" s="93"/>
      <c r="L1936" s="82"/>
      <c r="M1936" s="54"/>
      <c r="N1936" s="54"/>
      <c r="O1936" s="54"/>
      <c r="P1936" s="54"/>
      <c r="Q1936" s="54"/>
      <c r="R1936" s="54"/>
      <c r="S1936" s="54"/>
      <c r="T1936" s="54"/>
      <c r="U1936" s="54"/>
      <c r="V1936" s="54"/>
      <c r="W1936" s="54"/>
      <c r="X1936" s="54"/>
      <c r="Y1936" s="54"/>
      <c r="Z1936" s="54"/>
      <c r="AA1936" s="54"/>
      <c r="AB1936" s="54"/>
      <c r="AC1936" s="54"/>
      <c r="AD1936" s="54"/>
      <c r="AE1936" s="54"/>
    </row>
    <row r="1937">
      <c r="A1937" s="80"/>
      <c r="B1937" s="80"/>
      <c r="C1937" s="80"/>
      <c r="D1937" s="59"/>
      <c r="E1937" s="59"/>
      <c r="F1937" s="83"/>
      <c r="G1937" s="76"/>
      <c r="H1937" s="76"/>
      <c r="I1937" s="76"/>
      <c r="J1937" s="93"/>
      <c r="K1937" s="93"/>
      <c r="L1937" s="82"/>
      <c r="M1937" s="54"/>
      <c r="N1937" s="54"/>
      <c r="O1937" s="54"/>
      <c r="P1937" s="54"/>
      <c r="Q1937" s="54"/>
      <c r="R1937" s="54"/>
      <c r="S1937" s="54"/>
      <c r="T1937" s="54"/>
      <c r="U1937" s="54"/>
      <c r="V1937" s="54"/>
      <c r="W1937" s="54"/>
      <c r="X1937" s="54"/>
      <c r="Y1937" s="54"/>
      <c r="Z1937" s="54"/>
      <c r="AA1937" s="54"/>
      <c r="AB1937" s="54"/>
      <c r="AC1937" s="54"/>
      <c r="AD1937" s="54"/>
      <c r="AE1937" s="54"/>
    </row>
    <row r="1938">
      <c r="A1938" s="80"/>
      <c r="B1938" s="80"/>
      <c r="C1938" s="80"/>
      <c r="D1938" s="59"/>
      <c r="E1938" s="59"/>
      <c r="F1938" s="83"/>
      <c r="G1938" s="76"/>
      <c r="H1938" s="76"/>
      <c r="I1938" s="76"/>
      <c r="J1938" s="93"/>
      <c r="K1938" s="93"/>
      <c r="L1938" s="82"/>
      <c r="M1938" s="54"/>
      <c r="N1938" s="54"/>
      <c r="O1938" s="54"/>
      <c r="P1938" s="54"/>
      <c r="Q1938" s="54"/>
      <c r="R1938" s="54"/>
      <c r="S1938" s="54"/>
      <c r="T1938" s="54"/>
      <c r="U1938" s="54"/>
      <c r="V1938" s="54"/>
      <c r="W1938" s="54"/>
      <c r="X1938" s="54"/>
      <c r="Y1938" s="54"/>
      <c r="Z1938" s="54"/>
      <c r="AA1938" s="54"/>
      <c r="AB1938" s="54"/>
      <c r="AC1938" s="54"/>
      <c r="AD1938" s="54"/>
      <c r="AE1938" s="54"/>
    </row>
    <row r="1939">
      <c r="A1939" s="80"/>
      <c r="B1939" s="80"/>
      <c r="C1939" s="80"/>
      <c r="D1939" s="59"/>
      <c r="E1939" s="59"/>
      <c r="F1939" s="83"/>
      <c r="G1939" s="76"/>
      <c r="H1939" s="76"/>
      <c r="I1939" s="76"/>
      <c r="J1939" s="93"/>
      <c r="K1939" s="93"/>
      <c r="L1939" s="82"/>
      <c r="M1939" s="54"/>
      <c r="N1939" s="54"/>
      <c r="O1939" s="54"/>
      <c r="P1939" s="54"/>
      <c r="Q1939" s="54"/>
      <c r="R1939" s="54"/>
      <c r="S1939" s="54"/>
      <c r="T1939" s="54"/>
      <c r="U1939" s="54"/>
      <c r="V1939" s="54"/>
      <c r="W1939" s="54"/>
      <c r="X1939" s="54"/>
      <c r="Y1939" s="54"/>
      <c r="Z1939" s="54"/>
      <c r="AA1939" s="54"/>
      <c r="AB1939" s="54"/>
      <c r="AC1939" s="54"/>
      <c r="AD1939" s="54"/>
      <c r="AE1939" s="54"/>
    </row>
    <row r="1940">
      <c r="A1940" s="80"/>
      <c r="B1940" s="80"/>
      <c r="C1940" s="80"/>
      <c r="D1940" s="59"/>
      <c r="E1940" s="59"/>
      <c r="F1940" s="83"/>
      <c r="G1940" s="76"/>
      <c r="H1940" s="76"/>
      <c r="I1940" s="76"/>
      <c r="J1940" s="93"/>
      <c r="K1940" s="93"/>
      <c r="L1940" s="82"/>
      <c r="M1940" s="54"/>
      <c r="N1940" s="54"/>
      <c r="O1940" s="54"/>
      <c r="P1940" s="54"/>
      <c r="Q1940" s="54"/>
      <c r="R1940" s="54"/>
      <c r="S1940" s="54"/>
      <c r="T1940" s="54"/>
      <c r="U1940" s="54"/>
      <c r="V1940" s="54"/>
      <c r="W1940" s="54"/>
      <c r="X1940" s="54"/>
      <c r="Y1940" s="54"/>
      <c r="Z1940" s="54"/>
      <c r="AA1940" s="54"/>
      <c r="AB1940" s="54"/>
      <c r="AC1940" s="54"/>
      <c r="AD1940" s="54"/>
      <c r="AE1940" s="54"/>
    </row>
    <row r="1941">
      <c r="A1941" s="80"/>
      <c r="B1941" s="80"/>
      <c r="C1941" s="80"/>
      <c r="D1941" s="59"/>
      <c r="E1941" s="59"/>
      <c r="F1941" s="83"/>
      <c r="G1941" s="76"/>
      <c r="H1941" s="76"/>
      <c r="I1941" s="76"/>
      <c r="J1941" s="93"/>
      <c r="K1941" s="93"/>
      <c r="L1941" s="82"/>
      <c r="M1941" s="54"/>
      <c r="N1941" s="54"/>
      <c r="O1941" s="54"/>
      <c r="P1941" s="54"/>
      <c r="Q1941" s="54"/>
      <c r="R1941" s="54"/>
      <c r="S1941" s="54"/>
      <c r="T1941" s="54"/>
      <c r="U1941" s="54"/>
      <c r="V1941" s="54"/>
      <c r="W1941" s="54"/>
      <c r="X1941" s="54"/>
      <c r="Y1941" s="54"/>
      <c r="Z1941" s="54"/>
      <c r="AA1941" s="54"/>
      <c r="AB1941" s="54"/>
      <c r="AC1941" s="54"/>
      <c r="AD1941" s="54"/>
      <c r="AE1941" s="54"/>
    </row>
    <row r="1942">
      <c r="A1942" s="80"/>
      <c r="B1942" s="80"/>
      <c r="C1942" s="80"/>
      <c r="D1942" s="59"/>
      <c r="E1942" s="59"/>
      <c r="F1942" s="83"/>
      <c r="G1942" s="76"/>
      <c r="H1942" s="76"/>
      <c r="I1942" s="76"/>
      <c r="J1942" s="93"/>
      <c r="K1942" s="93"/>
      <c r="L1942" s="82"/>
      <c r="M1942" s="54"/>
      <c r="N1942" s="54"/>
      <c r="O1942" s="54"/>
      <c r="P1942" s="54"/>
      <c r="Q1942" s="54"/>
      <c r="R1942" s="54"/>
      <c r="S1942" s="54"/>
      <c r="T1942" s="54"/>
      <c r="U1942" s="54"/>
      <c r="V1942" s="54"/>
      <c r="W1942" s="54"/>
      <c r="X1942" s="54"/>
      <c r="Y1942" s="54"/>
      <c r="Z1942" s="54"/>
      <c r="AA1942" s="54"/>
      <c r="AB1942" s="54"/>
      <c r="AC1942" s="54"/>
      <c r="AD1942" s="54"/>
      <c r="AE1942" s="54"/>
    </row>
    <row r="1943">
      <c r="A1943" s="80"/>
      <c r="B1943" s="80"/>
      <c r="C1943" s="80"/>
      <c r="D1943" s="59"/>
      <c r="E1943" s="59"/>
      <c r="F1943" s="83"/>
      <c r="G1943" s="76"/>
      <c r="H1943" s="76"/>
      <c r="I1943" s="76"/>
      <c r="J1943" s="93"/>
      <c r="K1943" s="93"/>
      <c r="L1943" s="82"/>
      <c r="M1943" s="54"/>
      <c r="N1943" s="54"/>
      <c r="O1943" s="54"/>
      <c r="P1943" s="54"/>
      <c r="Q1943" s="54"/>
      <c r="R1943" s="54"/>
      <c r="S1943" s="54"/>
      <c r="T1943" s="54"/>
      <c r="U1943" s="54"/>
      <c r="V1943" s="54"/>
      <c r="W1943" s="54"/>
      <c r="X1943" s="54"/>
      <c r="Y1943" s="54"/>
      <c r="Z1943" s="54"/>
      <c r="AA1943" s="54"/>
      <c r="AB1943" s="54"/>
      <c r="AC1943" s="54"/>
      <c r="AD1943" s="54"/>
      <c r="AE1943" s="54"/>
    </row>
    <row r="1944">
      <c r="A1944" s="80"/>
      <c r="B1944" s="80"/>
      <c r="C1944" s="80"/>
      <c r="D1944" s="59"/>
      <c r="E1944" s="59"/>
      <c r="F1944" s="83"/>
      <c r="G1944" s="76"/>
      <c r="H1944" s="76"/>
      <c r="I1944" s="76"/>
      <c r="J1944" s="93"/>
      <c r="K1944" s="93"/>
      <c r="L1944" s="82"/>
      <c r="M1944" s="54"/>
      <c r="N1944" s="54"/>
      <c r="O1944" s="54"/>
      <c r="P1944" s="54"/>
      <c r="Q1944" s="54"/>
      <c r="R1944" s="54"/>
      <c r="S1944" s="54"/>
      <c r="T1944" s="54"/>
      <c r="U1944" s="54"/>
      <c r="V1944" s="54"/>
      <c r="W1944" s="54"/>
      <c r="X1944" s="54"/>
      <c r="Y1944" s="54"/>
      <c r="Z1944" s="54"/>
      <c r="AA1944" s="54"/>
      <c r="AB1944" s="54"/>
      <c r="AC1944" s="54"/>
      <c r="AD1944" s="54"/>
      <c r="AE1944" s="54"/>
    </row>
    <row r="1945">
      <c r="A1945" s="80"/>
      <c r="B1945" s="80"/>
      <c r="C1945" s="80"/>
      <c r="D1945" s="59"/>
      <c r="E1945" s="59"/>
      <c r="F1945" s="83"/>
      <c r="G1945" s="76"/>
      <c r="H1945" s="76"/>
      <c r="I1945" s="76"/>
      <c r="J1945" s="93"/>
      <c r="K1945" s="93"/>
      <c r="L1945" s="82"/>
      <c r="M1945" s="54"/>
      <c r="N1945" s="54"/>
      <c r="O1945" s="54"/>
      <c r="P1945" s="54"/>
      <c r="Q1945" s="54"/>
      <c r="R1945" s="54"/>
      <c r="S1945" s="54"/>
      <c r="T1945" s="54"/>
      <c r="U1945" s="54"/>
      <c r="V1945" s="54"/>
      <c r="W1945" s="54"/>
      <c r="X1945" s="54"/>
      <c r="Y1945" s="54"/>
      <c r="Z1945" s="54"/>
      <c r="AA1945" s="54"/>
      <c r="AB1945" s="54"/>
      <c r="AC1945" s="54"/>
      <c r="AD1945" s="54"/>
      <c r="AE1945" s="54"/>
    </row>
    <row r="1946">
      <c r="A1946" s="80"/>
      <c r="B1946" s="80"/>
      <c r="C1946" s="80"/>
      <c r="D1946" s="59"/>
      <c r="E1946" s="59"/>
      <c r="F1946" s="83"/>
      <c r="G1946" s="76"/>
      <c r="H1946" s="76"/>
      <c r="I1946" s="76"/>
      <c r="J1946" s="93"/>
      <c r="K1946" s="93"/>
      <c r="L1946" s="82"/>
      <c r="M1946" s="54"/>
      <c r="N1946" s="54"/>
      <c r="O1946" s="54"/>
      <c r="P1946" s="54"/>
      <c r="Q1946" s="54"/>
      <c r="R1946" s="54"/>
      <c r="S1946" s="54"/>
      <c r="T1946" s="54"/>
      <c r="U1946" s="54"/>
      <c r="V1946" s="54"/>
      <c r="W1946" s="54"/>
      <c r="X1946" s="54"/>
      <c r="Y1946" s="54"/>
      <c r="Z1946" s="54"/>
      <c r="AA1946" s="54"/>
      <c r="AB1946" s="54"/>
      <c r="AC1946" s="54"/>
      <c r="AD1946" s="54"/>
      <c r="AE1946" s="54"/>
    </row>
    <row r="1947">
      <c r="A1947" s="80"/>
      <c r="B1947" s="80"/>
      <c r="C1947" s="80"/>
      <c r="D1947" s="59"/>
      <c r="E1947" s="59"/>
      <c r="F1947" s="83"/>
      <c r="G1947" s="76"/>
      <c r="H1947" s="76"/>
      <c r="I1947" s="76"/>
      <c r="J1947" s="93"/>
      <c r="K1947" s="93"/>
      <c r="L1947" s="82"/>
      <c r="M1947" s="54"/>
      <c r="N1947" s="54"/>
      <c r="O1947" s="54"/>
      <c r="P1947" s="54"/>
      <c r="Q1947" s="54"/>
      <c r="R1947" s="54"/>
      <c r="S1947" s="54"/>
      <c r="T1947" s="54"/>
      <c r="U1947" s="54"/>
      <c r="V1947" s="54"/>
      <c r="W1947" s="54"/>
      <c r="X1947" s="54"/>
      <c r="Y1947" s="54"/>
      <c r="Z1947" s="54"/>
      <c r="AA1947" s="54"/>
      <c r="AB1947" s="54"/>
      <c r="AC1947" s="54"/>
      <c r="AD1947" s="54"/>
      <c r="AE1947" s="54"/>
    </row>
    <row r="1948">
      <c r="A1948" s="80"/>
      <c r="B1948" s="80"/>
      <c r="C1948" s="80"/>
      <c r="D1948" s="59"/>
      <c r="E1948" s="59"/>
      <c r="F1948" s="83"/>
      <c r="G1948" s="76"/>
      <c r="H1948" s="76"/>
      <c r="I1948" s="76"/>
      <c r="J1948" s="93"/>
      <c r="K1948" s="93"/>
      <c r="L1948" s="82"/>
      <c r="M1948" s="54"/>
      <c r="N1948" s="54"/>
      <c r="O1948" s="54"/>
      <c r="P1948" s="54"/>
      <c r="Q1948" s="54"/>
      <c r="R1948" s="54"/>
      <c r="S1948" s="54"/>
      <c r="T1948" s="54"/>
      <c r="U1948" s="54"/>
      <c r="V1948" s="54"/>
      <c r="W1948" s="54"/>
      <c r="X1948" s="54"/>
      <c r="Y1948" s="54"/>
      <c r="Z1948" s="54"/>
      <c r="AA1948" s="54"/>
      <c r="AB1948" s="54"/>
      <c r="AC1948" s="54"/>
      <c r="AD1948" s="54"/>
      <c r="AE1948" s="54"/>
    </row>
    <row r="1949">
      <c r="A1949" s="80"/>
      <c r="B1949" s="80"/>
      <c r="C1949" s="80"/>
      <c r="D1949" s="59"/>
      <c r="E1949" s="59"/>
      <c r="F1949" s="83"/>
      <c r="G1949" s="76"/>
      <c r="H1949" s="76"/>
      <c r="I1949" s="76"/>
      <c r="J1949" s="93"/>
      <c r="K1949" s="93"/>
      <c r="L1949" s="82"/>
      <c r="M1949" s="54"/>
      <c r="N1949" s="54"/>
      <c r="O1949" s="54"/>
      <c r="P1949" s="54"/>
      <c r="Q1949" s="54"/>
      <c r="R1949" s="54"/>
      <c r="S1949" s="54"/>
      <c r="T1949" s="54"/>
      <c r="U1949" s="54"/>
      <c r="V1949" s="54"/>
      <c r="W1949" s="54"/>
      <c r="X1949" s="54"/>
      <c r="Y1949" s="54"/>
      <c r="Z1949" s="54"/>
      <c r="AA1949" s="54"/>
      <c r="AB1949" s="54"/>
      <c r="AC1949" s="54"/>
      <c r="AD1949" s="54"/>
      <c r="AE1949" s="54"/>
    </row>
    <row r="1950">
      <c r="A1950" s="80"/>
      <c r="B1950" s="80"/>
      <c r="C1950" s="80"/>
      <c r="D1950" s="59"/>
      <c r="E1950" s="59"/>
      <c r="F1950" s="83"/>
      <c r="G1950" s="76"/>
      <c r="H1950" s="76"/>
      <c r="I1950" s="76"/>
      <c r="J1950" s="93"/>
      <c r="K1950" s="93"/>
      <c r="L1950" s="82"/>
      <c r="M1950" s="54"/>
      <c r="N1950" s="54"/>
      <c r="O1950" s="54"/>
      <c r="P1950" s="54"/>
      <c r="Q1950" s="54"/>
      <c r="R1950" s="54"/>
      <c r="S1950" s="54"/>
      <c r="T1950" s="54"/>
      <c r="U1950" s="54"/>
      <c r="V1950" s="54"/>
      <c r="W1950" s="54"/>
      <c r="X1950" s="54"/>
      <c r="Y1950" s="54"/>
      <c r="Z1950" s="54"/>
      <c r="AA1950" s="54"/>
      <c r="AB1950" s="54"/>
      <c r="AC1950" s="54"/>
      <c r="AD1950" s="54"/>
      <c r="AE1950" s="54"/>
    </row>
    <row r="1951">
      <c r="A1951" s="80"/>
      <c r="B1951" s="80"/>
      <c r="C1951" s="80"/>
      <c r="D1951" s="59"/>
      <c r="E1951" s="59"/>
      <c r="F1951" s="83"/>
      <c r="G1951" s="76"/>
      <c r="H1951" s="76"/>
      <c r="I1951" s="76"/>
      <c r="J1951" s="93"/>
      <c r="K1951" s="93"/>
      <c r="L1951" s="82"/>
      <c r="M1951" s="54"/>
      <c r="N1951" s="54"/>
      <c r="O1951" s="54"/>
      <c r="P1951" s="54"/>
      <c r="Q1951" s="54"/>
      <c r="R1951" s="54"/>
      <c r="S1951" s="54"/>
      <c r="T1951" s="54"/>
      <c r="U1951" s="54"/>
      <c r="V1951" s="54"/>
      <c r="W1951" s="54"/>
      <c r="X1951" s="54"/>
      <c r="Y1951" s="54"/>
      <c r="Z1951" s="54"/>
      <c r="AA1951" s="54"/>
      <c r="AB1951" s="54"/>
      <c r="AC1951" s="54"/>
      <c r="AD1951" s="54"/>
      <c r="AE1951" s="54"/>
    </row>
    <row r="1952">
      <c r="A1952" s="80"/>
      <c r="B1952" s="80"/>
      <c r="C1952" s="80"/>
      <c r="D1952" s="59"/>
      <c r="E1952" s="59"/>
      <c r="F1952" s="83"/>
      <c r="G1952" s="76"/>
      <c r="H1952" s="76"/>
      <c r="I1952" s="76"/>
      <c r="J1952" s="93"/>
      <c r="K1952" s="93"/>
      <c r="L1952" s="82"/>
      <c r="M1952" s="54"/>
      <c r="N1952" s="54"/>
      <c r="O1952" s="54"/>
      <c r="P1952" s="54"/>
      <c r="Q1952" s="54"/>
      <c r="R1952" s="54"/>
      <c r="S1952" s="54"/>
      <c r="T1952" s="54"/>
      <c r="U1952" s="54"/>
      <c r="V1952" s="54"/>
      <c r="W1952" s="54"/>
      <c r="X1952" s="54"/>
      <c r="Y1952" s="54"/>
      <c r="Z1952" s="54"/>
      <c r="AA1952" s="54"/>
      <c r="AB1952" s="54"/>
      <c r="AC1952" s="54"/>
      <c r="AD1952" s="54"/>
      <c r="AE1952" s="54"/>
    </row>
    <row r="1953">
      <c r="A1953" s="80"/>
      <c r="B1953" s="80"/>
      <c r="C1953" s="80"/>
      <c r="D1953" s="59"/>
      <c r="E1953" s="59"/>
      <c r="F1953" s="83"/>
      <c r="G1953" s="76"/>
      <c r="H1953" s="76"/>
      <c r="I1953" s="76"/>
      <c r="J1953" s="93"/>
      <c r="K1953" s="93"/>
      <c r="L1953" s="82"/>
      <c r="M1953" s="54"/>
      <c r="N1953" s="54"/>
      <c r="O1953" s="54"/>
      <c r="P1953" s="54"/>
      <c r="Q1953" s="54"/>
      <c r="R1953" s="54"/>
      <c r="S1953" s="54"/>
      <c r="T1953" s="54"/>
      <c r="U1953" s="54"/>
      <c r="V1953" s="54"/>
      <c r="W1953" s="54"/>
      <c r="X1953" s="54"/>
      <c r="Y1953" s="54"/>
      <c r="Z1953" s="54"/>
      <c r="AA1953" s="54"/>
      <c r="AB1953" s="54"/>
      <c r="AC1953" s="54"/>
      <c r="AD1953" s="54"/>
      <c r="AE1953" s="54"/>
    </row>
    <row r="1954">
      <c r="A1954" s="80"/>
      <c r="B1954" s="80"/>
      <c r="C1954" s="80"/>
      <c r="D1954" s="59"/>
      <c r="E1954" s="59"/>
      <c r="F1954" s="83"/>
      <c r="G1954" s="76"/>
      <c r="H1954" s="76"/>
      <c r="I1954" s="76"/>
      <c r="J1954" s="93"/>
      <c r="K1954" s="93"/>
      <c r="L1954" s="82"/>
      <c r="M1954" s="54"/>
      <c r="N1954" s="54"/>
      <c r="O1954" s="54"/>
      <c r="P1954" s="54"/>
      <c r="Q1954" s="54"/>
      <c r="R1954" s="54"/>
      <c r="S1954" s="54"/>
      <c r="T1954" s="54"/>
      <c r="U1954" s="54"/>
      <c r="V1954" s="54"/>
      <c r="W1954" s="54"/>
      <c r="X1954" s="54"/>
      <c r="Y1954" s="54"/>
      <c r="Z1954" s="54"/>
      <c r="AA1954" s="54"/>
      <c r="AB1954" s="54"/>
      <c r="AC1954" s="54"/>
      <c r="AD1954" s="54"/>
      <c r="AE1954" s="54"/>
    </row>
    <row r="1955">
      <c r="A1955" s="80"/>
      <c r="B1955" s="80"/>
      <c r="C1955" s="80"/>
      <c r="D1955" s="59"/>
      <c r="E1955" s="59"/>
      <c r="F1955" s="83"/>
      <c r="G1955" s="76"/>
      <c r="H1955" s="76"/>
      <c r="I1955" s="76"/>
      <c r="J1955" s="93"/>
      <c r="K1955" s="93"/>
      <c r="L1955" s="82"/>
      <c r="M1955" s="54"/>
      <c r="N1955" s="54"/>
      <c r="O1955" s="54"/>
      <c r="P1955" s="54"/>
      <c r="Q1955" s="54"/>
      <c r="R1955" s="54"/>
      <c r="S1955" s="54"/>
      <c r="T1955" s="54"/>
      <c r="U1955" s="54"/>
      <c r="V1955" s="54"/>
      <c r="W1955" s="54"/>
      <c r="X1955" s="54"/>
      <c r="Y1955" s="54"/>
      <c r="Z1955" s="54"/>
      <c r="AA1955" s="54"/>
      <c r="AB1955" s="54"/>
      <c r="AC1955" s="54"/>
      <c r="AD1955" s="54"/>
      <c r="AE1955" s="54"/>
    </row>
    <row r="1956">
      <c r="A1956" s="80"/>
      <c r="B1956" s="80"/>
      <c r="C1956" s="80"/>
      <c r="D1956" s="59"/>
      <c r="E1956" s="59"/>
      <c r="F1956" s="83"/>
      <c r="G1956" s="76"/>
      <c r="H1956" s="76"/>
      <c r="I1956" s="76"/>
      <c r="J1956" s="93"/>
      <c r="K1956" s="93"/>
      <c r="L1956" s="82"/>
      <c r="M1956" s="54"/>
      <c r="N1956" s="54"/>
      <c r="O1956" s="54"/>
      <c r="P1956" s="54"/>
      <c r="Q1956" s="54"/>
      <c r="R1956" s="54"/>
      <c r="S1956" s="54"/>
      <c r="T1956" s="54"/>
      <c r="U1956" s="54"/>
      <c r="V1956" s="54"/>
      <c r="W1956" s="54"/>
      <c r="X1956" s="54"/>
      <c r="Y1956" s="54"/>
      <c r="Z1956" s="54"/>
      <c r="AA1956" s="54"/>
      <c r="AB1956" s="54"/>
      <c r="AC1956" s="54"/>
      <c r="AD1956" s="54"/>
      <c r="AE1956" s="54"/>
    </row>
    <row r="1957">
      <c r="A1957" s="80"/>
      <c r="B1957" s="80"/>
      <c r="C1957" s="80"/>
      <c r="D1957" s="59"/>
      <c r="E1957" s="59"/>
      <c r="F1957" s="83"/>
      <c r="G1957" s="76"/>
      <c r="H1957" s="76"/>
      <c r="I1957" s="76"/>
      <c r="J1957" s="93"/>
      <c r="K1957" s="93"/>
      <c r="L1957" s="82"/>
      <c r="M1957" s="54"/>
      <c r="N1957" s="54"/>
      <c r="O1957" s="54"/>
      <c r="P1957" s="54"/>
      <c r="Q1957" s="54"/>
      <c r="R1957" s="54"/>
      <c r="S1957" s="54"/>
      <c r="T1957" s="54"/>
      <c r="U1957" s="54"/>
      <c r="V1957" s="54"/>
      <c r="W1957" s="54"/>
      <c r="X1957" s="54"/>
      <c r="Y1957" s="54"/>
      <c r="Z1957" s="54"/>
      <c r="AA1957" s="54"/>
      <c r="AB1957" s="54"/>
      <c r="AC1957" s="54"/>
      <c r="AD1957" s="54"/>
      <c r="AE1957" s="54"/>
    </row>
    <row r="1958">
      <c r="A1958" s="80"/>
      <c r="B1958" s="80"/>
      <c r="C1958" s="80"/>
      <c r="D1958" s="59"/>
      <c r="E1958" s="59"/>
      <c r="F1958" s="83"/>
      <c r="G1958" s="76"/>
      <c r="H1958" s="76"/>
      <c r="I1958" s="76"/>
      <c r="J1958" s="93"/>
      <c r="K1958" s="93"/>
      <c r="L1958" s="82"/>
      <c r="M1958" s="54"/>
      <c r="N1958" s="54"/>
      <c r="O1958" s="54"/>
      <c r="P1958" s="54"/>
      <c r="Q1958" s="54"/>
      <c r="R1958" s="54"/>
      <c r="S1958" s="54"/>
      <c r="T1958" s="54"/>
      <c r="U1958" s="54"/>
      <c r="V1958" s="54"/>
      <c r="W1958" s="54"/>
      <c r="X1958" s="54"/>
      <c r="Y1958" s="54"/>
      <c r="Z1958" s="54"/>
      <c r="AA1958" s="54"/>
      <c r="AB1958" s="54"/>
      <c r="AC1958" s="54"/>
      <c r="AD1958" s="54"/>
      <c r="AE1958" s="54"/>
    </row>
    <row r="1959">
      <c r="A1959" s="80"/>
      <c r="B1959" s="80"/>
      <c r="C1959" s="80"/>
      <c r="D1959" s="59"/>
      <c r="E1959" s="59"/>
      <c r="F1959" s="83"/>
      <c r="G1959" s="76"/>
      <c r="H1959" s="76"/>
      <c r="I1959" s="76"/>
      <c r="J1959" s="93"/>
      <c r="K1959" s="93"/>
      <c r="L1959" s="82"/>
      <c r="M1959" s="54"/>
      <c r="N1959" s="54"/>
      <c r="O1959" s="54"/>
      <c r="P1959" s="54"/>
      <c r="Q1959" s="54"/>
      <c r="R1959" s="54"/>
      <c r="S1959" s="54"/>
      <c r="T1959" s="54"/>
      <c r="U1959" s="54"/>
      <c r="V1959" s="54"/>
      <c r="W1959" s="54"/>
      <c r="X1959" s="54"/>
      <c r="Y1959" s="54"/>
      <c r="Z1959" s="54"/>
      <c r="AA1959" s="54"/>
      <c r="AB1959" s="54"/>
      <c r="AC1959" s="54"/>
      <c r="AD1959" s="54"/>
      <c r="AE1959" s="54"/>
    </row>
    <row r="1960">
      <c r="A1960" s="80"/>
      <c r="B1960" s="80"/>
      <c r="C1960" s="80"/>
      <c r="D1960" s="59"/>
      <c r="E1960" s="59"/>
      <c r="F1960" s="83"/>
      <c r="G1960" s="76"/>
      <c r="H1960" s="76"/>
      <c r="I1960" s="76"/>
      <c r="J1960" s="93"/>
      <c r="K1960" s="93"/>
      <c r="L1960" s="82"/>
      <c r="M1960" s="54"/>
      <c r="N1960" s="54"/>
      <c r="O1960" s="54"/>
      <c r="P1960" s="54"/>
      <c r="Q1960" s="54"/>
      <c r="R1960" s="54"/>
      <c r="S1960" s="54"/>
      <c r="T1960" s="54"/>
      <c r="U1960" s="54"/>
      <c r="V1960" s="54"/>
      <c r="W1960" s="54"/>
      <c r="X1960" s="54"/>
      <c r="Y1960" s="54"/>
      <c r="Z1960" s="54"/>
      <c r="AA1960" s="54"/>
      <c r="AB1960" s="54"/>
      <c r="AC1960" s="54"/>
      <c r="AD1960" s="54"/>
      <c r="AE1960" s="54"/>
    </row>
    <row r="1961">
      <c r="A1961" s="80"/>
      <c r="B1961" s="80"/>
      <c r="C1961" s="80"/>
      <c r="D1961" s="59"/>
      <c r="E1961" s="59"/>
      <c r="F1961" s="83"/>
      <c r="G1961" s="76"/>
      <c r="H1961" s="76"/>
      <c r="I1961" s="76"/>
      <c r="J1961" s="93"/>
      <c r="K1961" s="93"/>
      <c r="L1961" s="82"/>
      <c r="M1961" s="54"/>
      <c r="N1961" s="54"/>
      <c r="O1961" s="54"/>
      <c r="P1961" s="54"/>
      <c r="Q1961" s="54"/>
      <c r="R1961" s="54"/>
      <c r="S1961" s="54"/>
      <c r="T1961" s="54"/>
      <c r="U1961" s="54"/>
      <c r="V1961" s="54"/>
      <c r="W1961" s="54"/>
      <c r="X1961" s="54"/>
      <c r="Y1961" s="54"/>
      <c r="Z1961" s="54"/>
      <c r="AA1961" s="54"/>
      <c r="AB1961" s="54"/>
      <c r="AC1961" s="54"/>
      <c r="AD1961" s="54"/>
      <c r="AE1961" s="54"/>
    </row>
    <row r="1962">
      <c r="A1962" s="80"/>
      <c r="B1962" s="80"/>
      <c r="C1962" s="80"/>
      <c r="D1962" s="59"/>
      <c r="E1962" s="59"/>
      <c r="F1962" s="83"/>
      <c r="G1962" s="76"/>
      <c r="H1962" s="76"/>
      <c r="I1962" s="76"/>
      <c r="J1962" s="93"/>
      <c r="K1962" s="93"/>
      <c r="L1962" s="82"/>
      <c r="M1962" s="54"/>
      <c r="N1962" s="54"/>
      <c r="O1962" s="54"/>
      <c r="P1962" s="54"/>
      <c r="Q1962" s="54"/>
      <c r="R1962" s="54"/>
      <c r="S1962" s="54"/>
      <c r="T1962" s="54"/>
      <c r="U1962" s="54"/>
      <c r="V1962" s="54"/>
      <c r="W1962" s="54"/>
      <c r="X1962" s="54"/>
      <c r="Y1962" s="54"/>
      <c r="Z1962" s="54"/>
      <c r="AA1962" s="54"/>
      <c r="AB1962" s="54"/>
      <c r="AC1962" s="54"/>
      <c r="AD1962" s="54"/>
      <c r="AE1962" s="54"/>
    </row>
    <row r="1963">
      <c r="A1963" s="80"/>
      <c r="B1963" s="80"/>
      <c r="C1963" s="80"/>
      <c r="D1963" s="59"/>
      <c r="E1963" s="59"/>
      <c r="F1963" s="83"/>
      <c r="G1963" s="76"/>
      <c r="H1963" s="76"/>
      <c r="I1963" s="76"/>
      <c r="J1963" s="93"/>
      <c r="K1963" s="93"/>
      <c r="L1963" s="82"/>
      <c r="M1963" s="54"/>
      <c r="N1963" s="54"/>
      <c r="O1963" s="54"/>
      <c r="P1963" s="54"/>
      <c r="Q1963" s="54"/>
      <c r="R1963" s="54"/>
      <c r="S1963" s="54"/>
      <c r="T1963" s="54"/>
      <c r="U1963" s="54"/>
      <c r="V1963" s="54"/>
      <c r="W1963" s="54"/>
      <c r="X1963" s="54"/>
      <c r="Y1963" s="54"/>
      <c r="Z1963" s="54"/>
      <c r="AA1963" s="54"/>
      <c r="AB1963" s="54"/>
      <c r="AC1963" s="54"/>
      <c r="AD1963" s="54"/>
      <c r="AE1963" s="54"/>
    </row>
    <row r="1964">
      <c r="A1964" s="80"/>
      <c r="B1964" s="80"/>
      <c r="C1964" s="80"/>
      <c r="D1964" s="59"/>
      <c r="E1964" s="59"/>
      <c r="F1964" s="83"/>
      <c r="G1964" s="76"/>
      <c r="H1964" s="76"/>
      <c r="I1964" s="76"/>
      <c r="J1964" s="93"/>
      <c r="K1964" s="93"/>
      <c r="L1964" s="82"/>
      <c r="M1964" s="54"/>
      <c r="N1964" s="54"/>
      <c r="O1964" s="54"/>
      <c r="P1964" s="54"/>
      <c r="Q1964" s="54"/>
      <c r="R1964" s="54"/>
      <c r="S1964" s="54"/>
      <c r="T1964" s="54"/>
      <c r="U1964" s="54"/>
      <c r="V1964" s="54"/>
      <c r="W1964" s="54"/>
      <c r="X1964" s="54"/>
      <c r="Y1964" s="54"/>
      <c r="Z1964" s="54"/>
      <c r="AA1964" s="54"/>
      <c r="AB1964" s="54"/>
      <c r="AC1964" s="54"/>
      <c r="AD1964" s="54"/>
      <c r="AE1964" s="54"/>
    </row>
    <row r="1965">
      <c r="A1965" s="80"/>
      <c r="B1965" s="80"/>
      <c r="C1965" s="80"/>
      <c r="D1965" s="59"/>
      <c r="E1965" s="59"/>
      <c r="F1965" s="83"/>
      <c r="G1965" s="76"/>
      <c r="H1965" s="76"/>
      <c r="I1965" s="76"/>
      <c r="J1965" s="93"/>
      <c r="K1965" s="93"/>
      <c r="L1965" s="82"/>
      <c r="M1965" s="54"/>
      <c r="N1965" s="54"/>
      <c r="O1965" s="54"/>
      <c r="P1965" s="54"/>
      <c r="Q1965" s="54"/>
      <c r="R1965" s="54"/>
      <c r="S1965" s="54"/>
      <c r="T1965" s="54"/>
      <c r="U1965" s="54"/>
      <c r="V1965" s="54"/>
      <c r="W1965" s="54"/>
      <c r="X1965" s="54"/>
      <c r="Y1965" s="54"/>
      <c r="Z1965" s="54"/>
      <c r="AA1965" s="54"/>
      <c r="AB1965" s="54"/>
      <c r="AC1965" s="54"/>
      <c r="AD1965" s="54"/>
      <c r="AE1965" s="54"/>
    </row>
    <row r="1966">
      <c r="A1966" s="80"/>
      <c r="B1966" s="80"/>
      <c r="C1966" s="80"/>
      <c r="D1966" s="59"/>
      <c r="E1966" s="59"/>
      <c r="F1966" s="83"/>
      <c r="G1966" s="76"/>
      <c r="H1966" s="76"/>
      <c r="I1966" s="76"/>
      <c r="J1966" s="93"/>
      <c r="K1966" s="93"/>
      <c r="L1966" s="82"/>
      <c r="M1966" s="54"/>
      <c r="N1966" s="54"/>
      <c r="O1966" s="54"/>
      <c r="P1966" s="54"/>
      <c r="Q1966" s="54"/>
      <c r="R1966" s="54"/>
      <c r="S1966" s="54"/>
      <c r="T1966" s="54"/>
      <c r="U1966" s="54"/>
      <c r="V1966" s="54"/>
      <c r="W1966" s="54"/>
      <c r="X1966" s="54"/>
      <c r="Y1966" s="54"/>
      <c r="Z1966" s="54"/>
      <c r="AA1966" s="54"/>
      <c r="AB1966" s="54"/>
      <c r="AC1966" s="54"/>
      <c r="AD1966" s="54"/>
      <c r="AE1966" s="54"/>
    </row>
    <row r="1967">
      <c r="A1967" s="80"/>
      <c r="B1967" s="80"/>
      <c r="C1967" s="80"/>
      <c r="D1967" s="59"/>
      <c r="E1967" s="59"/>
      <c r="F1967" s="83"/>
      <c r="G1967" s="76"/>
      <c r="H1967" s="76"/>
      <c r="I1967" s="76"/>
      <c r="J1967" s="93"/>
      <c r="K1967" s="93"/>
      <c r="L1967" s="82"/>
      <c r="M1967" s="54"/>
      <c r="N1967" s="54"/>
      <c r="O1967" s="54"/>
      <c r="P1967" s="54"/>
      <c r="Q1967" s="54"/>
      <c r="R1967" s="54"/>
      <c r="S1967" s="54"/>
      <c r="T1967" s="54"/>
      <c r="U1967" s="54"/>
      <c r="V1967" s="54"/>
      <c r="W1967" s="54"/>
      <c r="X1967" s="54"/>
      <c r="Y1967" s="54"/>
      <c r="Z1967" s="54"/>
      <c r="AA1967" s="54"/>
      <c r="AB1967" s="54"/>
      <c r="AC1967" s="54"/>
      <c r="AD1967" s="54"/>
      <c r="AE1967" s="54"/>
    </row>
    <row r="1968">
      <c r="A1968" s="80"/>
      <c r="B1968" s="80"/>
      <c r="C1968" s="80"/>
      <c r="D1968" s="59"/>
      <c r="E1968" s="59"/>
      <c r="F1968" s="83"/>
      <c r="G1968" s="76"/>
      <c r="H1968" s="76"/>
      <c r="I1968" s="76"/>
      <c r="J1968" s="93"/>
      <c r="K1968" s="93"/>
      <c r="L1968" s="82"/>
      <c r="M1968" s="54"/>
      <c r="N1968" s="54"/>
      <c r="O1968" s="54"/>
      <c r="P1968" s="54"/>
      <c r="Q1968" s="54"/>
      <c r="R1968" s="54"/>
      <c r="S1968" s="54"/>
      <c r="T1968" s="54"/>
      <c r="U1968" s="54"/>
      <c r="V1968" s="54"/>
      <c r="W1968" s="54"/>
      <c r="X1968" s="54"/>
      <c r="Y1968" s="54"/>
      <c r="Z1968" s="54"/>
      <c r="AA1968" s="54"/>
      <c r="AB1968" s="54"/>
      <c r="AC1968" s="54"/>
      <c r="AD1968" s="54"/>
      <c r="AE1968" s="54"/>
    </row>
    <row r="1969">
      <c r="A1969" s="80"/>
      <c r="B1969" s="80"/>
      <c r="C1969" s="80"/>
      <c r="D1969" s="59"/>
      <c r="E1969" s="59"/>
      <c r="F1969" s="83"/>
      <c r="G1969" s="76"/>
      <c r="H1969" s="76"/>
      <c r="I1969" s="76"/>
      <c r="J1969" s="93"/>
      <c r="K1969" s="93"/>
      <c r="L1969" s="82"/>
      <c r="M1969" s="54"/>
      <c r="N1969" s="54"/>
      <c r="O1969" s="54"/>
      <c r="P1969" s="54"/>
      <c r="Q1969" s="54"/>
      <c r="R1969" s="54"/>
      <c r="S1969" s="54"/>
      <c r="T1969" s="54"/>
      <c r="U1969" s="54"/>
      <c r="V1969" s="54"/>
      <c r="W1969" s="54"/>
      <c r="X1969" s="54"/>
      <c r="Y1969" s="54"/>
      <c r="Z1969" s="54"/>
      <c r="AA1969" s="54"/>
      <c r="AB1969" s="54"/>
      <c r="AC1969" s="54"/>
      <c r="AD1969" s="54"/>
      <c r="AE1969" s="54"/>
    </row>
    <row r="1970">
      <c r="A1970" s="80"/>
      <c r="B1970" s="80"/>
      <c r="C1970" s="80"/>
      <c r="D1970" s="59"/>
      <c r="E1970" s="59"/>
      <c r="F1970" s="83"/>
      <c r="G1970" s="76"/>
      <c r="H1970" s="76"/>
      <c r="I1970" s="76"/>
      <c r="J1970" s="93"/>
      <c r="K1970" s="93"/>
      <c r="L1970" s="82"/>
      <c r="M1970" s="54"/>
      <c r="N1970" s="54"/>
      <c r="O1970" s="54"/>
      <c r="P1970" s="54"/>
      <c r="Q1970" s="54"/>
      <c r="R1970" s="54"/>
      <c r="S1970" s="54"/>
      <c r="T1970" s="54"/>
      <c r="U1970" s="54"/>
      <c r="V1970" s="54"/>
      <c r="W1970" s="54"/>
      <c r="X1970" s="54"/>
      <c r="Y1970" s="54"/>
      <c r="Z1970" s="54"/>
      <c r="AA1970" s="54"/>
      <c r="AB1970" s="54"/>
      <c r="AC1970" s="54"/>
      <c r="AD1970" s="54"/>
      <c r="AE1970" s="54"/>
    </row>
    <row r="1971">
      <c r="A1971" s="80"/>
      <c r="B1971" s="80"/>
      <c r="C1971" s="80"/>
      <c r="D1971" s="59"/>
      <c r="E1971" s="59"/>
      <c r="F1971" s="83"/>
      <c r="G1971" s="76"/>
      <c r="H1971" s="76"/>
      <c r="I1971" s="76"/>
      <c r="J1971" s="93"/>
      <c r="K1971" s="93"/>
      <c r="L1971" s="82"/>
      <c r="M1971" s="54"/>
      <c r="N1971" s="54"/>
      <c r="O1971" s="54"/>
      <c r="P1971" s="54"/>
      <c r="Q1971" s="54"/>
      <c r="R1971" s="54"/>
      <c r="S1971" s="54"/>
      <c r="T1971" s="54"/>
      <c r="U1971" s="54"/>
      <c r="V1971" s="54"/>
      <c r="W1971" s="54"/>
      <c r="X1971" s="54"/>
      <c r="Y1971" s="54"/>
      <c r="Z1971" s="54"/>
      <c r="AA1971" s="54"/>
      <c r="AB1971" s="54"/>
      <c r="AC1971" s="54"/>
      <c r="AD1971" s="54"/>
      <c r="AE1971" s="54"/>
    </row>
    <row r="1972">
      <c r="A1972" s="80"/>
      <c r="B1972" s="80"/>
      <c r="C1972" s="80"/>
      <c r="D1972" s="59"/>
      <c r="E1972" s="59"/>
      <c r="F1972" s="83"/>
      <c r="G1972" s="76"/>
      <c r="H1972" s="76"/>
      <c r="I1972" s="76"/>
      <c r="J1972" s="93"/>
      <c r="K1972" s="93"/>
      <c r="L1972" s="82"/>
      <c r="M1972" s="54"/>
      <c r="N1972" s="54"/>
      <c r="O1972" s="54"/>
      <c r="P1972" s="54"/>
      <c r="Q1972" s="54"/>
      <c r="R1972" s="54"/>
      <c r="S1972" s="54"/>
      <c r="T1972" s="54"/>
      <c r="U1972" s="54"/>
      <c r="V1972" s="54"/>
      <c r="W1972" s="54"/>
      <c r="X1972" s="54"/>
      <c r="Y1972" s="54"/>
      <c r="Z1972" s="54"/>
      <c r="AA1972" s="54"/>
      <c r="AB1972" s="54"/>
      <c r="AC1972" s="54"/>
      <c r="AD1972" s="54"/>
      <c r="AE1972" s="54"/>
    </row>
    <row r="1973">
      <c r="A1973" s="80"/>
      <c r="B1973" s="80"/>
      <c r="C1973" s="80"/>
      <c r="D1973" s="59"/>
      <c r="E1973" s="59"/>
      <c r="F1973" s="83"/>
      <c r="G1973" s="76"/>
      <c r="H1973" s="76"/>
      <c r="I1973" s="76"/>
      <c r="J1973" s="93"/>
      <c r="K1973" s="93"/>
      <c r="L1973" s="82"/>
      <c r="M1973" s="54"/>
      <c r="N1973" s="54"/>
      <c r="O1973" s="54"/>
      <c r="P1973" s="54"/>
      <c r="Q1973" s="54"/>
      <c r="R1973" s="54"/>
      <c r="S1973" s="54"/>
      <c r="T1973" s="54"/>
      <c r="U1973" s="54"/>
      <c r="V1973" s="54"/>
      <c r="W1973" s="54"/>
      <c r="X1973" s="54"/>
      <c r="Y1973" s="54"/>
      <c r="Z1973" s="54"/>
      <c r="AA1973" s="54"/>
      <c r="AB1973" s="54"/>
      <c r="AC1973" s="54"/>
      <c r="AD1973" s="54"/>
      <c r="AE1973" s="54"/>
    </row>
    <row r="1974">
      <c r="A1974" s="80"/>
      <c r="B1974" s="80"/>
      <c r="C1974" s="80"/>
      <c r="D1974" s="59"/>
      <c r="E1974" s="59"/>
      <c r="F1974" s="83"/>
      <c r="G1974" s="76"/>
      <c r="H1974" s="76"/>
      <c r="I1974" s="76"/>
      <c r="J1974" s="93"/>
      <c r="K1974" s="93"/>
      <c r="L1974" s="82"/>
      <c r="M1974" s="54"/>
      <c r="N1974" s="54"/>
      <c r="O1974" s="54"/>
      <c r="P1974" s="54"/>
      <c r="Q1974" s="54"/>
      <c r="R1974" s="54"/>
      <c r="S1974" s="54"/>
      <c r="T1974" s="54"/>
      <c r="U1974" s="54"/>
      <c r="V1974" s="54"/>
      <c r="W1974" s="54"/>
      <c r="X1974" s="54"/>
      <c r="Y1974" s="54"/>
      <c r="Z1974" s="54"/>
      <c r="AA1974" s="54"/>
      <c r="AB1974" s="54"/>
      <c r="AC1974" s="54"/>
      <c r="AD1974" s="54"/>
      <c r="AE1974" s="54"/>
    </row>
    <row r="1975">
      <c r="A1975" s="80"/>
      <c r="B1975" s="80"/>
      <c r="C1975" s="80"/>
      <c r="D1975" s="59"/>
      <c r="E1975" s="59"/>
      <c r="F1975" s="83"/>
      <c r="G1975" s="76"/>
      <c r="H1975" s="76"/>
      <c r="I1975" s="76"/>
      <c r="J1975" s="93"/>
      <c r="K1975" s="93"/>
      <c r="L1975" s="82"/>
      <c r="M1975" s="54"/>
      <c r="N1975" s="54"/>
      <c r="O1975" s="54"/>
      <c r="P1975" s="54"/>
      <c r="Q1975" s="54"/>
      <c r="R1975" s="54"/>
      <c r="S1975" s="54"/>
      <c r="T1975" s="54"/>
      <c r="U1975" s="54"/>
      <c r="V1975" s="54"/>
      <c r="W1975" s="54"/>
      <c r="X1975" s="54"/>
      <c r="Y1975" s="54"/>
      <c r="Z1975" s="54"/>
      <c r="AA1975" s="54"/>
      <c r="AB1975" s="54"/>
      <c r="AC1975" s="54"/>
      <c r="AD1975" s="54"/>
      <c r="AE1975" s="54"/>
    </row>
    <row r="1976">
      <c r="A1976" s="80"/>
      <c r="B1976" s="80"/>
      <c r="C1976" s="80"/>
      <c r="D1976" s="59"/>
      <c r="E1976" s="59"/>
      <c r="F1976" s="83"/>
      <c r="G1976" s="76"/>
      <c r="H1976" s="76"/>
      <c r="I1976" s="76"/>
      <c r="J1976" s="93"/>
      <c r="K1976" s="93"/>
      <c r="L1976" s="82"/>
      <c r="M1976" s="54"/>
      <c r="N1976" s="54"/>
      <c r="O1976" s="54"/>
      <c r="P1976" s="54"/>
      <c r="Q1976" s="54"/>
      <c r="R1976" s="54"/>
      <c r="S1976" s="54"/>
      <c r="T1976" s="54"/>
      <c r="U1976" s="54"/>
      <c r="V1976" s="54"/>
      <c r="W1976" s="54"/>
      <c r="X1976" s="54"/>
      <c r="Y1976" s="54"/>
      <c r="Z1976" s="54"/>
      <c r="AA1976" s="54"/>
      <c r="AB1976" s="54"/>
      <c r="AC1976" s="54"/>
      <c r="AD1976" s="54"/>
      <c r="AE1976" s="54"/>
    </row>
    <row r="1977">
      <c r="A1977" s="80"/>
      <c r="B1977" s="80"/>
      <c r="C1977" s="80"/>
      <c r="D1977" s="59"/>
      <c r="E1977" s="59"/>
      <c r="F1977" s="83"/>
      <c r="G1977" s="76"/>
      <c r="H1977" s="76"/>
      <c r="I1977" s="76"/>
      <c r="J1977" s="93"/>
      <c r="K1977" s="93"/>
      <c r="L1977" s="82"/>
      <c r="M1977" s="54"/>
      <c r="N1977" s="54"/>
      <c r="O1977" s="54"/>
      <c r="P1977" s="54"/>
      <c r="Q1977" s="54"/>
      <c r="R1977" s="54"/>
      <c r="S1977" s="54"/>
      <c r="T1977" s="54"/>
      <c r="U1977" s="54"/>
      <c r="V1977" s="54"/>
      <c r="W1977" s="54"/>
      <c r="X1977" s="54"/>
      <c r="Y1977" s="54"/>
      <c r="Z1977" s="54"/>
      <c r="AA1977" s="54"/>
      <c r="AB1977" s="54"/>
      <c r="AC1977" s="54"/>
      <c r="AD1977" s="54"/>
      <c r="AE1977" s="54"/>
    </row>
    <row r="1978">
      <c r="A1978" s="80"/>
      <c r="B1978" s="80"/>
      <c r="C1978" s="80"/>
      <c r="D1978" s="59"/>
      <c r="E1978" s="59"/>
      <c r="F1978" s="83"/>
      <c r="G1978" s="76"/>
      <c r="H1978" s="76"/>
      <c r="I1978" s="76"/>
      <c r="J1978" s="93"/>
      <c r="K1978" s="93"/>
      <c r="L1978" s="82"/>
      <c r="M1978" s="54"/>
      <c r="N1978" s="54"/>
      <c r="O1978" s="54"/>
      <c r="P1978" s="54"/>
      <c r="Q1978" s="54"/>
      <c r="R1978" s="54"/>
      <c r="S1978" s="54"/>
      <c r="T1978" s="54"/>
      <c r="U1978" s="54"/>
      <c r="V1978" s="54"/>
      <c r="W1978" s="54"/>
      <c r="X1978" s="54"/>
      <c r="Y1978" s="54"/>
      <c r="Z1978" s="54"/>
      <c r="AA1978" s="54"/>
      <c r="AB1978" s="54"/>
      <c r="AC1978" s="54"/>
      <c r="AD1978" s="54"/>
      <c r="AE1978" s="54"/>
    </row>
    <row r="1979">
      <c r="A1979" s="80"/>
      <c r="B1979" s="80"/>
      <c r="C1979" s="80"/>
      <c r="D1979" s="59"/>
      <c r="E1979" s="59"/>
      <c r="F1979" s="83"/>
      <c r="G1979" s="76"/>
      <c r="H1979" s="76"/>
      <c r="I1979" s="76"/>
      <c r="J1979" s="93"/>
      <c r="K1979" s="93"/>
      <c r="L1979" s="82"/>
      <c r="M1979" s="54"/>
      <c r="N1979" s="54"/>
      <c r="O1979" s="54"/>
      <c r="P1979" s="54"/>
      <c r="Q1979" s="54"/>
      <c r="R1979" s="54"/>
      <c r="S1979" s="54"/>
      <c r="T1979" s="54"/>
      <c r="U1979" s="54"/>
      <c r="V1979" s="54"/>
      <c r="W1979" s="54"/>
      <c r="X1979" s="54"/>
      <c r="Y1979" s="54"/>
      <c r="Z1979" s="54"/>
      <c r="AA1979" s="54"/>
      <c r="AB1979" s="54"/>
      <c r="AC1979" s="54"/>
      <c r="AD1979" s="54"/>
      <c r="AE1979" s="54"/>
    </row>
    <row r="1980">
      <c r="A1980" s="80"/>
      <c r="B1980" s="80"/>
      <c r="C1980" s="80"/>
      <c r="D1980" s="59"/>
      <c r="E1980" s="59"/>
      <c r="F1980" s="83"/>
      <c r="G1980" s="76"/>
      <c r="H1980" s="76"/>
      <c r="I1980" s="76"/>
      <c r="J1980" s="93"/>
      <c r="K1980" s="93"/>
      <c r="L1980" s="82"/>
      <c r="M1980" s="54"/>
      <c r="N1980" s="54"/>
      <c r="O1980" s="54"/>
      <c r="P1980" s="54"/>
      <c r="Q1980" s="54"/>
      <c r="R1980" s="54"/>
      <c r="S1980" s="54"/>
      <c r="T1980" s="54"/>
      <c r="U1980" s="54"/>
      <c r="V1980" s="54"/>
      <c r="W1980" s="54"/>
      <c r="X1980" s="54"/>
      <c r="Y1980" s="54"/>
      <c r="Z1980" s="54"/>
      <c r="AA1980" s="54"/>
      <c r="AB1980" s="54"/>
      <c r="AC1980" s="54"/>
      <c r="AD1980" s="54"/>
      <c r="AE1980" s="54"/>
    </row>
    <row r="1981">
      <c r="A1981" s="80"/>
      <c r="B1981" s="80"/>
      <c r="C1981" s="80"/>
      <c r="D1981" s="59"/>
      <c r="E1981" s="59"/>
      <c r="F1981" s="83"/>
      <c r="G1981" s="76"/>
      <c r="H1981" s="76"/>
      <c r="I1981" s="76"/>
      <c r="J1981" s="93"/>
      <c r="K1981" s="93"/>
      <c r="L1981" s="82"/>
      <c r="M1981" s="54"/>
      <c r="N1981" s="54"/>
      <c r="O1981" s="54"/>
      <c r="P1981" s="54"/>
      <c r="Q1981" s="54"/>
      <c r="R1981" s="54"/>
      <c r="S1981" s="54"/>
      <c r="T1981" s="54"/>
      <c r="U1981" s="54"/>
      <c r="V1981" s="54"/>
      <c r="W1981" s="54"/>
      <c r="X1981" s="54"/>
      <c r="Y1981" s="54"/>
      <c r="Z1981" s="54"/>
      <c r="AA1981" s="54"/>
      <c r="AB1981" s="54"/>
      <c r="AC1981" s="54"/>
      <c r="AD1981" s="54"/>
      <c r="AE1981" s="54"/>
    </row>
    <row r="1982">
      <c r="A1982" s="80"/>
      <c r="B1982" s="80"/>
      <c r="C1982" s="80"/>
      <c r="D1982" s="59"/>
      <c r="E1982" s="59"/>
      <c r="F1982" s="83"/>
      <c r="G1982" s="76"/>
      <c r="H1982" s="76"/>
      <c r="I1982" s="76"/>
      <c r="J1982" s="93"/>
      <c r="K1982" s="93"/>
      <c r="L1982" s="82"/>
      <c r="M1982" s="54"/>
      <c r="N1982" s="54"/>
      <c r="O1982" s="54"/>
      <c r="P1982" s="54"/>
      <c r="Q1982" s="54"/>
      <c r="R1982" s="54"/>
      <c r="S1982" s="54"/>
      <c r="T1982" s="54"/>
      <c r="U1982" s="54"/>
      <c r="V1982" s="54"/>
      <c r="W1982" s="54"/>
      <c r="X1982" s="54"/>
      <c r="Y1982" s="54"/>
      <c r="Z1982" s="54"/>
      <c r="AA1982" s="54"/>
      <c r="AB1982" s="54"/>
      <c r="AC1982" s="54"/>
      <c r="AD1982" s="54"/>
      <c r="AE1982" s="54"/>
    </row>
    <row r="1983">
      <c r="A1983" s="80"/>
      <c r="B1983" s="80"/>
      <c r="C1983" s="80"/>
      <c r="D1983" s="59"/>
      <c r="E1983" s="59"/>
      <c r="F1983" s="83"/>
      <c r="G1983" s="76"/>
      <c r="H1983" s="76"/>
      <c r="I1983" s="76"/>
      <c r="J1983" s="93"/>
      <c r="K1983" s="93"/>
      <c r="L1983" s="82"/>
      <c r="M1983" s="54"/>
      <c r="N1983" s="54"/>
      <c r="O1983" s="54"/>
      <c r="P1983" s="54"/>
      <c r="Q1983" s="54"/>
      <c r="R1983" s="54"/>
      <c r="S1983" s="54"/>
      <c r="T1983" s="54"/>
      <c r="U1983" s="54"/>
      <c r="V1983" s="54"/>
      <c r="W1983" s="54"/>
      <c r="X1983" s="54"/>
      <c r="Y1983" s="54"/>
      <c r="Z1983" s="54"/>
      <c r="AA1983" s="54"/>
      <c r="AB1983" s="54"/>
      <c r="AC1983" s="54"/>
      <c r="AD1983" s="54"/>
      <c r="AE1983" s="54"/>
    </row>
    <row r="1984">
      <c r="A1984" s="80"/>
      <c r="B1984" s="80"/>
      <c r="C1984" s="80"/>
      <c r="D1984" s="59"/>
      <c r="E1984" s="59"/>
      <c r="F1984" s="83"/>
      <c r="G1984" s="76"/>
      <c r="H1984" s="76"/>
      <c r="I1984" s="76"/>
      <c r="J1984" s="93"/>
      <c r="K1984" s="93"/>
      <c r="L1984" s="82"/>
      <c r="M1984" s="54"/>
      <c r="N1984" s="54"/>
      <c r="O1984" s="54"/>
      <c r="P1984" s="54"/>
      <c r="Q1984" s="54"/>
      <c r="R1984" s="54"/>
      <c r="S1984" s="54"/>
      <c r="T1984" s="54"/>
      <c r="U1984" s="54"/>
      <c r="V1984" s="54"/>
      <c r="W1984" s="54"/>
      <c r="X1984" s="54"/>
      <c r="Y1984" s="54"/>
      <c r="Z1984" s="54"/>
      <c r="AA1984" s="54"/>
      <c r="AB1984" s="54"/>
      <c r="AC1984" s="54"/>
      <c r="AD1984" s="54"/>
      <c r="AE1984" s="54"/>
    </row>
    <row r="1985">
      <c r="A1985" s="80"/>
      <c r="B1985" s="80"/>
      <c r="C1985" s="80"/>
      <c r="D1985" s="59"/>
      <c r="E1985" s="59"/>
      <c r="F1985" s="83"/>
      <c r="G1985" s="76"/>
      <c r="H1985" s="76"/>
      <c r="I1985" s="76"/>
      <c r="J1985" s="93"/>
      <c r="K1985" s="93"/>
      <c r="L1985" s="82"/>
      <c r="M1985" s="54"/>
      <c r="N1985" s="54"/>
      <c r="O1985" s="54"/>
      <c r="P1985" s="54"/>
      <c r="Q1985" s="54"/>
      <c r="R1985" s="54"/>
      <c r="S1985" s="54"/>
      <c r="T1985" s="54"/>
      <c r="U1985" s="54"/>
      <c r="V1985" s="54"/>
      <c r="W1985" s="54"/>
      <c r="X1985" s="54"/>
      <c r="Y1985" s="54"/>
      <c r="Z1985" s="54"/>
      <c r="AA1985" s="54"/>
      <c r="AB1985" s="54"/>
      <c r="AC1985" s="54"/>
      <c r="AD1985" s="54"/>
      <c r="AE1985" s="54"/>
    </row>
    <row r="1986">
      <c r="A1986" s="80"/>
      <c r="B1986" s="80"/>
      <c r="C1986" s="80"/>
      <c r="D1986" s="59"/>
      <c r="E1986" s="59"/>
      <c r="F1986" s="83"/>
      <c r="G1986" s="76"/>
      <c r="H1986" s="76"/>
      <c r="I1986" s="76"/>
      <c r="J1986" s="93"/>
      <c r="K1986" s="93"/>
      <c r="L1986" s="82"/>
      <c r="M1986" s="54"/>
      <c r="N1986" s="54"/>
      <c r="O1986" s="54"/>
      <c r="P1986" s="54"/>
      <c r="Q1986" s="54"/>
      <c r="R1986" s="54"/>
      <c r="S1986" s="54"/>
      <c r="T1986" s="54"/>
      <c r="U1986" s="54"/>
      <c r="V1986" s="54"/>
      <c r="W1986" s="54"/>
      <c r="X1986" s="54"/>
      <c r="Y1986" s="54"/>
      <c r="Z1986" s="54"/>
      <c r="AA1986" s="54"/>
      <c r="AB1986" s="54"/>
      <c r="AC1986" s="54"/>
      <c r="AD1986" s="54"/>
      <c r="AE1986" s="54"/>
    </row>
    <row r="1987">
      <c r="A1987" s="80"/>
      <c r="B1987" s="80"/>
      <c r="C1987" s="80"/>
      <c r="D1987" s="59"/>
      <c r="E1987" s="59"/>
      <c r="F1987" s="83"/>
      <c r="G1987" s="76"/>
      <c r="H1987" s="76"/>
      <c r="I1987" s="76"/>
      <c r="J1987" s="93"/>
      <c r="K1987" s="93"/>
      <c r="L1987" s="82"/>
      <c r="M1987" s="54"/>
      <c r="N1987" s="54"/>
      <c r="O1987" s="54"/>
      <c r="P1987" s="54"/>
      <c r="Q1987" s="54"/>
      <c r="R1987" s="54"/>
      <c r="S1987" s="54"/>
      <c r="T1987" s="54"/>
      <c r="U1987" s="54"/>
      <c r="V1987" s="54"/>
      <c r="W1987" s="54"/>
      <c r="X1987" s="54"/>
      <c r="Y1987" s="54"/>
      <c r="Z1987" s="54"/>
      <c r="AA1987" s="54"/>
      <c r="AB1987" s="54"/>
      <c r="AC1987" s="54"/>
      <c r="AD1987" s="54"/>
      <c r="AE1987" s="54"/>
    </row>
    <row r="1988">
      <c r="A1988" s="80"/>
      <c r="B1988" s="80"/>
      <c r="C1988" s="80"/>
      <c r="D1988" s="59"/>
      <c r="E1988" s="59"/>
      <c r="F1988" s="83"/>
      <c r="G1988" s="76"/>
      <c r="H1988" s="76"/>
      <c r="I1988" s="76"/>
      <c r="J1988" s="93"/>
      <c r="K1988" s="93"/>
      <c r="L1988" s="82"/>
      <c r="M1988" s="54"/>
      <c r="N1988" s="54"/>
      <c r="O1988" s="54"/>
      <c r="P1988" s="54"/>
      <c r="Q1988" s="54"/>
      <c r="R1988" s="54"/>
      <c r="S1988" s="54"/>
      <c r="T1988" s="54"/>
      <c r="U1988" s="54"/>
      <c r="V1988" s="54"/>
      <c r="W1988" s="54"/>
      <c r="X1988" s="54"/>
      <c r="Y1988" s="54"/>
      <c r="Z1988" s="54"/>
      <c r="AA1988" s="54"/>
      <c r="AB1988" s="54"/>
      <c r="AC1988" s="54"/>
      <c r="AD1988" s="54"/>
      <c r="AE1988" s="54"/>
    </row>
    <row r="1989">
      <c r="A1989" s="80"/>
      <c r="B1989" s="80"/>
      <c r="C1989" s="80"/>
      <c r="D1989" s="59"/>
      <c r="E1989" s="59"/>
      <c r="F1989" s="83"/>
      <c r="G1989" s="76"/>
      <c r="H1989" s="76"/>
      <c r="I1989" s="76"/>
      <c r="J1989" s="93"/>
      <c r="K1989" s="93"/>
      <c r="L1989" s="82"/>
      <c r="M1989" s="54"/>
      <c r="N1989" s="54"/>
      <c r="O1989" s="54"/>
      <c r="P1989" s="54"/>
      <c r="Q1989" s="54"/>
      <c r="R1989" s="54"/>
      <c r="S1989" s="54"/>
      <c r="T1989" s="54"/>
      <c r="U1989" s="54"/>
      <c r="V1989" s="54"/>
      <c r="W1989" s="54"/>
      <c r="X1989" s="54"/>
      <c r="Y1989" s="54"/>
      <c r="Z1989" s="54"/>
      <c r="AA1989" s="54"/>
      <c r="AB1989" s="54"/>
      <c r="AC1989" s="54"/>
      <c r="AD1989" s="54"/>
      <c r="AE1989" s="54"/>
    </row>
    <row r="1990">
      <c r="A1990" s="80"/>
      <c r="B1990" s="80"/>
      <c r="C1990" s="80"/>
      <c r="D1990" s="59"/>
      <c r="E1990" s="59"/>
      <c r="F1990" s="83"/>
      <c r="G1990" s="76"/>
      <c r="H1990" s="76"/>
      <c r="I1990" s="76"/>
      <c r="J1990" s="93"/>
      <c r="K1990" s="93"/>
      <c r="L1990" s="82"/>
      <c r="M1990" s="54"/>
      <c r="N1990" s="54"/>
      <c r="O1990" s="54"/>
      <c r="P1990" s="54"/>
      <c r="Q1990" s="54"/>
      <c r="R1990" s="54"/>
      <c r="S1990" s="54"/>
      <c r="T1990" s="54"/>
      <c r="U1990" s="54"/>
      <c r="V1990" s="54"/>
      <c r="W1990" s="54"/>
      <c r="X1990" s="54"/>
      <c r="Y1990" s="54"/>
      <c r="Z1990" s="54"/>
      <c r="AA1990" s="54"/>
      <c r="AB1990" s="54"/>
      <c r="AC1990" s="54"/>
      <c r="AD1990" s="54"/>
      <c r="AE1990" s="54"/>
    </row>
    <row r="1991">
      <c r="A1991" s="80"/>
      <c r="B1991" s="80"/>
      <c r="C1991" s="80"/>
      <c r="D1991" s="59"/>
      <c r="E1991" s="59"/>
      <c r="F1991" s="83"/>
      <c r="G1991" s="76"/>
      <c r="H1991" s="76"/>
      <c r="I1991" s="76"/>
      <c r="J1991" s="93"/>
      <c r="K1991" s="93"/>
      <c r="L1991" s="82"/>
      <c r="M1991" s="54"/>
      <c r="N1991" s="54"/>
      <c r="O1991" s="54"/>
      <c r="P1991" s="54"/>
      <c r="Q1991" s="54"/>
      <c r="R1991" s="54"/>
      <c r="S1991" s="54"/>
      <c r="T1991" s="54"/>
      <c r="U1991" s="54"/>
      <c r="V1991" s="54"/>
      <c r="W1991" s="54"/>
      <c r="X1991" s="54"/>
      <c r="Y1991" s="54"/>
      <c r="Z1991" s="54"/>
      <c r="AA1991" s="54"/>
      <c r="AB1991" s="54"/>
      <c r="AC1991" s="54"/>
      <c r="AD1991" s="54"/>
      <c r="AE1991" s="54"/>
    </row>
    <row r="1992">
      <c r="A1992" s="80"/>
      <c r="B1992" s="80"/>
      <c r="C1992" s="80"/>
      <c r="D1992" s="59"/>
      <c r="E1992" s="59"/>
      <c r="F1992" s="83"/>
      <c r="G1992" s="76"/>
      <c r="H1992" s="76"/>
      <c r="I1992" s="76"/>
      <c r="J1992" s="93"/>
      <c r="K1992" s="93"/>
      <c r="L1992" s="82"/>
      <c r="M1992" s="54"/>
      <c r="N1992" s="54"/>
      <c r="O1992" s="54"/>
      <c r="P1992" s="54"/>
      <c r="Q1992" s="54"/>
      <c r="R1992" s="54"/>
      <c r="S1992" s="54"/>
      <c r="T1992" s="54"/>
      <c r="U1992" s="54"/>
      <c r="V1992" s="54"/>
      <c r="W1992" s="54"/>
      <c r="X1992" s="54"/>
      <c r="Y1992" s="54"/>
      <c r="Z1992" s="54"/>
      <c r="AA1992" s="54"/>
      <c r="AB1992" s="54"/>
      <c r="AC1992" s="54"/>
      <c r="AD1992" s="54"/>
      <c r="AE1992" s="54"/>
    </row>
    <row r="1993">
      <c r="A1993" s="80"/>
      <c r="B1993" s="80"/>
      <c r="C1993" s="80"/>
      <c r="D1993" s="59"/>
      <c r="E1993" s="59"/>
      <c r="F1993" s="83"/>
      <c r="G1993" s="76"/>
      <c r="H1993" s="76"/>
      <c r="I1993" s="76"/>
      <c r="J1993" s="93"/>
      <c r="K1993" s="93"/>
      <c r="L1993" s="82"/>
      <c r="M1993" s="54"/>
      <c r="N1993" s="54"/>
      <c r="O1993" s="54"/>
      <c r="P1993" s="54"/>
      <c r="Q1993" s="54"/>
      <c r="R1993" s="54"/>
      <c r="S1993" s="54"/>
      <c r="T1993" s="54"/>
      <c r="U1993" s="54"/>
      <c r="V1993" s="54"/>
      <c r="W1993" s="54"/>
      <c r="X1993" s="54"/>
      <c r="Y1993" s="54"/>
      <c r="Z1993" s="54"/>
      <c r="AA1993" s="54"/>
      <c r="AB1993" s="54"/>
      <c r="AC1993" s="54"/>
      <c r="AD1993" s="54"/>
      <c r="AE1993" s="54"/>
    </row>
    <row r="1994">
      <c r="A1994" s="80"/>
      <c r="B1994" s="80"/>
      <c r="C1994" s="80"/>
      <c r="D1994" s="59"/>
      <c r="E1994" s="59"/>
      <c r="F1994" s="83"/>
      <c r="G1994" s="76"/>
      <c r="H1994" s="76"/>
      <c r="I1994" s="76"/>
      <c r="J1994" s="93"/>
      <c r="K1994" s="93"/>
      <c r="L1994" s="82"/>
      <c r="M1994" s="54"/>
      <c r="N1994" s="54"/>
      <c r="O1994" s="54"/>
      <c r="P1994" s="54"/>
      <c r="Q1994" s="54"/>
      <c r="R1994" s="54"/>
      <c r="S1994" s="54"/>
      <c r="T1994" s="54"/>
      <c r="U1994" s="54"/>
      <c r="V1994" s="54"/>
      <c r="W1994" s="54"/>
      <c r="X1994" s="54"/>
      <c r="Y1994" s="54"/>
      <c r="Z1994" s="54"/>
      <c r="AA1994" s="54"/>
      <c r="AB1994" s="54"/>
      <c r="AC1994" s="54"/>
      <c r="AD1994" s="54"/>
      <c r="AE1994" s="54"/>
    </row>
    <row r="1995">
      <c r="A1995" s="80"/>
      <c r="B1995" s="80"/>
      <c r="C1995" s="80"/>
      <c r="D1995" s="59"/>
      <c r="E1995" s="59"/>
      <c r="F1995" s="83"/>
      <c r="G1995" s="76"/>
      <c r="H1995" s="76"/>
      <c r="I1995" s="76"/>
      <c r="J1995" s="93"/>
      <c r="K1995" s="93"/>
      <c r="L1995" s="82"/>
      <c r="M1995" s="54"/>
      <c r="N1995" s="54"/>
      <c r="O1995" s="54"/>
      <c r="P1995" s="54"/>
      <c r="Q1995" s="54"/>
      <c r="R1995" s="54"/>
      <c r="S1995" s="54"/>
      <c r="T1995" s="54"/>
      <c r="U1995" s="54"/>
      <c r="V1995" s="54"/>
      <c r="W1995" s="54"/>
      <c r="X1995" s="54"/>
      <c r="Y1995" s="54"/>
      <c r="Z1995" s="54"/>
      <c r="AA1995" s="54"/>
      <c r="AB1995" s="54"/>
      <c r="AC1995" s="54"/>
      <c r="AD1995" s="54"/>
      <c r="AE1995" s="54"/>
    </row>
    <row r="1996">
      <c r="A1996" s="80"/>
      <c r="B1996" s="80"/>
      <c r="C1996" s="80"/>
      <c r="D1996" s="59"/>
      <c r="E1996" s="59"/>
      <c r="F1996" s="83"/>
      <c r="G1996" s="76"/>
      <c r="H1996" s="76"/>
      <c r="I1996" s="76"/>
      <c r="J1996" s="93"/>
      <c r="K1996" s="93"/>
      <c r="L1996" s="82"/>
      <c r="M1996" s="54"/>
      <c r="N1996" s="54"/>
      <c r="O1996" s="54"/>
      <c r="P1996" s="54"/>
      <c r="Q1996" s="54"/>
      <c r="R1996" s="54"/>
      <c r="S1996" s="54"/>
      <c r="T1996" s="54"/>
      <c r="U1996" s="54"/>
      <c r="V1996" s="54"/>
      <c r="W1996" s="54"/>
      <c r="X1996" s="54"/>
      <c r="Y1996" s="54"/>
      <c r="Z1996" s="54"/>
      <c r="AA1996" s="54"/>
      <c r="AB1996" s="54"/>
      <c r="AC1996" s="54"/>
      <c r="AD1996" s="54"/>
      <c r="AE1996" s="54"/>
    </row>
    <row r="1997">
      <c r="A1997" s="80"/>
      <c r="B1997" s="80"/>
      <c r="C1997" s="80"/>
      <c r="D1997" s="59"/>
      <c r="E1997" s="59"/>
      <c r="F1997" s="83"/>
      <c r="G1997" s="76"/>
      <c r="H1997" s="76"/>
      <c r="I1997" s="76"/>
      <c r="J1997" s="93"/>
      <c r="K1997" s="93"/>
      <c r="L1997" s="82"/>
      <c r="M1997" s="54"/>
      <c r="N1997" s="54"/>
      <c r="O1997" s="54"/>
      <c r="P1997" s="54"/>
      <c r="Q1997" s="54"/>
      <c r="R1997" s="54"/>
      <c r="S1997" s="54"/>
      <c r="T1997" s="54"/>
      <c r="U1997" s="54"/>
      <c r="V1997" s="54"/>
      <c r="W1997" s="54"/>
      <c r="X1997" s="54"/>
      <c r="Y1997" s="54"/>
      <c r="Z1997" s="54"/>
      <c r="AA1997" s="54"/>
      <c r="AB1997" s="54"/>
      <c r="AC1997" s="54"/>
      <c r="AD1997" s="54"/>
      <c r="AE1997" s="54"/>
    </row>
    <row r="1998">
      <c r="A1998" s="80"/>
      <c r="B1998" s="80"/>
      <c r="C1998" s="80"/>
      <c r="D1998" s="59"/>
      <c r="E1998" s="59"/>
      <c r="F1998" s="83"/>
      <c r="G1998" s="76"/>
      <c r="H1998" s="76"/>
      <c r="I1998" s="76"/>
      <c r="J1998" s="93"/>
      <c r="K1998" s="93"/>
      <c r="L1998" s="82"/>
      <c r="M1998" s="54"/>
      <c r="N1998" s="54"/>
      <c r="O1998" s="54"/>
      <c r="P1998" s="54"/>
      <c r="Q1998" s="54"/>
      <c r="R1998" s="54"/>
      <c r="S1998" s="54"/>
      <c r="T1998" s="54"/>
      <c r="U1998" s="54"/>
      <c r="V1998" s="54"/>
      <c r="W1998" s="54"/>
      <c r="X1998" s="54"/>
      <c r="Y1998" s="54"/>
      <c r="Z1998" s="54"/>
      <c r="AA1998" s="54"/>
      <c r="AB1998" s="54"/>
      <c r="AC1998" s="54"/>
      <c r="AD1998" s="54"/>
      <c r="AE1998" s="54"/>
    </row>
    <row r="1999">
      <c r="A1999" s="80"/>
      <c r="B1999" s="80"/>
      <c r="C1999" s="80"/>
      <c r="D1999" s="59"/>
      <c r="E1999" s="59"/>
      <c r="F1999" s="83"/>
      <c r="G1999" s="76"/>
      <c r="H1999" s="76"/>
      <c r="I1999" s="76"/>
      <c r="J1999" s="93"/>
      <c r="K1999" s="93"/>
      <c r="L1999" s="82"/>
      <c r="M1999" s="54"/>
      <c r="N1999" s="54"/>
      <c r="O1999" s="54"/>
      <c r="P1999" s="54"/>
      <c r="Q1999" s="54"/>
      <c r="R1999" s="54"/>
      <c r="S1999" s="54"/>
      <c r="T1999" s="54"/>
      <c r="U1999" s="54"/>
      <c r="V1999" s="54"/>
      <c r="W1999" s="54"/>
      <c r="X1999" s="54"/>
      <c r="Y1999" s="54"/>
      <c r="Z1999" s="54"/>
      <c r="AA1999" s="54"/>
      <c r="AB1999" s="54"/>
      <c r="AC1999" s="54"/>
      <c r="AD1999" s="54"/>
      <c r="AE1999" s="54"/>
    </row>
    <row r="2000">
      <c r="A2000" s="80"/>
      <c r="B2000" s="80"/>
      <c r="C2000" s="80"/>
      <c r="D2000" s="59"/>
      <c r="E2000" s="59"/>
      <c r="F2000" s="83"/>
      <c r="G2000" s="76"/>
      <c r="H2000" s="76"/>
      <c r="I2000" s="76"/>
      <c r="J2000" s="93"/>
      <c r="K2000" s="93"/>
      <c r="L2000" s="82"/>
      <c r="M2000" s="54"/>
      <c r="N2000" s="54"/>
      <c r="O2000" s="54"/>
      <c r="P2000" s="54"/>
      <c r="Q2000" s="54"/>
      <c r="R2000" s="54"/>
      <c r="S2000" s="54"/>
      <c r="T2000" s="54"/>
      <c r="U2000" s="54"/>
      <c r="V2000" s="54"/>
      <c r="W2000" s="54"/>
      <c r="X2000" s="54"/>
      <c r="Y2000" s="54"/>
      <c r="Z2000" s="54"/>
      <c r="AA2000" s="54"/>
      <c r="AB2000" s="54"/>
      <c r="AC2000" s="54"/>
      <c r="AD2000" s="54"/>
      <c r="AE2000" s="54"/>
    </row>
    <row r="2001">
      <c r="A2001" s="80"/>
      <c r="B2001" s="80"/>
      <c r="C2001" s="80"/>
      <c r="D2001" s="59"/>
      <c r="E2001" s="59"/>
      <c r="F2001" s="83"/>
      <c r="G2001" s="76"/>
      <c r="H2001" s="76"/>
      <c r="I2001" s="76"/>
      <c r="J2001" s="93"/>
      <c r="K2001" s="93"/>
      <c r="L2001" s="82"/>
      <c r="M2001" s="54"/>
      <c r="N2001" s="54"/>
      <c r="O2001" s="54"/>
      <c r="P2001" s="54"/>
      <c r="Q2001" s="54"/>
      <c r="R2001" s="54"/>
      <c r="S2001" s="54"/>
      <c r="T2001" s="54"/>
      <c r="U2001" s="54"/>
      <c r="V2001" s="54"/>
      <c r="W2001" s="54"/>
      <c r="X2001" s="54"/>
      <c r="Y2001" s="54"/>
      <c r="Z2001" s="54"/>
      <c r="AA2001" s="54"/>
      <c r="AB2001" s="54"/>
      <c r="AC2001" s="54"/>
      <c r="AD2001" s="54"/>
      <c r="AE2001" s="54"/>
    </row>
    <row r="2002">
      <c r="A2002" s="80"/>
      <c r="B2002" s="80"/>
      <c r="C2002" s="80"/>
      <c r="D2002" s="59"/>
      <c r="E2002" s="59"/>
      <c r="F2002" s="83"/>
      <c r="G2002" s="76"/>
      <c r="H2002" s="76"/>
      <c r="I2002" s="76"/>
      <c r="J2002" s="93"/>
      <c r="K2002" s="93"/>
      <c r="L2002" s="82"/>
      <c r="M2002" s="54"/>
      <c r="N2002" s="54"/>
      <c r="O2002" s="54"/>
      <c r="P2002" s="54"/>
      <c r="Q2002" s="54"/>
      <c r="R2002" s="54"/>
      <c r="S2002" s="54"/>
      <c r="T2002" s="54"/>
      <c r="U2002" s="54"/>
      <c r="V2002" s="54"/>
      <c r="W2002" s="54"/>
      <c r="X2002" s="54"/>
      <c r="Y2002" s="54"/>
      <c r="Z2002" s="54"/>
      <c r="AA2002" s="54"/>
      <c r="AB2002" s="54"/>
      <c r="AC2002" s="54"/>
      <c r="AD2002" s="54"/>
      <c r="AE2002" s="54"/>
    </row>
    <row r="2003">
      <c r="A2003" s="80"/>
      <c r="B2003" s="80"/>
      <c r="C2003" s="80"/>
      <c r="D2003" s="59"/>
      <c r="E2003" s="59"/>
      <c r="F2003" s="83"/>
      <c r="G2003" s="76"/>
      <c r="H2003" s="76"/>
      <c r="I2003" s="76"/>
      <c r="J2003" s="93"/>
      <c r="K2003" s="93"/>
      <c r="L2003" s="82"/>
      <c r="M2003" s="54"/>
      <c r="N2003" s="54"/>
      <c r="O2003" s="54"/>
      <c r="P2003" s="54"/>
      <c r="Q2003" s="54"/>
      <c r="R2003" s="54"/>
      <c r="S2003" s="54"/>
      <c r="T2003" s="54"/>
      <c r="U2003" s="54"/>
      <c r="V2003" s="54"/>
      <c r="W2003" s="54"/>
      <c r="X2003" s="54"/>
      <c r="Y2003" s="54"/>
      <c r="Z2003" s="54"/>
      <c r="AA2003" s="54"/>
      <c r="AB2003" s="54"/>
      <c r="AC2003" s="54"/>
      <c r="AD2003" s="54"/>
      <c r="AE2003" s="54"/>
    </row>
    <row r="2004">
      <c r="A2004" s="80"/>
      <c r="B2004" s="80"/>
      <c r="C2004" s="80"/>
      <c r="D2004" s="59"/>
      <c r="E2004" s="59"/>
      <c r="F2004" s="83"/>
      <c r="G2004" s="76"/>
      <c r="H2004" s="76"/>
      <c r="I2004" s="76"/>
      <c r="J2004" s="93"/>
      <c r="K2004" s="93"/>
      <c r="L2004" s="82"/>
      <c r="M2004" s="54"/>
      <c r="N2004" s="54"/>
      <c r="O2004" s="54"/>
      <c r="P2004" s="54"/>
      <c r="Q2004" s="54"/>
      <c r="R2004" s="54"/>
      <c r="S2004" s="54"/>
      <c r="T2004" s="54"/>
      <c r="U2004" s="54"/>
      <c r="V2004" s="54"/>
      <c r="W2004" s="54"/>
      <c r="X2004" s="54"/>
      <c r="Y2004" s="54"/>
      <c r="Z2004" s="54"/>
      <c r="AA2004" s="54"/>
      <c r="AB2004" s="54"/>
      <c r="AC2004" s="54"/>
      <c r="AD2004" s="54"/>
      <c r="AE2004" s="54"/>
    </row>
    <row r="2005">
      <c r="A2005" s="80"/>
      <c r="B2005" s="80"/>
      <c r="C2005" s="80"/>
      <c r="D2005" s="59"/>
      <c r="E2005" s="59"/>
      <c r="F2005" s="83"/>
      <c r="G2005" s="76"/>
      <c r="H2005" s="76"/>
      <c r="I2005" s="76"/>
      <c r="J2005" s="93"/>
      <c r="K2005" s="93"/>
      <c r="L2005" s="82"/>
      <c r="M2005" s="54"/>
      <c r="N2005" s="54"/>
      <c r="O2005" s="54"/>
      <c r="P2005" s="54"/>
      <c r="Q2005" s="54"/>
      <c r="R2005" s="54"/>
      <c r="S2005" s="54"/>
      <c r="T2005" s="54"/>
      <c r="U2005" s="54"/>
      <c r="V2005" s="54"/>
      <c r="W2005" s="54"/>
      <c r="X2005" s="54"/>
      <c r="Y2005" s="54"/>
      <c r="Z2005" s="54"/>
      <c r="AA2005" s="54"/>
      <c r="AB2005" s="54"/>
      <c r="AC2005" s="54"/>
      <c r="AD2005" s="54"/>
      <c r="AE2005" s="54"/>
    </row>
    <row r="2006">
      <c r="A2006" s="80"/>
      <c r="B2006" s="80"/>
      <c r="C2006" s="80"/>
      <c r="D2006" s="59"/>
      <c r="E2006" s="59"/>
      <c r="F2006" s="83"/>
      <c r="G2006" s="76"/>
      <c r="H2006" s="76"/>
      <c r="I2006" s="76"/>
      <c r="J2006" s="93"/>
      <c r="K2006" s="93"/>
      <c r="L2006" s="82"/>
      <c r="M2006" s="54"/>
      <c r="N2006" s="54"/>
      <c r="O2006" s="54"/>
      <c r="P2006" s="54"/>
      <c r="Q2006" s="54"/>
      <c r="R2006" s="54"/>
      <c r="S2006" s="54"/>
      <c r="T2006" s="54"/>
      <c r="U2006" s="54"/>
      <c r="V2006" s="54"/>
      <c r="W2006" s="54"/>
      <c r="X2006" s="54"/>
      <c r="Y2006" s="54"/>
      <c r="Z2006" s="54"/>
      <c r="AA2006" s="54"/>
      <c r="AB2006" s="54"/>
      <c r="AC2006" s="54"/>
      <c r="AD2006" s="54"/>
      <c r="AE2006" s="54"/>
    </row>
    <row r="2007">
      <c r="A2007" s="80"/>
      <c r="B2007" s="80"/>
      <c r="C2007" s="80"/>
      <c r="D2007" s="59"/>
      <c r="E2007" s="59"/>
      <c r="F2007" s="83"/>
      <c r="G2007" s="76"/>
      <c r="H2007" s="76"/>
      <c r="I2007" s="76"/>
      <c r="J2007" s="93"/>
      <c r="K2007" s="93"/>
      <c r="L2007" s="82"/>
      <c r="M2007" s="54"/>
      <c r="N2007" s="54"/>
      <c r="O2007" s="54"/>
      <c r="P2007" s="54"/>
      <c r="Q2007" s="54"/>
      <c r="R2007" s="54"/>
      <c r="S2007" s="54"/>
      <c r="T2007" s="54"/>
      <c r="U2007" s="54"/>
      <c r="V2007" s="54"/>
      <c r="W2007" s="54"/>
      <c r="X2007" s="54"/>
      <c r="Y2007" s="54"/>
      <c r="Z2007" s="54"/>
      <c r="AA2007" s="54"/>
      <c r="AB2007" s="54"/>
      <c r="AC2007" s="54"/>
      <c r="AD2007" s="54"/>
      <c r="AE2007" s="54"/>
    </row>
    <row r="2008">
      <c r="A2008" s="80"/>
      <c r="B2008" s="80"/>
      <c r="C2008" s="80"/>
      <c r="D2008" s="59"/>
      <c r="E2008" s="59"/>
      <c r="F2008" s="83"/>
      <c r="G2008" s="76"/>
      <c r="H2008" s="76"/>
      <c r="I2008" s="76"/>
      <c r="J2008" s="93"/>
      <c r="K2008" s="93"/>
      <c r="L2008" s="82"/>
      <c r="M2008" s="54"/>
      <c r="N2008" s="54"/>
      <c r="O2008" s="54"/>
      <c r="P2008" s="54"/>
      <c r="Q2008" s="54"/>
      <c r="R2008" s="54"/>
      <c r="S2008" s="54"/>
      <c r="T2008" s="54"/>
      <c r="U2008" s="54"/>
      <c r="V2008" s="54"/>
      <c r="W2008" s="54"/>
      <c r="X2008" s="54"/>
      <c r="Y2008" s="54"/>
      <c r="Z2008" s="54"/>
      <c r="AA2008" s="54"/>
      <c r="AB2008" s="54"/>
      <c r="AC2008" s="54"/>
      <c r="AD2008" s="54"/>
      <c r="AE2008" s="54"/>
    </row>
    <row r="2009">
      <c r="A2009" s="80"/>
      <c r="B2009" s="80"/>
      <c r="C2009" s="80"/>
      <c r="D2009" s="59"/>
      <c r="E2009" s="59"/>
      <c r="F2009" s="83"/>
      <c r="G2009" s="76"/>
      <c r="H2009" s="76"/>
      <c r="I2009" s="76"/>
      <c r="J2009" s="93"/>
      <c r="K2009" s="93"/>
      <c r="L2009" s="82"/>
      <c r="M2009" s="54"/>
      <c r="N2009" s="54"/>
      <c r="O2009" s="54"/>
      <c r="P2009" s="54"/>
      <c r="Q2009" s="54"/>
      <c r="R2009" s="54"/>
      <c r="S2009" s="54"/>
      <c r="T2009" s="54"/>
      <c r="U2009" s="54"/>
      <c r="V2009" s="54"/>
      <c r="W2009" s="54"/>
      <c r="X2009" s="54"/>
      <c r="Y2009" s="54"/>
      <c r="Z2009" s="54"/>
      <c r="AA2009" s="54"/>
      <c r="AB2009" s="54"/>
      <c r="AC2009" s="54"/>
      <c r="AD2009" s="54"/>
      <c r="AE2009" s="54"/>
    </row>
    <row r="2010">
      <c r="A2010" s="80"/>
      <c r="B2010" s="80"/>
      <c r="C2010" s="80"/>
      <c r="D2010" s="59"/>
      <c r="E2010" s="59"/>
      <c r="F2010" s="83"/>
      <c r="G2010" s="76"/>
      <c r="H2010" s="76"/>
      <c r="I2010" s="76"/>
      <c r="J2010" s="93"/>
      <c r="K2010" s="93"/>
      <c r="L2010" s="82"/>
      <c r="M2010" s="54"/>
      <c r="N2010" s="54"/>
      <c r="O2010" s="54"/>
      <c r="P2010" s="54"/>
      <c r="Q2010" s="54"/>
      <c r="R2010" s="54"/>
      <c r="S2010" s="54"/>
      <c r="T2010" s="54"/>
      <c r="U2010" s="54"/>
      <c r="V2010" s="54"/>
      <c r="W2010" s="54"/>
      <c r="X2010" s="54"/>
      <c r="Y2010" s="54"/>
      <c r="Z2010" s="54"/>
      <c r="AA2010" s="54"/>
      <c r="AB2010" s="54"/>
      <c r="AC2010" s="54"/>
      <c r="AD2010" s="54"/>
      <c r="AE2010" s="54"/>
    </row>
    <row r="2011">
      <c r="A2011" s="80"/>
      <c r="B2011" s="80"/>
      <c r="C2011" s="80"/>
      <c r="D2011" s="59"/>
      <c r="E2011" s="59"/>
      <c r="F2011" s="83"/>
      <c r="G2011" s="76"/>
      <c r="H2011" s="76"/>
      <c r="I2011" s="76"/>
      <c r="J2011" s="93"/>
      <c r="K2011" s="93"/>
      <c r="L2011" s="82"/>
      <c r="M2011" s="54"/>
      <c r="N2011" s="54"/>
      <c r="O2011" s="54"/>
      <c r="P2011" s="54"/>
      <c r="Q2011" s="54"/>
      <c r="R2011" s="54"/>
      <c r="S2011" s="54"/>
      <c r="T2011" s="54"/>
      <c r="U2011" s="54"/>
      <c r="V2011" s="54"/>
      <c r="W2011" s="54"/>
      <c r="X2011" s="54"/>
      <c r="Y2011" s="54"/>
      <c r="Z2011" s="54"/>
      <c r="AA2011" s="54"/>
      <c r="AB2011" s="54"/>
      <c r="AC2011" s="54"/>
      <c r="AD2011" s="54"/>
      <c r="AE2011" s="54"/>
    </row>
    <row r="2012">
      <c r="A2012" s="80"/>
      <c r="B2012" s="80"/>
      <c r="C2012" s="80"/>
      <c r="D2012" s="59"/>
      <c r="E2012" s="59"/>
      <c r="F2012" s="83"/>
      <c r="G2012" s="76"/>
      <c r="H2012" s="76"/>
      <c r="I2012" s="76"/>
      <c r="J2012" s="93"/>
      <c r="K2012" s="93"/>
      <c r="L2012" s="82"/>
      <c r="M2012" s="54"/>
      <c r="N2012" s="54"/>
      <c r="O2012" s="54"/>
      <c r="P2012" s="54"/>
      <c r="Q2012" s="54"/>
      <c r="R2012" s="54"/>
      <c r="S2012" s="54"/>
      <c r="T2012" s="54"/>
      <c r="U2012" s="54"/>
      <c r="V2012" s="54"/>
      <c r="W2012" s="54"/>
      <c r="X2012" s="54"/>
      <c r="Y2012" s="54"/>
      <c r="Z2012" s="54"/>
      <c r="AA2012" s="54"/>
      <c r="AB2012" s="54"/>
      <c r="AC2012" s="54"/>
      <c r="AD2012" s="54"/>
      <c r="AE2012" s="54"/>
    </row>
    <row r="2013">
      <c r="A2013" s="80"/>
      <c r="B2013" s="80"/>
      <c r="C2013" s="80"/>
      <c r="D2013" s="59"/>
      <c r="E2013" s="59"/>
      <c r="F2013" s="83"/>
      <c r="G2013" s="76"/>
      <c r="H2013" s="76"/>
      <c r="I2013" s="76"/>
      <c r="J2013" s="93"/>
      <c r="K2013" s="93"/>
      <c r="L2013" s="82"/>
      <c r="M2013" s="54"/>
      <c r="N2013" s="54"/>
      <c r="O2013" s="54"/>
      <c r="P2013" s="54"/>
      <c r="Q2013" s="54"/>
      <c r="R2013" s="54"/>
      <c r="S2013" s="54"/>
      <c r="T2013" s="54"/>
      <c r="U2013" s="54"/>
      <c r="V2013" s="54"/>
      <c r="W2013" s="54"/>
      <c r="X2013" s="54"/>
      <c r="Y2013" s="54"/>
      <c r="Z2013" s="54"/>
      <c r="AA2013" s="54"/>
      <c r="AB2013" s="54"/>
      <c r="AC2013" s="54"/>
      <c r="AD2013" s="54"/>
      <c r="AE2013" s="54"/>
    </row>
    <row r="2014">
      <c r="A2014" s="80"/>
      <c r="B2014" s="80"/>
      <c r="C2014" s="80"/>
      <c r="D2014" s="59"/>
      <c r="E2014" s="59"/>
      <c r="F2014" s="83"/>
      <c r="G2014" s="76"/>
      <c r="H2014" s="76"/>
      <c r="I2014" s="76"/>
      <c r="J2014" s="93"/>
      <c r="K2014" s="93"/>
      <c r="L2014" s="82"/>
      <c r="M2014" s="54"/>
      <c r="N2014" s="54"/>
      <c r="O2014" s="54"/>
      <c r="P2014" s="54"/>
      <c r="Q2014" s="54"/>
      <c r="R2014" s="54"/>
      <c r="S2014" s="54"/>
      <c r="T2014" s="54"/>
      <c r="U2014" s="54"/>
      <c r="V2014" s="54"/>
      <c r="W2014" s="54"/>
      <c r="X2014" s="54"/>
      <c r="Y2014" s="54"/>
      <c r="Z2014" s="54"/>
      <c r="AA2014" s="54"/>
      <c r="AB2014" s="54"/>
      <c r="AC2014" s="54"/>
      <c r="AD2014" s="54"/>
      <c r="AE2014" s="54"/>
    </row>
    <row r="2015">
      <c r="A2015" s="80"/>
      <c r="B2015" s="80"/>
      <c r="C2015" s="80"/>
      <c r="D2015" s="59"/>
      <c r="E2015" s="59"/>
      <c r="F2015" s="83"/>
      <c r="G2015" s="76"/>
      <c r="H2015" s="76"/>
      <c r="I2015" s="76"/>
      <c r="J2015" s="93"/>
      <c r="K2015" s="93"/>
      <c r="L2015" s="82"/>
      <c r="M2015" s="54"/>
      <c r="N2015" s="54"/>
      <c r="O2015" s="54"/>
      <c r="P2015" s="54"/>
      <c r="Q2015" s="54"/>
      <c r="R2015" s="54"/>
      <c r="S2015" s="54"/>
      <c r="T2015" s="54"/>
      <c r="U2015" s="54"/>
      <c r="V2015" s="54"/>
      <c r="W2015" s="54"/>
      <c r="X2015" s="54"/>
      <c r="Y2015" s="54"/>
      <c r="Z2015" s="54"/>
      <c r="AA2015" s="54"/>
      <c r="AB2015" s="54"/>
      <c r="AC2015" s="54"/>
      <c r="AD2015" s="54"/>
      <c r="AE2015" s="54"/>
    </row>
    <row r="2016">
      <c r="A2016" s="80"/>
      <c r="B2016" s="80"/>
      <c r="C2016" s="80"/>
      <c r="D2016" s="59"/>
      <c r="E2016" s="59"/>
      <c r="F2016" s="83"/>
      <c r="G2016" s="76"/>
      <c r="H2016" s="76"/>
      <c r="I2016" s="76"/>
      <c r="J2016" s="93"/>
      <c r="K2016" s="93"/>
      <c r="L2016" s="82"/>
      <c r="M2016" s="54"/>
      <c r="N2016" s="54"/>
      <c r="O2016" s="54"/>
      <c r="P2016" s="54"/>
      <c r="Q2016" s="54"/>
      <c r="R2016" s="54"/>
      <c r="S2016" s="54"/>
      <c r="T2016" s="54"/>
      <c r="U2016" s="54"/>
      <c r="V2016" s="54"/>
      <c r="W2016" s="54"/>
      <c r="X2016" s="54"/>
      <c r="Y2016" s="54"/>
      <c r="Z2016" s="54"/>
      <c r="AA2016" s="54"/>
      <c r="AB2016" s="54"/>
      <c r="AC2016" s="54"/>
      <c r="AD2016" s="54"/>
      <c r="AE2016" s="54"/>
    </row>
    <row r="2017">
      <c r="A2017" s="80"/>
      <c r="B2017" s="80"/>
      <c r="C2017" s="80"/>
      <c r="D2017" s="59"/>
      <c r="E2017" s="59"/>
      <c r="F2017" s="83"/>
      <c r="G2017" s="76"/>
      <c r="H2017" s="76"/>
      <c r="I2017" s="76"/>
      <c r="J2017" s="93"/>
      <c r="K2017" s="93"/>
      <c r="L2017" s="82"/>
      <c r="M2017" s="54"/>
      <c r="N2017" s="54"/>
      <c r="O2017" s="54"/>
      <c r="P2017" s="54"/>
      <c r="Q2017" s="54"/>
      <c r="R2017" s="54"/>
      <c r="S2017" s="54"/>
      <c r="T2017" s="54"/>
      <c r="U2017" s="54"/>
      <c r="V2017" s="54"/>
      <c r="W2017" s="54"/>
      <c r="X2017" s="54"/>
      <c r="Y2017" s="54"/>
      <c r="Z2017" s="54"/>
      <c r="AA2017" s="54"/>
      <c r="AB2017" s="54"/>
      <c r="AC2017" s="54"/>
      <c r="AD2017" s="54"/>
      <c r="AE2017" s="54"/>
    </row>
    <row r="2018">
      <c r="A2018" s="80"/>
      <c r="B2018" s="80"/>
      <c r="C2018" s="80"/>
      <c r="D2018" s="59"/>
      <c r="E2018" s="59"/>
      <c r="F2018" s="83"/>
      <c r="G2018" s="76"/>
      <c r="H2018" s="76"/>
      <c r="I2018" s="76"/>
      <c r="J2018" s="93"/>
      <c r="K2018" s="93"/>
      <c r="L2018" s="82"/>
      <c r="M2018" s="54"/>
      <c r="N2018" s="54"/>
      <c r="O2018" s="54"/>
      <c r="P2018" s="54"/>
      <c r="Q2018" s="54"/>
      <c r="R2018" s="54"/>
      <c r="S2018" s="54"/>
      <c r="T2018" s="54"/>
      <c r="U2018" s="54"/>
      <c r="V2018" s="54"/>
      <c r="W2018" s="54"/>
      <c r="X2018" s="54"/>
      <c r="Y2018" s="54"/>
      <c r="Z2018" s="54"/>
      <c r="AA2018" s="54"/>
      <c r="AB2018" s="54"/>
      <c r="AC2018" s="54"/>
      <c r="AD2018" s="54"/>
      <c r="AE2018" s="54"/>
    </row>
    <row r="2019">
      <c r="A2019" s="80"/>
      <c r="B2019" s="80"/>
      <c r="C2019" s="80"/>
      <c r="D2019" s="59"/>
      <c r="E2019" s="59"/>
      <c r="F2019" s="83"/>
      <c r="G2019" s="76"/>
      <c r="H2019" s="76"/>
      <c r="I2019" s="76"/>
      <c r="J2019" s="93"/>
      <c r="K2019" s="93"/>
      <c r="L2019" s="82"/>
      <c r="M2019" s="54"/>
      <c r="N2019" s="54"/>
      <c r="O2019" s="54"/>
      <c r="P2019" s="54"/>
      <c r="Q2019" s="54"/>
      <c r="R2019" s="54"/>
      <c r="S2019" s="54"/>
      <c r="T2019" s="54"/>
      <c r="U2019" s="54"/>
      <c r="V2019" s="54"/>
      <c r="W2019" s="54"/>
      <c r="X2019" s="54"/>
      <c r="Y2019" s="54"/>
      <c r="Z2019" s="54"/>
      <c r="AA2019" s="54"/>
      <c r="AB2019" s="54"/>
      <c r="AC2019" s="54"/>
      <c r="AD2019" s="54"/>
      <c r="AE2019" s="54"/>
    </row>
    <row r="2020">
      <c r="A2020" s="80"/>
      <c r="B2020" s="80"/>
      <c r="C2020" s="80"/>
      <c r="D2020" s="59"/>
      <c r="E2020" s="59"/>
      <c r="F2020" s="83"/>
      <c r="G2020" s="76"/>
      <c r="H2020" s="76"/>
      <c r="I2020" s="76"/>
      <c r="J2020" s="93"/>
      <c r="K2020" s="93"/>
      <c r="L2020" s="82"/>
      <c r="M2020" s="54"/>
      <c r="N2020" s="54"/>
      <c r="O2020" s="54"/>
      <c r="P2020" s="54"/>
      <c r="Q2020" s="54"/>
      <c r="R2020" s="54"/>
      <c r="S2020" s="54"/>
      <c r="T2020" s="54"/>
      <c r="U2020" s="54"/>
      <c r="V2020" s="54"/>
      <c r="W2020" s="54"/>
      <c r="X2020" s="54"/>
      <c r="Y2020" s="54"/>
      <c r="Z2020" s="54"/>
      <c r="AA2020" s="54"/>
      <c r="AB2020" s="54"/>
      <c r="AC2020" s="54"/>
      <c r="AD2020" s="54"/>
      <c r="AE2020" s="54"/>
    </row>
    <row r="2021">
      <c r="A2021" s="80"/>
      <c r="B2021" s="80"/>
      <c r="C2021" s="80"/>
      <c r="D2021" s="59"/>
      <c r="E2021" s="59"/>
      <c r="F2021" s="83"/>
      <c r="G2021" s="76"/>
      <c r="H2021" s="76"/>
      <c r="I2021" s="76"/>
      <c r="J2021" s="93"/>
      <c r="K2021" s="93"/>
      <c r="L2021" s="82"/>
      <c r="M2021" s="54"/>
      <c r="N2021" s="54"/>
      <c r="O2021" s="54"/>
      <c r="P2021" s="54"/>
      <c r="Q2021" s="54"/>
      <c r="R2021" s="54"/>
      <c r="S2021" s="54"/>
      <c r="T2021" s="54"/>
      <c r="U2021" s="54"/>
      <c r="V2021" s="54"/>
      <c r="W2021" s="54"/>
      <c r="X2021" s="54"/>
      <c r="Y2021" s="54"/>
      <c r="Z2021" s="54"/>
      <c r="AA2021" s="54"/>
      <c r="AB2021" s="54"/>
      <c r="AC2021" s="54"/>
      <c r="AD2021" s="54"/>
      <c r="AE2021" s="54"/>
    </row>
    <row r="2022">
      <c r="A2022" s="80"/>
      <c r="B2022" s="80"/>
      <c r="C2022" s="80"/>
      <c r="D2022" s="59"/>
      <c r="E2022" s="59"/>
      <c r="F2022" s="83"/>
      <c r="G2022" s="76"/>
      <c r="H2022" s="76"/>
      <c r="I2022" s="76"/>
      <c r="J2022" s="93"/>
      <c r="K2022" s="93"/>
      <c r="L2022" s="82"/>
      <c r="M2022" s="54"/>
      <c r="N2022" s="54"/>
      <c r="O2022" s="54"/>
      <c r="P2022" s="54"/>
      <c r="Q2022" s="54"/>
      <c r="R2022" s="54"/>
      <c r="S2022" s="54"/>
      <c r="T2022" s="54"/>
      <c r="U2022" s="54"/>
      <c r="V2022" s="54"/>
      <c r="W2022" s="54"/>
      <c r="X2022" s="54"/>
      <c r="Y2022" s="54"/>
      <c r="Z2022" s="54"/>
      <c r="AA2022" s="54"/>
      <c r="AB2022" s="54"/>
      <c r="AC2022" s="54"/>
      <c r="AD2022" s="54"/>
      <c r="AE2022" s="54"/>
    </row>
    <row r="2023">
      <c r="A2023" s="80"/>
      <c r="B2023" s="80"/>
      <c r="C2023" s="80"/>
      <c r="D2023" s="59"/>
      <c r="E2023" s="59"/>
      <c r="F2023" s="83"/>
      <c r="G2023" s="76"/>
      <c r="H2023" s="76"/>
      <c r="I2023" s="76"/>
      <c r="J2023" s="93"/>
      <c r="K2023" s="93"/>
      <c r="L2023" s="82"/>
      <c r="M2023" s="54"/>
      <c r="N2023" s="54"/>
      <c r="O2023" s="54"/>
      <c r="P2023" s="54"/>
      <c r="Q2023" s="54"/>
      <c r="R2023" s="54"/>
      <c r="S2023" s="54"/>
      <c r="T2023" s="54"/>
      <c r="U2023" s="54"/>
      <c r="V2023" s="54"/>
      <c r="W2023" s="54"/>
      <c r="X2023" s="54"/>
      <c r="Y2023" s="54"/>
      <c r="Z2023" s="54"/>
      <c r="AA2023" s="54"/>
      <c r="AB2023" s="54"/>
      <c r="AC2023" s="54"/>
      <c r="AD2023" s="54"/>
      <c r="AE2023" s="54"/>
    </row>
    <row r="2024">
      <c r="A2024" s="80"/>
      <c r="B2024" s="80"/>
      <c r="C2024" s="80"/>
      <c r="D2024" s="59"/>
      <c r="E2024" s="59"/>
      <c r="F2024" s="83"/>
      <c r="G2024" s="76"/>
      <c r="H2024" s="76"/>
      <c r="I2024" s="76"/>
      <c r="J2024" s="93"/>
      <c r="K2024" s="93"/>
      <c r="L2024" s="82"/>
      <c r="M2024" s="54"/>
      <c r="N2024" s="54"/>
      <c r="O2024" s="54"/>
      <c r="P2024" s="54"/>
      <c r="Q2024" s="54"/>
      <c r="R2024" s="54"/>
      <c r="S2024" s="54"/>
      <c r="T2024" s="54"/>
      <c r="U2024" s="54"/>
      <c r="V2024" s="54"/>
      <c r="W2024" s="54"/>
      <c r="X2024" s="54"/>
      <c r="Y2024" s="54"/>
      <c r="Z2024" s="54"/>
      <c r="AA2024" s="54"/>
      <c r="AB2024" s="54"/>
      <c r="AC2024" s="54"/>
      <c r="AD2024" s="54"/>
      <c r="AE2024" s="54"/>
    </row>
    <row r="2025">
      <c r="A2025" s="80"/>
      <c r="B2025" s="80"/>
      <c r="C2025" s="80"/>
      <c r="D2025" s="59"/>
      <c r="E2025" s="59"/>
      <c r="F2025" s="83"/>
      <c r="G2025" s="76"/>
      <c r="H2025" s="76"/>
      <c r="I2025" s="76"/>
      <c r="J2025" s="93"/>
      <c r="K2025" s="93"/>
      <c r="L2025" s="82"/>
      <c r="M2025" s="54"/>
      <c r="N2025" s="54"/>
      <c r="O2025" s="54"/>
      <c r="P2025" s="54"/>
      <c r="Q2025" s="54"/>
      <c r="R2025" s="54"/>
      <c r="S2025" s="54"/>
      <c r="T2025" s="54"/>
      <c r="U2025" s="54"/>
      <c r="V2025" s="54"/>
      <c r="W2025" s="54"/>
      <c r="X2025" s="54"/>
      <c r="Y2025" s="54"/>
      <c r="Z2025" s="54"/>
      <c r="AA2025" s="54"/>
      <c r="AB2025" s="54"/>
      <c r="AC2025" s="54"/>
      <c r="AD2025" s="54"/>
      <c r="AE2025" s="54"/>
    </row>
    <row r="2026">
      <c r="A2026" s="80"/>
      <c r="B2026" s="80"/>
      <c r="C2026" s="80"/>
      <c r="D2026" s="59"/>
      <c r="E2026" s="59"/>
      <c r="F2026" s="83"/>
      <c r="G2026" s="76"/>
      <c r="H2026" s="76"/>
      <c r="I2026" s="76"/>
      <c r="J2026" s="93"/>
      <c r="K2026" s="93"/>
      <c r="L2026" s="82"/>
      <c r="M2026" s="54"/>
      <c r="N2026" s="54"/>
      <c r="O2026" s="54"/>
      <c r="P2026" s="54"/>
      <c r="Q2026" s="54"/>
      <c r="R2026" s="54"/>
      <c r="S2026" s="54"/>
      <c r="T2026" s="54"/>
      <c r="U2026" s="54"/>
      <c r="V2026" s="54"/>
      <c r="W2026" s="54"/>
      <c r="X2026" s="54"/>
      <c r="Y2026" s="54"/>
      <c r="Z2026" s="54"/>
      <c r="AA2026" s="54"/>
      <c r="AB2026" s="54"/>
      <c r="AC2026" s="54"/>
      <c r="AD2026" s="54"/>
      <c r="AE2026" s="54"/>
    </row>
    <row r="2027">
      <c r="A2027" s="80"/>
      <c r="B2027" s="80"/>
      <c r="C2027" s="80"/>
      <c r="D2027" s="59"/>
      <c r="E2027" s="59"/>
      <c r="F2027" s="83"/>
      <c r="G2027" s="76"/>
      <c r="H2027" s="76"/>
      <c r="I2027" s="76"/>
      <c r="J2027" s="93"/>
      <c r="K2027" s="93"/>
      <c r="L2027" s="82"/>
      <c r="M2027" s="54"/>
      <c r="N2027" s="54"/>
      <c r="O2027" s="54"/>
      <c r="P2027" s="54"/>
      <c r="Q2027" s="54"/>
      <c r="R2027" s="54"/>
      <c r="S2027" s="54"/>
      <c r="T2027" s="54"/>
      <c r="U2027" s="54"/>
      <c r="V2027" s="54"/>
      <c r="W2027" s="54"/>
      <c r="X2027" s="54"/>
      <c r="Y2027" s="54"/>
      <c r="Z2027" s="54"/>
      <c r="AA2027" s="54"/>
      <c r="AB2027" s="54"/>
      <c r="AC2027" s="54"/>
      <c r="AD2027" s="54"/>
      <c r="AE2027" s="54"/>
    </row>
    <row r="2028">
      <c r="A2028" s="80"/>
      <c r="B2028" s="80"/>
      <c r="C2028" s="80"/>
      <c r="D2028" s="59"/>
      <c r="E2028" s="59"/>
      <c r="F2028" s="83"/>
      <c r="G2028" s="76"/>
      <c r="H2028" s="76"/>
      <c r="I2028" s="76"/>
      <c r="J2028" s="93"/>
      <c r="K2028" s="93"/>
      <c r="L2028" s="82"/>
      <c r="M2028" s="54"/>
      <c r="N2028" s="54"/>
      <c r="O2028" s="54"/>
      <c r="P2028" s="54"/>
      <c r="Q2028" s="54"/>
      <c r="R2028" s="54"/>
      <c r="S2028" s="54"/>
      <c r="T2028" s="54"/>
      <c r="U2028" s="54"/>
      <c r="V2028" s="54"/>
      <c r="W2028" s="54"/>
      <c r="X2028" s="54"/>
      <c r="Y2028" s="54"/>
      <c r="Z2028" s="54"/>
      <c r="AA2028" s="54"/>
      <c r="AB2028" s="54"/>
      <c r="AC2028" s="54"/>
      <c r="AD2028" s="54"/>
      <c r="AE2028" s="54"/>
    </row>
    <row r="2029">
      <c r="A2029" s="80"/>
      <c r="B2029" s="80"/>
      <c r="C2029" s="80"/>
      <c r="D2029" s="59"/>
      <c r="E2029" s="59"/>
      <c r="F2029" s="83"/>
      <c r="G2029" s="76"/>
      <c r="H2029" s="76"/>
      <c r="I2029" s="76"/>
      <c r="J2029" s="93"/>
      <c r="K2029" s="93"/>
      <c r="L2029" s="82"/>
      <c r="M2029" s="54"/>
      <c r="N2029" s="54"/>
      <c r="O2029" s="54"/>
      <c r="P2029" s="54"/>
      <c r="Q2029" s="54"/>
      <c r="R2029" s="54"/>
      <c r="S2029" s="54"/>
      <c r="T2029" s="54"/>
      <c r="U2029" s="54"/>
      <c r="V2029" s="54"/>
      <c r="W2029" s="54"/>
      <c r="X2029" s="54"/>
      <c r="Y2029" s="54"/>
      <c r="Z2029" s="54"/>
      <c r="AA2029" s="54"/>
      <c r="AB2029" s="54"/>
      <c r="AC2029" s="54"/>
      <c r="AD2029" s="54"/>
      <c r="AE2029" s="54"/>
    </row>
    <row r="2030">
      <c r="A2030" s="80"/>
      <c r="B2030" s="80"/>
      <c r="C2030" s="80"/>
      <c r="D2030" s="59"/>
      <c r="E2030" s="59"/>
      <c r="F2030" s="83"/>
      <c r="G2030" s="76"/>
      <c r="H2030" s="76"/>
      <c r="I2030" s="76"/>
      <c r="J2030" s="93"/>
      <c r="K2030" s="93"/>
      <c r="L2030" s="82"/>
      <c r="M2030" s="54"/>
      <c r="N2030" s="54"/>
      <c r="O2030" s="54"/>
      <c r="P2030" s="54"/>
      <c r="Q2030" s="54"/>
      <c r="R2030" s="54"/>
      <c r="S2030" s="54"/>
      <c r="T2030" s="54"/>
      <c r="U2030" s="54"/>
      <c r="V2030" s="54"/>
      <c r="W2030" s="54"/>
      <c r="X2030" s="54"/>
      <c r="Y2030" s="54"/>
      <c r="Z2030" s="54"/>
      <c r="AA2030" s="54"/>
      <c r="AB2030" s="54"/>
      <c r="AC2030" s="54"/>
      <c r="AD2030" s="54"/>
      <c r="AE2030" s="54"/>
    </row>
    <row r="2031">
      <c r="A2031" s="80"/>
      <c r="B2031" s="80"/>
      <c r="C2031" s="80"/>
      <c r="D2031" s="59"/>
      <c r="E2031" s="59"/>
      <c r="F2031" s="83"/>
      <c r="G2031" s="76"/>
      <c r="H2031" s="76"/>
      <c r="I2031" s="76"/>
      <c r="J2031" s="93"/>
      <c r="K2031" s="93"/>
      <c r="L2031" s="82"/>
      <c r="M2031" s="54"/>
      <c r="N2031" s="54"/>
      <c r="O2031" s="54"/>
      <c r="P2031" s="54"/>
      <c r="Q2031" s="54"/>
      <c r="R2031" s="54"/>
      <c r="S2031" s="54"/>
      <c r="T2031" s="54"/>
      <c r="U2031" s="54"/>
      <c r="V2031" s="54"/>
      <c r="W2031" s="54"/>
      <c r="X2031" s="54"/>
      <c r="Y2031" s="54"/>
      <c r="Z2031" s="54"/>
      <c r="AA2031" s="54"/>
      <c r="AB2031" s="54"/>
      <c r="AC2031" s="54"/>
      <c r="AD2031" s="54"/>
      <c r="AE2031" s="54"/>
    </row>
    <row r="2032">
      <c r="A2032" s="80"/>
      <c r="B2032" s="80"/>
      <c r="C2032" s="80"/>
      <c r="D2032" s="59"/>
      <c r="E2032" s="59"/>
      <c r="F2032" s="83"/>
      <c r="G2032" s="76"/>
      <c r="H2032" s="76"/>
      <c r="I2032" s="76"/>
      <c r="J2032" s="93"/>
      <c r="K2032" s="93"/>
      <c r="L2032" s="82"/>
      <c r="M2032" s="54"/>
      <c r="N2032" s="54"/>
      <c r="O2032" s="54"/>
      <c r="P2032" s="54"/>
      <c r="Q2032" s="54"/>
      <c r="R2032" s="54"/>
      <c r="S2032" s="54"/>
      <c r="T2032" s="54"/>
      <c r="U2032" s="54"/>
      <c r="V2032" s="54"/>
      <c r="W2032" s="54"/>
      <c r="X2032" s="54"/>
      <c r="Y2032" s="54"/>
      <c r="Z2032" s="54"/>
      <c r="AA2032" s="54"/>
      <c r="AB2032" s="54"/>
      <c r="AC2032" s="54"/>
      <c r="AD2032" s="54"/>
      <c r="AE2032" s="54"/>
    </row>
    <row r="2033">
      <c r="A2033" s="80"/>
      <c r="B2033" s="80"/>
      <c r="C2033" s="80"/>
      <c r="D2033" s="59"/>
      <c r="E2033" s="59"/>
      <c r="F2033" s="83"/>
      <c r="G2033" s="76"/>
      <c r="H2033" s="76"/>
      <c r="I2033" s="76"/>
      <c r="J2033" s="93"/>
      <c r="K2033" s="93"/>
      <c r="L2033" s="82"/>
      <c r="M2033" s="54"/>
      <c r="N2033" s="54"/>
      <c r="O2033" s="54"/>
      <c r="P2033" s="54"/>
      <c r="Q2033" s="54"/>
      <c r="R2033" s="54"/>
      <c r="S2033" s="54"/>
      <c r="T2033" s="54"/>
      <c r="U2033" s="54"/>
      <c r="V2033" s="54"/>
      <c r="W2033" s="54"/>
      <c r="X2033" s="54"/>
      <c r="Y2033" s="54"/>
      <c r="Z2033" s="54"/>
      <c r="AA2033" s="54"/>
      <c r="AB2033" s="54"/>
      <c r="AC2033" s="54"/>
      <c r="AD2033" s="54"/>
      <c r="AE2033" s="54"/>
    </row>
    <row r="2034">
      <c r="A2034" s="80"/>
      <c r="B2034" s="80"/>
      <c r="C2034" s="80"/>
      <c r="D2034" s="59"/>
      <c r="E2034" s="59"/>
      <c r="F2034" s="83"/>
      <c r="G2034" s="76"/>
      <c r="H2034" s="76"/>
      <c r="I2034" s="76"/>
      <c r="J2034" s="93"/>
      <c r="K2034" s="93"/>
      <c r="L2034" s="82"/>
      <c r="M2034" s="54"/>
      <c r="N2034" s="54"/>
      <c r="O2034" s="54"/>
      <c r="P2034" s="54"/>
      <c r="Q2034" s="54"/>
      <c r="R2034" s="54"/>
      <c r="S2034" s="54"/>
      <c r="T2034" s="54"/>
      <c r="U2034" s="54"/>
      <c r="V2034" s="54"/>
      <c r="W2034" s="54"/>
      <c r="X2034" s="54"/>
      <c r="Y2034" s="54"/>
      <c r="Z2034" s="54"/>
      <c r="AA2034" s="54"/>
      <c r="AB2034" s="54"/>
      <c r="AC2034" s="54"/>
      <c r="AD2034" s="54"/>
      <c r="AE2034" s="54"/>
    </row>
    <row r="2035">
      <c r="A2035" s="80"/>
      <c r="B2035" s="80"/>
      <c r="C2035" s="80"/>
      <c r="D2035" s="59"/>
      <c r="E2035" s="59"/>
      <c r="F2035" s="83"/>
      <c r="G2035" s="76"/>
      <c r="H2035" s="76"/>
      <c r="I2035" s="76"/>
      <c r="J2035" s="93"/>
      <c r="K2035" s="93"/>
      <c r="L2035" s="82"/>
      <c r="M2035" s="54"/>
      <c r="N2035" s="54"/>
      <c r="O2035" s="54"/>
      <c r="P2035" s="54"/>
      <c r="Q2035" s="54"/>
      <c r="R2035" s="54"/>
      <c r="S2035" s="54"/>
      <c r="T2035" s="54"/>
      <c r="U2035" s="54"/>
      <c r="V2035" s="54"/>
      <c r="W2035" s="54"/>
      <c r="X2035" s="54"/>
      <c r="Y2035" s="54"/>
      <c r="Z2035" s="54"/>
      <c r="AA2035" s="54"/>
      <c r="AB2035" s="54"/>
      <c r="AC2035" s="54"/>
      <c r="AD2035" s="54"/>
      <c r="AE2035" s="54"/>
    </row>
    <row r="2036">
      <c r="A2036" s="80"/>
      <c r="B2036" s="80"/>
      <c r="C2036" s="80"/>
      <c r="D2036" s="59"/>
      <c r="E2036" s="59"/>
      <c r="F2036" s="83"/>
      <c r="G2036" s="76"/>
      <c r="H2036" s="76"/>
      <c r="I2036" s="76"/>
      <c r="J2036" s="93"/>
      <c r="K2036" s="93"/>
      <c r="L2036" s="82"/>
      <c r="M2036" s="54"/>
      <c r="N2036" s="54"/>
      <c r="O2036" s="54"/>
      <c r="P2036" s="54"/>
      <c r="Q2036" s="54"/>
      <c r="R2036" s="54"/>
      <c r="S2036" s="54"/>
      <c r="T2036" s="54"/>
      <c r="U2036" s="54"/>
      <c r="V2036" s="54"/>
      <c r="W2036" s="54"/>
      <c r="X2036" s="54"/>
      <c r="Y2036" s="54"/>
      <c r="Z2036" s="54"/>
      <c r="AA2036" s="54"/>
      <c r="AB2036" s="54"/>
      <c r="AC2036" s="54"/>
      <c r="AD2036" s="54"/>
      <c r="AE2036" s="54"/>
    </row>
    <row r="2037">
      <c r="A2037" s="80"/>
      <c r="B2037" s="80"/>
      <c r="C2037" s="80"/>
      <c r="D2037" s="59"/>
      <c r="E2037" s="59"/>
      <c r="F2037" s="83"/>
      <c r="G2037" s="76"/>
      <c r="H2037" s="76"/>
      <c r="I2037" s="76"/>
      <c r="J2037" s="93"/>
      <c r="K2037" s="93"/>
      <c r="L2037" s="82"/>
      <c r="M2037" s="54"/>
      <c r="N2037" s="54"/>
      <c r="O2037" s="54"/>
      <c r="P2037" s="54"/>
      <c r="Q2037" s="54"/>
      <c r="R2037" s="54"/>
      <c r="S2037" s="54"/>
      <c r="T2037" s="54"/>
      <c r="U2037" s="54"/>
      <c r="V2037" s="54"/>
      <c r="W2037" s="54"/>
      <c r="X2037" s="54"/>
      <c r="Y2037" s="54"/>
      <c r="Z2037" s="54"/>
      <c r="AA2037" s="54"/>
      <c r="AB2037" s="54"/>
      <c r="AC2037" s="54"/>
      <c r="AD2037" s="54"/>
      <c r="AE2037" s="54"/>
    </row>
    <row r="2038">
      <c r="A2038" s="80"/>
      <c r="B2038" s="80"/>
      <c r="C2038" s="80"/>
      <c r="D2038" s="59"/>
      <c r="E2038" s="59"/>
      <c r="F2038" s="83"/>
      <c r="G2038" s="76"/>
      <c r="H2038" s="76"/>
      <c r="I2038" s="76"/>
      <c r="J2038" s="93"/>
      <c r="K2038" s="93"/>
      <c r="L2038" s="82"/>
      <c r="M2038" s="54"/>
      <c r="N2038" s="54"/>
      <c r="O2038" s="54"/>
      <c r="P2038" s="54"/>
      <c r="Q2038" s="54"/>
      <c r="R2038" s="54"/>
      <c r="S2038" s="54"/>
      <c r="T2038" s="54"/>
      <c r="U2038" s="54"/>
      <c r="V2038" s="54"/>
      <c r="W2038" s="54"/>
      <c r="X2038" s="54"/>
      <c r="Y2038" s="54"/>
      <c r="Z2038" s="54"/>
      <c r="AA2038" s="54"/>
      <c r="AB2038" s="54"/>
      <c r="AC2038" s="54"/>
      <c r="AD2038" s="54"/>
      <c r="AE2038" s="54"/>
    </row>
    <row r="2039">
      <c r="A2039" s="80"/>
      <c r="B2039" s="80"/>
      <c r="C2039" s="80"/>
      <c r="D2039" s="59"/>
      <c r="E2039" s="59"/>
      <c r="F2039" s="83"/>
      <c r="G2039" s="76"/>
      <c r="H2039" s="76"/>
      <c r="I2039" s="76"/>
      <c r="J2039" s="93"/>
      <c r="K2039" s="93"/>
      <c r="L2039" s="82"/>
      <c r="M2039" s="54"/>
      <c r="N2039" s="54"/>
      <c r="O2039" s="54"/>
      <c r="P2039" s="54"/>
      <c r="Q2039" s="54"/>
      <c r="R2039" s="54"/>
      <c r="S2039" s="54"/>
      <c r="T2039" s="54"/>
      <c r="U2039" s="54"/>
      <c r="V2039" s="54"/>
      <c r="W2039" s="54"/>
      <c r="X2039" s="54"/>
      <c r="Y2039" s="54"/>
      <c r="Z2039" s="54"/>
      <c r="AA2039" s="54"/>
      <c r="AB2039" s="54"/>
      <c r="AC2039" s="54"/>
      <c r="AD2039" s="54"/>
      <c r="AE2039" s="54"/>
    </row>
    <row r="2040">
      <c r="A2040" s="80"/>
      <c r="B2040" s="80"/>
      <c r="C2040" s="80"/>
      <c r="D2040" s="59"/>
      <c r="E2040" s="59"/>
      <c r="F2040" s="83"/>
      <c r="G2040" s="76"/>
      <c r="H2040" s="76"/>
      <c r="I2040" s="76"/>
      <c r="J2040" s="93"/>
      <c r="K2040" s="93"/>
      <c r="L2040" s="82"/>
      <c r="M2040" s="54"/>
      <c r="N2040" s="54"/>
      <c r="O2040" s="54"/>
      <c r="P2040" s="54"/>
      <c r="Q2040" s="54"/>
      <c r="R2040" s="54"/>
      <c r="S2040" s="54"/>
      <c r="T2040" s="54"/>
      <c r="U2040" s="54"/>
      <c r="V2040" s="54"/>
      <c r="W2040" s="54"/>
      <c r="X2040" s="54"/>
      <c r="Y2040" s="54"/>
      <c r="Z2040" s="54"/>
      <c r="AA2040" s="54"/>
      <c r="AB2040" s="54"/>
      <c r="AC2040" s="54"/>
      <c r="AD2040" s="54"/>
      <c r="AE2040" s="54"/>
    </row>
    <row r="2041">
      <c r="A2041" s="80"/>
      <c r="B2041" s="80"/>
      <c r="C2041" s="80"/>
      <c r="D2041" s="59"/>
      <c r="E2041" s="59"/>
      <c r="F2041" s="83"/>
      <c r="G2041" s="76"/>
      <c r="H2041" s="76"/>
      <c r="I2041" s="76"/>
      <c r="J2041" s="93"/>
      <c r="K2041" s="93"/>
      <c r="L2041" s="82"/>
      <c r="M2041" s="54"/>
      <c r="N2041" s="54"/>
      <c r="O2041" s="54"/>
      <c r="P2041" s="54"/>
      <c r="Q2041" s="54"/>
      <c r="R2041" s="54"/>
      <c r="S2041" s="54"/>
      <c r="T2041" s="54"/>
      <c r="U2041" s="54"/>
      <c r="V2041" s="54"/>
      <c r="W2041" s="54"/>
      <c r="X2041" s="54"/>
      <c r="Y2041" s="54"/>
      <c r="Z2041" s="54"/>
      <c r="AA2041" s="54"/>
      <c r="AB2041" s="54"/>
      <c r="AC2041" s="54"/>
      <c r="AD2041" s="54"/>
      <c r="AE2041" s="54"/>
    </row>
    <row r="2042">
      <c r="A2042" s="80"/>
      <c r="B2042" s="80"/>
      <c r="C2042" s="80"/>
      <c r="D2042" s="59"/>
      <c r="E2042" s="59"/>
      <c r="F2042" s="83"/>
      <c r="G2042" s="76"/>
      <c r="H2042" s="76"/>
      <c r="I2042" s="76"/>
      <c r="J2042" s="93"/>
      <c r="K2042" s="93"/>
      <c r="L2042" s="82"/>
      <c r="M2042" s="54"/>
      <c r="N2042" s="54"/>
      <c r="O2042" s="54"/>
      <c r="P2042" s="54"/>
      <c r="Q2042" s="54"/>
      <c r="R2042" s="54"/>
      <c r="S2042" s="54"/>
      <c r="T2042" s="54"/>
      <c r="U2042" s="54"/>
      <c r="V2042" s="54"/>
      <c r="W2042" s="54"/>
      <c r="X2042" s="54"/>
      <c r="Y2042" s="54"/>
      <c r="Z2042" s="54"/>
      <c r="AA2042" s="54"/>
      <c r="AB2042" s="54"/>
      <c r="AC2042" s="54"/>
      <c r="AD2042" s="54"/>
      <c r="AE2042" s="54"/>
    </row>
    <row r="2043">
      <c r="A2043" s="80"/>
      <c r="B2043" s="80"/>
      <c r="C2043" s="80"/>
      <c r="D2043" s="59"/>
      <c r="E2043" s="59"/>
      <c r="F2043" s="83"/>
      <c r="G2043" s="76"/>
      <c r="H2043" s="76"/>
      <c r="I2043" s="76"/>
      <c r="J2043" s="93"/>
      <c r="K2043" s="93"/>
      <c r="L2043" s="82"/>
      <c r="M2043" s="54"/>
      <c r="N2043" s="54"/>
      <c r="O2043" s="54"/>
      <c r="P2043" s="54"/>
      <c r="Q2043" s="54"/>
      <c r="R2043" s="54"/>
      <c r="S2043" s="54"/>
      <c r="T2043" s="54"/>
      <c r="U2043" s="54"/>
      <c r="V2043" s="54"/>
      <c r="W2043" s="54"/>
      <c r="X2043" s="54"/>
      <c r="Y2043" s="54"/>
      <c r="Z2043" s="54"/>
      <c r="AA2043" s="54"/>
      <c r="AB2043" s="54"/>
      <c r="AC2043" s="54"/>
      <c r="AD2043" s="54"/>
      <c r="AE2043" s="54"/>
    </row>
    <row r="2044">
      <c r="A2044" s="80"/>
      <c r="B2044" s="80"/>
      <c r="C2044" s="80"/>
      <c r="D2044" s="59"/>
      <c r="E2044" s="59"/>
      <c r="F2044" s="83"/>
      <c r="G2044" s="76"/>
      <c r="H2044" s="76"/>
      <c r="I2044" s="76"/>
      <c r="J2044" s="93"/>
      <c r="K2044" s="93"/>
      <c r="L2044" s="82"/>
      <c r="M2044" s="54"/>
      <c r="N2044" s="54"/>
      <c r="O2044" s="54"/>
      <c r="P2044" s="54"/>
      <c r="Q2044" s="54"/>
      <c r="R2044" s="54"/>
      <c r="S2044" s="54"/>
      <c r="T2044" s="54"/>
      <c r="U2044" s="54"/>
      <c r="V2044" s="54"/>
      <c r="W2044" s="54"/>
      <c r="X2044" s="54"/>
      <c r="Y2044" s="54"/>
      <c r="Z2044" s="54"/>
      <c r="AA2044" s="54"/>
      <c r="AB2044" s="54"/>
      <c r="AC2044" s="54"/>
      <c r="AD2044" s="54"/>
      <c r="AE2044" s="54"/>
    </row>
    <row r="2045">
      <c r="A2045" s="80"/>
      <c r="B2045" s="80"/>
      <c r="C2045" s="80"/>
      <c r="D2045" s="59"/>
      <c r="E2045" s="59"/>
      <c r="F2045" s="83"/>
      <c r="G2045" s="76"/>
      <c r="H2045" s="76"/>
      <c r="I2045" s="76"/>
      <c r="J2045" s="93"/>
      <c r="K2045" s="93"/>
      <c r="L2045" s="82"/>
      <c r="M2045" s="54"/>
      <c r="N2045" s="54"/>
      <c r="O2045" s="54"/>
      <c r="P2045" s="54"/>
      <c r="Q2045" s="54"/>
      <c r="R2045" s="54"/>
      <c r="S2045" s="54"/>
      <c r="T2045" s="54"/>
      <c r="U2045" s="54"/>
      <c r="V2045" s="54"/>
      <c r="W2045" s="54"/>
      <c r="X2045" s="54"/>
      <c r="Y2045" s="54"/>
      <c r="Z2045" s="54"/>
      <c r="AA2045" s="54"/>
      <c r="AB2045" s="54"/>
      <c r="AC2045" s="54"/>
      <c r="AD2045" s="54"/>
      <c r="AE2045" s="54"/>
    </row>
    <row r="2046">
      <c r="A2046" s="80"/>
      <c r="B2046" s="80"/>
      <c r="C2046" s="80"/>
      <c r="D2046" s="59"/>
      <c r="E2046" s="59"/>
      <c r="F2046" s="83"/>
      <c r="G2046" s="76"/>
      <c r="H2046" s="76"/>
      <c r="I2046" s="76"/>
      <c r="J2046" s="93"/>
      <c r="K2046" s="93"/>
      <c r="L2046" s="82"/>
      <c r="M2046" s="54"/>
      <c r="N2046" s="54"/>
      <c r="O2046" s="54"/>
      <c r="P2046" s="54"/>
      <c r="Q2046" s="54"/>
      <c r="R2046" s="54"/>
      <c r="S2046" s="54"/>
      <c r="T2046" s="54"/>
      <c r="U2046" s="54"/>
      <c r="V2046" s="54"/>
      <c r="W2046" s="54"/>
      <c r="X2046" s="54"/>
      <c r="Y2046" s="54"/>
      <c r="Z2046" s="54"/>
      <c r="AA2046" s="54"/>
      <c r="AB2046" s="54"/>
      <c r="AC2046" s="54"/>
      <c r="AD2046" s="54"/>
      <c r="AE2046" s="54"/>
    </row>
    <row r="2047">
      <c r="A2047" s="80"/>
      <c r="B2047" s="80"/>
      <c r="C2047" s="80"/>
      <c r="D2047" s="59"/>
      <c r="E2047" s="59"/>
      <c r="F2047" s="83"/>
      <c r="G2047" s="76"/>
      <c r="H2047" s="76"/>
      <c r="I2047" s="76"/>
      <c r="J2047" s="93"/>
      <c r="K2047" s="93"/>
      <c r="L2047" s="82"/>
      <c r="M2047" s="54"/>
      <c r="N2047" s="54"/>
      <c r="O2047" s="54"/>
      <c r="P2047" s="54"/>
      <c r="Q2047" s="54"/>
      <c r="R2047" s="54"/>
      <c r="S2047" s="54"/>
      <c r="T2047" s="54"/>
      <c r="U2047" s="54"/>
      <c r="V2047" s="54"/>
      <c r="W2047" s="54"/>
      <c r="X2047" s="54"/>
      <c r="Y2047" s="54"/>
      <c r="Z2047" s="54"/>
      <c r="AA2047" s="54"/>
      <c r="AB2047" s="54"/>
      <c r="AC2047" s="54"/>
      <c r="AD2047" s="54"/>
      <c r="AE2047" s="54"/>
    </row>
    <row r="2048">
      <c r="A2048" s="80"/>
      <c r="B2048" s="80"/>
      <c r="C2048" s="80"/>
      <c r="D2048" s="59"/>
      <c r="E2048" s="59"/>
      <c r="F2048" s="83"/>
      <c r="G2048" s="76"/>
      <c r="H2048" s="76"/>
      <c r="I2048" s="76"/>
      <c r="J2048" s="93"/>
      <c r="K2048" s="93"/>
      <c r="L2048" s="82"/>
      <c r="M2048" s="54"/>
      <c r="N2048" s="54"/>
      <c r="O2048" s="54"/>
      <c r="P2048" s="54"/>
      <c r="Q2048" s="54"/>
      <c r="R2048" s="54"/>
      <c r="S2048" s="54"/>
      <c r="T2048" s="54"/>
      <c r="U2048" s="54"/>
      <c r="V2048" s="54"/>
      <c r="W2048" s="54"/>
      <c r="X2048" s="54"/>
      <c r="Y2048" s="54"/>
      <c r="Z2048" s="54"/>
      <c r="AA2048" s="54"/>
      <c r="AB2048" s="54"/>
      <c r="AC2048" s="54"/>
      <c r="AD2048" s="54"/>
      <c r="AE2048" s="54"/>
    </row>
    <row r="2049">
      <c r="A2049" s="80"/>
      <c r="B2049" s="80"/>
      <c r="C2049" s="80"/>
      <c r="D2049" s="59"/>
      <c r="E2049" s="59"/>
      <c r="F2049" s="83"/>
      <c r="G2049" s="76"/>
      <c r="H2049" s="76"/>
      <c r="I2049" s="76"/>
      <c r="J2049" s="93"/>
      <c r="K2049" s="93"/>
      <c r="L2049" s="82"/>
      <c r="M2049" s="54"/>
      <c r="N2049" s="54"/>
      <c r="O2049" s="54"/>
      <c r="P2049" s="54"/>
      <c r="Q2049" s="54"/>
      <c r="R2049" s="54"/>
      <c r="S2049" s="54"/>
      <c r="T2049" s="54"/>
      <c r="U2049" s="54"/>
      <c r="V2049" s="54"/>
      <c r="W2049" s="54"/>
      <c r="X2049" s="54"/>
      <c r="Y2049" s="54"/>
      <c r="Z2049" s="54"/>
      <c r="AA2049" s="54"/>
      <c r="AB2049" s="54"/>
      <c r="AC2049" s="54"/>
      <c r="AD2049" s="54"/>
      <c r="AE2049" s="54"/>
    </row>
    <row r="2050">
      <c r="A2050" s="80"/>
      <c r="B2050" s="80"/>
      <c r="C2050" s="80"/>
      <c r="D2050" s="59"/>
      <c r="E2050" s="59"/>
      <c r="F2050" s="83"/>
      <c r="G2050" s="76"/>
      <c r="H2050" s="76"/>
      <c r="I2050" s="76"/>
      <c r="J2050" s="93"/>
      <c r="K2050" s="93"/>
      <c r="L2050" s="82"/>
      <c r="M2050" s="54"/>
      <c r="N2050" s="54"/>
      <c r="O2050" s="54"/>
      <c r="P2050" s="54"/>
      <c r="Q2050" s="54"/>
      <c r="R2050" s="54"/>
      <c r="S2050" s="54"/>
      <c r="T2050" s="54"/>
      <c r="U2050" s="54"/>
      <c r="V2050" s="54"/>
      <c r="W2050" s="54"/>
      <c r="X2050" s="54"/>
      <c r="Y2050" s="54"/>
      <c r="Z2050" s="54"/>
      <c r="AA2050" s="54"/>
      <c r="AB2050" s="54"/>
      <c r="AC2050" s="54"/>
      <c r="AD2050" s="54"/>
      <c r="AE2050" s="54"/>
    </row>
    <row r="2051">
      <c r="A2051" s="80"/>
      <c r="B2051" s="80"/>
      <c r="C2051" s="80"/>
      <c r="D2051" s="59"/>
      <c r="E2051" s="59"/>
      <c r="F2051" s="83"/>
      <c r="G2051" s="76"/>
      <c r="H2051" s="76"/>
      <c r="I2051" s="76"/>
      <c r="J2051" s="93"/>
      <c r="K2051" s="93"/>
      <c r="L2051" s="82"/>
      <c r="M2051" s="54"/>
      <c r="N2051" s="54"/>
      <c r="O2051" s="54"/>
      <c r="P2051" s="54"/>
      <c r="Q2051" s="54"/>
      <c r="R2051" s="54"/>
      <c r="S2051" s="54"/>
      <c r="T2051" s="54"/>
      <c r="U2051" s="54"/>
      <c r="V2051" s="54"/>
      <c r="W2051" s="54"/>
      <c r="X2051" s="54"/>
      <c r="Y2051" s="54"/>
      <c r="Z2051" s="54"/>
      <c r="AA2051" s="54"/>
      <c r="AB2051" s="54"/>
      <c r="AC2051" s="54"/>
      <c r="AD2051" s="54"/>
      <c r="AE2051" s="54"/>
    </row>
    <row r="2052">
      <c r="A2052" s="80"/>
      <c r="B2052" s="80"/>
      <c r="C2052" s="80"/>
      <c r="D2052" s="59"/>
      <c r="E2052" s="59"/>
      <c r="F2052" s="83"/>
      <c r="G2052" s="76"/>
      <c r="H2052" s="76"/>
      <c r="I2052" s="76"/>
      <c r="J2052" s="93"/>
      <c r="K2052" s="93"/>
      <c r="L2052" s="82"/>
      <c r="M2052" s="54"/>
      <c r="N2052" s="54"/>
      <c r="O2052" s="54"/>
      <c r="P2052" s="54"/>
      <c r="Q2052" s="54"/>
      <c r="R2052" s="54"/>
      <c r="S2052" s="54"/>
      <c r="T2052" s="54"/>
      <c r="U2052" s="54"/>
      <c r="V2052" s="54"/>
      <c r="W2052" s="54"/>
      <c r="X2052" s="54"/>
      <c r="Y2052" s="54"/>
      <c r="Z2052" s="54"/>
      <c r="AA2052" s="54"/>
      <c r="AB2052" s="54"/>
      <c r="AC2052" s="54"/>
      <c r="AD2052" s="54"/>
      <c r="AE2052" s="54"/>
    </row>
    <row r="2053">
      <c r="A2053" s="80"/>
      <c r="B2053" s="80"/>
      <c r="C2053" s="80"/>
      <c r="D2053" s="59"/>
      <c r="E2053" s="59"/>
      <c r="F2053" s="83"/>
      <c r="G2053" s="76"/>
      <c r="H2053" s="76"/>
      <c r="I2053" s="76"/>
      <c r="J2053" s="93"/>
      <c r="K2053" s="93"/>
      <c r="L2053" s="82"/>
      <c r="M2053" s="54"/>
      <c r="N2053" s="54"/>
      <c r="O2053" s="54"/>
      <c r="P2053" s="54"/>
      <c r="Q2053" s="54"/>
      <c r="R2053" s="54"/>
      <c r="S2053" s="54"/>
      <c r="T2053" s="54"/>
      <c r="U2053" s="54"/>
      <c r="V2053" s="54"/>
      <c r="W2053" s="54"/>
      <c r="X2053" s="54"/>
      <c r="Y2053" s="54"/>
      <c r="Z2053" s="54"/>
      <c r="AA2053" s="54"/>
      <c r="AB2053" s="54"/>
      <c r="AC2053" s="54"/>
      <c r="AD2053" s="54"/>
      <c r="AE2053" s="54"/>
    </row>
    <row r="2054">
      <c r="A2054" s="80"/>
      <c r="B2054" s="80"/>
      <c r="C2054" s="80"/>
      <c r="D2054" s="59"/>
      <c r="E2054" s="59"/>
      <c r="F2054" s="83"/>
      <c r="G2054" s="76"/>
      <c r="H2054" s="76"/>
      <c r="I2054" s="76"/>
      <c r="J2054" s="93"/>
      <c r="K2054" s="93"/>
      <c r="L2054" s="82"/>
      <c r="M2054" s="54"/>
      <c r="N2054" s="54"/>
      <c r="O2054" s="54"/>
      <c r="P2054" s="54"/>
      <c r="Q2054" s="54"/>
      <c r="R2054" s="54"/>
      <c r="S2054" s="54"/>
      <c r="T2054" s="54"/>
      <c r="U2054" s="54"/>
      <c r="V2054" s="54"/>
      <c r="W2054" s="54"/>
      <c r="X2054" s="54"/>
      <c r="Y2054" s="54"/>
      <c r="Z2054" s="54"/>
      <c r="AA2054" s="54"/>
      <c r="AB2054" s="54"/>
      <c r="AC2054" s="54"/>
      <c r="AD2054" s="54"/>
      <c r="AE2054" s="54"/>
    </row>
    <row r="2055">
      <c r="A2055" s="80"/>
      <c r="B2055" s="80"/>
      <c r="C2055" s="80"/>
      <c r="D2055" s="59"/>
      <c r="E2055" s="59"/>
      <c r="F2055" s="83"/>
      <c r="G2055" s="76"/>
      <c r="H2055" s="76"/>
      <c r="I2055" s="76"/>
      <c r="J2055" s="93"/>
      <c r="K2055" s="93"/>
      <c r="L2055" s="82"/>
      <c r="M2055" s="54"/>
      <c r="N2055" s="54"/>
      <c r="O2055" s="54"/>
      <c r="P2055" s="54"/>
      <c r="Q2055" s="54"/>
      <c r="R2055" s="54"/>
      <c r="S2055" s="54"/>
      <c r="T2055" s="54"/>
      <c r="U2055" s="54"/>
      <c r="V2055" s="54"/>
      <c r="W2055" s="54"/>
      <c r="X2055" s="54"/>
      <c r="Y2055" s="54"/>
      <c r="Z2055" s="54"/>
      <c r="AA2055" s="54"/>
      <c r="AB2055" s="54"/>
      <c r="AC2055" s="54"/>
      <c r="AD2055" s="54"/>
      <c r="AE2055" s="54"/>
    </row>
    <row r="2056">
      <c r="A2056" s="80"/>
      <c r="B2056" s="80"/>
      <c r="C2056" s="80"/>
      <c r="D2056" s="59"/>
      <c r="E2056" s="59"/>
      <c r="F2056" s="83"/>
      <c r="G2056" s="76"/>
      <c r="H2056" s="76"/>
      <c r="I2056" s="76"/>
      <c r="J2056" s="93"/>
      <c r="K2056" s="93"/>
      <c r="L2056" s="82"/>
      <c r="M2056" s="54"/>
      <c r="N2056" s="54"/>
      <c r="O2056" s="54"/>
      <c r="P2056" s="54"/>
      <c r="Q2056" s="54"/>
      <c r="R2056" s="54"/>
      <c r="S2056" s="54"/>
      <c r="T2056" s="54"/>
      <c r="U2056" s="54"/>
      <c r="V2056" s="54"/>
      <c r="W2056" s="54"/>
      <c r="X2056" s="54"/>
      <c r="Y2056" s="54"/>
      <c r="Z2056" s="54"/>
      <c r="AA2056" s="54"/>
      <c r="AB2056" s="54"/>
      <c r="AC2056" s="54"/>
      <c r="AD2056" s="54"/>
      <c r="AE2056" s="54"/>
    </row>
    <row r="2057">
      <c r="A2057" s="80"/>
      <c r="B2057" s="80"/>
      <c r="C2057" s="80"/>
      <c r="D2057" s="59"/>
      <c r="E2057" s="59"/>
      <c r="F2057" s="83"/>
      <c r="G2057" s="76"/>
      <c r="H2057" s="76"/>
      <c r="I2057" s="76"/>
      <c r="J2057" s="93"/>
      <c r="K2057" s="93"/>
      <c r="L2057" s="82"/>
      <c r="M2057" s="54"/>
      <c r="N2057" s="54"/>
      <c r="O2057" s="54"/>
      <c r="P2057" s="54"/>
      <c r="Q2057" s="54"/>
      <c r="R2057" s="54"/>
      <c r="S2057" s="54"/>
      <c r="T2057" s="54"/>
      <c r="U2057" s="54"/>
      <c r="V2057" s="54"/>
      <c r="W2057" s="54"/>
      <c r="X2057" s="54"/>
      <c r="Y2057" s="54"/>
      <c r="Z2057" s="54"/>
      <c r="AA2057" s="54"/>
      <c r="AB2057" s="54"/>
      <c r="AC2057" s="54"/>
      <c r="AD2057" s="54"/>
      <c r="AE2057" s="54"/>
    </row>
    <row r="2058">
      <c r="A2058" s="80"/>
      <c r="B2058" s="80"/>
      <c r="C2058" s="80"/>
      <c r="D2058" s="59"/>
      <c r="E2058" s="59"/>
      <c r="F2058" s="83"/>
      <c r="G2058" s="76"/>
      <c r="H2058" s="76"/>
      <c r="I2058" s="76"/>
      <c r="J2058" s="93"/>
      <c r="K2058" s="93"/>
      <c r="L2058" s="82"/>
      <c r="M2058" s="54"/>
      <c r="N2058" s="54"/>
      <c r="O2058" s="54"/>
      <c r="P2058" s="54"/>
      <c r="Q2058" s="54"/>
      <c r="R2058" s="54"/>
      <c r="S2058" s="54"/>
      <c r="T2058" s="54"/>
      <c r="U2058" s="54"/>
      <c r="V2058" s="54"/>
      <c r="W2058" s="54"/>
      <c r="X2058" s="54"/>
      <c r="Y2058" s="54"/>
      <c r="Z2058" s="54"/>
      <c r="AA2058" s="54"/>
      <c r="AB2058" s="54"/>
      <c r="AC2058" s="54"/>
      <c r="AD2058" s="54"/>
      <c r="AE2058" s="54"/>
    </row>
    <row r="2059">
      <c r="A2059" s="80"/>
      <c r="B2059" s="80"/>
      <c r="C2059" s="80"/>
      <c r="D2059" s="59"/>
      <c r="E2059" s="59"/>
      <c r="F2059" s="83"/>
      <c r="G2059" s="76"/>
      <c r="H2059" s="76"/>
      <c r="I2059" s="76"/>
      <c r="J2059" s="93"/>
      <c r="K2059" s="93"/>
      <c r="L2059" s="82"/>
      <c r="M2059" s="54"/>
      <c r="N2059" s="54"/>
      <c r="O2059" s="54"/>
      <c r="P2059" s="54"/>
      <c r="Q2059" s="54"/>
      <c r="R2059" s="54"/>
      <c r="S2059" s="54"/>
      <c r="T2059" s="54"/>
      <c r="U2059" s="54"/>
      <c r="V2059" s="54"/>
      <c r="W2059" s="54"/>
      <c r="X2059" s="54"/>
      <c r="Y2059" s="54"/>
      <c r="Z2059" s="54"/>
      <c r="AA2059" s="54"/>
      <c r="AB2059" s="54"/>
      <c r="AC2059" s="54"/>
      <c r="AD2059" s="54"/>
      <c r="AE2059" s="54"/>
    </row>
    <row r="2060">
      <c r="A2060" s="80"/>
      <c r="B2060" s="80"/>
      <c r="C2060" s="80"/>
      <c r="D2060" s="59"/>
      <c r="E2060" s="59"/>
      <c r="F2060" s="83"/>
      <c r="G2060" s="76"/>
      <c r="H2060" s="76"/>
      <c r="I2060" s="76"/>
      <c r="J2060" s="93"/>
      <c r="K2060" s="93"/>
      <c r="L2060" s="82"/>
      <c r="M2060" s="54"/>
      <c r="N2060" s="54"/>
      <c r="O2060" s="54"/>
      <c r="P2060" s="54"/>
      <c r="Q2060" s="54"/>
      <c r="R2060" s="54"/>
      <c r="S2060" s="54"/>
      <c r="T2060" s="54"/>
      <c r="U2060" s="54"/>
      <c r="V2060" s="54"/>
      <c r="W2060" s="54"/>
      <c r="X2060" s="54"/>
      <c r="Y2060" s="54"/>
      <c r="Z2060" s="54"/>
      <c r="AA2060" s="54"/>
      <c r="AB2060" s="54"/>
      <c r="AC2060" s="54"/>
      <c r="AD2060" s="54"/>
      <c r="AE2060" s="54"/>
    </row>
    <row r="2061">
      <c r="A2061" s="80"/>
      <c r="B2061" s="80"/>
      <c r="C2061" s="80"/>
      <c r="D2061" s="59"/>
      <c r="E2061" s="59"/>
      <c r="F2061" s="83"/>
      <c r="G2061" s="76"/>
      <c r="H2061" s="76"/>
      <c r="I2061" s="76"/>
      <c r="J2061" s="93"/>
      <c r="K2061" s="93"/>
      <c r="L2061" s="82"/>
      <c r="M2061" s="54"/>
      <c r="N2061" s="54"/>
      <c r="O2061" s="54"/>
      <c r="P2061" s="54"/>
      <c r="Q2061" s="54"/>
      <c r="R2061" s="54"/>
      <c r="S2061" s="54"/>
      <c r="T2061" s="54"/>
      <c r="U2061" s="54"/>
      <c r="V2061" s="54"/>
      <c r="W2061" s="54"/>
      <c r="X2061" s="54"/>
      <c r="Y2061" s="54"/>
      <c r="Z2061" s="54"/>
      <c r="AA2061" s="54"/>
      <c r="AB2061" s="54"/>
      <c r="AC2061" s="54"/>
      <c r="AD2061" s="54"/>
      <c r="AE2061" s="54"/>
    </row>
    <row r="2062">
      <c r="A2062" s="80"/>
      <c r="B2062" s="80"/>
      <c r="C2062" s="80"/>
      <c r="D2062" s="59"/>
      <c r="E2062" s="59"/>
      <c r="F2062" s="83"/>
      <c r="G2062" s="76"/>
      <c r="H2062" s="76"/>
      <c r="I2062" s="76"/>
      <c r="J2062" s="93"/>
      <c r="K2062" s="93"/>
      <c r="L2062" s="82"/>
      <c r="M2062" s="54"/>
      <c r="N2062" s="54"/>
      <c r="O2062" s="54"/>
      <c r="P2062" s="54"/>
      <c r="Q2062" s="54"/>
      <c r="R2062" s="54"/>
      <c r="S2062" s="54"/>
      <c r="T2062" s="54"/>
      <c r="U2062" s="54"/>
      <c r="V2062" s="54"/>
      <c r="W2062" s="54"/>
      <c r="X2062" s="54"/>
      <c r="Y2062" s="54"/>
      <c r="Z2062" s="54"/>
      <c r="AA2062" s="54"/>
      <c r="AB2062" s="54"/>
      <c r="AC2062" s="54"/>
      <c r="AD2062" s="54"/>
      <c r="AE2062" s="54"/>
    </row>
    <row r="2063">
      <c r="A2063" s="80"/>
      <c r="B2063" s="80"/>
      <c r="C2063" s="80"/>
      <c r="D2063" s="59"/>
      <c r="E2063" s="59"/>
      <c r="F2063" s="83"/>
      <c r="G2063" s="76"/>
      <c r="H2063" s="76"/>
      <c r="I2063" s="76"/>
      <c r="J2063" s="93"/>
      <c r="K2063" s="93"/>
      <c r="L2063" s="82"/>
      <c r="M2063" s="54"/>
      <c r="N2063" s="54"/>
      <c r="O2063" s="54"/>
      <c r="P2063" s="54"/>
      <c r="Q2063" s="54"/>
      <c r="R2063" s="54"/>
      <c r="S2063" s="54"/>
      <c r="T2063" s="54"/>
      <c r="U2063" s="54"/>
      <c r="V2063" s="54"/>
      <c r="W2063" s="54"/>
      <c r="X2063" s="54"/>
      <c r="Y2063" s="54"/>
      <c r="Z2063" s="54"/>
      <c r="AA2063" s="54"/>
      <c r="AB2063" s="54"/>
      <c r="AC2063" s="54"/>
      <c r="AD2063" s="54"/>
      <c r="AE2063" s="54"/>
    </row>
    <row r="2064">
      <c r="A2064" s="80"/>
      <c r="B2064" s="80"/>
      <c r="C2064" s="80"/>
      <c r="D2064" s="59"/>
      <c r="E2064" s="59"/>
      <c r="F2064" s="83"/>
      <c r="G2064" s="76"/>
      <c r="H2064" s="76"/>
      <c r="I2064" s="76"/>
      <c r="J2064" s="93"/>
      <c r="K2064" s="93"/>
      <c r="L2064" s="82"/>
      <c r="M2064" s="54"/>
      <c r="N2064" s="54"/>
      <c r="O2064" s="54"/>
      <c r="P2064" s="54"/>
      <c r="Q2064" s="54"/>
      <c r="R2064" s="54"/>
      <c r="S2064" s="54"/>
      <c r="T2064" s="54"/>
      <c r="U2064" s="54"/>
      <c r="V2064" s="54"/>
      <c r="W2064" s="54"/>
      <c r="X2064" s="54"/>
      <c r="Y2064" s="54"/>
      <c r="Z2064" s="54"/>
      <c r="AA2064" s="54"/>
      <c r="AB2064" s="54"/>
      <c r="AC2064" s="54"/>
      <c r="AD2064" s="54"/>
      <c r="AE2064" s="54"/>
    </row>
    <row r="2065">
      <c r="A2065" s="80"/>
      <c r="B2065" s="80"/>
      <c r="C2065" s="80"/>
      <c r="D2065" s="59"/>
      <c r="E2065" s="59"/>
      <c r="F2065" s="83"/>
      <c r="G2065" s="76"/>
      <c r="H2065" s="76"/>
      <c r="I2065" s="76"/>
      <c r="J2065" s="93"/>
      <c r="K2065" s="93"/>
      <c r="L2065" s="82"/>
      <c r="M2065" s="54"/>
      <c r="N2065" s="54"/>
      <c r="O2065" s="54"/>
      <c r="P2065" s="54"/>
      <c r="Q2065" s="54"/>
      <c r="R2065" s="54"/>
      <c r="S2065" s="54"/>
      <c r="T2065" s="54"/>
      <c r="U2065" s="54"/>
      <c r="V2065" s="54"/>
      <c r="W2065" s="54"/>
      <c r="X2065" s="54"/>
      <c r="Y2065" s="54"/>
      <c r="Z2065" s="54"/>
      <c r="AA2065" s="54"/>
      <c r="AB2065" s="54"/>
      <c r="AC2065" s="54"/>
      <c r="AD2065" s="54"/>
      <c r="AE2065" s="54"/>
    </row>
    <row r="2066">
      <c r="A2066" s="80"/>
      <c r="B2066" s="80"/>
      <c r="C2066" s="80"/>
      <c r="D2066" s="59"/>
      <c r="E2066" s="59"/>
      <c r="F2066" s="83"/>
      <c r="G2066" s="76"/>
      <c r="H2066" s="76"/>
      <c r="I2066" s="76"/>
      <c r="J2066" s="93"/>
      <c r="K2066" s="93"/>
      <c r="L2066" s="82"/>
      <c r="M2066" s="54"/>
      <c r="N2066" s="54"/>
      <c r="O2066" s="54"/>
      <c r="P2066" s="54"/>
      <c r="Q2066" s="54"/>
      <c r="R2066" s="54"/>
      <c r="S2066" s="54"/>
      <c r="T2066" s="54"/>
      <c r="U2066" s="54"/>
      <c r="V2066" s="54"/>
      <c r="W2066" s="54"/>
      <c r="X2066" s="54"/>
      <c r="Y2066" s="54"/>
      <c r="Z2066" s="54"/>
      <c r="AA2066" s="54"/>
      <c r="AB2066" s="54"/>
      <c r="AC2066" s="54"/>
      <c r="AD2066" s="54"/>
      <c r="AE2066" s="54"/>
    </row>
    <row r="2067">
      <c r="A2067" s="80"/>
      <c r="B2067" s="80"/>
      <c r="C2067" s="80"/>
      <c r="D2067" s="59"/>
      <c r="E2067" s="59"/>
      <c r="F2067" s="83"/>
      <c r="G2067" s="76"/>
      <c r="H2067" s="76"/>
      <c r="I2067" s="76"/>
      <c r="J2067" s="93"/>
      <c r="K2067" s="93"/>
      <c r="L2067" s="82"/>
      <c r="M2067" s="54"/>
      <c r="N2067" s="54"/>
      <c r="O2067" s="54"/>
      <c r="P2067" s="54"/>
      <c r="Q2067" s="54"/>
      <c r="R2067" s="54"/>
      <c r="S2067" s="54"/>
      <c r="T2067" s="54"/>
      <c r="U2067" s="54"/>
      <c r="V2067" s="54"/>
      <c r="W2067" s="54"/>
      <c r="X2067" s="54"/>
      <c r="Y2067" s="54"/>
      <c r="Z2067" s="54"/>
      <c r="AA2067" s="54"/>
      <c r="AB2067" s="54"/>
      <c r="AC2067" s="54"/>
      <c r="AD2067" s="54"/>
      <c r="AE2067" s="54"/>
    </row>
    <row r="2068">
      <c r="A2068" s="80"/>
      <c r="B2068" s="80"/>
      <c r="C2068" s="80"/>
      <c r="D2068" s="59"/>
      <c r="E2068" s="59"/>
      <c r="F2068" s="83"/>
      <c r="G2068" s="76"/>
      <c r="H2068" s="76"/>
      <c r="I2068" s="76"/>
      <c r="J2068" s="93"/>
      <c r="K2068" s="93"/>
      <c r="L2068" s="82"/>
      <c r="M2068" s="54"/>
      <c r="N2068" s="54"/>
      <c r="O2068" s="54"/>
      <c r="P2068" s="54"/>
      <c r="Q2068" s="54"/>
      <c r="R2068" s="54"/>
      <c r="S2068" s="54"/>
      <c r="T2068" s="54"/>
      <c r="U2068" s="54"/>
      <c r="V2068" s="54"/>
      <c r="W2068" s="54"/>
      <c r="X2068" s="54"/>
      <c r="Y2068" s="54"/>
      <c r="Z2068" s="54"/>
      <c r="AA2068" s="54"/>
      <c r="AB2068" s="54"/>
      <c r="AC2068" s="54"/>
      <c r="AD2068" s="54"/>
      <c r="AE2068" s="54"/>
    </row>
    <row r="2069">
      <c r="A2069" s="80"/>
      <c r="B2069" s="80"/>
      <c r="C2069" s="80"/>
      <c r="D2069" s="59"/>
      <c r="E2069" s="59"/>
      <c r="F2069" s="83"/>
      <c r="G2069" s="76"/>
      <c r="H2069" s="76"/>
      <c r="I2069" s="76"/>
      <c r="J2069" s="93"/>
      <c r="K2069" s="93"/>
      <c r="L2069" s="82"/>
      <c r="M2069" s="54"/>
      <c r="N2069" s="54"/>
      <c r="O2069" s="54"/>
      <c r="P2069" s="54"/>
      <c r="Q2069" s="54"/>
      <c r="R2069" s="54"/>
      <c r="S2069" s="54"/>
      <c r="T2069" s="54"/>
      <c r="U2069" s="54"/>
      <c r="V2069" s="54"/>
      <c r="W2069" s="54"/>
      <c r="X2069" s="54"/>
      <c r="Y2069" s="54"/>
      <c r="Z2069" s="54"/>
      <c r="AA2069" s="54"/>
      <c r="AB2069" s="54"/>
      <c r="AC2069" s="54"/>
      <c r="AD2069" s="54"/>
      <c r="AE2069" s="54"/>
    </row>
    <row r="2070">
      <c r="A2070" s="80"/>
      <c r="B2070" s="80"/>
      <c r="C2070" s="80"/>
      <c r="D2070" s="59"/>
      <c r="E2070" s="59"/>
      <c r="F2070" s="83"/>
      <c r="G2070" s="76"/>
      <c r="H2070" s="76"/>
      <c r="I2070" s="76"/>
      <c r="J2070" s="93"/>
      <c r="K2070" s="93"/>
      <c r="L2070" s="82"/>
      <c r="M2070" s="54"/>
      <c r="N2070" s="54"/>
      <c r="O2070" s="54"/>
      <c r="P2070" s="54"/>
      <c r="Q2070" s="54"/>
      <c r="R2070" s="54"/>
      <c r="S2070" s="54"/>
      <c r="T2070" s="54"/>
      <c r="U2070" s="54"/>
      <c r="V2070" s="54"/>
      <c r="W2070" s="54"/>
      <c r="X2070" s="54"/>
      <c r="Y2070" s="54"/>
      <c r="Z2070" s="54"/>
      <c r="AA2070" s="54"/>
      <c r="AB2070" s="54"/>
      <c r="AC2070" s="54"/>
      <c r="AD2070" s="54"/>
      <c r="AE2070" s="54"/>
    </row>
    <row r="2071">
      <c r="A2071" s="80"/>
      <c r="B2071" s="80"/>
      <c r="C2071" s="80"/>
      <c r="D2071" s="59"/>
      <c r="E2071" s="59"/>
      <c r="F2071" s="83"/>
      <c r="G2071" s="76"/>
      <c r="H2071" s="76"/>
      <c r="I2071" s="76"/>
      <c r="J2071" s="93"/>
      <c r="K2071" s="93"/>
      <c r="L2071" s="82"/>
      <c r="M2071" s="54"/>
      <c r="N2071" s="54"/>
      <c r="O2071" s="54"/>
      <c r="P2071" s="54"/>
      <c r="Q2071" s="54"/>
      <c r="R2071" s="54"/>
      <c r="S2071" s="54"/>
      <c r="T2071" s="54"/>
      <c r="U2071" s="54"/>
      <c r="V2071" s="54"/>
      <c r="W2071" s="54"/>
      <c r="X2071" s="54"/>
      <c r="Y2071" s="54"/>
      <c r="Z2071" s="54"/>
      <c r="AA2071" s="54"/>
      <c r="AB2071" s="54"/>
      <c r="AC2071" s="54"/>
      <c r="AD2071" s="54"/>
      <c r="AE2071" s="54"/>
    </row>
    <row r="2072">
      <c r="A2072" s="80"/>
      <c r="B2072" s="80"/>
      <c r="C2072" s="80"/>
      <c r="D2072" s="59"/>
      <c r="E2072" s="59"/>
      <c r="F2072" s="83"/>
      <c r="G2072" s="76"/>
      <c r="H2072" s="76"/>
      <c r="I2072" s="76"/>
      <c r="J2072" s="93"/>
      <c r="K2072" s="93"/>
      <c r="L2072" s="82"/>
      <c r="M2072" s="54"/>
      <c r="N2072" s="54"/>
      <c r="O2072" s="54"/>
      <c r="P2072" s="54"/>
      <c r="Q2072" s="54"/>
      <c r="R2072" s="54"/>
      <c r="S2072" s="54"/>
      <c r="T2072" s="54"/>
      <c r="U2072" s="54"/>
      <c r="V2072" s="54"/>
      <c r="W2072" s="54"/>
      <c r="X2072" s="54"/>
      <c r="Y2072" s="54"/>
      <c r="Z2072" s="54"/>
      <c r="AA2072" s="54"/>
      <c r="AB2072" s="54"/>
      <c r="AC2072" s="54"/>
      <c r="AD2072" s="54"/>
      <c r="AE2072" s="54"/>
    </row>
    <row r="2073">
      <c r="A2073" s="80"/>
      <c r="B2073" s="80"/>
      <c r="C2073" s="80"/>
      <c r="D2073" s="59"/>
      <c r="E2073" s="59"/>
      <c r="F2073" s="83"/>
      <c r="G2073" s="76"/>
      <c r="H2073" s="76"/>
      <c r="I2073" s="76"/>
      <c r="J2073" s="93"/>
      <c r="K2073" s="93"/>
      <c r="L2073" s="82"/>
      <c r="M2073" s="54"/>
      <c r="N2073" s="54"/>
      <c r="O2073" s="54"/>
      <c r="P2073" s="54"/>
      <c r="Q2073" s="54"/>
      <c r="R2073" s="54"/>
      <c r="S2073" s="54"/>
      <c r="T2073" s="54"/>
      <c r="U2073" s="54"/>
      <c r="V2073" s="54"/>
      <c r="W2073" s="54"/>
      <c r="X2073" s="54"/>
      <c r="Y2073" s="54"/>
      <c r="Z2073" s="54"/>
      <c r="AA2073" s="54"/>
      <c r="AB2073" s="54"/>
      <c r="AC2073" s="54"/>
      <c r="AD2073" s="54"/>
      <c r="AE2073" s="54"/>
    </row>
    <row r="2074">
      <c r="A2074" s="80"/>
      <c r="B2074" s="80"/>
      <c r="C2074" s="80"/>
      <c r="D2074" s="59"/>
      <c r="E2074" s="59"/>
      <c r="F2074" s="83"/>
      <c r="G2074" s="76"/>
      <c r="H2074" s="76"/>
      <c r="I2074" s="76"/>
      <c r="J2074" s="93"/>
      <c r="K2074" s="93"/>
      <c r="L2074" s="82"/>
      <c r="M2074" s="54"/>
      <c r="N2074" s="54"/>
      <c r="O2074" s="54"/>
      <c r="P2074" s="54"/>
      <c r="Q2074" s="54"/>
      <c r="R2074" s="54"/>
      <c r="S2074" s="54"/>
      <c r="T2074" s="54"/>
      <c r="U2074" s="54"/>
      <c r="V2074" s="54"/>
      <c r="W2074" s="54"/>
      <c r="X2074" s="54"/>
      <c r="Y2074" s="54"/>
      <c r="Z2074" s="54"/>
      <c r="AA2074" s="54"/>
      <c r="AB2074" s="54"/>
      <c r="AC2074" s="54"/>
      <c r="AD2074" s="54"/>
      <c r="AE2074" s="54"/>
    </row>
    <row r="2075">
      <c r="A2075" s="80"/>
      <c r="B2075" s="80"/>
      <c r="C2075" s="80"/>
      <c r="D2075" s="59"/>
      <c r="E2075" s="59"/>
      <c r="F2075" s="83"/>
      <c r="G2075" s="76"/>
      <c r="H2075" s="76"/>
      <c r="I2075" s="76"/>
      <c r="J2075" s="93"/>
      <c r="K2075" s="93"/>
      <c r="L2075" s="82"/>
      <c r="M2075" s="54"/>
      <c r="N2075" s="54"/>
      <c r="O2075" s="54"/>
      <c r="P2075" s="54"/>
      <c r="Q2075" s="54"/>
      <c r="R2075" s="54"/>
      <c r="S2075" s="54"/>
      <c r="T2075" s="54"/>
      <c r="U2075" s="54"/>
      <c r="V2075" s="54"/>
      <c r="W2075" s="54"/>
      <c r="X2075" s="54"/>
      <c r="Y2075" s="54"/>
      <c r="Z2075" s="54"/>
      <c r="AA2075" s="54"/>
      <c r="AB2075" s="54"/>
      <c r="AC2075" s="54"/>
      <c r="AD2075" s="54"/>
      <c r="AE2075" s="54"/>
    </row>
    <row r="2076">
      <c r="A2076" s="80"/>
      <c r="B2076" s="80"/>
      <c r="C2076" s="80"/>
      <c r="D2076" s="59"/>
      <c r="E2076" s="59"/>
      <c r="F2076" s="83"/>
      <c r="G2076" s="76"/>
      <c r="H2076" s="76"/>
      <c r="I2076" s="76"/>
      <c r="J2076" s="93"/>
      <c r="K2076" s="93"/>
      <c r="L2076" s="82"/>
      <c r="M2076" s="54"/>
      <c r="N2076" s="54"/>
      <c r="O2076" s="54"/>
      <c r="P2076" s="54"/>
      <c r="Q2076" s="54"/>
      <c r="R2076" s="54"/>
      <c r="S2076" s="54"/>
      <c r="T2076" s="54"/>
      <c r="U2076" s="54"/>
      <c r="V2076" s="54"/>
      <c r="W2076" s="54"/>
      <c r="X2076" s="54"/>
      <c r="Y2076" s="54"/>
      <c r="Z2076" s="54"/>
      <c r="AA2076" s="54"/>
      <c r="AB2076" s="54"/>
      <c r="AC2076" s="54"/>
      <c r="AD2076" s="54"/>
      <c r="AE2076" s="54"/>
    </row>
    <row r="2077">
      <c r="A2077" s="80"/>
      <c r="B2077" s="80"/>
      <c r="C2077" s="80"/>
      <c r="D2077" s="59"/>
      <c r="E2077" s="59"/>
      <c r="F2077" s="83"/>
      <c r="G2077" s="76"/>
      <c r="H2077" s="76"/>
      <c r="I2077" s="76"/>
      <c r="J2077" s="93"/>
      <c r="K2077" s="93"/>
      <c r="L2077" s="82"/>
      <c r="M2077" s="54"/>
      <c r="N2077" s="54"/>
      <c r="O2077" s="54"/>
      <c r="P2077" s="54"/>
      <c r="Q2077" s="54"/>
      <c r="R2077" s="54"/>
      <c r="S2077" s="54"/>
      <c r="T2077" s="54"/>
      <c r="U2077" s="54"/>
      <c r="V2077" s="54"/>
      <c r="W2077" s="54"/>
      <c r="X2077" s="54"/>
      <c r="Y2077" s="54"/>
      <c r="Z2077" s="54"/>
      <c r="AA2077" s="54"/>
      <c r="AB2077" s="54"/>
      <c r="AC2077" s="54"/>
      <c r="AD2077" s="54"/>
      <c r="AE2077" s="54"/>
    </row>
    <row r="2078">
      <c r="A2078" s="80"/>
      <c r="B2078" s="80"/>
      <c r="C2078" s="80"/>
      <c r="D2078" s="59"/>
      <c r="E2078" s="59"/>
      <c r="F2078" s="83"/>
      <c r="G2078" s="76"/>
      <c r="H2078" s="76"/>
      <c r="I2078" s="76"/>
      <c r="J2078" s="93"/>
      <c r="K2078" s="93"/>
      <c r="L2078" s="82"/>
      <c r="M2078" s="54"/>
      <c r="N2078" s="54"/>
      <c r="O2078" s="54"/>
      <c r="P2078" s="54"/>
      <c r="Q2078" s="54"/>
      <c r="R2078" s="54"/>
      <c r="S2078" s="54"/>
      <c r="T2078" s="54"/>
      <c r="U2078" s="54"/>
      <c r="V2078" s="54"/>
      <c r="W2078" s="54"/>
      <c r="X2078" s="54"/>
      <c r="Y2078" s="54"/>
      <c r="Z2078" s="54"/>
      <c r="AA2078" s="54"/>
      <c r="AB2078" s="54"/>
      <c r="AC2078" s="54"/>
      <c r="AD2078" s="54"/>
      <c r="AE2078" s="54"/>
    </row>
    <row r="2079">
      <c r="A2079" s="80"/>
      <c r="B2079" s="80"/>
      <c r="C2079" s="80"/>
      <c r="D2079" s="59"/>
      <c r="E2079" s="59"/>
      <c r="F2079" s="83"/>
      <c r="G2079" s="76"/>
      <c r="H2079" s="76"/>
      <c r="I2079" s="76"/>
      <c r="J2079" s="93"/>
      <c r="K2079" s="93"/>
      <c r="L2079" s="82"/>
      <c r="M2079" s="54"/>
      <c r="N2079" s="54"/>
      <c r="O2079" s="54"/>
      <c r="P2079" s="54"/>
      <c r="Q2079" s="54"/>
      <c r="R2079" s="54"/>
      <c r="S2079" s="54"/>
      <c r="T2079" s="54"/>
      <c r="U2079" s="54"/>
      <c r="V2079" s="54"/>
      <c r="W2079" s="54"/>
      <c r="X2079" s="54"/>
      <c r="Y2079" s="54"/>
      <c r="Z2079" s="54"/>
      <c r="AA2079" s="54"/>
      <c r="AB2079" s="54"/>
      <c r="AC2079" s="54"/>
      <c r="AD2079" s="54"/>
      <c r="AE2079" s="54"/>
    </row>
    <row r="2080">
      <c r="A2080" s="80"/>
      <c r="B2080" s="80"/>
      <c r="C2080" s="80"/>
      <c r="D2080" s="59"/>
      <c r="E2080" s="59"/>
      <c r="F2080" s="83"/>
      <c r="G2080" s="76"/>
      <c r="H2080" s="76"/>
      <c r="I2080" s="76"/>
      <c r="J2080" s="93"/>
      <c r="K2080" s="93"/>
      <c r="L2080" s="82"/>
      <c r="M2080" s="54"/>
      <c r="N2080" s="54"/>
      <c r="O2080" s="54"/>
      <c r="P2080" s="54"/>
      <c r="Q2080" s="54"/>
      <c r="R2080" s="54"/>
      <c r="S2080" s="54"/>
      <c r="T2080" s="54"/>
      <c r="U2080" s="54"/>
      <c r="V2080" s="54"/>
      <c r="W2080" s="54"/>
      <c r="X2080" s="54"/>
      <c r="Y2080" s="54"/>
      <c r="Z2080" s="54"/>
      <c r="AA2080" s="54"/>
      <c r="AB2080" s="54"/>
      <c r="AC2080" s="54"/>
      <c r="AD2080" s="54"/>
      <c r="AE2080" s="54"/>
    </row>
    <row r="2081">
      <c r="A2081" s="80"/>
      <c r="B2081" s="80"/>
      <c r="C2081" s="80"/>
      <c r="D2081" s="59"/>
      <c r="E2081" s="59"/>
      <c r="F2081" s="83"/>
      <c r="G2081" s="76"/>
      <c r="H2081" s="76"/>
      <c r="I2081" s="76"/>
      <c r="J2081" s="93"/>
      <c r="K2081" s="93"/>
      <c r="L2081" s="82"/>
      <c r="M2081" s="54"/>
      <c r="N2081" s="54"/>
      <c r="O2081" s="54"/>
      <c r="P2081" s="54"/>
      <c r="Q2081" s="54"/>
      <c r="R2081" s="54"/>
      <c r="S2081" s="54"/>
      <c r="T2081" s="54"/>
      <c r="U2081" s="54"/>
      <c r="V2081" s="54"/>
      <c r="W2081" s="54"/>
      <c r="X2081" s="54"/>
      <c r="Y2081" s="54"/>
      <c r="Z2081" s="54"/>
      <c r="AA2081" s="54"/>
      <c r="AB2081" s="54"/>
      <c r="AC2081" s="54"/>
      <c r="AD2081" s="54"/>
      <c r="AE2081" s="54"/>
    </row>
    <row r="2082">
      <c r="A2082" s="80"/>
      <c r="B2082" s="80"/>
      <c r="C2082" s="80"/>
      <c r="D2082" s="59"/>
      <c r="E2082" s="59"/>
      <c r="F2082" s="83"/>
      <c r="G2082" s="76"/>
      <c r="H2082" s="76"/>
      <c r="I2082" s="76"/>
      <c r="J2082" s="93"/>
      <c r="K2082" s="93"/>
      <c r="L2082" s="82"/>
      <c r="M2082" s="54"/>
      <c r="N2082" s="54"/>
      <c r="O2082" s="54"/>
      <c r="P2082" s="54"/>
      <c r="Q2082" s="54"/>
      <c r="R2082" s="54"/>
      <c r="S2082" s="54"/>
      <c r="T2082" s="54"/>
      <c r="U2082" s="54"/>
      <c r="V2082" s="54"/>
      <c r="W2082" s="54"/>
      <c r="X2082" s="54"/>
      <c r="Y2082" s="54"/>
      <c r="Z2082" s="54"/>
      <c r="AA2082" s="54"/>
      <c r="AB2082" s="54"/>
      <c r="AC2082" s="54"/>
      <c r="AD2082" s="54"/>
      <c r="AE2082" s="54"/>
    </row>
    <row r="2083">
      <c r="A2083" s="80"/>
      <c r="B2083" s="80"/>
      <c r="C2083" s="80"/>
      <c r="D2083" s="59"/>
      <c r="E2083" s="59"/>
      <c r="F2083" s="83"/>
      <c r="G2083" s="76"/>
      <c r="H2083" s="76"/>
      <c r="I2083" s="76"/>
      <c r="J2083" s="93"/>
      <c r="K2083" s="93"/>
      <c r="L2083" s="82"/>
      <c r="M2083" s="54"/>
      <c r="N2083" s="54"/>
      <c r="O2083" s="54"/>
      <c r="P2083" s="54"/>
      <c r="Q2083" s="54"/>
      <c r="R2083" s="54"/>
      <c r="S2083" s="54"/>
      <c r="T2083" s="54"/>
      <c r="U2083" s="54"/>
      <c r="V2083" s="54"/>
      <c r="W2083" s="54"/>
      <c r="X2083" s="54"/>
      <c r="Y2083" s="54"/>
      <c r="Z2083" s="54"/>
      <c r="AA2083" s="54"/>
      <c r="AB2083" s="54"/>
      <c r="AC2083" s="54"/>
      <c r="AD2083" s="54"/>
      <c r="AE2083" s="54"/>
    </row>
    <row r="2084">
      <c r="A2084" s="80"/>
      <c r="B2084" s="80"/>
      <c r="C2084" s="80"/>
      <c r="D2084" s="59"/>
      <c r="E2084" s="59"/>
      <c r="F2084" s="83"/>
      <c r="G2084" s="76"/>
      <c r="H2084" s="76"/>
      <c r="I2084" s="76"/>
      <c r="J2084" s="93"/>
      <c r="K2084" s="93"/>
      <c r="L2084" s="82"/>
      <c r="M2084" s="54"/>
      <c r="N2084" s="54"/>
      <c r="O2084" s="54"/>
      <c r="P2084" s="54"/>
      <c r="Q2084" s="54"/>
      <c r="R2084" s="54"/>
      <c r="S2084" s="54"/>
      <c r="T2084" s="54"/>
      <c r="U2084" s="54"/>
      <c r="V2084" s="54"/>
      <c r="W2084" s="54"/>
      <c r="X2084" s="54"/>
      <c r="Y2084" s="54"/>
      <c r="Z2084" s="54"/>
      <c r="AA2084" s="54"/>
      <c r="AB2084" s="54"/>
      <c r="AC2084" s="54"/>
      <c r="AD2084" s="54"/>
      <c r="AE2084" s="54"/>
    </row>
    <row r="2085">
      <c r="A2085" s="80"/>
      <c r="B2085" s="80"/>
      <c r="C2085" s="80"/>
      <c r="D2085" s="59"/>
      <c r="E2085" s="59"/>
      <c r="F2085" s="83"/>
      <c r="G2085" s="76"/>
      <c r="H2085" s="76"/>
      <c r="I2085" s="76"/>
      <c r="J2085" s="93"/>
      <c r="K2085" s="93"/>
      <c r="L2085" s="82"/>
      <c r="M2085" s="54"/>
      <c r="N2085" s="54"/>
      <c r="O2085" s="54"/>
      <c r="P2085" s="54"/>
      <c r="Q2085" s="54"/>
      <c r="R2085" s="54"/>
      <c r="S2085" s="54"/>
      <c r="T2085" s="54"/>
      <c r="U2085" s="54"/>
      <c r="V2085" s="54"/>
      <c r="W2085" s="54"/>
      <c r="X2085" s="54"/>
      <c r="Y2085" s="54"/>
      <c r="Z2085" s="54"/>
      <c r="AA2085" s="54"/>
      <c r="AB2085" s="54"/>
      <c r="AC2085" s="54"/>
      <c r="AD2085" s="54"/>
      <c r="AE2085" s="54"/>
    </row>
    <row r="2086">
      <c r="A2086" s="80"/>
      <c r="B2086" s="80"/>
      <c r="C2086" s="80"/>
      <c r="D2086" s="59"/>
      <c r="E2086" s="59"/>
      <c r="F2086" s="83"/>
      <c r="G2086" s="76"/>
      <c r="H2086" s="76"/>
      <c r="I2086" s="76"/>
      <c r="J2086" s="93"/>
      <c r="K2086" s="93"/>
      <c r="L2086" s="82"/>
      <c r="M2086" s="54"/>
      <c r="N2086" s="54"/>
      <c r="O2086" s="54"/>
      <c r="P2086" s="54"/>
      <c r="Q2086" s="54"/>
      <c r="R2086" s="54"/>
      <c r="S2086" s="54"/>
      <c r="T2086" s="54"/>
      <c r="U2086" s="54"/>
      <c r="V2086" s="54"/>
      <c r="W2086" s="54"/>
      <c r="X2086" s="54"/>
      <c r="Y2086" s="54"/>
      <c r="Z2086" s="54"/>
      <c r="AA2086" s="54"/>
      <c r="AB2086" s="54"/>
      <c r="AC2086" s="54"/>
      <c r="AD2086" s="54"/>
      <c r="AE2086" s="54"/>
    </row>
    <row r="2087">
      <c r="A2087" s="80"/>
      <c r="B2087" s="80"/>
      <c r="C2087" s="80"/>
      <c r="D2087" s="59"/>
      <c r="E2087" s="59"/>
      <c r="F2087" s="83"/>
      <c r="G2087" s="76"/>
      <c r="H2087" s="76"/>
      <c r="I2087" s="76"/>
      <c r="J2087" s="93"/>
      <c r="K2087" s="93"/>
      <c r="L2087" s="82"/>
      <c r="M2087" s="54"/>
      <c r="N2087" s="54"/>
      <c r="O2087" s="54"/>
      <c r="P2087" s="54"/>
      <c r="Q2087" s="54"/>
      <c r="R2087" s="54"/>
      <c r="S2087" s="54"/>
      <c r="T2087" s="54"/>
      <c r="U2087" s="54"/>
      <c r="V2087" s="54"/>
      <c r="W2087" s="54"/>
      <c r="X2087" s="54"/>
      <c r="Y2087" s="54"/>
      <c r="Z2087" s="54"/>
      <c r="AA2087" s="54"/>
      <c r="AB2087" s="54"/>
      <c r="AC2087" s="54"/>
      <c r="AD2087" s="54"/>
      <c r="AE2087" s="54"/>
    </row>
    <row r="2088">
      <c r="A2088" s="80"/>
      <c r="B2088" s="80"/>
      <c r="C2088" s="80"/>
      <c r="D2088" s="59"/>
      <c r="E2088" s="59"/>
      <c r="F2088" s="83"/>
      <c r="G2088" s="76"/>
      <c r="H2088" s="76"/>
      <c r="I2088" s="76"/>
      <c r="J2088" s="93"/>
      <c r="K2088" s="93"/>
      <c r="L2088" s="82"/>
      <c r="M2088" s="54"/>
      <c r="N2088" s="54"/>
      <c r="O2088" s="54"/>
      <c r="P2088" s="54"/>
      <c r="Q2088" s="54"/>
      <c r="R2088" s="54"/>
      <c r="S2088" s="54"/>
      <c r="T2088" s="54"/>
      <c r="U2088" s="54"/>
      <c r="V2088" s="54"/>
      <c r="W2088" s="54"/>
      <c r="X2088" s="54"/>
      <c r="Y2088" s="54"/>
      <c r="Z2088" s="54"/>
      <c r="AA2088" s="54"/>
      <c r="AB2088" s="54"/>
      <c r="AC2088" s="54"/>
      <c r="AD2088" s="54"/>
      <c r="AE2088" s="54"/>
    </row>
    <row r="2089">
      <c r="A2089" s="80"/>
      <c r="B2089" s="80"/>
      <c r="C2089" s="80"/>
      <c r="D2089" s="59"/>
      <c r="E2089" s="59"/>
      <c r="F2089" s="83"/>
      <c r="G2089" s="76"/>
      <c r="H2089" s="76"/>
      <c r="I2089" s="76"/>
      <c r="J2089" s="93"/>
      <c r="K2089" s="93"/>
      <c r="L2089" s="82"/>
      <c r="M2089" s="54"/>
      <c r="N2089" s="54"/>
      <c r="O2089" s="54"/>
      <c r="P2089" s="54"/>
      <c r="Q2089" s="54"/>
      <c r="R2089" s="54"/>
      <c r="S2089" s="54"/>
      <c r="T2089" s="54"/>
      <c r="U2089" s="54"/>
      <c r="V2089" s="54"/>
      <c r="W2089" s="54"/>
      <c r="X2089" s="54"/>
      <c r="Y2089" s="54"/>
      <c r="Z2089" s="54"/>
      <c r="AA2089" s="54"/>
      <c r="AB2089" s="54"/>
      <c r="AC2089" s="54"/>
      <c r="AD2089" s="54"/>
      <c r="AE2089" s="54"/>
    </row>
    <row r="2090">
      <c r="A2090" s="80"/>
      <c r="B2090" s="80"/>
      <c r="C2090" s="80"/>
      <c r="D2090" s="59"/>
      <c r="E2090" s="59"/>
      <c r="F2090" s="83"/>
      <c r="G2090" s="76"/>
      <c r="H2090" s="76"/>
      <c r="I2090" s="76"/>
      <c r="J2090" s="93"/>
      <c r="K2090" s="93"/>
      <c r="L2090" s="82"/>
      <c r="M2090" s="54"/>
      <c r="N2090" s="54"/>
      <c r="O2090" s="54"/>
      <c r="P2090" s="54"/>
      <c r="Q2090" s="54"/>
      <c r="R2090" s="54"/>
      <c r="S2090" s="54"/>
      <c r="T2090" s="54"/>
      <c r="U2090" s="54"/>
      <c r="V2090" s="54"/>
      <c r="W2090" s="54"/>
      <c r="X2090" s="54"/>
      <c r="Y2090" s="54"/>
      <c r="Z2090" s="54"/>
      <c r="AA2090" s="54"/>
      <c r="AB2090" s="54"/>
      <c r="AC2090" s="54"/>
      <c r="AD2090" s="54"/>
      <c r="AE2090" s="54"/>
    </row>
    <row r="2091">
      <c r="A2091" s="80"/>
      <c r="B2091" s="80"/>
      <c r="C2091" s="80"/>
      <c r="D2091" s="59"/>
      <c r="E2091" s="59"/>
      <c r="F2091" s="83"/>
      <c r="G2091" s="76"/>
      <c r="H2091" s="76"/>
      <c r="I2091" s="76"/>
      <c r="J2091" s="93"/>
      <c r="K2091" s="93"/>
      <c r="L2091" s="82"/>
      <c r="M2091" s="54"/>
      <c r="N2091" s="54"/>
      <c r="O2091" s="54"/>
      <c r="P2091" s="54"/>
      <c r="Q2091" s="54"/>
      <c r="R2091" s="54"/>
      <c r="S2091" s="54"/>
      <c r="T2091" s="54"/>
      <c r="U2091" s="54"/>
      <c r="V2091" s="54"/>
      <c r="W2091" s="54"/>
      <c r="X2091" s="54"/>
      <c r="Y2091" s="54"/>
      <c r="Z2091" s="54"/>
      <c r="AA2091" s="54"/>
      <c r="AB2091" s="54"/>
      <c r="AC2091" s="54"/>
      <c r="AD2091" s="54"/>
      <c r="AE2091" s="54"/>
    </row>
    <row r="2092">
      <c r="A2092" s="80"/>
      <c r="B2092" s="80"/>
      <c r="C2092" s="80"/>
      <c r="D2092" s="59"/>
      <c r="E2092" s="59"/>
      <c r="F2092" s="83"/>
      <c r="G2092" s="76"/>
      <c r="H2092" s="76"/>
      <c r="I2092" s="76"/>
      <c r="J2092" s="93"/>
      <c r="K2092" s="93"/>
      <c r="L2092" s="82"/>
      <c r="M2092" s="54"/>
      <c r="N2092" s="54"/>
      <c r="O2092" s="54"/>
      <c r="P2092" s="54"/>
      <c r="Q2092" s="54"/>
      <c r="R2092" s="54"/>
      <c r="S2092" s="54"/>
      <c r="T2092" s="54"/>
      <c r="U2092" s="54"/>
      <c r="V2092" s="54"/>
      <c r="W2092" s="54"/>
      <c r="X2092" s="54"/>
      <c r="Y2092" s="54"/>
      <c r="Z2092" s="54"/>
      <c r="AA2092" s="54"/>
      <c r="AB2092" s="54"/>
      <c r="AC2092" s="54"/>
      <c r="AD2092" s="54"/>
      <c r="AE2092" s="54"/>
    </row>
    <row r="2093">
      <c r="A2093" s="80"/>
      <c r="B2093" s="80"/>
      <c r="C2093" s="80"/>
      <c r="D2093" s="59"/>
      <c r="E2093" s="59"/>
      <c r="F2093" s="83"/>
      <c r="G2093" s="76"/>
      <c r="H2093" s="76"/>
      <c r="I2093" s="76"/>
      <c r="J2093" s="93"/>
      <c r="K2093" s="93"/>
      <c r="L2093" s="82"/>
      <c r="M2093" s="54"/>
      <c r="N2093" s="54"/>
      <c r="O2093" s="54"/>
      <c r="P2093" s="54"/>
      <c r="Q2093" s="54"/>
      <c r="R2093" s="54"/>
      <c r="S2093" s="54"/>
      <c r="T2093" s="54"/>
      <c r="U2093" s="54"/>
      <c r="V2093" s="54"/>
      <c r="W2093" s="54"/>
      <c r="X2093" s="54"/>
      <c r="Y2093" s="54"/>
      <c r="Z2093" s="54"/>
      <c r="AA2093" s="54"/>
      <c r="AB2093" s="54"/>
      <c r="AC2093" s="54"/>
      <c r="AD2093" s="54"/>
      <c r="AE2093" s="54"/>
    </row>
    <row r="2094">
      <c r="A2094" s="80"/>
      <c r="B2094" s="80"/>
      <c r="C2094" s="80"/>
      <c r="D2094" s="59"/>
      <c r="E2094" s="59"/>
      <c r="F2094" s="83"/>
      <c r="G2094" s="76"/>
      <c r="H2094" s="76"/>
      <c r="I2094" s="76"/>
      <c r="J2094" s="93"/>
      <c r="K2094" s="93"/>
      <c r="L2094" s="82"/>
      <c r="M2094" s="54"/>
      <c r="N2094" s="54"/>
      <c r="O2094" s="54"/>
      <c r="P2094" s="54"/>
      <c r="Q2094" s="54"/>
      <c r="R2094" s="54"/>
      <c r="S2094" s="54"/>
      <c r="T2094" s="54"/>
      <c r="U2094" s="54"/>
      <c r="V2094" s="54"/>
      <c r="W2094" s="54"/>
      <c r="X2094" s="54"/>
      <c r="Y2094" s="54"/>
      <c r="Z2094" s="54"/>
      <c r="AA2094" s="54"/>
      <c r="AB2094" s="54"/>
      <c r="AC2094" s="54"/>
      <c r="AD2094" s="54"/>
      <c r="AE2094" s="54"/>
    </row>
    <row r="2095">
      <c r="A2095" s="80"/>
      <c r="B2095" s="80"/>
      <c r="C2095" s="80"/>
      <c r="D2095" s="59"/>
      <c r="E2095" s="59"/>
      <c r="F2095" s="83"/>
      <c r="G2095" s="76"/>
      <c r="H2095" s="76"/>
      <c r="I2095" s="76"/>
      <c r="J2095" s="93"/>
      <c r="K2095" s="93"/>
      <c r="L2095" s="82"/>
      <c r="M2095" s="54"/>
      <c r="N2095" s="54"/>
      <c r="O2095" s="54"/>
      <c r="P2095" s="54"/>
      <c r="Q2095" s="54"/>
      <c r="R2095" s="54"/>
      <c r="S2095" s="54"/>
      <c r="T2095" s="54"/>
      <c r="U2095" s="54"/>
      <c r="V2095" s="54"/>
      <c r="W2095" s="54"/>
      <c r="X2095" s="54"/>
      <c r="Y2095" s="54"/>
      <c r="Z2095" s="54"/>
      <c r="AA2095" s="54"/>
      <c r="AB2095" s="54"/>
      <c r="AC2095" s="54"/>
      <c r="AD2095" s="54"/>
      <c r="AE2095" s="54"/>
    </row>
    <row r="2096">
      <c r="A2096" s="80"/>
      <c r="B2096" s="80"/>
      <c r="C2096" s="80"/>
      <c r="D2096" s="59"/>
      <c r="E2096" s="59"/>
      <c r="F2096" s="83"/>
      <c r="G2096" s="76"/>
      <c r="H2096" s="76"/>
      <c r="I2096" s="76"/>
      <c r="J2096" s="93"/>
      <c r="K2096" s="93"/>
      <c r="L2096" s="82"/>
      <c r="M2096" s="54"/>
      <c r="N2096" s="54"/>
      <c r="O2096" s="54"/>
      <c r="P2096" s="54"/>
      <c r="Q2096" s="54"/>
      <c r="R2096" s="54"/>
      <c r="S2096" s="54"/>
      <c r="T2096" s="54"/>
      <c r="U2096" s="54"/>
      <c r="V2096" s="54"/>
      <c r="W2096" s="54"/>
      <c r="X2096" s="54"/>
      <c r="Y2096" s="54"/>
      <c r="Z2096" s="54"/>
      <c r="AA2096" s="54"/>
      <c r="AB2096" s="54"/>
      <c r="AC2096" s="54"/>
      <c r="AD2096" s="54"/>
      <c r="AE2096" s="54"/>
    </row>
    <row r="2097">
      <c r="A2097" s="80"/>
      <c r="B2097" s="80"/>
      <c r="C2097" s="80"/>
      <c r="D2097" s="59"/>
      <c r="E2097" s="59"/>
      <c r="F2097" s="83"/>
      <c r="G2097" s="76"/>
      <c r="H2097" s="76"/>
      <c r="I2097" s="76"/>
      <c r="J2097" s="93"/>
      <c r="K2097" s="93"/>
      <c r="L2097" s="82"/>
      <c r="M2097" s="54"/>
      <c r="N2097" s="54"/>
      <c r="O2097" s="54"/>
      <c r="P2097" s="54"/>
      <c r="Q2097" s="54"/>
      <c r="R2097" s="54"/>
      <c r="S2097" s="54"/>
      <c r="T2097" s="54"/>
      <c r="U2097" s="54"/>
      <c r="V2097" s="54"/>
      <c r="W2097" s="54"/>
      <c r="X2097" s="54"/>
      <c r="Y2097" s="54"/>
      <c r="Z2097" s="54"/>
      <c r="AA2097" s="54"/>
      <c r="AB2097" s="54"/>
      <c r="AC2097" s="54"/>
      <c r="AD2097" s="54"/>
      <c r="AE2097" s="54"/>
    </row>
    <row r="2098">
      <c r="A2098" s="80"/>
      <c r="B2098" s="80"/>
      <c r="C2098" s="80"/>
      <c r="D2098" s="59"/>
      <c r="E2098" s="59"/>
      <c r="F2098" s="83"/>
      <c r="G2098" s="76"/>
      <c r="H2098" s="76"/>
      <c r="I2098" s="76"/>
      <c r="J2098" s="93"/>
      <c r="K2098" s="93"/>
      <c r="L2098" s="82"/>
      <c r="M2098" s="54"/>
      <c r="N2098" s="54"/>
      <c r="O2098" s="54"/>
      <c r="P2098" s="54"/>
      <c r="Q2098" s="54"/>
      <c r="R2098" s="54"/>
      <c r="S2098" s="54"/>
      <c r="T2098" s="54"/>
      <c r="U2098" s="54"/>
      <c r="V2098" s="54"/>
      <c r="W2098" s="54"/>
      <c r="X2098" s="54"/>
      <c r="Y2098" s="54"/>
      <c r="Z2098" s="54"/>
      <c r="AA2098" s="54"/>
      <c r="AB2098" s="54"/>
      <c r="AC2098" s="54"/>
      <c r="AD2098" s="54"/>
      <c r="AE2098" s="54"/>
    </row>
    <row r="2099">
      <c r="A2099" s="80"/>
      <c r="B2099" s="80"/>
      <c r="C2099" s="80"/>
      <c r="D2099" s="59"/>
      <c r="E2099" s="59"/>
      <c r="F2099" s="83"/>
      <c r="G2099" s="76"/>
      <c r="H2099" s="76"/>
      <c r="I2099" s="76"/>
      <c r="J2099" s="93"/>
      <c r="K2099" s="93"/>
      <c r="L2099" s="82"/>
      <c r="M2099" s="54"/>
      <c r="N2099" s="54"/>
      <c r="O2099" s="54"/>
      <c r="P2099" s="54"/>
      <c r="Q2099" s="54"/>
      <c r="R2099" s="54"/>
      <c r="S2099" s="54"/>
      <c r="T2099" s="54"/>
      <c r="U2099" s="54"/>
      <c r="V2099" s="54"/>
      <c r="W2099" s="54"/>
      <c r="X2099" s="54"/>
      <c r="Y2099" s="54"/>
      <c r="Z2099" s="54"/>
      <c r="AA2099" s="54"/>
      <c r="AB2099" s="54"/>
      <c r="AC2099" s="54"/>
      <c r="AD2099" s="54"/>
      <c r="AE2099" s="54"/>
    </row>
    <row r="2100">
      <c r="A2100" s="80"/>
      <c r="B2100" s="80"/>
      <c r="C2100" s="80"/>
      <c r="D2100" s="59"/>
      <c r="E2100" s="59"/>
      <c r="F2100" s="83"/>
      <c r="G2100" s="76"/>
      <c r="H2100" s="76"/>
      <c r="I2100" s="76"/>
      <c r="J2100" s="93"/>
      <c r="K2100" s="93"/>
      <c r="L2100" s="82"/>
      <c r="M2100" s="54"/>
      <c r="N2100" s="54"/>
      <c r="O2100" s="54"/>
      <c r="P2100" s="54"/>
      <c r="Q2100" s="54"/>
      <c r="R2100" s="54"/>
      <c r="S2100" s="54"/>
      <c r="T2100" s="54"/>
      <c r="U2100" s="54"/>
      <c r="V2100" s="54"/>
      <c r="W2100" s="54"/>
      <c r="X2100" s="54"/>
      <c r="Y2100" s="54"/>
      <c r="Z2100" s="54"/>
      <c r="AA2100" s="54"/>
      <c r="AB2100" s="54"/>
      <c r="AC2100" s="54"/>
      <c r="AD2100" s="54"/>
      <c r="AE2100" s="54"/>
    </row>
    <row r="2101">
      <c r="A2101" s="80"/>
      <c r="B2101" s="80"/>
      <c r="C2101" s="80"/>
      <c r="D2101" s="59"/>
      <c r="E2101" s="59"/>
      <c r="F2101" s="83"/>
      <c r="G2101" s="76"/>
      <c r="H2101" s="76"/>
      <c r="I2101" s="76"/>
      <c r="J2101" s="93"/>
      <c r="K2101" s="93"/>
      <c r="L2101" s="82"/>
      <c r="M2101" s="54"/>
      <c r="N2101" s="54"/>
      <c r="O2101" s="54"/>
      <c r="P2101" s="54"/>
      <c r="Q2101" s="54"/>
      <c r="R2101" s="54"/>
      <c r="S2101" s="54"/>
      <c r="T2101" s="54"/>
      <c r="U2101" s="54"/>
      <c r="V2101" s="54"/>
      <c r="W2101" s="54"/>
      <c r="X2101" s="54"/>
      <c r="Y2101" s="54"/>
      <c r="Z2101" s="54"/>
      <c r="AA2101" s="54"/>
      <c r="AB2101" s="54"/>
      <c r="AC2101" s="54"/>
      <c r="AD2101" s="54"/>
      <c r="AE2101" s="54"/>
    </row>
    <row r="2102">
      <c r="A2102" s="80"/>
      <c r="B2102" s="80"/>
      <c r="C2102" s="80"/>
      <c r="D2102" s="59"/>
      <c r="E2102" s="59"/>
      <c r="F2102" s="83"/>
      <c r="G2102" s="76"/>
      <c r="H2102" s="76"/>
      <c r="I2102" s="76"/>
      <c r="J2102" s="93"/>
      <c r="K2102" s="93"/>
      <c r="L2102" s="82"/>
      <c r="M2102" s="54"/>
      <c r="N2102" s="54"/>
      <c r="O2102" s="54"/>
      <c r="P2102" s="54"/>
      <c r="Q2102" s="54"/>
      <c r="R2102" s="54"/>
      <c r="S2102" s="54"/>
      <c r="T2102" s="54"/>
      <c r="U2102" s="54"/>
      <c r="V2102" s="54"/>
      <c r="W2102" s="54"/>
      <c r="X2102" s="54"/>
      <c r="Y2102" s="54"/>
      <c r="Z2102" s="54"/>
      <c r="AA2102" s="54"/>
      <c r="AB2102" s="54"/>
      <c r="AC2102" s="54"/>
      <c r="AD2102" s="54"/>
      <c r="AE2102" s="54"/>
    </row>
    <row r="2103">
      <c r="A2103" s="80"/>
      <c r="B2103" s="80"/>
      <c r="C2103" s="80"/>
      <c r="D2103" s="59"/>
      <c r="E2103" s="59"/>
      <c r="F2103" s="83"/>
      <c r="G2103" s="76"/>
      <c r="H2103" s="76"/>
      <c r="I2103" s="76"/>
      <c r="J2103" s="93"/>
      <c r="K2103" s="93"/>
      <c r="L2103" s="82"/>
      <c r="M2103" s="54"/>
      <c r="N2103" s="54"/>
      <c r="O2103" s="54"/>
      <c r="P2103" s="54"/>
      <c r="Q2103" s="54"/>
      <c r="R2103" s="54"/>
      <c r="S2103" s="54"/>
      <c r="T2103" s="54"/>
      <c r="U2103" s="54"/>
      <c r="V2103" s="54"/>
      <c r="W2103" s="54"/>
      <c r="X2103" s="54"/>
      <c r="Y2103" s="54"/>
      <c r="Z2103" s="54"/>
      <c r="AA2103" s="54"/>
      <c r="AB2103" s="54"/>
      <c r="AC2103" s="54"/>
      <c r="AD2103" s="54"/>
      <c r="AE2103" s="54"/>
    </row>
    <row r="2104">
      <c r="A2104" s="80"/>
      <c r="B2104" s="80"/>
      <c r="C2104" s="80"/>
      <c r="D2104" s="59"/>
      <c r="E2104" s="59"/>
      <c r="F2104" s="83"/>
      <c r="G2104" s="76"/>
      <c r="H2104" s="76"/>
      <c r="I2104" s="76"/>
      <c r="J2104" s="93"/>
      <c r="K2104" s="93"/>
      <c r="L2104" s="82"/>
      <c r="M2104" s="54"/>
      <c r="N2104" s="54"/>
      <c r="O2104" s="54"/>
      <c r="P2104" s="54"/>
      <c r="Q2104" s="54"/>
      <c r="R2104" s="54"/>
      <c r="S2104" s="54"/>
      <c r="T2104" s="54"/>
      <c r="U2104" s="54"/>
      <c r="V2104" s="54"/>
      <c r="W2104" s="54"/>
      <c r="X2104" s="54"/>
      <c r="Y2104" s="54"/>
      <c r="Z2104" s="54"/>
      <c r="AA2104" s="54"/>
      <c r="AB2104" s="54"/>
      <c r="AC2104" s="54"/>
      <c r="AD2104" s="54"/>
      <c r="AE2104" s="54"/>
    </row>
    <row r="2105">
      <c r="A2105" s="80"/>
      <c r="B2105" s="80"/>
      <c r="C2105" s="80"/>
      <c r="D2105" s="59"/>
      <c r="E2105" s="59"/>
      <c r="F2105" s="83"/>
      <c r="G2105" s="76"/>
      <c r="H2105" s="76"/>
      <c r="I2105" s="76"/>
      <c r="J2105" s="93"/>
      <c r="K2105" s="93"/>
      <c r="L2105" s="82"/>
      <c r="M2105" s="54"/>
      <c r="N2105" s="54"/>
      <c r="O2105" s="54"/>
      <c r="P2105" s="54"/>
      <c r="Q2105" s="54"/>
      <c r="R2105" s="54"/>
      <c r="S2105" s="54"/>
      <c r="T2105" s="54"/>
      <c r="U2105" s="54"/>
      <c r="V2105" s="54"/>
      <c r="W2105" s="54"/>
      <c r="X2105" s="54"/>
      <c r="Y2105" s="54"/>
      <c r="Z2105" s="54"/>
      <c r="AA2105" s="54"/>
      <c r="AB2105" s="54"/>
      <c r="AC2105" s="54"/>
      <c r="AD2105" s="54"/>
      <c r="AE2105" s="54"/>
    </row>
    <row r="2106">
      <c r="A2106" s="80"/>
      <c r="B2106" s="80"/>
      <c r="C2106" s="80"/>
      <c r="D2106" s="59"/>
      <c r="E2106" s="59"/>
      <c r="F2106" s="83"/>
      <c r="G2106" s="76"/>
      <c r="H2106" s="76"/>
      <c r="I2106" s="76"/>
      <c r="J2106" s="93"/>
      <c r="K2106" s="93"/>
      <c r="L2106" s="82"/>
      <c r="M2106" s="54"/>
      <c r="N2106" s="54"/>
      <c r="O2106" s="54"/>
      <c r="P2106" s="54"/>
      <c r="Q2106" s="54"/>
      <c r="R2106" s="54"/>
      <c r="S2106" s="54"/>
      <c r="T2106" s="54"/>
      <c r="U2106" s="54"/>
      <c r="V2106" s="54"/>
      <c r="W2106" s="54"/>
      <c r="X2106" s="54"/>
      <c r="Y2106" s="54"/>
      <c r="Z2106" s="54"/>
      <c r="AA2106" s="54"/>
      <c r="AB2106" s="54"/>
      <c r="AC2106" s="54"/>
      <c r="AD2106" s="54"/>
      <c r="AE2106" s="54"/>
    </row>
    <row r="2107">
      <c r="A2107" s="80"/>
      <c r="B2107" s="80"/>
      <c r="C2107" s="80"/>
      <c r="D2107" s="59"/>
      <c r="E2107" s="59"/>
      <c r="F2107" s="83"/>
      <c r="G2107" s="76"/>
      <c r="H2107" s="76"/>
      <c r="I2107" s="76"/>
      <c r="J2107" s="93"/>
      <c r="K2107" s="93"/>
      <c r="L2107" s="82"/>
      <c r="M2107" s="54"/>
      <c r="N2107" s="54"/>
      <c r="O2107" s="54"/>
      <c r="P2107" s="54"/>
      <c r="Q2107" s="54"/>
      <c r="R2107" s="54"/>
      <c r="S2107" s="54"/>
      <c r="T2107" s="54"/>
      <c r="U2107" s="54"/>
      <c r="V2107" s="54"/>
      <c r="W2107" s="54"/>
      <c r="X2107" s="54"/>
      <c r="Y2107" s="54"/>
      <c r="Z2107" s="54"/>
      <c r="AA2107" s="54"/>
      <c r="AB2107" s="54"/>
      <c r="AC2107" s="54"/>
      <c r="AD2107" s="54"/>
      <c r="AE2107" s="54"/>
    </row>
    <row r="2108">
      <c r="A2108" s="80"/>
      <c r="B2108" s="80"/>
      <c r="C2108" s="80"/>
      <c r="D2108" s="59"/>
      <c r="E2108" s="59"/>
      <c r="F2108" s="83"/>
      <c r="G2108" s="76"/>
      <c r="H2108" s="76"/>
      <c r="I2108" s="76"/>
      <c r="J2108" s="93"/>
      <c r="K2108" s="93"/>
      <c r="L2108" s="82"/>
      <c r="M2108" s="54"/>
      <c r="N2108" s="54"/>
      <c r="O2108" s="54"/>
      <c r="P2108" s="54"/>
      <c r="Q2108" s="54"/>
      <c r="R2108" s="54"/>
      <c r="S2108" s="54"/>
      <c r="T2108" s="54"/>
      <c r="U2108" s="54"/>
      <c r="V2108" s="54"/>
      <c r="W2108" s="54"/>
      <c r="X2108" s="54"/>
      <c r="Y2108" s="54"/>
      <c r="Z2108" s="54"/>
      <c r="AA2108" s="54"/>
      <c r="AB2108" s="54"/>
      <c r="AC2108" s="54"/>
      <c r="AD2108" s="54"/>
      <c r="AE2108" s="54"/>
    </row>
    <row r="2109">
      <c r="A2109" s="80"/>
      <c r="B2109" s="80"/>
      <c r="C2109" s="80"/>
      <c r="D2109" s="59"/>
      <c r="E2109" s="59"/>
      <c r="F2109" s="83"/>
      <c r="G2109" s="76"/>
      <c r="H2109" s="76"/>
      <c r="I2109" s="76"/>
      <c r="J2109" s="93"/>
      <c r="K2109" s="93"/>
      <c r="L2109" s="82"/>
      <c r="M2109" s="54"/>
      <c r="N2109" s="54"/>
      <c r="O2109" s="54"/>
      <c r="P2109" s="54"/>
      <c r="Q2109" s="54"/>
      <c r="R2109" s="54"/>
      <c r="S2109" s="54"/>
      <c r="T2109" s="54"/>
      <c r="U2109" s="54"/>
      <c r="V2109" s="54"/>
      <c r="W2109" s="54"/>
      <c r="X2109" s="54"/>
      <c r="Y2109" s="54"/>
      <c r="Z2109" s="54"/>
      <c r="AA2109" s="54"/>
      <c r="AB2109" s="54"/>
      <c r="AC2109" s="54"/>
      <c r="AD2109" s="54"/>
      <c r="AE2109" s="54"/>
    </row>
    <row r="2110">
      <c r="A2110" s="80"/>
      <c r="B2110" s="80"/>
      <c r="C2110" s="80"/>
      <c r="D2110" s="59"/>
      <c r="E2110" s="59"/>
      <c r="F2110" s="83"/>
      <c r="G2110" s="76"/>
      <c r="H2110" s="76"/>
      <c r="I2110" s="76"/>
      <c r="J2110" s="93"/>
      <c r="K2110" s="93"/>
      <c r="L2110" s="82"/>
      <c r="M2110" s="54"/>
      <c r="N2110" s="54"/>
      <c r="O2110" s="54"/>
      <c r="P2110" s="54"/>
      <c r="Q2110" s="54"/>
      <c r="R2110" s="54"/>
      <c r="S2110" s="54"/>
      <c r="T2110" s="54"/>
      <c r="U2110" s="54"/>
      <c r="V2110" s="54"/>
      <c r="W2110" s="54"/>
      <c r="X2110" s="54"/>
      <c r="Y2110" s="54"/>
      <c r="Z2110" s="54"/>
      <c r="AA2110" s="54"/>
      <c r="AB2110" s="54"/>
      <c r="AC2110" s="54"/>
      <c r="AD2110" s="54"/>
      <c r="AE2110" s="54"/>
    </row>
    <row r="2111">
      <c r="A2111" s="80"/>
      <c r="B2111" s="80"/>
      <c r="C2111" s="80"/>
      <c r="D2111" s="59"/>
      <c r="E2111" s="59"/>
      <c r="F2111" s="83"/>
      <c r="G2111" s="76"/>
      <c r="H2111" s="76"/>
      <c r="I2111" s="76"/>
      <c r="J2111" s="93"/>
      <c r="K2111" s="93"/>
      <c r="L2111" s="82"/>
      <c r="M2111" s="54"/>
      <c r="N2111" s="54"/>
      <c r="O2111" s="54"/>
      <c r="P2111" s="54"/>
      <c r="Q2111" s="54"/>
      <c r="R2111" s="54"/>
      <c r="S2111" s="54"/>
      <c r="T2111" s="54"/>
      <c r="U2111" s="54"/>
      <c r="V2111" s="54"/>
      <c r="W2111" s="54"/>
      <c r="X2111" s="54"/>
      <c r="Y2111" s="54"/>
      <c r="Z2111" s="54"/>
      <c r="AA2111" s="54"/>
      <c r="AB2111" s="54"/>
      <c r="AC2111" s="54"/>
      <c r="AD2111" s="54"/>
      <c r="AE2111" s="54"/>
    </row>
    <row r="2112">
      <c r="A2112" s="80"/>
      <c r="B2112" s="80"/>
      <c r="C2112" s="80"/>
      <c r="D2112" s="59"/>
      <c r="E2112" s="59"/>
      <c r="F2112" s="83"/>
      <c r="G2112" s="76"/>
      <c r="H2112" s="76"/>
      <c r="I2112" s="76"/>
      <c r="J2112" s="93"/>
      <c r="K2112" s="93"/>
      <c r="L2112" s="82"/>
      <c r="M2112" s="54"/>
      <c r="N2112" s="54"/>
      <c r="O2112" s="54"/>
      <c r="P2112" s="54"/>
      <c r="Q2112" s="54"/>
      <c r="R2112" s="54"/>
      <c r="S2112" s="54"/>
      <c r="T2112" s="54"/>
      <c r="U2112" s="54"/>
      <c r="V2112" s="54"/>
      <c r="W2112" s="54"/>
      <c r="X2112" s="54"/>
      <c r="Y2112" s="54"/>
      <c r="Z2112" s="54"/>
      <c r="AA2112" s="54"/>
      <c r="AB2112" s="54"/>
      <c r="AC2112" s="54"/>
      <c r="AD2112" s="54"/>
      <c r="AE2112" s="54"/>
    </row>
    <row r="2113">
      <c r="A2113" s="80"/>
      <c r="B2113" s="80"/>
      <c r="C2113" s="80"/>
      <c r="D2113" s="59"/>
      <c r="E2113" s="59"/>
      <c r="F2113" s="83"/>
      <c r="G2113" s="76"/>
      <c r="H2113" s="76"/>
      <c r="I2113" s="76"/>
      <c r="J2113" s="93"/>
      <c r="K2113" s="93"/>
      <c r="L2113" s="82"/>
      <c r="M2113" s="54"/>
      <c r="N2113" s="54"/>
      <c r="O2113" s="54"/>
      <c r="P2113" s="54"/>
      <c r="Q2113" s="54"/>
      <c r="R2113" s="54"/>
      <c r="S2113" s="54"/>
      <c r="T2113" s="54"/>
      <c r="U2113" s="54"/>
      <c r="V2113" s="54"/>
      <c r="W2113" s="54"/>
      <c r="X2113" s="54"/>
      <c r="Y2113" s="54"/>
      <c r="Z2113" s="54"/>
      <c r="AA2113" s="54"/>
      <c r="AB2113" s="54"/>
      <c r="AC2113" s="54"/>
      <c r="AD2113" s="54"/>
      <c r="AE2113" s="54"/>
    </row>
    <row r="2114">
      <c r="A2114" s="80"/>
      <c r="B2114" s="80"/>
      <c r="C2114" s="80"/>
      <c r="D2114" s="59"/>
      <c r="E2114" s="59"/>
      <c r="F2114" s="83"/>
      <c r="G2114" s="76"/>
      <c r="H2114" s="76"/>
      <c r="I2114" s="76"/>
      <c r="J2114" s="93"/>
      <c r="K2114" s="93"/>
      <c r="L2114" s="82"/>
      <c r="M2114" s="54"/>
      <c r="N2114" s="54"/>
      <c r="O2114" s="54"/>
      <c r="P2114" s="54"/>
      <c r="Q2114" s="54"/>
      <c r="R2114" s="54"/>
      <c r="S2114" s="54"/>
      <c r="T2114" s="54"/>
      <c r="U2114" s="54"/>
      <c r="V2114" s="54"/>
      <c r="W2114" s="54"/>
      <c r="X2114" s="54"/>
      <c r="Y2114" s="54"/>
      <c r="Z2114" s="54"/>
      <c r="AA2114" s="54"/>
      <c r="AB2114" s="54"/>
      <c r="AC2114" s="54"/>
      <c r="AD2114" s="54"/>
      <c r="AE2114" s="54"/>
    </row>
    <row r="2115">
      <c r="A2115" s="80"/>
      <c r="B2115" s="80"/>
      <c r="C2115" s="80"/>
      <c r="D2115" s="59"/>
      <c r="E2115" s="59"/>
      <c r="F2115" s="83"/>
      <c r="G2115" s="76"/>
      <c r="H2115" s="76"/>
      <c r="I2115" s="76"/>
      <c r="J2115" s="93"/>
      <c r="K2115" s="93"/>
      <c r="L2115" s="82"/>
      <c r="M2115" s="54"/>
      <c r="N2115" s="54"/>
      <c r="O2115" s="54"/>
      <c r="P2115" s="54"/>
      <c r="Q2115" s="54"/>
      <c r="R2115" s="54"/>
      <c r="S2115" s="54"/>
      <c r="T2115" s="54"/>
      <c r="U2115" s="54"/>
      <c r="V2115" s="54"/>
      <c r="W2115" s="54"/>
      <c r="X2115" s="54"/>
      <c r="Y2115" s="54"/>
      <c r="Z2115" s="54"/>
      <c r="AA2115" s="54"/>
      <c r="AB2115" s="54"/>
      <c r="AC2115" s="54"/>
      <c r="AD2115" s="54"/>
      <c r="AE2115" s="54"/>
    </row>
    <row r="2116">
      <c r="A2116" s="80"/>
      <c r="B2116" s="80"/>
      <c r="C2116" s="80"/>
      <c r="D2116" s="59"/>
      <c r="E2116" s="59"/>
      <c r="F2116" s="83"/>
      <c r="G2116" s="76"/>
      <c r="H2116" s="76"/>
      <c r="I2116" s="76"/>
      <c r="J2116" s="93"/>
      <c r="K2116" s="93"/>
      <c r="L2116" s="82"/>
      <c r="M2116" s="54"/>
      <c r="N2116" s="54"/>
      <c r="O2116" s="54"/>
      <c r="P2116" s="54"/>
      <c r="Q2116" s="54"/>
      <c r="R2116" s="54"/>
      <c r="S2116" s="54"/>
      <c r="T2116" s="54"/>
      <c r="U2116" s="54"/>
      <c r="V2116" s="54"/>
      <c r="W2116" s="54"/>
      <c r="X2116" s="54"/>
      <c r="Y2116" s="54"/>
      <c r="Z2116" s="54"/>
      <c r="AA2116" s="54"/>
      <c r="AB2116" s="54"/>
      <c r="AC2116" s="54"/>
      <c r="AD2116" s="54"/>
      <c r="AE2116" s="54"/>
    </row>
    <row r="2117">
      <c r="A2117" s="80"/>
      <c r="B2117" s="80"/>
      <c r="C2117" s="80"/>
      <c r="D2117" s="59"/>
      <c r="E2117" s="59"/>
      <c r="F2117" s="83"/>
      <c r="G2117" s="76"/>
      <c r="H2117" s="76"/>
      <c r="I2117" s="76"/>
      <c r="J2117" s="93"/>
      <c r="K2117" s="93"/>
      <c r="L2117" s="82"/>
      <c r="M2117" s="54"/>
      <c r="N2117" s="54"/>
      <c r="O2117" s="54"/>
      <c r="P2117" s="54"/>
      <c r="Q2117" s="54"/>
      <c r="R2117" s="54"/>
      <c r="S2117" s="54"/>
      <c r="T2117" s="54"/>
      <c r="U2117" s="54"/>
      <c r="V2117" s="54"/>
      <c r="W2117" s="54"/>
      <c r="X2117" s="54"/>
      <c r="Y2117" s="54"/>
      <c r="Z2117" s="54"/>
      <c r="AA2117" s="54"/>
      <c r="AB2117" s="54"/>
      <c r="AC2117" s="54"/>
      <c r="AD2117" s="54"/>
      <c r="AE2117" s="54"/>
    </row>
    <row r="2118">
      <c r="A2118" s="80"/>
      <c r="B2118" s="80"/>
      <c r="C2118" s="80"/>
      <c r="D2118" s="59"/>
      <c r="E2118" s="59"/>
      <c r="F2118" s="83"/>
      <c r="G2118" s="76"/>
      <c r="H2118" s="76"/>
      <c r="I2118" s="76"/>
      <c r="J2118" s="93"/>
      <c r="K2118" s="93"/>
      <c r="L2118" s="82"/>
      <c r="M2118" s="54"/>
      <c r="N2118" s="54"/>
      <c r="O2118" s="54"/>
      <c r="P2118" s="54"/>
      <c r="Q2118" s="54"/>
      <c r="R2118" s="54"/>
      <c r="S2118" s="54"/>
      <c r="T2118" s="54"/>
      <c r="U2118" s="54"/>
      <c r="V2118" s="54"/>
      <c r="W2118" s="54"/>
      <c r="X2118" s="54"/>
      <c r="Y2118" s="54"/>
      <c r="Z2118" s="54"/>
      <c r="AA2118" s="54"/>
      <c r="AB2118" s="54"/>
      <c r="AC2118" s="54"/>
      <c r="AD2118" s="54"/>
      <c r="AE2118" s="54"/>
    </row>
    <row r="2119">
      <c r="A2119" s="80"/>
      <c r="B2119" s="80"/>
      <c r="C2119" s="80"/>
      <c r="D2119" s="59"/>
      <c r="E2119" s="59"/>
      <c r="F2119" s="83"/>
      <c r="G2119" s="76"/>
      <c r="H2119" s="76"/>
      <c r="I2119" s="76"/>
      <c r="J2119" s="93"/>
      <c r="K2119" s="93"/>
      <c r="L2119" s="82"/>
      <c r="M2119" s="54"/>
      <c r="N2119" s="54"/>
      <c r="O2119" s="54"/>
      <c r="P2119" s="54"/>
      <c r="Q2119" s="54"/>
      <c r="R2119" s="54"/>
      <c r="S2119" s="54"/>
      <c r="T2119" s="54"/>
      <c r="U2119" s="54"/>
      <c r="V2119" s="54"/>
      <c r="W2119" s="54"/>
      <c r="X2119" s="54"/>
      <c r="Y2119" s="54"/>
      <c r="Z2119" s="54"/>
      <c r="AA2119" s="54"/>
      <c r="AB2119" s="54"/>
      <c r="AC2119" s="54"/>
      <c r="AD2119" s="54"/>
      <c r="AE2119" s="54"/>
    </row>
    <row r="2120">
      <c r="A2120" s="80"/>
      <c r="B2120" s="80"/>
      <c r="C2120" s="80"/>
      <c r="D2120" s="59"/>
      <c r="E2120" s="59"/>
      <c r="F2120" s="83"/>
      <c r="G2120" s="76"/>
      <c r="H2120" s="76"/>
      <c r="I2120" s="76"/>
      <c r="J2120" s="93"/>
      <c r="K2120" s="93"/>
      <c r="L2120" s="82"/>
      <c r="M2120" s="54"/>
      <c r="N2120" s="54"/>
      <c r="O2120" s="54"/>
      <c r="P2120" s="54"/>
      <c r="Q2120" s="54"/>
      <c r="R2120" s="54"/>
      <c r="S2120" s="54"/>
      <c r="T2120" s="54"/>
      <c r="U2120" s="54"/>
      <c r="V2120" s="54"/>
      <c r="W2120" s="54"/>
      <c r="X2120" s="54"/>
      <c r="Y2120" s="54"/>
      <c r="Z2120" s="54"/>
      <c r="AA2120" s="54"/>
      <c r="AB2120" s="54"/>
      <c r="AC2120" s="54"/>
      <c r="AD2120" s="54"/>
      <c r="AE2120" s="54"/>
    </row>
    <row r="2121">
      <c r="A2121" s="80"/>
      <c r="B2121" s="80"/>
      <c r="C2121" s="80"/>
      <c r="D2121" s="59"/>
      <c r="E2121" s="59"/>
      <c r="F2121" s="83"/>
      <c r="G2121" s="76"/>
      <c r="H2121" s="76"/>
      <c r="I2121" s="76"/>
      <c r="J2121" s="93"/>
      <c r="K2121" s="93"/>
      <c r="L2121" s="82"/>
      <c r="M2121" s="54"/>
      <c r="N2121" s="54"/>
      <c r="O2121" s="54"/>
      <c r="P2121" s="54"/>
      <c r="Q2121" s="54"/>
      <c r="R2121" s="54"/>
      <c r="S2121" s="54"/>
      <c r="T2121" s="54"/>
      <c r="U2121" s="54"/>
      <c r="V2121" s="54"/>
      <c r="W2121" s="54"/>
      <c r="X2121" s="54"/>
      <c r="Y2121" s="54"/>
      <c r="Z2121" s="54"/>
      <c r="AA2121" s="54"/>
      <c r="AB2121" s="54"/>
      <c r="AC2121" s="54"/>
      <c r="AD2121" s="54"/>
      <c r="AE2121" s="54"/>
    </row>
    <row r="2122">
      <c r="A2122" s="80"/>
      <c r="B2122" s="80"/>
      <c r="C2122" s="80"/>
      <c r="D2122" s="59"/>
      <c r="E2122" s="59"/>
      <c r="F2122" s="83"/>
      <c r="G2122" s="76"/>
      <c r="H2122" s="76"/>
      <c r="I2122" s="76"/>
      <c r="J2122" s="93"/>
      <c r="K2122" s="93"/>
      <c r="L2122" s="82"/>
      <c r="M2122" s="54"/>
      <c r="N2122" s="54"/>
      <c r="O2122" s="54"/>
      <c r="P2122" s="54"/>
      <c r="Q2122" s="54"/>
      <c r="R2122" s="54"/>
      <c r="S2122" s="54"/>
      <c r="T2122" s="54"/>
      <c r="U2122" s="54"/>
      <c r="V2122" s="54"/>
      <c r="W2122" s="54"/>
      <c r="X2122" s="54"/>
      <c r="Y2122" s="54"/>
      <c r="Z2122" s="54"/>
      <c r="AA2122" s="54"/>
      <c r="AB2122" s="54"/>
      <c r="AC2122" s="54"/>
      <c r="AD2122" s="54"/>
      <c r="AE2122" s="54"/>
    </row>
    <row r="2123">
      <c r="A2123" s="80"/>
      <c r="B2123" s="80"/>
      <c r="C2123" s="80"/>
      <c r="D2123" s="59"/>
      <c r="E2123" s="59"/>
      <c r="F2123" s="83"/>
      <c r="G2123" s="76"/>
      <c r="H2123" s="76"/>
      <c r="I2123" s="76"/>
      <c r="J2123" s="93"/>
      <c r="K2123" s="93"/>
      <c r="L2123" s="82"/>
      <c r="M2123" s="54"/>
      <c r="N2123" s="54"/>
      <c r="O2123" s="54"/>
      <c r="P2123" s="54"/>
      <c r="Q2123" s="54"/>
      <c r="R2123" s="54"/>
      <c r="S2123" s="54"/>
      <c r="T2123" s="54"/>
      <c r="U2123" s="54"/>
      <c r="V2123" s="54"/>
      <c r="W2123" s="54"/>
      <c r="X2123" s="54"/>
      <c r="Y2123" s="54"/>
      <c r="Z2123" s="54"/>
      <c r="AA2123" s="54"/>
      <c r="AB2123" s="54"/>
      <c r="AC2123" s="54"/>
      <c r="AD2123" s="54"/>
      <c r="AE2123" s="54"/>
    </row>
    <row r="2124">
      <c r="A2124" s="80"/>
      <c r="B2124" s="80"/>
      <c r="C2124" s="80"/>
      <c r="D2124" s="59"/>
      <c r="E2124" s="59"/>
      <c r="F2124" s="83"/>
      <c r="G2124" s="76"/>
      <c r="H2124" s="76"/>
      <c r="I2124" s="76"/>
      <c r="J2124" s="93"/>
      <c r="K2124" s="93"/>
      <c r="L2124" s="82"/>
      <c r="M2124" s="54"/>
      <c r="N2124" s="54"/>
      <c r="O2124" s="54"/>
      <c r="P2124" s="54"/>
      <c r="Q2124" s="54"/>
      <c r="R2124" s="54"/>
      <c r="S2124" s="54"/>
      <c r="T2124" s="54"/>
      <c r="U2124" s="54"/>
      <c r="V2124" s="54"/>
      <c r="W2124" s="54"/>
      <c r="X2124" s="54"/>
      <c r="Y2124" s="54"/>
      <c r="Z2124" s="54"/>
      <c r="AA2124" s="54"/>
      <c r="AB2124" s="54"/>
      <c r="AC2124" s="54"/>
      <c r="AD2124" s="54"/>
      <c r="AE2124" s="54"/>
    </row>
    <row r="2125">
      <c r="A2125" s="80"/>
      <c r="B2125" s="80"/>
      <c r="C2125" s="80"/>
      <c r="D2125" s="59"/>
      <c r="E2125" s="59"/>
      <c r="F2125" s="83"/>
      <c r="G2125" s="76"/>
      <c r="H2125" s="76"/>
      <c r="I2125" s="76"/>
      <c r="J2125" s="93"/>
      <c r="K2125" s="93"/>
      <c r="L2125" s="82"/>
      <c r="M2125" s="54"/>
      <c r="N2125" s="54"/>
      <c r="O2125" s="54"/>
      <c r="P2125" s="54"/>
      <c r="Q2125" s="54"/>
      <c r="R2125" s="54"/>
      <c r="S2125" s="54"/>
      <c r="T2125" s="54"/>
      <c r="U2125" s="54"/>
      <c r="V2125" s="54"/>
      <c r="W2125" s="54"/>
      <c r="X2125" s="54"/>
      <c r="Y2125" s="54"/>
      <c r="Z2125" s="54"/>
      <c r="AA2125" s="54"/>
      <c r="AB2125" s="54"/>
      <c r="AC2125" s="54"/>
      <c r="AD2125" s="54"/>
      <c r="AE2125" s="54"/>
    </row>
    <row r="2126">
      <c r="A2126" s="80"/>
      <c r="B2126" s="80"/>
      <c r="C2126" s="80"/>
      <c r="D2126" s="59"/>
      <c r="E2126" s="59"/>
      <c r="F2126" s="83"/>
      <c r="G2126" s="76"/>
      <c r="H2126" s="76"/>
      <c r="I2126" s="76"/>
      <c r="J2126" s="93"/>
      <c r="K2126" s="93"/>
      <c r="L2126" s="82"/>
      <c r="M2126" s="54"/>
      <c r="N2126" s="54"/>
      <c r="O2126" s="54"/>
      <c r="P2126" s="54"/>
      <c r="Q2126" s="54"/>
      <c r="R2126" s="54"/>
      <c r="S2126" s="54"/>
      <c r="T2126" s="54"/>
      <c r="U2126" s="54"/>
      <c r="V2126" s="54"/>
      <c r="W2126" s="54"/>
      <c r="X2126" s="54"/>
      <c r="Y2126" s="54"/>
      <c r="Z2126" s="54"/>
      <c r="AA2126" s="54"/>
      <c r="AB2126" s="54"/>
      <c r="AC2126" s="54"/>
      <c r="AD2126" s="54"/>
      <c r="AE2126" s="54"/>
    </row>
    <row r="2127">
      <c r="A2127" s="80"/>
      <c r="B2127" s="80"/>
      <c r="C2127" s="80"/>
      <c r="D2127" s="59"/>
      <c r="E2127" s="59"/>
      <c r="F2127" s="83"/>
      <c r="G2127" s="76"/>
      <c r="H2127" s="76"/>
      <c r="I2127" s="76"/>
      <c r="J2127" s="93"/>
      <c r="K2127" s="93"/>
      <c r="L2127" s="82"/>
      <c r="M2127" s="54"/>
      <c r="N2127" s="54"/>
      <c r="O2127" s="54"/>
      <c r="P2127" s="54"/>
      <c r="Q2127" s="54"/>
      <c r="R2127" s="54"/>
      <c r="S2127" s="54"/>
      <c r="T2127" s="54"/>
      <c r="U2127" s="54"/>
      <c r="V2127" s="54"/>
      <c r="W2127" s="54"/>
      <c r="X2127" s="54"/>
      <c r="Y2127" s="54"/>
      <c r="Z2127" s="54"/>
      <c r="AA2127" s="54"/>
      <c r="AB2127" s="54"/>
      <c r="AC2127" s="54"/>
      <c r="AD2127" s="54"/>
      <c r="AE2127" s="54"/>
    </row>
    <row r="2128">
      <c r="A2128" s="80"/>
      <c r="B2128" s="80"/>
      <c r="C2128" s="80"/>
      <c r="D2128" s="59"/>
      <c r="E2128" s="59"/>
      <c r="F2128" s="83"/>
      <c r="G2128" s="76"/>
      <c r="H2128" s="76"/>
      <c r="I2128" s="76"/>
      <c r="J2128" s="93"/>
      <c r="K2128" s="93"/>
      <c r="L2128" s="82"/>
      <c r="M2128" s="54"/>
      <c r="N2128" s="54"/>
      <c r="O2128" s="54"/>
      <c r="P2128" s="54"/>
      <c r="Q2128" s="54"/>
      <c r="R2128" s="54"/>
      <c r="S2128" s="54"/>
      <c r="T2128" s="54"/>
      <c r="U2128" s="54"/>
      <c r="V2128" s="54"/>
      <c r="W2128" s="54"/>
      <c r="X2128" s="54"/>
      <c r="Y2128" s="54"/>
      <c r="Z2128" s="54"/>
      <c r="AA2128" s="54"/>
      <c r="AB2128" s="54"/>
      <c r="AC2128" s="54"/>
      <c r="AD2128" s="54"/>
      <c r="AE2128" s="54"/>
    </row>
    <row r="2129">
      <c r="A2129" s="80"/>
      <c r="B2129" s="80"/>
      <c r="C2129" s="80"/>
      <c r="D2129" s="59"/>
      <c r="E2129" s="59"/>
      <c r="F2129" s="83"/>
      <c r="G2129" s="76"/>
      <c r="H2129" s="76"/>
      <c r="I2129" s="76"/>
      <c r="J2129" s="93"/>
      <c r="K2129" s="93"/>
      <c r="L2129" s="82"/>
      <c r="M2129" s="54"/>
      <c r="N2129" s="54"/>
      <c r="O2129" s="54"/>
      <c r="P2129" s="54"/>
      <c r="Q2129" s="54"/>
      <c r="R2129" s="54"/>
      <c r="S2129" s="54"/>
      <c r="T2129" s="54"/>
      <c r="U2129" s="54"/>
      <c r="V2129" s="54"/>
      <c r="W2129" s="54"/>
      <c r="X2129" s="54"/>
      <c r="Y2129" s="54"/>
      <c r="Z2129" s="54"/>
      <c r="AA2129" s="54"/>
      <c r="AB2129" s="54"/>
      <c r="AC2129" s="54"/>
      <c r="AD2129" s="54"/>
      <c r="AE2129" s="54"/>
    </row>
    <row r="2130">
      <c r="A2130" s="80"/>
      <c r="B2130" s="80"/>
      <c r="C2130" s="80"/>
      <c r="D2130" s="59"/>
      <c r="E2130" s="59"/>
      <c r="F2130" s="83"/>
      <c r="G2130" s="76"/>
      <c r="H2130" s="76"/>
      <c r="I2130" s="76"/>
      <c r="J2130" s="93"/>
      <c r="K2130" s="93"/>
      <c r="L2130" s="82"/>
      <c r="M2130" s="54"/>
      <c r="N2130" s="54"/>
      <c r="O2130" s="54"/>
      <c r="P2130" s="54"/>
      <c r="Q2130" s="54"/>
      <c r="R2130" s="54"/>
      <c r="S2130" s="54"/>
      <c r="T2130" s="54"/>
      <c r="U2130" s="54"/>
      <c r="V2130" s="54"/>
      <c r="W2130" s="54"/>
      <c r="X2130" s="54"/>
      <c r="Y2130" s="54"/>
      <c r="Z2130" s="54"/>
      <c r="AA2130" s="54"/>
      <c r="AB2130" s="54"/>
      <c r="AC2130" s="54"/>
      <c r="AD2130" s="54"/>
      <c r="AE2130" s="54"/>
    </row>
    <row r="2131">
      <c r="A2131" s="80"/>
      <c r="B2131" s="80"/>
      <c r="C2131" s="80"/>
      <c r="D2131" s="59"/>
      <c r="E2131" s="59"/>
      <c r="F2131" s="83"/>
      <c r="G2131" s="76"/>
      <c r="H2131" s="76"/>
      <c r="I2131" s="76"/>
      <c r="J2131" s="93"/>
      <c r="K2131" s="93"/>
      <c r="L2131" s="82"/>
      <c r="M2131" s="54"/>
      <c r="N2131" s="54"/>
      <c r="O2131" s="54"/>
      <c r="P2131" s="54"/>
      <c r="Q2131" s="54"/>
      <c r="R2131" s="54"/>
      <c r="S2131" s="54"/>
      <c r="T2131" s="54"/>
      <c r="U2131" s="54"/>
      <c r="V2131" s="54"/>
      <c r="W2131" s="54"/>
      <c r="X2131" s="54"/>
      <c r="Y2131" s="54"/>
      <c r="Z2131" s="54"/>
      <c r="AA2131" s="54"/>
      <c r="AB2131" s="54"/>
      <c r="AC2131" s="54"/>
      <c r="AD2131" s="54"/>
      <c r="AE2131" s="54"/>
    </row>
    <row r="2132">
      <c r="A2132" s="80"/>
      <c r="B2132" s="80"/>
      <c r="C2132" s="80"/>
      <c r="D2132" s="59"/>
      <c r="E2132" s="59"/>
      <c r="F2132" s="83"/>
      <c r="G2132" s="76"/>
      <c r="H2132" s="76"/>
      <c r="I2132" s="76"/>
      <c r="J2132" s="93"/>
      <c r="K2132" s="93"/>
      <c r="L2132" s="82"/>
      <c r="M2132" s="54"/>
      <c r="N2132" s="54"/>
      <c r="O2132" s="54"/>
      <c r="P2132" s="54"/>
      <c r="Q2132" s="54"/>
      <c r="R2132" s="54"/>
      <c r="S2132" s="54"/>
      <c r="T2132" s="54"/>
      <c r="U2132" s="54"/>
      <c r="V2132" s="54"/>
      <c r="W2132" s="54"/>
      <c r="X2132" s="54"/>
      <c r="Y2132" s="54"/>
      <c r="Z2132" s="54"/>
      <c r="AA2132" s="54"/>
      <c r="AB2132" s="54"/>
      <c r="AC2132" s="54"/>
      <c r="AD2132" s="54"/>
      <c r="AE2132" s="54"/>
    </row>
    <row r="2133">
      <c r="A2133" s="80"/>
      <c r="B2133" s="80"/>
      <c r="C2133" s="80"/>
      <c r="D2133" s="59"/>
      <c r="E2133" s="59"/>
      <c r="F2133" s="83"/>
      <c r="G2133" s="76"/>
      <c r="H2133" s="76"/>
      <c r="I2133" s="76"/>
      <c r="J2133" s="93"/>
      <c r="K2133" s="93"/>
      <c r="L2133" s="82"/>
      <c r="M2133" s="54"/>
      <c r="N2133" s="54"/>
      <c r="O2133" s="54"/>
      <c r="P2133" s="54"/>
      <c r="Q2133" s="54"/>
      <c r="R2133" s="54"/>
      <c r="S2133" s="54"/>
      <c r="T2133" s="54"/>
      <c r="U2133" s="54"/>
      <c r="V2133" s="54"/>
      <c r="W2133" s="54"/>
      <c r="X2133" s="54"/>
      <c r="Y2133" s="54"/>
      <c r="Z2133" s="54"/>
      <c r="AA2133" s="54"/>
      <c r="AB2133" s="54"/>
      <c r="AC2133" s="54"/>
      <c r="AD2133" s="54"/>
      <c r="AE2133" s="54"/>
    </row>
    <row r="2134">
      <c r="A2134" s="80"/>
      <c r="B2134" s="80"/>
      <c r="C2134" s="80"/>
      <c r="D2134" s="59"/>
      <c r="E2134" s="59"/>
      <c r="F2134" s="83"/>
      <c r="G2134" s="76"/>
      <c r="H2134" s="76"/>
      <c r="I2134" s="76"/>
      <c r="J2134" s="93"/>
      <c r="K2134" s="93"/>
      <c r="L2134" s="82"/>
      <c r="M2134" s="54"/>
      <c r="N2134" s="54"/>
      <c r="O2134" s="54"/>
      <c r="P2134" s="54"/>
      <c r="Q2134" s="54"/>
      <c r="R2134" s="54"/>
      <c r="S2134" s="54"/>
      <c r="T2134" s="54"/>
      <c r="U2134" s="54"/>
      <c r="V2134" s="54"/>
      <c r="W2134" s="54"/>
      <c r="X2134" s="54"/>
      <c r="Y2134" s="54"/>
      <c r="Z2134" s="54"/>
      <c r="AA2134" s="54"/>
      <c r="AB2134" s="54"/>
      <c r="AC2134" s="54"/>
      <c r="AD2134" s="54"/>
      <c r="AE2134" s="54"/>
    </row>
    <row r="2135">
      <c r="A2135" s="80"/>
      <c r="B2135" s="80"/>
      <c r="C2135" s="80"/>
      <c r="D2135" s="59"/>
      <c r="E2135" s="59"/>
      <c r="F2135" s="83"/>
      <c r="G2135" s="76"/>
      <c r="H2135" s="76"/>
      <c r="I2135" s="76"/>
      <c r="J2135" s="93"/>
      <c r="K2135" s="93"/>
      <c r="L2135" s="82"/>
      <c r="M2135" s="54"/>
      <c r="N2135" s="54"/>
      <c r="O2135" s="54"/>
      <c r="P2135" s="54"/>
      <c r="Q2135" s="54"/>
      <c r="R2135" s="54"/>
      <c r="S2135" s="54"/>
      <c r="T2135" s="54"/>
      <c r="U2135" s="54"/>
      <c r="V2135" s="54"/>
      <c r="W2135" s="54"/>
      <c r="X2135" s="54"/>
      <c r="Y2135" s="54"/>
      <c r="Z2135" s="54"/>
      <c r="AA2135" s="54"/>
      <c r="AB2135" s="54"/>
      <c r="AC2135" s="54"/>
      <c r="AD2135" s="54"/>
      <c r="AE2135" s="54"/>
    </row>
    <row r="2136">
      <c r="A2136" s="80"/>
      <c r="B2136" s="80"/>
      <c r="C2136" s="80"/>
      <c r="D2136" s="59"/>
      <c r="E2136" s="59"/>
      <c r="F2136" s="83"/>
      <c r="G2136" s="76"/>
      <c r="H2136" s="76"/>
      <c r="I2136" s="76"/>
      <c r="J2136" s="93"/>
      <c r="K2136" s="93"/>
      <c r="L2136" s="82"/>
      <c r="M2136" s="54"/>
      <c r="N2136" s="54"/>
      <c r="O2136" s="54"/>
      <c r="P2136" s="54"/>
      <c r="Q2136" s="54"/>
      <c r="R2136" s="54"/>
      <c r="S2136" s="54"/>
      <c r="T2136" s="54"/>
      <c r="U2136" s="54"/>
      <c r="V2136" s="54"/>
      <c r="W2136" s="54"/>
      <c r="X2136" s="54"/>
      <c r="Y2136" s="54"/>
      <c r="Z2136" s="54"/>
      <c r="AA2136" s="54"/>
      <c r="AB2136" s="54"/>
      <c r="AC2136" s="54"/>
      <c r="AD2136" s="54"/>
      <c r="AE2136" s="54"/>
    </row>
    <row r="2137">
      <c r="A2137" s="80"/>
      <c r="B2137" s="80"/>
      <c r="C2137" s="80"/>
      <c r="D2137" s="59"/>
      <c r="E2137" s="59"/>
      <c r="F2137" s="83"/>
      <c r="G2137" s="76"/>
      <c r="H2137" s="76"/>
      <c r="I2137" s="76"/>
      <c r="J2137" s="93"/>
      <c r="K2137" s="93"/>
      <c r="L2137" s="82"/>
      <c r="M2137" s="54"/>
      <c r="N2137" s="54"/>
      <c r="O2137" s="54"/>
      <c r="P2137" s="54"/>
      <c r="Q2137" s="54"/>
      <c r="R2137" s="54"/>
      <c r="S2137" s="54"/>
      <c r="T2137" s="54"/>
      <c r="U2137" s="54"/>
      <c r="V2137" s="54"/>
      <c r="W2137" s="54"/>
      <c r="X2137" s="54"/>
      <c r="Y2137" s="54"/>
      <c r="Z2137" s="54"/>
      <c r="AA2137" s="54"/>
      <c r="AB2137" s="54"/>
      <c r="AC2137" s="54"/>
      <c r="AD2137" s="54"/>
      <c r="AE2137" s="54"/>
    </row>
    <row r="2138">
      <c r="A2138" s="80"/>
      <c r="B2138" s="80"/>
      <c r="C2138" s="80"/>
      <c r="D2138" s="59"/>
      <c r="E2138" s="59"/>
      <c r="F2138" s="83"/>
      <c r="G2138" s="76"/>
      <c r="H2138" s="76"/>
      <c r="I2138" s="76"/>
      <c r="J2138" s="93"/>
      <c r="K2138" s="93"/>
      <c r="L2138" s="82"/>
      <c r="M2138" s="54"/>
      <c r="N2138" s="54"/>
      <c r="O2138" s="54"/>
      <c r="P2138" s="54"/>
      <c r="Q2138" s="54"/>
      <c r="R2138" s="54"/>
      <c r="S2138" s="54"/>
      <c r="T2138" s="54"/>
      <c r="U2138" s="54"/>
      <c r="V2138" s="54"/>
      <c r="W2138" s="54"/>
      <c r="X2138" s="54"/>
      <c r="Y2138" s="54"/>
      <c r="Z2138" s="54"/>
      <c r="AA2138" s="54"/>
      <c r="AB2138" s="54"/>
      <c r="AC2138" s="54"/>
      <c r="AD2138" s="54"/>
      <c r="AE2138" s="54"/>
    </row>
    <row r="2139">
      <c r="A2139" s="80"/>
      <c r="B2139" s="80"/>
      <c r="C2139" s="80"/>
      <c r="D2139" s="59"/>
      <c r="E2139" s="59"/>
      <c r="F2139" s="83"/>
      <c r="G2139" s="76"/>
      <c r="H2139" s="76"/>
      <c r="I2139" s="76"/>
      <c r="J2139" s="93"/>
      <c r="K2139" s="93"/>
      <c r="L2139" s="82"/>
      <c r="M2139" s="54"/>
      <c r="N2139" s="54"/>
      <c r="O2139" s="54"/>
      <c r="P2139" s="54"/>
      <c r="Q2139" s="54"/>
      <c r="R2139" s="54"/>
      <c r="S2139" s="54"/>
      <c r="T2139" s="54"/>
      <c r="U2139" s="54"/>
      <c r="V2139" s="54"/>
      <c r="W2139" s="54"/>
      <c r="X2139" s="54"/>
      <c r="Y2139" s="54"/>
      <c r="Z2139" s="54"/>
      <c r="AA2139" s="54"/>
      <c r="AB2139" s="54"/>
      <c r="AC2139" s="54"/>
      <c r="AD2139" s="54"/>
      <c r="AE2139" s="54"/>
    </row>
    <row r="2140">
      <c r="A2140" s="80"/>
      <c r="B2140" s="80"/>
      <c r="C2140" s="80"/>
      <c r="D2140" s="59"/>
      <c r="E2140" s="59"/>
      <c r="F2140" s="83"/>
      <c r="G2140" s="76"/>
      <c r="H2140" s="76"/>
      <c r="I2140" s="76"/>
      <c r="J2140" s="93"/>
      <c r="K2140" s="93"/>
      <c r="L2140" s="82"/>
      <c r="M2140" s="54"/>
      <c r="N2140" s="54"/>
      <c r="O2140" s="54"/>
      <c r="P2140" s="54"/>
      <c r="Q2140" s="54"/>
      <c r="R2140" s="54"/>
      <c r="S2140" s="54"/>
      <c r="T2140" s="54"/>
      <c r="U2140" s="54"/>
      <c r="V2140" s="54"/>
      <c r="W2140" s="54"/>
      <c r="X2140" s="54"/>
      <c r="Y2140" s="54"/>
      <c r="Z2140" s="54"/>
      <c r="AA2140" s="54"/>
      <c r="AB2140" s="54"/>
      <c r="AC2140" s="54"/>
      <c r="AD2140" s="54"/>
      <c r="AE2140" s="54"/>
    </row>
    <row r="2141">
      <c r="A2141" s="80"/>
      <c r="B2141" s="80"/>
      <c r="C2141" s="80"/>
      <c r="D2141" s="59"/>
      <c r="E2141" s="59"/>
      <c r="F2141" s="83"/>
      <c r="G2141" s="76"/>
      <c r="H2141" s="76"/>
      <c r="I2141" s="76"/>
      <c r="J2141" s="93"/>
      <c r="K2141" s="93"/>
      <c r="L2141" s="82"/>
      <c r="M2141" s="54"/>
      <c r="N2141" s="54"/>
      <c r="O2141" s="54"/>
      <c r="P2141" s="54"/>
      <c r="Q2141" s="54"/>
      <c r="R2141" s="54"/>
      <c r="S2141" s="54"/>
      <c r="T2141" s="54"/>
      <c r="U2141" s="54"/>
      <c r="V2141" s="54"/>
      <c r="W2141" s="54"/>
      <c r="X2141" s="54"/>
      <c r="Y2141" s="54"/>
      <c r="Z2141" s="54"/>
      <c r="AA2141" s="54"/>
      <c r="AB2141" s="54"/>
      <c r="AC2141" s="54"/>
      <c r="AD2141" s="54"/>
      <c r="AE2141" s="54"/>
    </row>
    <row r="2142">
      <c r="A2142" s="80"/>
      <c r="B2142" s="80"/>
      <c r="C2142" s="80"/>
      <c r="D2142" s="59"/>
      <c r="E2142" s="59"/>
      <c r="F2142" s="83"/>
      <c r="G2142" s="76"/>
      <c r="H2142" s="76"/>
      <c r="I2142" s="76"/>
      <c r="J2142" s="93"/>
      <c r="K2142" s="93"/>
      <c r="L2142" s="82"/>
      <c r="M2142" s="54"/>
      <c r="N2142" s="54"/>
      <c r="O2142" s="54"/>
      <c r="P2142" s="54"/>
      <c r="Q2142" s="54"/>
      <c r="R2142" s="54"/>
      <c r="S2142" s="54"/>
      <c r="T2142" s="54"/>
      <c r="U2142" s="54"/>
      <c r="V2142" s="54"/>
      <c r="W2142" s="54"/>
      <c r="X2142" s="54"/>
      <c r="Y2142" s="54"/>
      <c r="Z2142" s="54"/>
      <c r="AA2142" s="54"/>
      <c r="AB2142" s="54"/>
      <c r="AC2142" s="54"/>
      <c r="AD2142" s="54"/>
      <c r="AE2142" s="54"/>
    </row>
    <row r="2143">
      <c r="A2143" s="80"/>
      <c r="B2143" s="80"/>
      <c r="C2143" s="80"/>
      <c r="D2143" s="59"/>
      <c r="E2143" s="59"/>
      <c r="F2143" s="83"/>
      <c r="G2143" s="76"/>
      <c r="H2143" s="76"/>
      <c r="I2143" s="76"/>
      <c r="J2143" s="93"/>
      <c r="K2143" s="93"/>
      <c r="L2143" s="82"/>
      <c r="M2143" s="54"/>
      <c r="N2143" s="54"/>
      <c r="O2143" s="54"/>
      <c r="P2143" s="54"/>
      <c r="Q2143" s="54"/>
      <c r="R2143" s="54"/>
      <c r="S2143" s="54"/>
      <c r="T2143" s="54"/>
      <c r="U2143" s="54"/>
      <c r="V2143" s="54"/>
      <c r="W2143" s="54"/>
      <c r="X2143" s="54"/>
      <c r="Y2143" s="54"/>
      <c r="Z2143" s="54"/>
      <c r="AA2143" s="54"/>
      <c r="AB2143" s="54"/>
      <c r="AC2143" s="54"/>
      <c r="AD2143" s="54"/>
      <c r="AE2143" s="54"/>
    </row>
    <row r="2144">
      <c r="A2144" s="80"/>
      <c r="B2144" s="80"/>
      <c r="C2144" s="80"/>
      <c r="D2144" s="59"/>
      <c r="E2144" s="59"/>
      <c r="F2144" s="83"/>
      <c r="G2144" s="76"/>
      <c r="H2144" s="76"/>
      <c r="I2144" s="76"/>
      <c r="J2144" s="93"/>
      <c r="K2144" s="93"/>
      <c r="L2144" s="82"/>
      <c r="M2144" s="54"/>
      <c r="N2144" s="54"/>
      <c r="O2144" s="54"/>
      <c r="P2144" s="54"/>
      <c r="Q2144" s="54"/>
      <c r="R2144" s="54"/>
      <c r="S2144" s="54"/>
      <c r="T2144" s="54"/>
      <c r="U2144" s="54"/>
      <c r="V2144" s="54"/>
      <c r="W2144" s="54"/>
      <c r="X2144" s="54"/>
      <c r="Y2144" s="54"/>
      <c r="Z2144" s="54"/>
      <c r="AA2144" s="54"/>
      <c r="AB2144" s="54"/>
      <c r="AC2144" s="54"/>
      <c r="AD2144" s="54"/>
      <c r="AE2144" s="54"/>
    </row>
    <row r="2145">
      <c r="A2145" s="80"/>
      <c r="B2145" s="80"/>
      <c r="C2145" s="80"/>
      <c r="D2145" s="59"/>
      <c r="E2145" s="59"/>
      <c r="F2145" s="83"/>
      <c r="G2145" s="76"/>
      <c r="H2145" s="76"/>
      <c r="I2145" s="76"/>
      <c r="J2145" s="93"/>
      <c r="K2145" s="93"/>
      <c r="L2145" s="82"/>
      <c r="M2145" s="54"/>
      <c r="N2145" s="54"/>
      <c r="O2145" s="54"/>
      <c r="P2145" s="54"/>
      <c r="Q2145" s="54"/>
      <c r="R2145" s="54"/>
      <c r="S2145" s="54"/>
      <c r="T2145" s="54"/>
      <c r="U2145" s="54"/>
      <c r="V2145" s="54"/>
      <c r="W2145" s="54"/>
      <c r="X2145" s="54"/>
      <c r="Y2145" s="54"/>
      <c r="Z2145" s="54"/>
      <c r="AA2145" s="54"/>
      <c r="AB2145" s="54"/>
      <c r="AC2145" s="54"/>
      <c r="AD2145" s="54"/>
      <c r="AE2145" s="54"/>
    </row>
    <row r="2146">
      <c r="A2146" s="80"/>
      <c r="B2146" s="80"/>
      <c r="C2146" s="80"/>
      <c r="D2146" s="59"/>
      <c r="E2146" s="59"/>
      <c r="F2146" s="83"/>
      <c r="G2146" s="76"/>
      <c r="H2146" s="76"/>
      <c r="I2146" s="76"/>
      <c r="J2146" s="93"/>
      <c r="K2146" s="93"/>
      <c r="L2146" s="82"/>
      <c r="M2146" s="54"/>
      <c r="N2146" s="54"/>
      <c r="O2146" s="54"/>
      <c r="P2146" s="54"/>
      <c r="Q2146" s="54"/>
      <c r="R2146" s="54"/>
      <c r="S2146" s="54"/>
      <c r="T2146" s="54"/>
      <c r="U2146" s="54"/>
      <c r="V2146" s="54"/>
      <c r="W2146" s="54"/>
      <c r="X2146" s="54"/>
      <c r="Y2146" s="54"/>
      <c r="Z2146" s="54"/>
      <c r="AA2146" s="54"/>
      <c r="AB2146" s="54"/>
      <c r="AC2146" s="54"/>
      <c r="AD2146" s="54"/>
      <c r="AE2146" s="54"/>
    </row>
    <row r="2147">
      <c r="A2147" s="80"/>
      <c r="B2147" s="80"/>
      <c r="C2147" s="80"/>
      <c r="D2147" s="59"/>
      <c r="E2147" s="59"/>
      <c r="F2147" s="83"/>
      <c r="G2147" s="76"/>
      <c r="H2147" s="76"/>
      <c r="I2147" s="76"/>
      <c r="J2147" s="93"/>
      <c r="K2147" s="93"/>
      <c r="L2147" s="82"/>
      <c r="M2147" s="54"/>
      <c r="N2147" s="54"/>
      <c r="O2147" s="54"/>
      <c r="P2147" s="54"/>
      <c r="Q2147" s="54"/>
      <c r="R2147" s="54"/>
      <c r="S2147" s="54"/>
      <c r="T2147" s="54"/>
      <c r="U2147" s="54"/>
      <c r="V2147" s="54"/>
      <c r="W2147" s="54"/>
      <c r="X2147" s="54"/>
      <c r="Y2147" s="54"/>
      <c r="Z2147" s="54"/>
      <c r="AA2147" s="54"/>
      <c r="AB2147" s="54"/>
      <c r="AC2147" s="54"/>
      <c r="AD2147" s="54"/>
      <c r="AE2147" s="54"/>
    </row>
    <row r="2148">
      <c r="A2148" s="80"/>
      <c r="B2148" s="80"/>
      <c r="C2148" s="80"/>
      <c r="D2148" s="59"/>
      <c r="E2148" s="59"/>
      <c r="F2148" s="83"/>
      <c r="G2148" s="76"/>
      <c r="H2148" s="76"/>
      <c r="I2148" s="76"/>
      <c r="J2148" s="93"/>
      <c r="K2148" s="93"/>
      <c r="L2148" s="82"/>
      <c r="M2148" s="54"/>
      <c r="N2148" s="54"/>
      <c r="O2148" s="54"/>
      <c r="P2148" s="54"/>
      <c r="Q2148" s="54"/>
      <c r="R2148" s="54"/>
      <c r="S2148" s="54"/>
      <c r="T2148" s="54"/>
      <c r="U2148" s="54"/>
      <c r="V2148" s="54"/>
      <c r="W2148" s="54"/>
      <c r="X2148" s="54"/>
      <c r="Y2148" s="54"/>
      <c r="Z2148" s="54"/>
      <c r="AA2148" s="54"/>
      <c r="AB2148" s="54"/>
      <c r="AC2148" s="54"/>
      <c r="AD2148" s="54"/>
      <c r="AE2148" s="54"/>
    </row>
    <row r="2149">
      <c r="A2149" s="80"/>
      <c r="B2149" s="80"/>
      <c r="C2149" s="80"/>
      <c r="D2149" s="59"/>
      <c r="E2149" s="59"/>
      <c r="F2149" s="83"/>
      <c r="G2149" s="76"/>
      <c r="H2149" s="76"/>
      <c r="I2149" s="76"/>
      <c r="J2149" s="93"/>
      <c r="K2149" s="93"/>
      <c r="L2149" s="82"/>
      <c r="M2149" s="54"/>
      <c r="N2149" s="54"/>
      <c r="O2149" s="54"/>
      <c r="P2149" s="54"/>
      <c r="Q2149" s="54"/>
      <c r="R2149" s="54"/>
      <c r="S2149" s="54"/>
      <c r="T2149" s="54"/>
      <c r="U2149" s="54"/>
      <c r="V2149" s="54"/>
      <c r="W2149" s="54"/>
      <c r="X2149" s="54"/>
      <c r="Y2149" s="54"/>
      <c r="Z2149" s="54"/>
      <c r="AA2149" s="54"/>
      <c r="AB2149" s="54"/>
      <c r="AC2149" s="54"/>
      <c r="AD2149" s="54"/>
      <c r="AE2149" s="54"/>
    </row>
    <row r="2150">
      <c r="A2150" s="80"/>
      <c r="B2150" s="80"/>
      <c r="C2150" s="80"/>
      <c r="D2150" s="59"/>
      <c r="E2150" s="59"/>
      <c r="F2150" s="83"/>
      <c r="G2150" s="76"/>
      <c r="H2150" s="76"/>
      <c r="I2150" s="76"/>
      <c r="J2150" s="93"/>
      <c r="K2150" s="93"/>
      <c r="L2150" s="82"/>
      <c r="M2150" s="54"/>
      <c r="N2150" s="54"/>
      <c r="O2150" s="54"/>
      <c r="P2150" s="54"/>
      <c r="Q2150" s="54"/>
      <c r="R2150" s="54"/>
      <c r="S2150" s="54"/>
      <c r="T2150" s="54"/>
      <c r="U2150" s="54"/>
      <c r="V2150" s="54"/>
      <c r="W2150" s="54"/>
      <c r="X2150" s="54"/>
      <c r="Y2150" s="54"/>
      <c r="Z2150" s="54"/>
      <c r="AA2150" s="54"/>
      <c r="AB2150" s="54"/>
      <c r="AC2150" s="54"/>
      <c r="AD2150" s="54"/>
      <c r="AE2150" s="54"/>
    </row>
    <row r="2151">
      <c r="A2151" s="80"/>
      <c r="B2151" s="80"/>
      <c r="C2151" s="80"/>
      <c r="D2151" s="59"/>
      <c r="E2151" s="59"/>
      <c r="F2151" s="83"/>
      <c r="G2151" s="76"/>
      <c r="H2151" s="76"/>
      <c r="I2151" s="76"/>
      <c r="J2151" s="93"/>
      <c r="K2151" s="93"/>
      <c r="L2151" s="82"/>
      <c r="M2151" s="54"/>
      <c r="N2151" s="54"/>
      <c r="O2151" s="54"/>
      <c r="P2151" s="54"/>
      <c r="Q2151" s="54"/>
      <c r="R2151" s="54"/>
      <c r="S2151" s="54"/>
      <c r="T2151" s="54"/>
      <c r="U2151" s="54"/>
      <c r="V2151" s="54"/>
      <c r="W2151" s="54"/>
      <c r="X2151" s="54"/>
      <c r="Y2151" s="54"/>
      <c r="Z2151" s="54"/>
      <c r="AA2151" s="54"/>
      <c r="AB2151" s="54"/>
      <c r="AC2151" s="54"/>
      <c r="AD2151" s="54"/>
      <c r="AE2151" s="54"/>
    </row>
    <row r="2152">
      <c r="A2152" s="80"/>
      <c r="B2152" s="80"/>
      <c r="C2152" s="80"/>
      <c r="D2152" s="59"/>
      <c r="E2152" s="59"/>
      <c r="F2152" s="83"/>
      <c r="G2152" s="76"/>
      <c r="H2152" s="76"/>
      <c r="I2152" s="76"/>
      <c r="J2152" s="93"/>
      <c r="K2152" s="93"/>
      <c r="L2152" s="82"/>
      <c r="M2152" s="54"/>
      <c r="N2152" s="54"/>
      <c r="O2152" s="54"/>
      <c r="P2152" s="54"/>
      <c r="Q2152" s="54"/>
      <c r="R2152" s="54"/>
      <c r="S2152" s="54"/>
      <c r="T2152" s="54"/>
      <c r="U2152" s="54"/>
      <c r="V2152" s="54"/>
      <c r="W2152" s="54"/>
      <c r="X2152" s="54"/>
      <c r="Y2152" s="54"/>
      <c r="Z2152" s="54"/>
      <c r="AA2152" s="54"/>
      <c r="AB2152" s="54"/>
      <c r="AC2152" s="54"/>
      <c r="AD2152" s="54"/>
      <c r="AE2152" s="54"/>
    </row>
    <row r="2153">
      <c r="A2153" s="80"/>
      <c r="B2153" s="80"/>
      <c r="C2153" s="80"/>
      <c r="D2153" s="59"/>
      <c r="E2153" s="59"/>
      <c r="F2153" s="83"/>
      <c r="G2153" s="76"/>
      <c r="H2153" s="76"/>
      <c r="I2153" s="76"/>
      <c r="J2153" s="93"/>
      <c r="K2153" s="93"/>
      <c r="L2153" s="82"/>
      <c r="M2153" s="54"/>
      <c r="N2153" s="54"/>
      <c r="O2153" s="54"/>
      <c r="P2153" s="54"/>
      <c r="Q2153" s="54"/>
      <c r="R2153" s="54"/>
      <c r="S2153" s="54"/>
      <c r="T2153" s="54"/>
      <c r="U2153" s="54"/>
      <c r="V2153" s="54"/>
      <c r="W2153" s="54"/>
      <c r="X2153" s="54"/>
      <c r="Y2153" s="54"/>
      <c r="Z2153" s="54"/>
      <c r="AA2153" s="54"/>
      <c r="AB2153" s="54"/>
      <c r="AC2153" s="54"/>
      <c r="AD2153" s="54"/>
      <c r="AE2153" s="54"/>
    </row>
    <row r="2154">
      <c r="A2154" s="80"/>
      <c r="B2154" s="80"/>
      <c r="C2154" s="80"/>
      <c r="D2154" s="59"/>
      <c r="E2154" s="59"/>
      <c r="F2154" s="83"/>
      <c r="G2154" s="76"/>
      <c r="H2154" s="76"/>
      <c r="I2154" s="76"/>
      <c r="J2154" s="93"/>
      <c r="K2154" s="93"/>
      <c r="L2154" s="82"/>
      <c r="M2154" s="54"/>
      <c r="N2154" s="54"/>
      <c r="O2154" s="54"/>
      <c r="P2154" s="54"/>
      <c r="Q2154" s="54"/>
      <c r="R2154" s="54"/>
      <c r="S2154" s="54"/>
      <c r="T2154" s="54"/>
      <c r="U2154" s="54"/>
      <c r="V2154" s="54"/>
      <c r="W2154" s="54"/>
      <c r="X2154" s="54"/>
      <c r="Y2154" s="54"/>
      <c r="Z2154" s="54"/>
      <c r="AA2154" s="54"/>
      <c r="AB2154" s="54"/>
      <c r="AC2154" s="54"/>
      <c r="AD2154" s="54"/>
      <c r="AE2154" s="54"/>
    </row>
    <row r="2155">
      <c r="A2155" s="80"/>
      <c r="B2155" s="80"/>
      <c r="C2155" s="80"/>
      <c r="D2155" s="59"/>
      <c r="E2155" s="59"/>
      <c r="F2155" s="83"/>
      <c r="G2155" s="76"/>
      <c r="H2155" s="76"/>
      <c r="I2155" s="76"/>
      <c r="J2155" s="93"/>
      <c r="K2155" s="93"/>
      <c r="L2155" s="82"/>
      <c r="M2155" s="54"/>
      <c r="N2155" s="54"/>
      <c r="O2155" s="54"/>
      <c r="P2155" s="54"/>
      <c r="Q2155" s="54"/>
      <c r="R2155" s="54"/>
      <c r="S2155" s="54"/>
      <c r="T2155" s="54"/>
      <c r="U2155" s="54"/>
      <c r="V2155" s="54"/>
      <c r="W2155" s="54"/>
      <c r="X2155" s="54"/>
      <c r="Y2155" s="54"/>
      <c r="Z2155" s="54"/>
      <c r="AA2155" s="54"/>
      <c r="AB2155" s="54"/>
      <c r="AC2155" s="54"/>
      <c r="AD2155" s="54"/>
      <c r="AE2155" s="54"/>
    </row>
    <row r="2156">
      <c r="A2156" s="80"/>
      <c r="B2156" s="80"/>
      <c r="C2156" s="80"/>
      <c r="D2156" s="59"/>
      <c r="E2156" s="59"/>
      <c r="F2156" s="83"/>
      <c r="G2156" s="76"/>
      <c r="H2156" s="76"/>
      <c r="I2156" s="76"/>
      <c r="J2156" s="93"/>
      <c r="K2156" s="93"/>
      <c r="L2156" s="82"/>
      <c r="M2156" s="54"/>
      <c r="N2156" s="54"/>
      <c r="O2156" s="54"/>
      <c r="P2156" s="54"/>
      <c r="Q2156" s="54"/>
      <c r="R2156" s="54"/>
      <c r="S2156" s="54"/>
      <c r="T2156" s="54"/>
      <c r="U2156" s="54"/>
      <c r="V2156" s="54"/>
      <c r="W2156" s="54"/>
      <c r="X2156" s="54"/>
      <c r="Y2156" s="54"/>
      <c r="Z2156" s="54"/>
      <c r="AA2156" s="54"/>
      <c r="AB2156" s="54"/>
      <c r="AC2156" s="54"/>
      <c r="AD2156" s="54"/>
      <c r="AE2156" s="54"/>
    </row>
    <row r="2157">
      <c r="A2157" s="80"/>
      <c r="B2157" s="80"/>
      <c r="C2157" s="80"/>
      <c r="D2157" s="59"/>
      <c r="E2157" s="59"/>
      <c r="F2157" s="83"/>
      <c r="G2157" s="76"/>
      <c r="H2157" s="76"/>
      <c r="I2157" s="76"/>
      <c r="J2157" s="93"/>
      <c r="K2157" s="93"/>
      <c r="L2157" s="82"/>
      <c r="M2157" s="54"/>
      <c r="N2157" s="54"/>
      <c r="O2157" s="54"/>
      <c r="P2157" s="54"/>
      <c r="Q2157" s="54"/>
      <c r="R2157" s="54"/>
      <c r="S2157" s="54"/>
      <c r="T2157" s="54"/>
      <c r="U2157" s="54"/>
      <c r="V2157" s="54"/>
      <c r="W2157" s="54"/>
      <c r="X2157" s="54"/>
      <c r="Y2157" s="54"/>
      <c r="Z2157" s="54"/>
      <c r="AA2157" s="54"/>
      <c r="AB2157" s="54"/>
      <c r="AC2157" s="54"/>
      <c r="AD2157" s="54"/>
      <c r="AE2157" s="54"/>
    </row>
    <row r="2158">
      <c r="A2158" s="80"/>
      <c r="B2158" s="80"/>
      <c r="C2158" s="80"/>
      <c r="D2158" s="59"/>
      <c r="E2158" s="59"/>
      <c r="F2158" s="83"/>
      <c r="G2158" s="76"/>
      <c r="H2158" s="76"/>
      <c r="I2158" s="76"/>
      <c r="J2158" s="93"/>
      <c r="K2158" s="93"/>
      <c r="L2158" s="82"/>
      <c r="M2158" s="54"/>
      <c r="N2158" s="54"/>
      <c r="O2158" s="54"/>
      <c r="P2158" s="54"/>
      <c r="Q2158" s="54"/>
      <c r="R2158" s="54"/>
      <c r="S2158" s="54"/>
      <c r="T2158" s="54"/>
      <c r="U2158" s="54"/>
      <c r="V2158" s="54"/>
      <c r="W2158" s="54"/>
      <c r="X2158" s="54"/>
      <c r="Y2158" s="54"/>
      <c r="Z2158" s="54"/>
      <c r="AA2158" s="54"/>
      <c r="AB2158" s="54"/>
      <c r="AC2158" s="54"/>
      <c r="AD2158" s="54"/>
      <c r="AE2158" s="54"/>
    </row>
    <row r="2159">
      <c r="A2159" s="80"/>
      <c r="B2159" s="80"/>
      <c r="C2159" s="80"/>
      <c r="D2159" s="59"/>
      <c r="E2159" s="59"/>
      <c r="F2159" s="83"/>
      <c r="G2159" s="76"/>
      <c r="H2159" s="76"/>
      <c r="I2159" s="76"/>
      <c r="J2159" s="93"/>
      <c r="K2159" s="93"/>
      <c r="L2159" s="82"/>
      <c r="M2159" s="54"/>
      <c r="N2159" s="54"/>
      <c r="O2159" s="54"/>
      <c r="P2159" s="54"/>
      <c r="Q2159" s="54"/>
      <c r="R2159" s="54"/>
      <c r="S2159" s="54"/>
      <c r="T2159" s="54"/>
      <c r="U2159" s="54"/>
      <c r="V2159" s="54"/>
      <c r="W2159" s="54"/>
      <c r="X2159" s="54"/>
      <c r="Y2159" s="54"/>
      <c r="Z2159" s="54"/>
      <c r="AA2159" s="54"/>
      <c r="AB2159" s="54"/>
      <c r="AC2159" s="54"/>
      <c r="AD2159" s="54"/>
      <c r="AE2159" s="54"/>
    </row>
    <row r="2160">
      <c r="A2160" s="80"/>
      <c r="B2160" s="80"/>
      <c r="C2160" s="80"/>
      <c r="D2160" s="59"/>
      <c r="E2160" s="59"/>
      <c r="F2160" s="83"/>
      <c r="G2160" s="76"/>
      <c r="H2160" s="76"/>
      <c r="I2160" s="76"/>
      <c r="J2160" s="93"/>
      <c r="K2160" s="93"/>
      <c r="L2160" s="82"/>
      <c r="M2160" s="54"/>
      <c r="N2160" s="54"/>
      <c r="O2160" s="54"/>
      <c r="P2160" s="54"/>
      <c r="Q2160" s="54"/>
      <c r="R2160" s="54"/>
      <c r="S2160" s="54"/>
      <c r="T2160" s="54"/>
      <c r="U2160" s="54"/>
      <c r="V2160" s="54"/>
      <c r="W2160" s="54"/>
      <c r="X2160" s="54"/>
      <c r="Y2160" s="54"/>
      <c r="Z2160" s="54"/>
      <c r="AA2160" s="54"/>
      <c r="AB2160" s="54"/>
      <c r="AC2160" s="54"/>
      <c r="AD2160" s="54"/>
      <c r="AE2160" s="54"/>
    </row>
    <row r="2161">
      <c r="A2161" s="80"/>
      <c r="B2161" s="80"/>
      <c r="C2161" s="80"/>
      <c r="D2161" s="59"/>
      <c r="E2161" s="59"/>
      <c r="F2161" s="83"/>
      <c r="G2161" s="76"/>
      <c r="H2161" s="76"/>
      <c r="I2161" s="76"/>
      <c r="J2161" s="93"/>
      <c r="K2161" s="93"/>
      <c r="L2161" s="82"/>
      <c r="M2161" s="54"/>
      <c r="N2161" s="54"/>
      <c r="O2161" s="54"/>
      <c r="P2161" s="54"/>
      <c r="Q2161" s="54"/>
      <c r="R2161" s="54"/>
      <c r="S2161" s="54"/>
      <c r="T2161" s="54"/>
      <c r="U2161" s="54"/>
      <c r="V2161" s="54"/>
      <c r="W2161" s="54"/>
      <c r="X2161" s="54"/>
      <c r="Y2161" s="54"/>
      <c r="Z2161" s="54"/>
      <c r="AA2161" s="54"/>
      <c r="AB2161" s="54"/>
      <c r="AC2161" s="54"/>
      <c r="AD2161" s="54"/>
      <c r="AE2161" s="54"/>
    </row>
    <row r="2162">
      <c r="A2162" s="80"/>
      <c r="B2162" s="80"/>
      <c r="C2162" s="80"/>
      <c r="D2162" s="59"/>
      <c r="E2162" s="59"/>
      <c r="F2162" s="83"/>
      <c r="G2162" s="76"/>
      <c r="H2162" s="76"/>
      <c r="I2162" s="76"/>
      <c r="J2162" s="93"/>
      <c r="K2162" s="93"/>
      <c r="L2162" s="82"/>
      <c r="M2162" s="54"/>
      <c r="N2162" s="54"/>
      <c r="O2162" s="54"/>
      <c r="P2162" s="54"/>
      <c r="Q2162" s="54"/>
      <c r="R2162" s="54"/>
      <c r="S2162" s="54"/>
      <c r="T2162" s="54"/>
      <c r="U2162" s="54"/>
      <c r="V2162" s="54"/>
      <c r="W2162" s="54"/>
      <c r="X2162" s="54"/>
      <c r="Y2162" s="54"/>
      <c r="Z2162" s="54"/>
      <c r="AA2162" s="54"/>
      <c r="AB2162" s="54"/>
      <c r="AC2162" s="54"/>
      <c r="AD2162" s="54"/>
      <c r="AE2162" s="54"/>
    </row>
    <row r="2163">
      <c r="A2163" s="80"/>
      <c r="B2163" s="80"/>
      <c r="C2163" s="80"/>
      <c r="D2163" s="59"/>
      <c r="E2163" s="59"/>
      <c r="F2163" s="83"/>
      <c r="G2163" s="76"/>
      <c r="H2163" s="76"/>
      <c r="I2163" s="76"/>
      <c r="J2163" s="93"/>
      <c r="K2163" s="93"/>
      <c r="L2163" s="82"/>
      <c r="M2163" s="54"/>
      <c r="N2163" s="54"/>
      <c r="O2163" s="54"/>
      <c r="P2163" s="54"/>
      <c r="Q2163" s="54"/>
      <c r="R2163" s="54"/>
      <c r="S2163" s="54"/>
      <c r="T2163" s="54"/>
      <c r="U2163" s="54"/>
      <c r="V2163" s="54"/>
      <c r="W2163" s="54"/>
      <c r="X2163" s="54"/>
      <c r="Y2163" s="54"/>
      <c r="Z2163" s="54"/>
      <c r="AA2163" s="54"/>
      <c r="AB2163" s="54"/>
      <c r="AC2163" s="54"/>
      <c r="AD2163" s="54"/>
      <c r="AE2163" s="54"/>
    </row>
    <row r="2164">
      <c r="A2164" s="80"/>
      <c r="B2164" s="80"/>
      <c r="C2164" s="80"/>
      <c r="D2164" s="59"/>
      <c r="E2164" s="59"/>
      <c r="F2164" s="83"/>
      <c r="G2164" s="76"/>
      <c r="H2164" s="76"/>
      <c r="I2164" s="76"/>
      <c r="J2164" s="93"/>
      <c r="K2164" s="93"/>
      <c r="L2164" s="82"/>
      <c r="M2164" s="54"/>
      <c r="N2164" s="54"/>
      <c r="O2164" s="54"/>
      <c r="P2164" s="54"/>
      <c r="Q2164" s="54"/>
      <c r="R2164" s="54"/>
      <c r="S2164" s="54"/>
      <c r="T2164" s="54"/>
      <c r="U2164" s="54"/>
      <c r="V2164" s="54"/>
      <c r="W2164" s="54"/>
      <c r="X2164" s="54"/>
      <c r="Y2164" s="54"/>
      <c r="Z2164" s="54"/>
      <c r="AA2164" s="54"/>
      <c r="AB2164" s="54"/>
      <c r="AC2164" s="54"/>
      <c r="AD2164" s="54"/>
      <c r="AE2164" s="54"/>
    </row>
    <row r="2165">
      <c r="A2165" s="80"/>
      <c r="B2165" s="80"/>
      <c r="C2165" s="80"/>
      <c r="D2165" s="59"/>
      <c r="E2165" s="59"/>
      <c r="F2165" s="83"/>
      <c r="G2165" s="76"/>
      <c r="H2165" s="76"/>
      <c r="I2165" s="76"/>
      <c r="J2165" s="93"/>
      <c r="K2165" s="93"/>
      <c r="L2165" s="82"/>
      <c r="M2165" s="54"/>
      <c r="N2165" s="54"/>
      <c r="O2165" s="54"/>
      <c r="P2165" s="54"/>
      <c r="Q2165" s="54"/>
      <c r="R2165" s="54"/>
      <c r="S2165" s="54"/>
      <c r="T2165" s="54"/>
      <c r="U2165" s="54"/>
      <c r="V2165" s="54"/>
      <c r="W2165" s="54"/>
      <c r="X2165" s="54"/>
      <c r="Y2165" s="54"/>
      <c r="Z2165" s="54"/>
      <c r="AA2165" s="54"/>
      <c r="AB2165" s="54"/>
      <c r="AC2165" s="54"/>
      <c r="AD2165" s="54"/>
      <c r="AE2165" s="54"/>
    </row>
    <row r="2166">
      <c r="A2166" s="80"/>
      <c r="B2166" s="80"/>
      <c r="C2166" s="80"/>
      <c r="D2166" s="59"/>
      <c r="E2166" s="59"/>
      <c r="F2166" s="83"/>
      <c r="G2166" s="76"/>
      <c r="H2166" s="76"/>
      <c r="I2166" s="76"/>
      <c r="J2166" s="93"/>
      <c r="K2166" s="93"/>
      <c r="L2166" s="82"/>
      <c r="M2166" s="54"/>
      <c r="N2166" s="54"/>
      <c r="O2166" s="54"/>
      <c r="P2166" s="54"/>
      <c r="Q2166" s="54"/>
      <c r="R2166" s="54"/>
      <c r="S2166" s="54"/>
      <c r="T2166" s="54"/>
      <c r="U2166" s="54"/>
      <c r="V2166" s="54"/>
      <c r="W2166" s="54"/>
      <c r="X2166" s="54"/>
      <c r="Y2166" s="54"/>
      <c r="Z2166" s="54"/>
      <c r="AA2166" s="54"/>
      <c r="AB2166" s="54"/>
      <c r="AC2166" s="54"/>
      <c r="AD2166" s="54"/>
      <c r="AE2166" s="54"/>
    </row>
    <row r="2167">
      <c r="A2167" s="80"/>
      <c r="B2167" s="80"/>
      <c r="C2167" s="80"/>
      <c r="D2167" s="59"/>
      <c r="E2167" s="59"/>
      <c r="F2167" s="83"/>
      <c r="G2167" s="76"/>
      <c r="H2167" s="76"/>
      <c r="I2167" s="76"/>
      <c r="J2167" s="93"/>
      <c r="K2167" s="93"/>
      <c r="L2167" s="82"/>
      <c r="M2167" s="54"/>
      <c r="N2167" s="54"/>
      <c r="O2167" s="54"/>
      <c r="P2167" s="54"/>
      <c r="Q2167" s="54"/>
      <c r="R2167" s="54"/>
      <c r="S2167" s="54"/>
      <c r="T2167" s="54"/>
      <c r="U2167" s="54"/>
      <c r="V2167" s="54"/>
      <c r="W2167" s="54"/>
      <c r="X2167" s="54"/>
      <c r="Y2167" s="54"/>
      <c r="Z2167" s="54"/>
      <c r="AA2167" s="54"/>
      <c r="AB2167" s="54"/>
      <c r="AC2167" s="54"/>
      <c r="AD2167" s="54"/>
      <c r="AE2167" s="54"/>
    </row>
    <row r="2168">
      <c r="A2168" s="80"/>
      <c r="B2168" s="80"/>
      <c r="C2168" s="80"/>
      <c r="D2168" s="59"/>
      <c r="E2168" s="59"/>
      <c r="F2168" s="83"/>
      <c r="G2168" s="76"/>
      <c r="H2168" s="76"/>
      <c r="I2168" s="76"/>
      <c r="J2168" s="93"/>
      <c r="K2168" s="93"/>
      <c r="L2168" s="82"/>
      <c r="M2168" s="54"/>
      <c r="N2168" s="54"/>
      <c r="O2168" s="54"/>
      <c r="P2168" s="54"/>
      <c r="Q2168" s="54"/>
      <c r="R2168" s="54"/>
      <c r="S2168" s="54"/>
      <c r="T2168" s="54"/>
      <c r="U2168" s="54"/>
      <c r="V2168" s="54"/>
      <c r="W2168" s="54"/>
      <c r="X2168" s="54"/>
      <c r="Y2168" s="54"/>
      <c r="Z2168" s="54"/>
      <c r="AA2168" s="54"/>
      <c r="AB2168" s="54"/>
      <c r="AC2168" s="54"/>
      <c r="AD2168" s="54"/>
      <c r="AE2168" s="54"/>
    </row>
    <row r="2169">
      <c r="A2169" s="80"/>
      <c r="B2169" s="80"/>
      <c r="C2169" s="80"/>
      <c r="D2169" s="59"/>
      <c r="E2169" s="59"/>
      <c r="F2169" s="83"/>
      <c r="G2169" s="76"/>
      <c r="H2169" s="76"/>
      <c r="I2169" s="76"/>
      <c r="J2169" s="93"/>
      <c r="K2169" s="93"/>
      <c r="L2169" s="82"/>
      <c r="M2169" s="54"/>
      <c r="N2169" s="54"/>
      <c r="O2169" s="54"/>
      <c r="P2169" s="54"/>
      <c r="Q2169" s="54"/>
      <c r="R2169" s="54"/>
      <c r="S2169" s="54"/>
      <c r="T2169" s="54"/>
      <c r="U2169" s="54"/>
      <c r="V2169" s="54"/>
      <c r="W2169" s="54"/>
      <c r="X2169" s="54"/>
      <c r="Y2169" s="54"/>
      <c r="Z2169" s="54"/>
      <c r="AA2169" s="54"/>
      <c r="AB2169" s="54"/>
      <c r="AC2169" s="54"/>
      <c r="AD2169" s="54"/>
      <c r="AE2169" s="54"/>
    </row>
    <row r="2170">
      <c r="A2170" s="80"/>
      <c r="B2170" s="80"/>
      <c r="C2170" s="80"/>
      <c r="D2170" s="59"/>
      <c r="E2170" s="59"/>
      <c r="F2170" s="83"/>
      <c r="G2170" s="76"/>
      <c r="H2170" s="76"/>
      <c r="I2170" s="76"/>
      <c r="J2170" s="93"/>
      <c r="K2170" s="93"/>
      <c r="L2170" s="82"/>
      <c r="M2170" s="54"/>
      <c r="N2170" s="54"/>
      <c r="O2170" s="54"/>
      <c r="P2170" s="54"/>
      <c r="Q2170" s="54"/>
      <c r="R2170" s="54"/>
      <c r="S2170" s="54"/>
      <c r="T2170" s="54"/>
      <c r="U2170" s="54"/>
      <c r="V2170" s="54"/>
      <c r="W2170" s="54"/>
      <c r="X2170" s="54"/>
      <c r="Y2170" s="54"/>
      <c r="Z2170" s="54"/>
      <c r="AA2170" s="54"/>
      <c r="AB2170" s="54"/>
      <c r="AC2170" s="54"/>
      <c r="AD2170" s="54"/>
      <c r="AE2170" s="54"/>
    </row>
    <row r="2171">
      <c r="A2171" s="80"/>
      <c r="B2171" s="80"/>
      <c r="C2171" s="80"/>
      <c r="D2171" s="59"/>
      <c r="E2171" s="59"/>
      <c r="F2171" s="83"/>
      <c r="G2171" s="76"/>
      <c r="H2171" s="76"/>
      <c r="I2171" s="76"/>
      <c r="J2171" s="93"/>
      <c r="K2171" s="93"/>
      <c r="L2171" s="82"/>
      <c r="M2171" s="54"/>
      <c r="N2171" s="54"/>
      <c r="O2171" s="54"/>
      <c r="P2171" s="54"/>
      <c r="Q2171" s="54"/>
      <c r="R2171" s="54"/>
      <c r="S2171" s="54"/>
      <c r="T2171" s="54"/>
      <c r="U2171" s="54"/>
      <c r="V2171" s="54"/>
      <c r="W2171" s="54"/>
      <c r="X2171" s="54"/>
      <c r="Y2171" s="54"/>
      <c r="Z2171" s="54"/>
      <c r="AA2171" s="54"/>
      <c r="AB2171" s="54"/>
      <c r="AC2171" s="54"/>
      <c r="AD2171" s="54"/>
      <c r="AE2171" s="54"/>
    </row>
    <row r="2172">
      <c r="A2172" s="80"/>
      <c r="B2172" s="80"/>
      <c r="C2172" s="80"/>
      <c r="D2172" s="59"/>
      <c r="E2172" s="59"/>
      <c r="F2172" s="83"/>
      <c r="G2172" s="76"/>
      <c r="H2172" s="76"/>
      <c r="I2172" s="76"/>
      <c r="J2172" s="93"/>
      <c r="K2172" s="93"/>
      <c r="L2172" s="82"/>
      <c r="M2172" s="54"/>
      <c r="N2172" s="54"/>
      <c r="O2172" s="54"/>
      <c r="P2172" s="54"/>
      <c r="Q2172" s="54"/>
      <c r="R2172" s="54"/>
      <c r="S2172" s="54"/>
      <c r="T2172" s="54"/>
      <c r="U2172" s="54"/>
      <c r="V2172" s="54"/>
      <c r="W2172" s="54"/>
      <c r="X2172" s="54"/>
      <c r="Y2172" s="54"/>
      <c r="Z2172" s="54"/>
      <c r="AA2172" s="54"/>
      <c r="AB2172" s="54"/>
      <c r="AC2172" s="54"/>
      <c r="AD2172" s="54"/>
      <c r="AE2172" s="54"/>
    </row>
    <row r="2173">
      <c r="A2173" s="80"/>
      <c r="B2173" s="80"/>
      <c r="C2173" s="80"/>
      <c r="D2173" s="59"/>
      <c r="E2173" s="59"/>
      <c r="F2173" s="83"/>
      <c r="G2173" s="76"/>
      <c r="H2173" s="76"/>
      <c r="I2173" s="76"/>
      <c r="J2173" s="93"/>
      <c r="K2173" s="93"/>
      <c r="L2173" s="82"/>
      <c r="M2173" s="54"/>
      <c r="N2173" s="54"/>
      <c r="O2173" s="54"/>
      <c r="P2173" s="54"/>
      <c r="Q2173" s="54"/>
      <c r="R2173" s="54"/>
      <c r="S2173" s="54"/>
      <c r="T2173" s="54"/>
      <c r="U2173" s="54"/>
      <c r="V2173" s="54"/>
      <c r="W2173" s="54"/>
      <c r="X2173" s="54"/>
      <c r="Y2173" s="54"/>
      <c r="Z2173" s="54"/>
      <c r="AA2173" s="54"/>
      <c r="AB2173" s="54"/>
      <c r="AC2173" s="54"/>
      <c r="AD2173" s="54"/>
      <c r="AE2173" s="54"/>
    </row>
    <row r="2174">
      <c r="A2174" s="80"/>
      <c r="B2174" s="80"/>
      <c r="C2174" s="80"/>
      <c r="D2174" s="59"/>
      <c r="E2174" s="59"/>
      <c r="F2174" s="83"/>
      <c r="G2174" s="76"/>
      <c r="H2174" s="76"/>
      <c r="I2174" s="76"/>
      <c r="J2174" s="93"/>
      <c r="K2174" s="93"/>
      <c r="L2174" s="82"/>
      <c r="M2174" s="54"/>
      <c r="N2174" s="54"/>
      <c r="O2174" s="54"/>
      <c r="P2174" s="54"/>
      <c r="Q2174" s="54"/>
      <c r="R2174" s="54"/>
      <c r="S2174" s="54"/>
      <c r="T2174" s="54"/>
      <c r="U2174" s="54"/>
      <c r="V2174" s="54"/>
      <c r="W2174" s="54"/>
      <c r="X2174" s="54"/>
      <c r="Y2174" s="54"/>
      <c r="Z2174" s="54"/>
      <c r="AA2174" s="54"/>
      <c r="AB2174" s="54"/>
      <c r="AC2174" s="54"/>
      <c r="AD2174" s="54"/>
      <c r="AE2174" s="54"/>
    </row>
    <row r="2175">
      <c r="A2175" s="80"/>
      <c r="B2175" s="80"/>
      <c r="C2175" s="80"/>
      <c r="D2175" s="59"/>
      <c r="E2175" s="59"/>
      <c r="F2175" s="83"/>
      <c r="G2175" s="76"/>
      <c r="H2175" s="76"/>
      <c r="I2175" s="76"/>
      <c r="J2175" s="93"/>
      <c r="K2175" s="93"/>
      <c r="L2175" s="82"/>
      <c r="M2175" s="54"/>
      <c r="N2175" s="54"/>
      <c r="O2175" s="54"/>
      <c r="P2175" s="54"/>
      <c r="Q2175" s="54"/>
      <c r="R2175" s="54"/>
      <c r="S2175" s="54"/>
      <c r="T2175" s="54"/>
      <c r="U2175" s="54"/>
      <c r="V2175" s="54"/>
      <c r="W2175" s="54"/>
      <c r="X2175" s="54"/>
      <c r="Y2175" s="54"/>
      <c r="Z2175" s="54"/>
      <c r="AA2175" s="54"/>
      <c r="AB2175" s="54"/>
      <c r="AC2175" s="54"/>
      <c r="AD2175" s="54"/>
      <c r="AE2175" s="54"/>
    </row>
    <row r="2176">
      <c r="A2176" s="80"/>
      <c r="B2176" s="80"/>
      <c r="C2176" s="80"/>
      <c r="D2176" s="59"/>
      <c r="E2176" s="59"/>
      <c r="F2176" s="83"/>
      <c r="G2176" s="76"/>
      <c r="H2176" s="76"/>
      <c r="I2176" s="76"/>
      <c r="J2176" s="93"/>
      <c r="K2176" s="93"/>
      <c r="L2176" s="82"/>
      <c r="M2176" s="54"/>
      <c r="N2176" s="54"/>
      <c r="O2176" s="54"/>
      <c r="P2176" s="54"/>
      <c r="Q2176" s="54"/>
      <c r="R2176" s="54"/>
      <c r="S2176" s="54"/>
      <c r="T2176" s="54"/>
      <c r="U2176" s="54"/>
      <c r="V2176" s="54"/>
      <c r="W2176" s="54"/>
      <c r="X2176" s="54"/>
      <c r="Y2176" s="54"/>
      <c r="Z2176" s="54"/>
      <c r="AA2176" s="54"/>
      <c r="AB2176" s="54"/>
      <c r="AC2176" s="54"/>
      <c r="AD2176" s="54"/>
      <c r="AE2176" s="54"/>
    </row>
    <row r="2177">
      <c r="A2177" s="80"/>
      <c r="B2177" s="80"/>
      <c r="C2177" s="80"/>
      <c r="D2177" s="59"/>
      <c r="E2177" s="59"/>
      <c r="F2177" s="83"/>
      <c r="G2177" s="76"/>
      <c r="H2177" s="76"/>
      <c r="I2177" s="76"/>
      <c r="J2177" s="93"/>
      <c r="K2177" s="93"/>
      <c r="L2177" s="82"/>
      <c r="M2177" s="54"/>
      <c r="N2177" s="54"/>
      <c r="O2177" s="54"/>
      <c r="P2177" s="54"/>
      <c r="Q2177" s="54"/>
      <c r="R2177" s="54"/>
      <c r="S2177" s="54"/>
      <c r="T2177" s="54"/>
      <c r="U2177" s="54"/>
      <c r="V2177" s="54"/>
      <c r="W2177" s="54"/>
      <c r="X2177" s="54"/>
      <c r="Y2177" s="54"/>
      <c r="Z2177" s="54"/>
      <c r="AA2177" s="54"/>
      <c r="AB2177" s="54"/>
      <c r="AC2177" s="54"/>
      <c r="AD2177" s="54"/>
      <c r="AE2177" s="54"/>
    </row>
    <row r="2178">
      <c r="A2178" s="80"/>
      <c r="B2178" s="80"/>
      <c r="C2178" s="80"/>
      <c r="D2178" s="59"/>
      <c r="E2178" s="59"/>
      <c r="F2178" s="83"/>
      <c r="G2178" s="76"/>
      <c r="H2178" s="76"/>
      <c r="I2178" s="76"/>
      <c r="J2178" s="93"/>
      <c r="K2178" s="93"/>
      <c r="L2178" s="82"/>
      <c r="M2178" s="54"/>
      <c r="N2178" s="54"/>
      <c r="O2178" s="54"/>
      <c r="P2178" s="54"/>
      <c r="Q2178" s="54"/>
      <c r="R2178" s="54"/>
      <c r="S2178" s="54"/>
      <c r="T2178" s="54"/>
      <c r="U2178" s="54"/>
      <c r="V2178" s="54"/>
      <c r="W2178" s="54"/>
      <c r="X2178" s="54"/>
      <c r="Y2178" s="54"/>
      <c r="Z2178" s="54"/>
      <c r="AA2178" s="54"/>
      <c r="AB2178" s="54"/>
      <c r="AC2178" s="54"/>
      <c r="AD2178" s="54"/>
      <c r="AE2178" s="54"/>
    </row>
    <row r="2179">
      <c r="A2179" s="80"/>
      <c r="B2179" s="80"/>
      <c r="C2179" s="80"/>
      <c r="D2179" s="59"/>
      <c r="E2179" s="59"/>
      <c r="F2179" s="83"/>
      <c r="G2179" s="76"/>
      <c r="H2179" s="76"/>
      <c r="I2179" s="76"/>
      <c r="J2179" s="93"/>
      <c r="K2179" s="93"/>
      <c r="L2179" s="82"/>
      <c r="M2179" s="54"/>
      <c r="N2179" s="54"/>
      <c r="O2179" s="54"/>
      <c r="P2179" s="54"/>
      <c r="Q2179" s="54"/>
      <c r="R2179" s="54"/>
      <c r="S2179" s="54"/>
      <c r="T2179" s="54"/>
      <c r="U2179" s="54"/>
      <c r="V2179" s="54"/>
      <c r="W2179" s="54"/>
      <c r="X2179" s="54"/>
      <c r="Y2179" s="54"/>
      <c r="Z2179" s="54"/>
      <c r="AA2179" s="54"/>
      <c r="AB2179" s="54"/>
      <c r="AC2179" s="54"/>
      <c r="AD2179" s="54"/>
      <c r="AE2179" s="54"/>
    </row>
    <row r="2180">
      <c r="A2180" s="80"/>
      <c r="B2180" s="80"/>
      <c r="C2180" s="80"/>
      <c r="D2180" s="59"/>
      <c r="E2180" s="59"/>
      <c r="F2180" s="83"/>
      <c r="G2180" s="76"/>
      <c r="H2180" s="76"/>
      <c r="I2180" s="76"/>
      <c r="J2180" s="93"/>
      <c r="K2180" s="93"/>
      <c r="L2180" s="82"/>
      <c r="M2180" s="54"/>
      <c r="N2180" s="54"/>
      <c r="O2180" s="54"/>
      <c r="P2180" s="54"/>
      <c r="Q2180" s="54"/>
      <c r="R2180" s="54"/>
      <c r="S2180" s="54"/>
      <c r="T2180" s="54"/>
      <c r="U2180" s="54"/>
      <c r="V2180" s="54"/>
      <c r="W2180" s="54"/>
      <c r="X2180" s="54"/>
      <c r="Y2180" s="54"/>
      <c r="Z2180" s="54"/>
      <c r="AA2180" s="54"/>
      <c r="AB2180" s="54"/>
      <c r="AC2180" s="54"/>
      <c r="AD2180" s="54"/>
      <c r="AE2180" s="54"/>
    </row>
    <row r="2181">
      <c r="A2181" s="80"/>
      <c r="B2181" s="80"/>
      <c r="C2181" s="80"/>
      <c r="D2181" s="59"/>
      <c r="E2181" s="59"/>
      <c r="F2181" s="83"/>
      <c r="G2181" s="76"/>
      <c r="H2181" s="76"/>
      <c r="I2181" s="76"/>
      <c r="J2181" s="93"/>
      <c r="K2181" s="93"/>
      <c r="L2181" s="82"/>
      <c r="M2181" s="54"/>
      <c r="N2181" s="54"/>
      <c r="O2181" s="54"/>
      <c r="P2181" s="54"/>
      <c r="Q2181" s="54"/>
      <c r="R2181" s="54"/>
      <c r="S2181" s="54"/>
      <c r="T2181" s="54"/>
      <c r="U2181" s="54"/>
      <c r="V2181" s="54"/>
      <c r="W2181" s="54"/>
      <c r="X2181" s="54"/>
      <c r="Y2181" s="54"/>
      <c r="Z2181" s="54"/>
      <c r="AA2181" s="54"/>
      <c r="AB2181" s="54"/>
      <c r="AC2181" s="54"/>
      <c r="AD2181" s="54"/>
      <c r="AE2181" s="54"/>
    </row>
    <row r="2182">
      <c r="A2182" s="80"/>
      <c r="B2182" s="80"/>
      <c r="C2182" s="80"/>
      <c r="D2182" s="59"/>
      <c r="E2182" s="59"/>
      <c r="F2182" s="83"/>
      <c r="G2182" s="76"/>
      <c r="H2182" s="76"/>
      <c r="I2182" s="76"/>
      <c r="J2182" s="93"/>
      <c r="K2182" s="93"/>
      <c r="L2182" s="82"/>
      <c r="M2182" s="54"/>
      <c r="N2182" s="54"/>
      <c r="O2182" s="54"/>
      <c r="P2182" s="54"/>
      <c r="Q2182" s="54"/>
      <c r="R2182" s="54"/>
      <c r="S2182" s="54"/>
      <c r="T2182" s="54"/>
      <c r="U2182" s="54"/>
      <c r="V2182" s="54"/>
      <c r="W2182" s="54"/>
      <c r="X2182" s="54"/>
      <c r="Y2182" s="54"/>
      <c r="Z2182" s="54"/>
      <c r="AA2182" s="54"/>
      <c r="AB2182" s="54"/>
      <c r="AC2182" s="54"/>
      <c r="AD2182" s="54"/>
      <c r="AE2182" s="54"/>
    </row>
    <row r="2183">
      <c r="A2183" s="80"/>
      <c r="B2183" s="80"/>
      <c r="C2183" s="80"/>
      <c r="D2183" s="59"/>
      <c r="E2183" s="59"/>
      <c r="F2183" s="83"/>
      <c r="G2183" s="76"/>
      <c r="H2183" s="76"/>
      <c r="I2183" s="76"/>
      <c r="J2183" s="93"/>
      <c r="K2183" s="93"/>
      <c r="L2183" s="82"/>
      <c r="M2183" s="54"/>
      <c r="N2183" s="54"/>
      <c r="O2183" s="54"/>
      <c r="P2183" s="54"/>
      <c r="Q2183" s="54"/>
      <c r="R2183" s="54"/>
      <c r="S2183" s="54"/>
      <c r="T2183" s="54"/>
      <c r="U2183" s="54"/>
      <c r="V2183" s="54"/>
      <c r="W2183" s="54"/>
      <c r="X2183" s="54"/>
      <c r="Y2183" s="54"/>
      <c r="Z2183" s="54"/>
      <c r="AA2183" s="54"/>
      <c r="AB2183" s="54"/>
      <c r="AC2183" s="54"/>
      <c r="AD2183" s="54"/>
      <c r="AE2183" s="54"/>
    </row>
    <row r="2184">
      <c r="A2184" s="80"/>
      <c r="B2184" s="80"/>
      <c r="C2184" s="80"/>
      <c r="D2184" s="59"/>
      <c r="E2184" s="59"/>
      <c r="F2184" s="83"/>
      <c r="G2184" s="76"/>
      <c r="H2184" s="76"/>
      <c r="I2184" s="76"/>
      <c r="J2184" s="93"/>
      <c r="K2184" s="93"/>
      <c r="L2184" s="82"/>
      <c r="M2184" s="54"/>
      <c r="N2184" s="54"/>
      <c r="O2184" s="54"/>
      <c r="P2184" s="54"/>
      <c r="Q2184" s="54"/>
      <c r="R2184" s="54"/>
      <c r="S2184" s="54"/>
      <c r="T2184" s="54"/>
      <c r="U2184" s="54"/>
      <c r="V2184" s="54"/>
      <c r="W2184" s="54"/>
      <c r="X2184" s="54"/>
      <c r="Y2184" s="54"/>
      <c r="Z2184" s="54"/>
      <c r="AA2184" s="54"/>
      <c r="AB2184" s="54"/>
      <c r="AC2184" s="54"/>
      <c r="AD2184" s="54"/>
      <c r="AE2184" s="54"/>
    </row>
    <row r="2185">
      <c r="A2185" s="80"/>
      <c r="B2185" s="80"/>
      <c r="C2185" s="80"/>
      <c r="D2185" s="59"/>
      <c r="E2185" s="59"/>
      <c r="F2185" s="83"/>
      <c r="G2185" s="76"/>
      <c r="H2185" s="76"/>
      <c r="I2185" s="76"/>
      <c r="J2185" s="93"/>
      <c r="K2185" s="93"/>
      <c r="L2185" s="82"/>
      <c r="M2185" s="54"/>
      <c r="N2185" s="54"/>
      <c r="O2185" s="54"/>
      <c r="P2185" s="54"/>
      <c r="Q2185" s="54"/>
      <c r="R2185" s="54"/>
      <c r="S2185" s="54"/>
      <c r="T2185" s="54"/>
      <c r="U2185" s="54"/>
      <c r="V2185" s="54"/>
      <c r="W2185" s="54"/>
      <c r="X2185" s="54"/>
      <c r="Y2185" s="54"/>
      <c r="Z2185" s="54"/>
      <c r="AA2185" s="54"/>
      <c r="AB2185" s="54"/>
      <c r="AC2185" s="54"/>
      <c r="AD2185" s="54"/>
      <c r="AE2185" s="54"/>
    </row>
    <row r="2186">
      <c r="A2186" s="80"/>
      <c r="B2186" s="80"/>
      <c r="C2186" s="80"/>
      <c r="D2186" s="59"/>
      <c r="E2186" s="59"/>
      <c r="F2186" s="83"/>
      <c r="G2186" s="76"/>
      <c r="H2186" s="76"/>
      <c r="I2186" s="76"/>
      <c r="J2186" s="93"/>
      <c r="K2186" s="93"/>
      <c r="L2186" s="82"/>
      <c r="M2186" s="54"/>
      <c r="N2186" s="54"/>
      <c r="O2186" s="54"/>
      <c r="P2186" s="54"/>
      <c r="Q2186" s="54"/>
      <c r="R2186" s="54"/>
      <c r="S2186" s="54"/>
      <c r="T2186" s="54"/>
      <c r="U2186" s="54"/>
      <c r="V2186" s="54"/>
      <c r="W2186" s="54"/>
      <c r="X2186" s="54"/>
      <c r="Y2186" s="54"/>
      <c r="Z2186" s="54"/>
      <c r="AA2186" s="54"/>
      <c r="AB2186" s="54"/>
      <c r="AC2186" s="54"/>
      <c r="AD2186" s="54"/>
      <c r="AE2186" s="54"/>
    </row>
    <row r="2187">
      <c r="A2187" s="80"/>
      <c r="B2187" s="80"/>
      <c r="C2187" s="80"/>
      <c r="D2187" s="59"/>
      <c r="E2187" s="59"/>
      <c r="F2187" s="83"/>
      <c r="G2187" s="76"/>
      <c r="H2187" s="76"/>
      <c r="I2187" s="76"/>
      <c r="J2187" s="93"/>
      <c r="K2187" s="93"/>
      <c r="L2187" s="82"/>
      <c r="M2187" s="54"/>
      <c r="N2187" s="54"/>
      <c r="O2187" s="54"/>
      <c r="P2187" s="54"/>
      <c r="Q2187" s="54"/>
      <c r="R2187" s="54"/>
      <c r="S2187" s="54"/>
      <c r="T2187" s="54"/>
      <c r="U2187" s="54"/>
      <c r="V2187" s="54"/>
      <c r="W2187" s="54"/>
      <c r="X2187" s="54"/>
      <c r="Y2187" s="54"/>
      <c r="Z2187" s="54"/>
      <c r="AA2187" s="54"/>
      <c r="AB2187" s="54"/>
      <c r="AC2187" s="54"/>
      <c r="AD2187" s="54"/>
      <c r="AE2187" s="54"/>
    </row>
    <row r="2188">
      <c r="A2188" s="80"/>
      <c r="B2188" s="80"/>
      <c r="C2188" s="80"/>
      <c r="D2188" s="59"/>
      <c r="E2188" s="59"/>
      <c r="F2188" s="83"/>
      <c r="G2188" s="76"/>
      <c r="H2188" s="76"/>
      <c r="I2188" s="76"/>
      <c r="J2188" s="93"/>
      <c r="K2188" s="93"/>
      <c r="L2188" s="82"/>
      <c r="M2188" s="54"/>
      <c r="N2188" s="54"/>
      <c r="O2188" s="54"/>
      <c r="P2188" s="54"/>
      <c r="Q2188" s="54"/>
      <c r="R2188" s="54"/>
      <c r="S2188" s="54"/>
      <c r="T2188" s="54"/>
      <c r="U2188" s="54"/>
      <c r="V2188" s="54"/>
      <c r="W2188" s="54"/>
      <c r="X2188" s="54"/>
      <c r="Y2188" s="54"/>
      <c r="Z2188" s="54"/>
      <c r="AA2188" s="54"/>
      <c r="AB2188" s="54"/>
      <c r="AC2188" s="54"/>
      <c r="AD2188" s="54"/>
      <c r="AE2188" s="54"/>
    </row>
    <row r="2189">
      <c r="A2189" s="80"/>
      <c r="B2189" s="80"/>
      <c r="C2189" s="80"/>
      <c r="D2189" s="59"/>
      <c r="E2189" s="59"/>
      <c r="F2189" s="83"/>
      <c r="G2189" s="76"/>
      <c r="H2189" s="76"/>
      <c r="I2189" s="76"/>
      <c r="J2189" s="93"/>
      <c r="K2189" s="93"/>
      <c r="L2189" s="82"/>
      <c r="M2189" s="54"/>
      <c r="N2189" s="54"/>
      <c r="O2189" s="54"/>
      <c r="P2189" s="54"/>
      <c r="Q2189" s="54"/>
      <c r="R2189" s="54"/>
      <c r="S2189" s="54"/>
      <c r="T2189" s="54"/>
      <c r="U2189" s="54"/>
      <c r="V2189" s="54"/>
      <c r="W2189" s="54"/>
      <c r="X2189" s="54"/>
      <c r="Y2189" s="54"/>
      <c r="Z2189" s="54"/>
      <c r="AA2189" s="54"/>
      <c r="AB2189" s="54"/>
      <c r="AC2189" s="54"/>
      <c r="AD2189" s="54"/>
      <c r="AE2189" s="54"/>
    </row>
    <row r="2190">
      <c r="A2190" s="80"/>
      <c r="B2190" s="80"/>
      <c r="C2190" s="80"/>
      <c r="D2190" s="59"/>
      <c r="E2190" s="59"/>
      <c r="F2190" s="83"/>
      <c r="G2190" s="76"/>
      <c r="H2190" s="76"/>
      <c r="I2190" s="76"/>
      <c r="J2190" s="93"/>
      <c r="K2190" s="93"/>
      <c r="L2190" s="82"/>
      <c r="M2190" s="54"/>
      <c r="N2190" s="54"/>
      <c r="O2190" s="54"/>
      <c r="P2190" s="54"/>
      <c r="Q2190" s="54"/>
      <c r="R2190" s="54"/>
      <c r="S2190" s="54"/>
      <c r="T2190" s="54"/>
      <c r="U2190" s="54"/>
      <c r="V2190" s="54"/>
      <c r="W2190" s="54"/>
      <c r="X2190" s="54"/>
      <c r="Y2190" s="54"/>
      <c r="Z2190" s="54"/>
      <c r="AA2190" s="54"/>
      <c r="AB2190" s="54"/>
      <c r="AC2190" s="54"/>
      <c r="AD2190" s="54"/>
      <c r="AE2190" s="54"/>
    </row>
    <row r="2191">
      <c r="A2191" s="80"/>
      <c r="B2191" s="80"/>
      <c r="C2191" s="80"/>
      <c r="D2191" s="59"/>
      <c r="E2191" s="59"/>
      <c r="F2191" s="83"/>
      <c r="G2191" s="76"/>
      <c r="H2191" s="76"/>
      <c r="I2191" s="76"/>
      <c r="J2191" s="93"/>
      <c r="K2191" s="93"/>
      <c r="L2191" s="82"/>
      <c r="M2191" s="54"/>
      <c r="N2191" s="54"/>
      <c r="O2191" s="54"/>
      <c r="P2191" s="54"/>
      <c r="Q2191" s="54"/>
      <c r="R2191" s="54"/>
      <c r="S2191" s="54"/>
      <c r="T2191" s="54"/>
      <c r="U2191" s="54"/>
      <c r="V2191" s="54"/>
      <c r="W2191" s="54"/>
      <c r="X2191" s="54"/>
      <c r="Y2191" s="54"/>
      <c r="Z2191" s="54"/>
      <c r="AA2191" s="54"/>
      <c r="AB2191" s="54"/>
      <c r="AC2191" s="54"/>
      <c r="AD2191" s="54"/>
      <c r="AE2191" s="54"/>
    </row>
    <row r="2192">
      <c r="A2192" s="80"/>
      <c r="B2192" s="80"/>
      <c r="C2192" s="80"/>
      <c r="D2192" s="59"/>
      <c r="E2192" s="59"/>
      <c r="F2192" s="83"/>
      <c r="G2192" s="76"/>
      <c r="H2192" s="76"/>
      <c r="I2192" s="76"/>
      <c r="J2192" s="93"/>
      <c r="K2192" s="93"/>
      <c r="L2192" s="82"/>
      <c r="M2192" s="54"/>
      <c r="N2192" s="54"/>
      <c r="O2192" s="54"/>
      <c r="P2192" s="54"/>
      <c r="Q2192" s="54"/>
      <c r="R2192" s="54"/>
      <c r="S2192" s="54"/>
      <c r="T2192" s="54"/>
      <c r="U2192" s="54"/>
      <c r="V2192" s="54"/>
      <c r="W2192" s="54"/>
      <c r="X2192" s="54"/>
      <c r="Y2192" s="54"/>
      <c r="Z2192" s="54"/>
      <c r="AA2192" s="54"/>
      <c r="AB2192" s="54"/>
      <c r="AC2192" s="54"/>
      <c r="AD2192" s="54"/>
      <c r="AE2192" s="54"/>
    </row>
    <row r="2193">
      <c r="A2193" s="80"/>
      <c r="B2193" s="80"/>
      <c r="C2193" s="80"/>
      <c r="D2193" s="59"/>
      <c r="E2193" s="59"/>
      <c r="F2193" s="83"/>
      <c r="G2193" s="76"/>
      <c r="H2193" s="76"/>
      <c r="I2193" s="76"/>
      <c r="J2193" s="93"/>
      <c r="K2193" s="93"/>
      <c r="L2193" s="82"/>
      <c r="M2193" s="54"/>
      <c r="N2193" s="54"/>
      <c r="O2193" s="54"/>
      <c r="P2193" s="54"/>
      <c r="Q2193" s="54"/>
      <c r="R2193" s="54"/>
      <c r="S2193" s="54"/>
      <c r="T2193" s="54"/>
      <c r="U2193" s="54"/>
      <c r="V2193" s="54"/>
      <c r="W2193" s="54"/>
      <c r="X2193" s="54"/>
      <c r="Y2193" s="54"/>
      <c r="Z2193" s="54"/>
      <c r="AA2193" s="54"/>
      <c r="AB2193" s="54"/>
      <c r="AC2193" s="54"/>
      <c r="AD2193" s="54"/>
      <c r="AE2193" s="54"/>
    </row>
    <row r="2194">
      <c r="A2194" s="80"/>
      <c r="B2194" s="80"/>
      <c r="C2194" s="80"/>
      <c r="D2194" s="59"/>
      <c r="E2194" s="59"/>
      <c r="F2194" s="83"/>
      <c r="G2194" s="76"/>
      <c r="H2194" s="76"/>
      <c r="I2194" s="76"/>
      <c r="J2194" s="93"/>
      <c r="K2194" s="93"/>
      <c r="L2194" s="82"/>
      <c r="M2194" s="54"/>
      <c r="N2194" s="54"/>
      <c r="O2194" s="54"/>
      <c r="P2194" s="54"/>
      <c r="Q2194" s="54"/>
      <c r="R2194" s="54"/>
      <c r="S2194" s="54"/>
      <c r="T2194" s="54"/>
      <c r="U2194" s="54"/>
      <c r="V2194" s="54"/>
      <c r="W2194" s="54"/>
      <c r="X2194" s="54"/>
      <c r="Y2194" s="54"/>
      <c r="Z2194" s="54"/>
      <c r="AA2194" s="54"/>
      <c r="AB2194" s="54"/>
      <c r="AC2194" s="54"/>
      <c r="AD2194" s="54"/>
      <c r="AE2194" s="54"/>
    </row>
    <row r="2195">
      <c r="A2195" s="80"/>
      <c r="B2195" s="80"/>
      <c r="C2195" s="80"/>
      <c r="D2195" s="59"/>
      <c r="E2195" s="59"/>
      <c r="F2195" s="83"/>
      <c r="G2195" s="76"/>
      <c r="H2195" s="76"/>
      <c r="I2195" s="76"/>
      <c r="J2195" s="93"/>
      <c r="K2195" s="93"/>
      <c r="L2195" s="82"/>
      <c r="M2195" s="54"/>
      <c r="N2195" s="54"/>
      <c r="O2195" s="54"/>
      <c r="P2195" s="54"/>
      <c r="Q2195" s="54"/>
      <c r="R2195" s="54"/>
      <c r="S2195" s="54"/>
      <c r="T2195" s="54"/>
      <c r="U2195" s="54"/>
      <c r="V2195" s="54"/>
      <c r="W2195" s="54"/>
      <c r="X2195" s="54"/>
      <c r="Y2195" s="54"/>
      <c r="Z2195" s="54"/>
      <c r="AA2195" s="54"/>
      <c r="AB2195" s="54"/>
      <c r="AC2195" s="54"/>
      <c r="AD2195" s="54"/>
      <c r="AE2195" s="54"/>
    </row>
    <row r="2196">
      <c r="A2196" s="80"/>
      <c r="B2196" s="80"/>
      <c r="C2196" s="80"/>
      <c r="D2196" s="59"/>
      <c r="E2196" s="59"/>
      <c r="F2196" s="83"/>
      <c r="G2196" s="76"/>
      <c r="H2196" s="76"/>
      <c r="I2196" s="76"/>
      <c r="J2196" s="93"/>
      <c r="K2196" s="93"/>
      <c r="L2196" s="82"/>
      <c r="M2196" s="54"/>
      <c r="N2196" s="54"/>
      <c r="O2196" s="54"/>
      <c r="P2196" s="54"/>
      <c r="Q2196" s="54"/>
      <c r="R2196" s="54"/>
      <c r="S2196" s="54"/>
      <c r="T2196" s="54"/>
      <c r="U2196" s="54"/>
      <c r="V2196" s="54"/>
      <c r="W2196" s="54"/>
      <c r="X2196" s="54"/>
      <c r="Y2196" s="54"/>
      <c r="Z2196" s="54"/>
      <c r="AA2196" s="54"/>
      <c r="AB2196" s="54"/>
      <c r="AC2196" s="54"/>
      <c r="AD2196" s="54"/>
      <c r="AE2196" s="54"/>
    </row>
    <row r="2197">
      <c r="A2197" s="80"/>
      <c r="B2197" s="80"/>
      <c r="C2197" s="80"/>
      <c r="D2197" s="59"/>
      <c r="E2197" s="59"/>
      <c r="F2197" s="83"/>
      <c r="G2197" s="76"/>
      <c r="H2197" s="76"/>
      <c r="I2197" s="76"/>
      <c r="J2197" s="93"/>
      <c r="K2197" s="93"/>
      <c r="L2197" s="82"/>
      <c r="M2197" s="54"/>
      <c r="N2197" s="54"/>
      <c r="O2197" s="54"/>
      <c r="P2197" s="54"/>
      <c r="Q2197" s="54"/>
      <c r="R2197" s="54"/>
      <c r="S2197" s="54"/>
      <c r="T2197" s="54"/>
      <c r="U2197" s="54"/>
      <c r="V2197" s="54"/>
      <c r="W2197" s="54"/>
      <c r="X2197" s="54"/>
      <c r="Y2197" s="54"/>
      <c r="Z2197" s="54"/>
      <c r="AA2197" s="54"/>
      <c r="AB2197" s="54"/>
      <c r="AC2197" s="54"/>
      <c r="AD2197" s="54"/>
      <c r="AE2197" s="54"/>
    </row>
    <row r="2198">
      <c r="A2198" s="80"/>
      <c r="B2198" s="80"/>
      <c r="C2198" s="80"/>
      <c r="D2198" s="59"/>
      <c r="E2198" s="59"/>
      <c r="F2198" s="83"/>
      <c r="G2198" s="76"/>
      <c r="H2198" s="76"/>
      <c r="I2198" s="76"/>
      <c r="J2198" s="93"/>
      <c r="K2198" s="93"/>
      <c r="L2198" s="82"/>
      <c r="M2198" s="54"/>
      <c r="N2198" s="54"/>
      <c r="O2198" s="54"/>
      <c r="P2198" s="54"/>
      <c r="Q2198" s="54"/>
      <c r="R2198" s="54"/>
      <c r="S2198" s="54"/>
      <c r="T2198" s="54"/>
      <c r="U2198" s="54"/>
      <c r="V2198" s="54"/>
      <c r="W2198" s="54"/>
      <c r="X2198" s="54"/>
      <c r="Y2198" s="54"/>
      <c r="Z2198" s="54"/>
      <c r="AA2198" s="54"/>
      <c r="AB2198" s="54"/>
      <c r="AC2198" s="54"/>
      <c r="AD2198" s="54"/>
      <c r="AE2198" s="54"/>
    </row>
    <row r="2199">
      <c r="A2199" s="80"/>
      <c r="B2199" s="80"/>
      <c r="C2199" s="80"/>
      <c r="D2199" s="59"/>
      <c r="E2199" s="59"/>
      <c r="F2199" s="83"/>
      <c r="G2199" s="76"/>
      <c r="H2199" s="76"/>
      <c r="I2199" s="76"/>
      <c r="J2199" s="93"/>
      <c r="K2199" s="93"/>
      <c r="L2199" s="82"/>
      <c r="M2199" s="54"/>
      <c r="N2199" s="54"/>
      <c r="O2199" s="54"/>
      <c r="P2199" s="54"/>
      <c r="Q2199" s="54"/>
      <c r="R2199" s="54"/>
      <c r="S2199" s="54"/>
      <c r="T2199" s="54"/>
      <c r="U2199" s="54"/>
      <c r="V2199" s="54"/>
      <c r="W2199" s="54"/>
      <c r="X2199" s="54"/>
      <c r="Y2199" s="54"/>
      <c r="Z2199" s="54"/>
      <c r="AA2199" s="54"/>
      <c r="AB2199" s="54"/>
      <c r="AC2199" s="54"/>
      <c r="AD2199" s="54"/>
      <c r="AE2199" s="54"/>
    </row>
    <row r="2200">
      <c r="A2200" s="80"/>
      <c r="B2200" s="80"/>
      <c r="C2200" s="80"/>
      <c r="D2200" s="59"/>
      <c r="E2200" s="59"/>
      <c r="F2200" s="83"/>
      <c r="G2200" s="76"/>
      <c r="H2200" s="76"/>
      <c r="I2200" s="76"/>
      <c r="J2200" s="93"/>
      <c r="K2200" s="93"/>
      <c r="L2200" s="82"/>
      <c r="M2200" s="54"/>
      <c r="N2200" s="54"/>
      <c r="O2200" s="54"/>
      <c r="P2200" s="54"/>
      <c r="Q2200" s="54"/>
      <c r="R2200" s="54"/>
      <c r="S2200" s="54"/>
      <c r="T2200" s="54"/>
      <c r="U2200" s="54"/>
      <c r="V2200" s="54"/>
      <c r="W2200" s="54"/>
      <c r="X2200" s="54"/>
      <c r="Y2200" s="54"/>
      <c r="Z2200" s="54"/>
      <c r="AA2200" s="54"/>
      <c r="AB2200" s="54"/>
      <c r="AC2200" s="54"/>
      <c r="AD2200" s="54"/>
      <c r="AE2200" s="54"/>
    </row>
    <row r="2201">
      <c r="A2201" s="80"/>
      <c r="B2201" s="80"/>
      <c r="C2201" s="80"/>
      <c r="D2201" s="59"/>
      <c r="E2201" s="59"/>
      <c r="F2201" s="83"/>
      <c r="G2201" s="76"/>
      <c r="H2201" s="76"/>
      <c r="I2201" s="76"/>
      <c r="J2201" s="93"/>
      <c r="K2201" s="93"/>
      <c r="L2201" s="82"/>
      <c r="M2201" s="54"/>
      <c r="N2201" s="54"/>
      <c r="O2201" s="54"/>
      <c r="P2201" s="54"/>
      <c r="Q2201" s="54"/>
      <c r="R2201" s="54"/>
      <c r="S2201" s="54"/>
      <c r="T2201" s="54"/>
      <c r="U2201" s="54"/>
      <c r="V2201" s="54"/>
      <c r="W2201" s="54"/>
      <c r="X2201" s="54"/>
      <c r="Y2201" s="54"/>
      <c r="Z2201" s="54"/>
      <c r="AA2201" s="54"/>
      <c r="AB2201" s="54"/>
      <c r="AC2201" s="54"/>
      <c r="AD2201" s="54"/>
      <c r="AE2201" s="54"/>
    </row>
    <row r="2202">
      <c r="A2202" s="80"/>
      <c r="B2202" s="80"/>
      <c r="C2202" s="80"/>
      <c r="D2202" s="59"/>
      <c r="E2202" s="59"/>
      <c r="F2202" s="83"/>
      <c r="G2202" s="76"/>
      <c r="H2202" s="76"/>
      <c r="I2202" s="76"/>
      <c r="J2202" s="93"/>
      <c r="K2202" s="93"/>
      <c r="L2202" s="82"/>
      <c r="M2202" s="54"/>
      <c r="N2202" s="54"/>
      <c r="O2202" s="54"/>
      <c r="P2202" s="54"/>
      <c r="Q2202" s="54"/>
      <c r="R2202" s="54"/>
      <c r="S2202" s="54"/>
      <c r="T2202" s="54"/>
      <c r="U2202" s="54"/>
      <c r="V2202" s="54"/>
      <c r="W2202" s="54"/>
      <c r="X2202" s="54"/>
      <c r="Y2202" s="54"/>
      <c r="Z2202" s="54"/>
      <c r="AA2202" s="54"/>
      <c r="AB2202" s="54"/>
      <c r="AC2202" s="54"/>
      <c r="AD2202" s="54"/>
      <c r="AE2202" s="54"/>
    </row>
    <row r="2203">
      <c r="A2203" s="80"/>
      <c r="B2203" s="80"/>
      <c r="C2203" s="80"/>
      <c r="D2203" s="59"/>
      <c r="E2203" s="59"/>
      <c r="F2203" s="83"/>
      <c r="G2203" s="76"/>
      <c r="H2203" s="76"/>
      <c r="I2203" s="76"/>
      <c r="J2203" s="93"/>
      <c r="K2203" s="93"/>
      <c r="L2203" s="82"/>
      <c r="M2203" s="54"/>
      <c r="N2203" s="54"/>
      <c r="O2203" s="54"/>
      <c r="P2203" s="54"/>
      <c r="Q2203" s="54"/>
      <c r="R2203" s="54"/>
      <c r="S2203" s="54"/>
      <c r="T2203" s="54"/>
      <c r="U2203" s="54"/>
      <c r="V2203" s="54"/>
      <c r="W2203" s="54"/>
      <c r="X2203" s="54"/>
      <c r="Y2203" s="54"/>
      <c r="Z2203" s="54"/>
      <c r="AA2203" s="54"/>
      <c r="AB2203" s="54"/>
      <c r="AC2203" s="54"/>
      <c r="AD2203" s="54"/>
      <c r="AE2203" s="54"/>
    </row>
    <row r="2204">
      <c r="A2204" s="80"/>
      <c r="B2204" s="80"/>
      <c r="C2204" s="80"/>
      <c r="D2204" s="59"/>
      <c r="E2204" s="59"/>
      <c r="F2204" s="83"/>
      <c r="G2204" s="76"/>
      <c r="H2204" s="76"/>
      <c r="I2204" s="76"/>
      <c r="J2204" s="93"/>
      <c r="K2204" s="93"/>
      <c r="L2204" s="82"/>
      <c r="M2204" s="54"/>
      <c r="N2204" s="54"/>
      <c r="O2204" s="54"/>
      <c r="P2204" s="54"/>
      <c r="Q2204" s="54"/>
      <c r="R2204" s="54"/>
      <c r="S2204" s="54"/>
      <c r="T2204" s="54"/>
      <c r="U2204" s="54"/>
      <c r="V2204" s="54"/>
      <c r="W2204" s="54"/>
      <c r="X2204" s="54"/>
      <c r="Y2204" s="54"/>
      <c r="Z2204" s="54"/>
      <c r="AA2204" s="54"/>
      <c r="AB2204" s="54"/>
      <c r="AC2204" s="54"/>
      <c r="AD2204" s="54"/>
      <c r="AE2204" s="54"/>
    </row>
    <row r="2205">
      <c r="A2205" s="80"/>
      <c r="B2205" s="80"/>
      <c r="C2205" s="80"/>
      <c r="D2205" s="59"/>
      <c r="E2205" s="59"/>
      <c r="F2205" s="83"/>
      <c r="G2205" s="76"/>
      <c r="H2205" s="76"/>
      <c r="I2205" s="76"/>
      <c r="J2205" s="93"/>
      <c r="K2205" s="93"/>
      <c r="L2205" s="82"/>
      <c r="M2205" s="54"/>
      <c r="N2205" s="54"/>
      <c r="O2205" s="54"/>
      <c r="P2205" s="54"/>
      <c r="Q2205" s="54"/>
      <c r="R2205" s="54"/>
      <c r="S2205" s="54"/>
      <c r="T2205" s="54"/>
      <c r="U2205" s="54"/>
      <c r="V2205" s="54"/>
      <c r="W2205" s="54"/>
      <c r="X2205" s="54"/>
      <c r="Y2205" s="54"/>
      <c r="Z2205" s="54"/>
      <c r="AA2205" s="54"/>
      <c r="AB2205" s="54"/>
      <c r="AC2205" s="54"/>
      <c r="AD2205" s="54"/>
      <c r="AE2205" s="54"/>
    </row>
    <row r="2206">
      <c r="A2206" s="80"/>
      <c r="B2206" s="80"/>
      <c r="C2206" s="80"/>
      <c r="D2206" s="59"/>
      <c r="E2206" s="59"/>
      <c r="F2206" s="83"/>
      <c r="G2206" s="76"/>
      <c r="H2206" s="76"/>
      <c r="I2206" s="76"/>
      <c r="J2206" s="93"/>
      <c r="K2206" s="93"/>
      <c r="L2206" s="82"/>
      <c r="M2206" s="54"/>
      <c r="N2206" s="54"/>
      <c r="O2206" s="54"/>
      <c r="P2206" s="54"/>
      <c r="Q2206" s="54"/>
      <c r="R2206" s="54"/>
      <c r="S2206" s="54"/>
      <c r="T2206" s="54"/>
      <c r="U2206" s="54"/>
      <c r="V2206" s="54"/>
      <c r="W2206" s="54"/>
      <c r="X2206" s="54"/>
      <c r="Y2206" s="54"/>
      <c r="Z2206" s="54"/>
      <c r="AA2206" s="54"/>
      <c r="AB2206" s="54"/>
      <c r="AC2206" s="54"/>
      <c r="AD2206" s="54"/>
      <c r="AE2206" s="54"/>
    </row>
    <row r="2207">
      <c r="A2207" s="80"/>
      <c r="B2207" s="80"/>
      <c r="C2207" s="80"/>
      <c r="D2207" s="59"/>
      <c r="E2207" s="59"/>
      <c r="F2207" s="83"/>
      <c r="G2207" s="76"/>
      <c r="H2207" s="76"/>
      <c r="I2207" s="76"/>
      <c r="J2207" s="93"/>
      <c r="K2207" s="93"/>
      <c r="L2207" s="82"/>
      <c r="M2207" s="54"/>
      <c r="N2207" s="54"/>
      <c r="O2207" s="54"/>
      <c r="P2207" s="54"/>
      <c r="Q2207" s="54"/>
      <c r="R2207" s="54"/>
      <c r="S2207" s="54"/>
      <c r="T2207" s="54"/>
      <c r="U2207" s="54"/>
      <c r="V2207" s="54"/>
      <c r="W2207" s="54"/>
      <c r="X2207" s="54"/>
      <c r="Y2207" s="54"/>
      <c r="Z2207" s="54"/>
      <c r="AA2207" s="54"/>
      <c r="AB2207" s="54"/>
      <c r="AC2207" s="54"/>
      <c r="AD2207" s="54"/>
      <c r="AE2207" s="54"/>
    </row>
    <row r="2208">
      <c r="A2208" s="80"/>
      <c r="B2208" s="80"/>
      <c r="C2208" s="80"/>
      <c r="D2208" s="59"/>
      <c r="E2208" s="59"/>
      <c r="F2208" s="83"/>
      <c r="G2208" s="76"/>
      <c r="H2208" s="76"/>
      <c r="I2208" s="76"/>
      <c r="J2208" s="93"/>
      <c r="K2208" s="93"/>
      <c r="L2208" s="82"/>
      <c r="M2208" s="54"/>
      <c r="N2208" s="54"/>
      <c r="O2208" s="54"/>
      <c r="P2208" s="54"/>
      <c r="Q2208" s="54"/>
      <c r="R2208" s="54"/>
      <c r="S2208" s="54"/>
      <c r="T2208" s="54"/>
      <c r="U2208" s="54"/>
      <c r="V2208" s="54"/>
      <c r="W2208" s="54"/>
      <c r="X2208" s="54"/>
      <c r="Y2208" s="54"/>
      <c r="Z2208" s="54"/>
      <c r="AA2208" s="54"/>
      <c r="AB2208" s="54"/>
      <c r="AC2208" s="54"/>
      <c r="AD2208" s="54"/>
      <c r="AE2208" s="54"/>
    </row>
    <row r="2209">
      <c r="A2209" s="80"/>
      <c r="B2209" s="80"/>
      <c r="C2209" s="80"/>
      <c r="D2209" s="59"/>
      <c r="E2209" s="59"/>
      <c r="F2209" s="83"/>
      <c r="G2209" s="76"/>
      <c r="H2209" s="76"/>
      <c r="I2209" s="76"/>
      <c r="J2209" s="93"/>
      <c r="K2209" s="93"/>
      <c r="L2209" s="82"/>
      <c r="M2209" s="54"/>
      <c r="N2209" s="54"/>
      <c r="O2209" s="54"/>
      <c r="P2209" s="54"/>
      <c r="Q2209" s="54"/>
      <c r="R2209" s="54"/>
      <c r="S2209" s="54"/>
      <c r="T2209" s="54"/>
      <c r="U2209" s="54"/>
      <c r="V2209" s="54"/>
      <c r="W2209" s="54"/>
      <c r="X2209" s="54"/>
      <c r="Y2209" s="54"/>
      <c r="Z2209" s="54"/>
      <c r="AA2209" s="54"/>
      <c r="AB2209" s="54"/>
      <c r="AC2209" s="54"/>
      <c r="AD2209" s="54"/>
      <c r="AE2209" s="54"/>
    </row>
    <row r="2210">
      <c r="A2210" s="80"/>
      <c r="B2210" s="80"/>
      <c r="C2210" s="80"/>
      <c r="D2210" s="59"/>
      <c r="E2210" s="59"/>
      <c r="F2210" s="83"/>
      <c r="G2210" s="76"/>
      <c r="H2210" s="76"/>
      <c r="I2210" s="76"/>
      <c r="J2210" s="93"/>
      <c r="K2210" s="93"/>
      <c r="L2210" s="82"/>
      <c r="M2210" s="54"/>
      <c r="N2210" s="54"/>
      <c r="O2210" s="54"/>
      <c r="P2210" s="54"/>
      <c r="Q2210" s="54"/>
      <c r="R2210" s="54"/>
      <c r="S2210" s="54"/>
      <c r="T2210" s="54"/>
      <c r="U2210" s="54"/>
      <c r="V2210" s="54"/>
      <c r="W2210" s="54"/>
      <c r="X2210" s="54"/>
      <c r="Y2210" s="54"/>
      <c r="Z2210" s="54"/>
      <c r="AA2210" s="54"/>
      <c r="AB2210" s="54"/>
      <c r="AC2210" s="54"/>
      <c r="AD2210" s="54"/>
      <c r="AE2210" s="54"/>
    </row>
    <row r="2211">
      <c r="A2211" s="80"/>
      <c r="B2211" s="80"/>
      <c r="C2211" s="80"/>
      <c r="D2211" s="59"/>
      <c r="E2211" s="59"/>
      <c r="F2211" s="83"/>
      <c r="G2211" s="76"/>
      <c r="H2211" s="76"/>
      <c r="I2211" s="76"/>
      <c r="J2211" s="93"/>
      <c r="K2211" s="93"/>
      <c r="L2211" s="82"/>
      <c r="M2211" s="54"/>
      <c r="N2211" s="54"/>
      <c r="O2211" s="54"/>
      <c r="P2211" s="54"/>
      <c r="Q2211" s="54"/>
      <c r="R2211" s="54"/>
      <c r="S2211" s="54"/>
      <c r="T2211" s="54"/>
      <c r="U2211" s="54"/>
      <c r="V2211" s="54"/>
      <c r="W2211" s="54"/>
      <c r="X2211" s="54"/>
      <c r="Y2211" s="54"/>
      <c r="Z2211" s="54"/>
      <c r="AA2211" s="54"/>
      <c r="AB2211" s="54"/>
      <c r="AC2211" s="54"/>
      <c r="AD2211" s="54"/>
      <c r="AE2211" s="54"/>
    </row>
    <row r="2212">
      <c r="A2212" s="80"/>
      <c r="B2212" s="80"/>
      <c r="C2212" s="80"/>
      <c r="D2212" s="59"/>
      <c r="E2212" s="59"/>
      <c r="F2212" s="83"/>
      <c r="G2212" s="76"/>
      <c r="H2212" s="76"/>
      <c r="I2212" s="76"/>
      <c r="J2212" s="93"/>
      <c r="K2212" s="93"/>
      <c r="L2212" s="82"/>
      <c r="M2212" s="54"/>
      <c r="N2212" s="54"/>
      <c r="O2212" s="54"/>
      <c r="P2212" s="54"/>
      <c r="Q2212" s="54"/>
      <c r="R2212" s="54"/>
      <c r="S2212" s="54"/>
      <c r="T2212" s="54"/>
      <c r="U2212" s="54"/>
      <c r="V2212" s="54"/>
      <c r="W2212" s="54"/>
      <c r="X2212" s="54"/>
      <c r="Y2212" s="54"/>
      <c r="Z2212" s="54"/>
      <c r="AA2212" s="54"/>
      <c r="AB2212" s="54"/>
      <c r="AC2212" s="54"/>
      <c r="AD2212" s="54"/>
      <c r="AE2212" s="54"/>
    </row>
    <row r="2213">
      <c r="A2213" s="80"/>
      <c r="B2213" s="80"/>
      <c r="C2213" s="80"/>
      <c r="D2213" s="59"/>
      <c r="E2213" s="59"/>
      <c r="F2213" s="83"/>
      <c r="G2213" s="76"/>
      <c r="H2213" s="76"/>
      <c r="I2213" s="76"/>
      <c r="J2213" s="93"/>
      <c r="K2213" s="93"/>
      <c r="L2213" s="82"/>
      <c r="M2213" s="54"/>
      <c r="N2213" s="54"/>
      <c r="O2213" s="54"/>
      <c r="P2213" s="54"/>
      <c r="Q2213" s="54"/>
      <c r="R2213" s="54"/>
      <c r="S2213" s="54"/>
      <c r="T2213" s="54"/>
      <c r="U2213" s="54"/>
      <c r="V2213" s="54"/>
      <c r="W2213" s="54"/>
      <c r="X2213" s="54"/>
      <c r="Y2213" s="54"/>
      <c r="Z2213" s="54"/>
      <c r="AA2213" s="54"/>
      <c r="AB2213" s="54"/>
      <c r="AC2213" s="54"/>
      <c r="AD2213" s="54"/>
      <c r="AE2213" s="54"/>
    </row>
    <row r="2214">
      <c r="A2214" s="80"/>
      <c r="B2214" s="80"/>
      <c r="C2214" s="80"/>
      <c r="D2214" s="59"/>
      <c r="E2214" s="59"/>
      <c r="F2214" s="83"/>
      <c r="G2214" s="76"/>
      <c r="H2214" s="76"/>
      <c r="I2214" s="76"/>
      <c r="J2214" s="93"/>
      <c r="K2214" s="93"/>
      <c r="L2214" s="82"/>
      <c r="M2214" s="54"/>
      <c r="N2214" s="54"/>
      <c r="O2214" s="54"/>
      <c r="P2214" s="54"/>
      <c r="Q2214" s="54"/>
      <c r="R2214" s="54"/>
      <c r="S2214" s="54"/>
      <c r="T2214" s="54"/>
      <c r="U2214" s="54"/>
      <c r="V2214" s="54"/>
      <c r="W2214" s="54"/>
      <c r="X2214" s="54"/>
      <c r="Y2214" s="54"/>
      <c r="Z2214" s="54"/>
      <c r="AA2214" s="54"/>
      <c r="AB2214" s="54"/>
      <c r="AC2214" s="54"/>
      <c r="AD2214" s="54"/>
      <c r="AE2214" s="54"/>
    </row>
    <row r="2215">
      <c r="A2215" s="80"/>
      <c r="B2215" s="80"/>
      <c r="C2215" s="80"/>
      <c r="D2215" s="59"/>
      <c r="E2215" s="59"/>
      <c r="F2215" s="83"/>
      <c r="G2215" s="76"/>
      <c r="H2215" s="76"/>
      <c r="I2215" s="76"/>
      <c r="J2215" s="93"/>
      <c r="K2215" s="93"/>
      <c r="L2215" s="82"/>
      <c r="M2215" s="54"/>
      <c r="N2215" s="54"/>
      <c r="O2215" s="54"/>
      <c r="P2215" s="54"/>
      <c r="Q2215" s="54"/>
      <c r="R2215" s="54"/>
      <c r="S2215" s="54"/>
      <c r="T2215" s="54"/>
      <c r="U2215" s="54"/>
      <c r="V2215" s="54"/>
      <c r="W2215" s="54"/>
      <c r="X2215" s="54"/>
      <c r="Y2215" s="54"/>
      <c r="Z2215" s="54"/>
      <c r="AA2215" s="54"/>
      <c r="AB2215" s="54"/>
      <c r="AC2215" s="54"/>
      <c r="AD2215" s="54"/>
      <c r="AE2215" s="54"/>
    </row>
    <row r="2216">
      <c r="A2216" s="80"/>
      <c r="B2216" s="80"/>
      <c r="C2216" s="80"/>
      <c r="D2216" s="59"/>
      <c r="E2216" s="59"/>
      <c r="F2216" s="83"/>
      <c r="G2216" s="76"/>
      <c r="H2216" s="76"/>
      <c r="I2216" s="76"/>
      <c r="J2216" s="93"/>
      <c r="K2216" s="93"/>
      <c r="L2216" s="82"/>
      <c r="M2216" s="54"/>
      <c r="N2216" s="54"/>
      <c r="O2216" s="54"/>
      <c r="P2216" s="54"/>
      <c r="Q2216" s="54"/>
      <c r="R2216" s="54"/>
      <c r="S2216" s="54"/>
      <c r="T2216" s="54"/>
      <c r="U2216" s="54"/>
      <c r="V2216" s="54"/>
      <c r="W2216" s="54"/>
      <c r="X2216" s="54"/>
      <c r="Y2216" s="54"/>
      <c r="Z2216" s="54"/>
      <c r="AA2216" s="54"/>
      <c r="AB2216" s="54"/>
      <c r="AC2216" s="54"/>
      <c r="AD2216" s="54"/>
      <c r="AE2216" s="54"/>
    </row>
    <row r="2217">
      <c r="A2217" s="80"/>
      <c r="B2217" s="80"/>
      <c r="C2217" s="80"/>
      <c r="D2217" s="59"/>
      <c r="E2217" s="59"/>
      <c r="F2217" s="83"/>
      <c r="G2217" s="76"/>
      <c r="H2217" s="76"/>
      <c r="I2217" s="76"/>
      <c r="J2217" s="93"/>
      <c r="K2217" s="93"/>
      <c r="L2217" s="82"/>
      <c r="M2217" s="54"/>
      <c r="N2217" s="54"/>
      <c r="O2217" s="54"/>
      <c r="P2217" s="54"/>
      <c r="Q2217" s="54"/>
      <c r="R2217" s="54"/>
      <c r="S2217" s="54"/>
      <c r="T2217" s="54"/>
      <c r="U2217" s="54"/>
      <c r="V2217" s="54"/>
      <c r="W2217" s="54"/>
      <c r="X2217" s="54"/>
      <c r="Y2217" s="54"/>
      <c r="Z2217" s="54"/>
      <c r="AA2217" s="54"/>
      <c r="AB2217" s="54"/>
      <c r="AC2217" s="54"/>
      <c r="AD2217" s="54"/>
      <c r="AE2217" s="54"/>
    </row>
    <row r="2218">
      <c r="A2218" s="80"/>
      <c r="B2218" s="80"/>
      <c r="C2218" s="80"/>
      <c r="D2218" s="59"/>
      <c r="E2218" s="59"/>
      <c r="F2218" s="83"/>
      <c r="G2218" s="76"/>
      <c r="H2218" s="76"/>
      <c r="I2218" s="76"/>
      <c r="J2218" s="93"/>
      <c r="K2218" s="93"/>
      <c r="L2218" s="82"/>
      <c r="M2218" s="54"/>
      <c r="N2218" s="54"/>
      <c r="O2218" s="54"/>
      <c r="P2218" s="54"/>
      <c r="Q2218" s="54"/>
      <c r="R2218" s="54"/>
      <c r="S2218" s="54"/>
      <c r="T2218" s="54"/>
      <c r="U2218" s="54"/>
      <c r="V2218" s="54"/>
      <c r="W2218" s="54"/>
      <c r="X2218" s="54"/>
      <c r="Y2218" s="54"/>
      <c r="Z2218" s="54"/>
      <c r="AA2218" s="54"/>
      <c r="AB2218" s="54"/>
      <c r="AC2218" s="54"/>
      <c r="AD2218" s="54"/>
      <c r="AE2218" s="54"/>
    </row>
    <row r="2219">
      <c r="A2219" s="80"/>
      <c r="B2219" s="80"/>
      <c r="C2219" s="80"/>
      <c r="D2219" s="59"/>
      <c r="E2219" s="59"/>
      <c r="F2219" s="83"/>
      <c r="G2219" s="76"/>
      <c r="H2219" s="76"/>
      <c r="I2219" s="76"/>
      <c r="J2219" s="93"/>
      <c r="K2219" s="93"/>
      <c r="L2219" s="82"/>
      <c r="M2219" s="54"/>
      <c r="N2219" s="54"/>
      <c r="O2219" s="54"/>
      <c r="P2219" s="54"/>
      <c r="Q2219" s="54"/>
      <c r="R2219" s="54"/>
      <c r="S2219" s="54"/>
      <c r="T2219" s="54"/>
      <c r="U2219" s="54"/>
      <c r="V2219" s="54"/>
      <c r="W2219" s="54"/>
      <c r="X2219" s="54"/>
      <c r="Y2219" s="54"/>
      <c r="Z2219" s="54"/>
      <c r="AA2219" s="54"/>
      <c r="AB2219" s="54"/>
      <c r="AC2219" s="54"/>
      <c r="AD2219" s="54"/>
      <c r="AE2219" s="54"/>
    </row>
    <row r="2220">
      <c r="A2220" s="80"/>
      <c r="B2220" s="80"/>
      <c r="C2220" s="80"/>
      <c r="D2220" s="59"/>
      <c r="E2220" s="59"/>
      <c r="F2220" s="83"/>
      <c r="G2220" s="76"/>
      <c r="H2220" s="76"/>
      <c r="I2220" s="76"/>
      <c r="J2220" s="93"/>
      <c r="K2220" s="93"/>
      <c r="L2220" s="82"/>
      <c r="M2220" s="54"/>
      <c r="N2220" s="54"/>
      <c r="O2220" s="54"/>
      <c r="P2220" s="54"/>
      <c r="Q2220" s="54"/>
      <c r="R2220" s="54"/>
      <c r="S2220" s="54"/>
      <c r="T2220" s="54"/>
      <c r="U2220" s="54"/>
      <c r="V2220" s="54"/>
      <c r="W2220" s="54"/>
      <c r="X2220" s="54"/>
      <c r="Y2220" s="54"/>
      <c r="Z2220" s="54"/>
      <c r="AA2220" s="54"/>
      <c r="AB2220" s="54"/>
      <c r="AC2220" s="54"/>
      <c r="AD2220" s="54"/>
      <c r="AE2220" s="54"/>
    </row>
    <row r="2221">
      <c r="A2221" s="80"/>
      <c r="B2221" s="80"/>
      <c r="C2221" s="80"/>
      <c r="D2221" s="59"/>
      <c r="E2221" s="59"/>
      <c r="F2221" s="83"/>
      <c r="G2221" s="76"/>
      <c r="H2221" s="76"/>
      <c r="I2221" s="76"/>
      <c r="J2221" s="93"/>
      <c r="K2221" s="93"/>
      <c r="L2221" s="82"/>
      <c r="M2221" s="54"/>
      <c r="N2221" s="54"/>
      <c r="O2221" s="54"/>
      <c r="P2221" s="54"/>
      <c r="Q2221" s="54"/>
      <c r="R2221" s="54"/>
      <c r="S2221" s="54"/>
      <c r="T2221" s="54"/>
      <c r="U2221" s="54"/>
      <c r="V2221" s="54"/>
      <c r="W2221" s="54"/>
      <c r="X2221" s="54"/>
      <c r="Y2221" s="54"/>
      <c r="Z2221" s="54"/>
      <c r="AA2221" s="54"/>
      <c r="AB2221" s="54"/>
      <c r="AC2221" s="54"/>
      <c r="AD2221" s="54"/>
      <c r="AE2221" s="54"/>
    </row>
    <row r="2222">
      <c r="A2222" s="80"/>
      <c r="B2222" s="80"/>
      <c r="C2222" s="80"/>
      <c r="D2222" s="59"/>
      <c r="E2222" s="59"/>
      <c r="F2222" s="83"/>
      <c r="G2222" s="76"/>
      <c r="H2222" s="76"/>
      <c r="I2222" s="76"/>
      <c r="J2222" s="93"/>
      <c r="K2222" s="93"/>
      <c r="L2222" s="82"/>
      <c r="M2222" s="54"/>
      <c r="N2222" s="54"/>
      <c r="O2222" s="54"/>
      <c r="P2222" s="54"/>
      <c r="Q2222" s="54"/>
      <c r="R2222" s="54"/>
      <c r="S2222" s="54"/>
      <c r="T2222" s="54"/>
      <c r="U2222" s="54"/>
      <c r="V2222" s="54"/>
      <c r="W2222" s="54"/>
      <c r="X2222" s="54"/>
      <c r="Y2222" s="54"/>
      <c r="Z2222" s="54"/>
      <c r="AA2222" s="54"/>
      <c r="AB2222" s="54"/>
      <c r="AC2222" s="54"/>
      <c r="AD2222" s="54"/>
      <c r="AE2222" s="54"/>
    </row>
    <row r="2223">
      <c r="A2223" s="80"/>
      <c r="B2223" s="80"/>
      <c r="C2223" s="80"/>
      <c r="D2223" s="59"/>
      <c r="E2223" s="59"/>
      <c r="F2223" s="83"/>
      <c r="G2223" s="76"/>
      <c r="H2223" s="76"/>
      <c r="I2223" s="76"/>
      <c r="J2223" s="93"/>
      <c r="K2223" s="93"/>
      <c r="L2223" s="82"/>
      <c r="M2223" s="54"/>
      <c r="N2223" s="54"/>
      <c r="O2223" s="54"/>
      <c r="P2223" s="54"/>
      <c r="Q2223" s="54"/>
      <c r="R2223" s="54"/>
      <c r="S2223" s="54"/>
      <c r="T2223" s="54"/>
      <c r="U2223" s="54"/>
      <c r="V2223" s="54"/>
      <c r="W2223" s="54"/>
      <c r="X2223" s="54"/>
      <c r="Y2223" s="54"/>
      <c r="Z2223" s="54"/>
      <c r="AA2223" s="54"/>
      <c r="AB2223" s="54"/>
      <c r="AC2223" s="54"/>
      <c r="AD2223" s="54"/>
      <c r="AE2223" s="54"/>
    </row>
    <row r="2224">
      <c r="A2224" s="80"/>
      <c r="B2224" s="80"/>
      <c r="C2224" s="80"/>
      <c r="D2224" s="59"/>
      <c r="E2224" s="59"/>
      <c r="F2224" s="83"/>
      <c r="G2224" s="76"/>
      <c r="H2224" s="76"/>
      <c r="I2224" s="76"/>
      <c r="J2224" s="93"/>
      <c r="K2224" s="93"/>
      <c r="L2224" s="82"/>
      <c r="M2224" s="54"/>
      <c r="N2224" s="54"/>
      <c r="O2224" s="54"/>
      <c r="P2224" s="54"/>
      <c r="Q2224" s="54"/>
      <c r="R2224" s="54"/>
      <c r="S2224" s="54"/>
      <c r="T2224" s="54"/>
      <c r="U2224" s="54"/>
      <c r="V2224" s="54"/>
      <c r="W2224" s="54"/>
      <c r="X2224" s="54"/>
      <c r="Y2224" s="54"/>
      <c r="Z2224" s="54"/>
      <c r="AA2224" s="54"/>
      <c r="AB2224" s="54"/>
      <c r="AC2224" s="54"/>
      <c r="AD2224" s="54"/>
      <c r="AE2224" s="54"/>
    </row>
    <row r="2225">
      <c r="A2225" s="80"/>
      <c r="B2225" s="80"/>
      <c r="C2225" s="80"/>
      <c r="D2225" s="59"/>
      <c r="E2225" s="59"/>
      <c r="F2225" s="83"/>
      <c r="G2225" s="76"/>
      <c r="H2225" s="76"/>
      <c r="I2225" s="76"/>
      <c r="J2225" s="93"/>
      <c r="K2225" s="93"/>
      <c r="L2225" s="82"/>
      <c r="M2225" s="54"/>
      <c r="N2225" s="54"/>
      <c r="O2225" s="54"/>
      <c r="P2225" s="54"/>
      <c r="Q2225" s="54"/>
      <c r="R2225" s="54"/>
      <c r="S2225" s="54"/>
      <c r="T2225" s="54"/>
      <c r="U2225" s="54"/>
      <c r="V2225" s="54"/>
      <c r="W2225" s="54"/>
      <c r="X2225" s="54"/>
      <c r="Y2225" s="54"/>
      <c r="Z2225" s="54"/>
      <c r="AA2225" s="54"/>
      <c r="AB2225" s="54"/>
      <c r="AC2225" s="54"/>
      <c r="AD2225" s="54"/>
      <c r="AE2225" s="54"/>
    </row>
    <row r="2226">
      <c r="A2226" s="80"/>
      <c r="B2226" s="80"/>
      <c r="C2226" s="80"/>
      <c r="D2226" s="59"/>
      <c r="E2226" s="59"/>
      <c r="F2226" s="83"/>
      <c r="G2226" s="76"/>
      <c r="H2226" s="76"/>
      <c r="I2226" s="76"/>
      <c r="J2226" s="93"/>
      <c r="K2226" s="93"/>
      <c r="L2226" s="82"/>
      <c r="M2226" s="54"/>
      <c r="N2226" s="54"/>
      <c r="O2226" s="54"/>
      <c r="P2226" s="54"/>
      <c r="Q2226" s="54"/>
      <c r="R2226" s="54"/>
      <c r="S2226" s="54"/>
      <c r="T2226" s="54"/>
      <c r="U2226" s="54"/>
      <c r="V2226" s="54"/>
      <c r="W2226" s="54"/>
      <c r="X2226" s="54"/>
      <c r="Y2226" s="54"/>
      <c r="Z2226" s="54"/>
      <c r="AA2226" s="54"/>
      <c r="AB2226" s="54"/>
      <c r="AC2226" s="54"/>
      <c r="AD2226" s="54"/>
      <c r="AE2226" s="54"/>
    </row>
    <row r="2227">
      <c r="A2227" s="80"/>
      <c r="B2227" s="80"/>
      <c r="C2227" s="80"/>
      <c r="D2227" s="59"/>
      <c r="E2227" s="59"/>
      <c r="F2227" s="83"/>
      <c r="G2227" s="76"/>
      <c r="H2227" s="76"/>
      <c r="I2227" s="76"/>
      <c r="J2227" s="93"/>
      <c r="K2227" s="93"/>
      <c r="L2227" s="82"/>
      <c r="M2227" s="54"/>
      <c r="N2227" s="54"/>
      <c r="O2227" s="54"/>
      <c r="P2227" s="54"/>
      <c r="Q2227" s="54"/>
      <c r="R2227" s="54"/>
      <c r="S2227" s="54"/>
      <c r="T2227" s="54"/>
      <c r="U2227" s="54"/>
      <c r="V2227" s="54"/>
      <c r="W2227" s="54"/>
      <c r="X2227" s="54"/>
      <c r="Y2227" s="54"/>
      <c r="Z2227" s="54"/>
      <c r="AA2227" s="54"/>
      <c r="AB2227" s="54"/>
      <c r="AC2227" s="54"/>
      <c r="AD2227" s="54"/>
      <c r="AE2227" s="54"/>
    </row>
    <row r="2228">
      <c r="A2228" s="80"/>
      <c r="B2228" s="80"/>
      <c r="C2228" s="80"/>
      <c r="D2228" s="59"/>
      <c r="E2228" s="59"/>
      <c r="F2228" s="83"/>
      <c r="G2228" s="76"/>
      <c r="H2228" s="76"/>
      <c r="I2228" s="76"/>
      <c r="J2228" s="93"/>
      <c r="K2228" s="93"/>
      <c r="L2228" s="82"/>
      <c r="M2228" s="54"/>
      <c r="N2228" s="54"/>
      <c r="O2228" s="54"/>
      <c r="P2228" s="54"/>
      <c r="Q2228" s="54"/>
      <c r="R2228" s="54"/>
      <c r="S2228" s="54"/>
      <c r="T2228" s="54"/>
      <c r="U2228" s="54"/>
      <c r="V2228" s="54"/>
      <c r="W2228" s="54"/>
      <c r="X2228" s="54"/>
      <c r="Y2228" s="54"/>
      <c r="Z2228" s="54"/>
      <c r="AA2228" s="54"/>
      <c r="AB2228" s="54"/>
      <c r="AC2228" s="54"/>
      <c r="AD2228" s="54"/>
      <c r="AE2228" s="54"/>
    </row>
    <row r="2229">
      <c r="A2229" s="80"/>
      <c r="B2229" s="80"/>
      <c r="C2229" s="80"/>
      <c r="D2229" s="59"/>
      <c r="E2229" s="59"/>
      <c r="F2229" s="83"/>
      <c r="G2229" s="76"/>
      <c r="H2229" s="76"/>
      <c r="I2229" s="76"/>
      <c r="J2229" s="93"/>
      <c r="K2229" s="93"/>
      <c r="L2229" s="82"/>
      <c r="M2229" s="54"/>
      <c r="N2229" s="54"/>
      <c r="O2229" s="54"/>
      <c r="P2229" s="54"/>
      <c r="Q2229" s="54"/>
      <c r="R2229" s="54"/>
      <c r="S2229" s="54"/>
      <c r="T2229" s="54"/>
      <c r="U2229" s="54"/>
      <c r="V2229" s="54"/>
      <c r="W2229" s="54"/>
      <c r="X2229" s="54"/>
      <c r="Y2229" s="54"/>
      <c r="Z2229" s="54"/>
      <c r="AA2229" s="54"/>
      <c r="AB2229" s="54"/>
      <c r="AC2229" s="54"/>
      <c r="AD2229" s="54"/>
      <c r="AE2229" s="54"/>
    </row>
    <row r="2230">
      <c r="A2230" s="80"/>
      <c r="B2230" s="80"/>
      <c r="C2230" s="80"/>
      <c r="D2230" s="59"/>
      <c r="E2230" s="59"/>
      <c r="F2230" s="83"/>
      <c r="G2230" s="76"/>
      <c r="H2230" s="76"/>
      <c r="I2230" s="76"/>
      <c r="J2230" s="93"/>
      <c r="K2230" s="93"/>
      <c r="L2230" s="82"/>
      <c r="M2230" s="54"/>
      <c r="N2230" s="54"/>
      <c r="O2230" s="54"/>
      <c r="P2230" s="54"/>
      <c r="Q2230" s="54"/>
      <c r="R2230" s="54"/>
      <c r="S2230" s="54"/>
      <c r="T2230" s="54"/>
      <c r="U2230" s="54"/>
      <c r="V2230" s="54"/>
      <c r="W2230" s="54"/>
      <c r="X2230" s="54"/>
      <c r="Y2230" s="54"/>
      <c r="Z2230" s="54"/>
      <c r="AA2230" s="54"/>
      <c r="AB2230" s="54"/>
      <c r="AC2230" s="54"/>
      <c r="AD2230" s="54"/>
      <c r="AE2230" s="54"/>
    </row>
    <row r="2231">
      <c r="A2231" s="80"/>
      <c r="B2231" s="80"/>
      <c r="C2231" s="80"/>
      <c r="D2231" s="59"/>
      <c r="E2231" s="59"/>
      <c r="F2231" s="83"/>
      <c r="G2231" s="76"/>
      <c r="H2231" s="76"/>
      <c r="I2231" s="76"/>
      <c r="J2231" s="93"/>
      <c r="K2231" s="93"/>
      <c r="L2231" s="82"/>
      <c r="M2231" s="54"/>
      <c r="N2231" s="54"/>
      <c r="O2231" s="54"/>
      <c r="P2231" s="54"/>
      <c r="Q2231" s="54"/>
      <c r="R2231" s="54"/>
      <c r="S2231" s="54"/>
      <c r="T2231" s="54"/>
      <c r="U2231" s="54"/>
      <c r="V2231" s="54"/>
      <c r="W2231" s="54"/>
      <c r="X2231" s="54"/>
      <c r="Y2231" s="54"/>
      <c r="Z2231" s="54"/>
      <c r="AA2231" s="54"/>
      <c r="AB2231" s="54"/>
      <c r="AC2231" s="54"/>
      <c r="AD2231" s="54"/>
      <c r="AE2231" s="54"/>
    </row>
    <row r="2232">
      <c r="A2232" s="80"/>
      <c r="B2232" s="80"/>
      <c r="C2232" s="80"/>
      <c r="D2232" s="59"/>
      <c r="E2232" s="59"/>
      <c r="F2232" s="83"/>
      <c r="G2232" s="76"/>
      <c r="H2232" s="76"/>
      <c r="I2232" s="76"/>
      <c r="J2232" s="93"/>
      <c r="K2232" s="93"/>
      <c r="L2232" s="82"/>
      <c r="M2232" s="54"/>
      <c r="N2232" s="54"/>
      <c r="O2232" s="54"/>
      <c r="P2232" s="54"/>
      <c r="Q2232" s="54"/>
      <c r="R2232" s="54"/>
      <c r="S2232" s="54"/>
      <c r="T2232" s="54"/>
      <c r="U2232" s="54"/>
      <c r="V2232" s="54"/>
      <c r="W2232" s="54"/>
      <c r="X2232" s="54"/>
      <c r="Y2232" s="54"/>
      <c r="Z2232" s="54"/>
      <c r="AA2232" s="54"/>
      <c r="AB2232" s="54"/>
      <c r="AC2232" s="54"/>
      <c r="AD2232" s="54"/>
      <c r="AE2232" s="54"/>
    </row>
    <row r="2233">
      <c r="A2233" s="80"/>
      <c r="B2233" s="80"/>
      <c r="C2233" s="80"/>
      <c r="D2233" s="59"/>
      <c r="E2233" s="59"/>
      <c r="F2233" s="83"/>
      <c r="G2233" s="76"/>
      <c r="H2233" s="76"/>
      <c r="I2233" s="76"/>
      <c r="J2233" s="93"/>
      <c r="K2233" s="93"/>
      <c r="L2233" s="82"/>
      <c r="M2233" s="54"/>
      <c r="N2233" s="54"/>
      <c r="O2233" s="54"/>
      <c r="P2233" s="54"/>
      <c r="Q2233" s="54"/>
      <c r="R2233" s="54"/>
      <c r="S2233" s="54"/>
      <c r="T2233" s="54"/>
      <c r="U2233" s="54"/>
      <c r="V2233" s="54"/>
      <c r="W2233" s="54"/>
      <c r="X2233" s="54"/>
      <c r="Y2233" s="54"/>
      <c r="Z2233" s="54"/>
      <c r="AA2233" s="54"/>
      <c r="AB2233" s="54"/>
      <c r="AC2233" s="54"/>
      <c r="AD2233" s="54"/>
      <c r="AE2233" s="54"/>
    </row>
    <row r="2234">
      <c r="A2234" s="80"/>
      <c r="B2234" s="80"/>
      <c r="C2234" s="80"/>
      <c r="D2234" s="59"/>
      <c r="E2234" s="59"/>
      <c r="F2234" s="83"/>
      <c r="G2234" s="76"/>
      <c r="H2234" s="76"/>
      <c r="I2234" s="76"/>
      <c r="J2234" s="93"/>
      <c r="K2234" s="93"/>
      <c r="L2234" s="82"/>
      <c r="M2234" s="54"/>
      <c r="N2234" s="54"/>
      <c r="O2234" s="54"/>
      <c r="P2234" s="54"/>
      <c r="Q2234" s="54"/>
      <c r="R2234" s="54"/>
      <c r="S2234" s="54"/>
      <c r="T2234" s="54"/>
      <c r="U2234" s="54"/>
      <c r="V2234" s="54"/>
      <c r="W2234" s="54"/>
      <c r="X2234" s="54"/>
      <c r="Y2234" s="54"/>
      <c r="Z2234" s="54"/>
      <c r="AA2234" s="54"/>
      <c r="AB2234" s="54"/>
      <c r="AC2234" s="54"/>
      <c r="AD2234" s="54"/>
      <c r="AE2234" s="54"/>
    </row>
    <row r="2235">
      <c r="A2235" s="80"/>
      <c r="B2235" s="80"/>
      <c r="C2235" s="80"/>
      <c r="D2235" s="59"/>
      <c r="E2235" s="59"/>
      <c r="F2235" s="83"/>
      <c r="G2235" s="76"/>
      <c r="H2235" s="76"/>
      <c r="I2235" s="76"/>
      <c r="J2235" s="93"/>
      <c r="K2235" s="93"/>
      <c r="L2235" s="82"/>
      <c r="M2235" s="54"/>
      <c r="N2235" s="54"/>
      <c r="O2235" s="54"/>
      <c r="P2235" s="54"/>
      <c r="Q2235" s="54"/>
      <c r="R2235" s="54"/>
      <c r="S2235" s="54"/>
      <c r="T2235" s="54"/>
      <c r="U2235" s="54"/>
      <c r="V2235" s="54"/>
      <c r="W2235" s="54"/>
      <c r="X2235" s="54"/>
      <c r="Y2235" s="54"/>
      <c r="Z2235" s="54"/>
      <c r="AA2235" s="54"/>
      <c r="AB2235" s="54"/>
      <c r="AC2235" s="54"/>
      <c r="AD2235" s="54"/>
      <c r="AE2235" s="54"/>
    </row>
    <row r="2236">
      <c r="A2236" s="80"/>
      <c r="B2236" s="80"/>
      <c r="C2236" s="80"/>
      <c r="D2236" s="59"/>
      <c r="E2236" s="59"/>
      <c r="F2236" s="83"/>
      <c r="G2236" s="76"/>
      <c r="H2236" s="76"/>
      <c r="I2236" s="76"/>
      <c r="J2236" s="93"/>
      <c r="K2236" s="93"/>
      <c r="L2236" s="82"/>
      <c r="M2236" s="54"/>
      <c r="N2236" s="54"/>
      <c r="O2236" s="54"/>
      <c r="P2236" s="54"/>
      <c r="Q2236" s="54"/>
      <c r="R2236" s="54"/>
      <c r="S2236" s="54"/>
      <c r="T2236" s="54"/>
      <c r="U2236" s="54"/>
      <c r="V2236" s="54"/>
      <c r="W2236" s="54"/>
      <c r="X2236" s="54"/>
      <c r="Y2236" s="54"/>
      <c r="Z2236" s="54"/>
      <c r="AA2236" s="54"/>
      <c r="AB2236" s="54"/>
      <c r="AC2236" s="54"/>
      <c r="AD2236" s="54"/>
      <c r="AE2236" s="54"/>
    </row>
    <row r="2237">
      <c r="A2237" s="80"/>
      <c r="B2237" s="80"/>
      <c r="C2237" s="80"/>
      <c r="D2237" s="59"/>
      <c r="E2237" s="59"/>
      <c r="F2237" s="83"/>
      <c r="G2237" s="76"/>
      <c r="H2237" s="76"/>
      <c r="I2237" s="76"/>
      <c r="J2237" s="93"/>
      <c r="K2237" s="93"/>
      <c r="L2237" s="82"/>
      <c r="M2237" s="54"/>
      <c r="N2237" s="54"/>
      <c r="O2237" s="54"/>
      <c r="P2237" s="54"/>
      <c r="Q2237" s="54"/>
      <c r="R2237" s="54"/>
      <c r="S2237" s="54"/>
      <c r="T2237" s="54"/>
      <c r="U2237" s="54"/>
      <c r="V2237" s="54"/>
      <c r="W2237" s="54"/>
      <c r="X2237" s="54"/>
      <c r="Y2237" s="54"/>
      <c r="Z2237" s="54"/>
      <c r="AA2237" s="54"/>
      <c r="AB2237" s="54"/>
      <c r="AC2237" s="54"/>
      <c r="AD2237" s="54"/>
      <c r="AE2237" s="54"/>
    </row>
    <row r="2238">
      <c r="A2238" s="80"/>
      <c r="B2238" s="80"/>
      <c r="C2238" s="80"/>
      <c r="D2238" s="59"/>
      <c r="E2238" s="59"/>
      <c r="F2238" s="83"/>
      <c r="G2238" s="76"/>
      <c r="H2238" s="76"/>
      <c r="I2238" s="76"/>
      <c r="J2238" s="93"/>
      <c r="K2238" s="93"/>
      <c r="L2238" s="82"/>
      <c r="M2238" s="54"/>
      <c r="N2238" s="54"/>
      <c r="O2238" s="54"/>
      <c r="P2238" s="54"/>
      <c r="Q2238" s="54"/>
      <c r="R2238" s="54"/>
      <c r="S2238" s="54"/>
      <c r="T2238" s="54"/>
      <c r="U2238" s="54"/>
      <c r="V2238" s="54"/>
      <c r="W2238" s="54"/>
      <c r="X2238" s="54"/>
      <c r="Y2238" s="54"/>
      <c r="Z2238" s="54"/>
      <c r="AA2238" s="54"/>
      <c r="AB2238" s="54"/>
      <c r="AC2238" s="54"/>
      <c r="AD2238" s="54"/>
      <c r="AE2238" s="54"/>
    </row>
    <row r="2239">
      <c r="A2239" s="80"/>
      <c r="B2239" s="80"/>
      <c r="C2239" s="80"/>
      <c r="D2239" s="59"/>
      <c r="E2239" s="59"/>
      <c r="F2239" s="83"/>
      <c r="G2239" s="76"/>
      <c r="H2239" s="76"/>
      <c r="I2239" s="76"/>
      <c r="J2239" s="93"/>
      <c r="K2239" s="93"/>
      <c r="L2239" s="82"/>
      <c r="M2239" s="54"/>
      <c r="N2239" s="54"/>
      <c r="O2239" s="54"/>
      <c r="P2239" s="54"/>
      <c r="Q2239" s="54"/>
      <c r="R2239" s="54"/>
      <c r="S2239" s="54"/>
      <c r="T2239" s="54"/>
      <c r="U2239" s="54"/>
      <c r="V2239" s="54"/>
      <c r="W2239" s="54"/>
      <c r="X2239" s="54"/>
      <c r="Y2239" s="54"/>
      <c r="Z2239" s="54"/>
      <c r="AA2239" s="54"/>
      <c r="AB2239" s="54"/>
      <c r="AC2239" s="54"/>
      <c r="AD2239" s="54"/>
      <c r="AE2239" s="54"/>
    </row>
    <row r="2240">
      <c r="A2240" s="80"/>
      <c r="B2240" s="80"/>
      <c r="C2240" s="80"/>
      <c r="D2240" s="59"/>
      <c r="E2240" s="59"/>
      <c r="F2240" s="83"/>
      <c r="G2240" s="76"/>
      <c r="H2240" s="76"/>
      <c r="I2240" s="76"/>
      <c r="J2240" s="93"/>
      <c r="K2240" s="93"/>
      <c r="L2240" s="82"/>
      <c r="M2240" s="54"/>
      <c r="N2240" s="54"/>
      <c r="O2240" s="54"/>
      <c r="P2240" s="54"/>
      <c r="Q2240" s="54"/>
      <c r="R2240" s="54"/>
      <c r="S2240" s="54"/>
      <c r="T2240" s="54"/>
      <c r="U2240" s="54"/>
      <c r="V2240" s="54"/>
      <c r="W2240" s="54"/>
      <c r="X2240" s="54"/>
      <c r="Y2240" s="54"/>
      <c r="Z2240" s="54"/>
      <c r="AA2240" s="54"/>
      <c r="AB2240" s="54"/>
      <c r="AC2240" s="54"/>
      <c r="AD2240" s="54"/>
      <c r="AE2240" s="54"/>
    </row>
    <row r="2241">
      <c r="A2241" s="80"/>
      <c r="B2241" s="80"/>
      <c r="C2241" s="80"/>
      <c r="D2241" s="59"/>
      <c r="E2241" s="59"/>
      <c r="F2241" s="83"/>
      <c r="G2241" s="76"/>
      <c r="H2241" s="76"/>
      <c r="I2241" s="76"/>
      <c r="J2241" s="93"/>
      <c r="K2241" s="93"/>
      <c r="L2241" s="82"/>
      <c r="M2241" s="54"/>
      <c r="N2241" s="54"/>
      <c r="O2241" s="54"/>
      <c r="P2241" s="54"/>
      <c r="Q2241" s="54"/>
      <c r="R2241" s="54"/>
      <c r="S2241" s="54"/>
      <c r="T2241" s="54"/>
      <c r="U2241" s="54"/>
      <c r="V2241" s="54"/>
      <c r="W2241" s="54"/>
      <c r="X2241" s="54"/>
      <c r="Y2241" s="54"/>
      <c r="Z2241" s="54"/>
      <c r="AA2241" s="54"/>
      <c r="AB2241" s="54"/>
      <c r="AC2241" s="54"/>
      <c r="AD2241" s="54"/>
      <c r="AE2241" s="54"/>
    </row>
    <row r="2242">
      <c r="A2242" s="80"/>
      <c r="B2242" s="80"/>
      <c r="C2242" s="80"/>
      <c r="D2242" s="59"/>
      <c r="E2242" s="59"/>
      <c r="F2242" s="83"/>
      <c r="G2242" s="76"/>
      <c r="H2242" s="76"/>
      <c r="I2242" s="76"/>
      <c r="J2242" s="93"/>
      <c r="K2242" s="93"/>
      <c r="L2242" s="82"/>
      <c r="M2242" s="54"/>
      <c r="N2242" s="54"/>
      <c r="O2242" s="54"/>
      <c r="P2242" s="54"/>
      <c r="Q2242" s="54"/>
      <c r="R2242" s="54"/>
      <c r="S2242" s="54"/>
      <c r="T2242" s="54"/>
      <c r="U2242" s="54"/>
      <c r="V2242" s="54"/>
      <c r="W2242" s="54"/>
      <c r="X2242" s="54"/>
      <c r="Y2242" s="54"/>
      <c r="Z2242" s="54"/>
      <c r="AA2242" s="54"/>
      <c r="AB2242" s="54"/>
      <c r="AC2242" s="54"/>
      <c r="AD2242" s="54"/>
      <c r="AE2242" s="54"/>
    </row>
    <row r="2243">
      <c r="A2243" s="80"/>
      <c r="B2243" s="80"/>
      <c r="C2243" s="80"/>
      <c r="D2243" s="59"/>
      <c r="E2243" s="59"/>
      <c r="F2243" s="83"/>
      <c r="G2243" s="76"/>
      <c r="H2243" s="76"/>
      <c r="I2243" s="76"/>
      <c r="J2243" s="93"/>
      <c r="K2243" s="93"/>
      <c r="L2243" s="82"/>
      <c r="M2243" s="54"/>
      <c r="N2243" s="54"/>
      <c r="O2243" s="54"/>
      <c r="P2243" s="54"/>
      <c r="Q2243" s="54"/>
      <c r="R2243" s="54"/>
      <c r="S2243" s="54"/>
      <c r="T2243" s="54"/>
      <c r="U2243" s="54"/>
      <c r="V2243" s="54"/>
      <c r="W2243" s="54"/>
      <c r="X2243" s="54"/>
      <c r="Y2243" s="54"/>
      <c r="Z2243" s="54"/>
      <c r="AA2243" s="54"/>
      <c r="AB2243" s="54"/>
      <c r="AC2243" s="54"/>
      <c r="AD2243" s="54"/>
      <c r="AE2243" s="54"/>
    </row>
    <row r="2244">
      <c r="A2244" s="80"/>
      <c r="B2244" s="80"/>
      <c r="C2244" s="80"/>
      <c r="D2244" s="59"/>
      <c r="E2244" s="59"/>
      <c r="F2244" s="83"/>
      <c r="G2244" s="76"/>
      <c r="H2244" s="76"/>
      <c r="I2244" s="76"/>
      <c r="J2244" s="93"/>
      <c r="K2244" s="93"/>
      <c r="L2244" s="82"/>
      <c r="M2244" s="54"/>
      <c r="N2244" s="54"/>
      <c r="O2244" s="54"/>
      <c r="P2244" s="54"/>
      <c r="Q2244" s="54"/>
      <c r="R2244" s="54"/>
      <c r="S2244" s="54"/>
      <c r="T2244" s="54"/>
      <c r="U2244" s="54"/>
      <c r="V2244" s="54"/>
      <c r="W2244" s="54"/>
      <c r="X2244" s="54"/>
      <c r="Y2244" s="54"/>
      <c r="Z2244" s="54"/>
      <c r="AA2244" s="54"/>
      <c r="AB2244" s="54"/>
      <c r="AC2244" s="54"/>
      <c r="AD2244" s="54"/>
      <c r="AE2244" s="54"/>
    </row>
    <row r="2245">
      <c r="A2245" s="80"/>
      <c r="B2245" s="80"/>
      <c r="C2245" s="80"/>
      <c r="D2245" s="59"/>
      <c r="E2245" s="59"/>
      <c r="F2245" s="83"/>
      <c r="G2245" s="76"/>
      <c r="H2245" s="76"/>
      <c r="I2245" s="76"/>
      <c r="J2245" s="93"/>
      <c r="K2245" s="93"/>
      <c r="L2245" s="82"/>
      <c r="M2245" s="54"/>
      <c r="N2245" s="54"/>
      <c r="O2245" s="54"/>
      <c r="P2245" s="54"/>
      <c r="Q2245" s="54"/>
      <c r="R2245" s="54"/>
      <c r="S2245" s="54"/>
      <c r="T2245" s="54"/>
      <c r="U2245" s="54"/>
      <c r="V2245" s="54"/>
      <c r="W2245" s="54"/>
      <c r="X2245" s="54"/>
      <c r="Y2245" s="54"/>
      <c r="Z2245" s="54"/>
      <c r="AA2245" s="54"/>
      <c r="AB2245" s="54"/>
      <c r="AC2245" s="54"/>
      <c r="AD2245" s="54"/>
      <c r="AE2245" s="54"/>
    </row>
    <row r="2246">
      <c r="A2246" s="80"/>
      <c r="B2246" s="80"/>
      <c r="C2246" s="80"/>
      <c r="D2246" s="59"/>
      <c r="E2246" s="59"/>
      <c r="F2246" s="83"/>
      <c r="G2246" s="76"/>
      <c r="H2246" s="76"/>
      <c r="I2246" s="76"/>
      <c r="J2246" s="93"/>
      <c r="K2246" s="93"/>
      <c r="L2246" s="82"/>
      <c r="M2246" s="54"/>
      <c r="N2246" s="54"/>
      <c r="O2246" s="54"/>
      <c r="P2246" s="54"/>
      <c r="Q2246" s="54"/>
      <c r="R2246" s="54"/>
      <c r="S2246" s="54"/>
      <c r="T2246" s="54"/>
      <c r="U2246" s="54"/>
      <c r="V2246" s="54"/>
      <c r="W2246" s="54"/>
      <c r="X2246" s="54"/>
      <c r="Y2246" s="54"/>
      <c r="Z2246" s="54"/>
      <c r="AA2246" s="54"/>
      <c r="AB2246" s="54"/>
      <c r="AC2246" s="54"/>
      <c r="AD2246" s="54"/>
      <c r="AE2246" s="54"/>
    </row>
    <row r="2247">
      <c r="A2247" s="80"/>
      <c r="B2247" s="80"/>
      <c r="C2247" s="80"/>
      <c r="D2247" s="59"/>
      <c r="E2247" s="59"/>
      <c r="F2247" s="83"/>
      <c r="G2247" s="76"/>
      <c r="H2247" s="76"/>
      <c r="I2247" s="76"/>
      <c r="J2247" s="93"/>
      <c r="K2247" s="93"/>
      <c r="L2247" s="82"/>
      <c r="M2247" s="54"/>
      <c r="N2247" s="54"/>
      <c r="O2247" s="54"/>
      <c r="P2247" s="54"/>
      <c r="Q2247" s="54"/>
      <c r="R2247" s="54"/>
      <c r="S2247" s="54"/>
      <c r="T2247" s="54"/>
      <c r="U2247" s="54"/>
      <c r="V2247" s="54"/>
      <c r="W2247" s="54"/>
      <c r="X2247" s="54"/>
      <c r="Y2247" s="54"/>
      <c r="Z2247" s="54"/>
      <c r="AA2247" s="54"/>
      <c r="AB2247" s="54"/>
      <c r="AC2247" s="54"/>
      <c r="AD2247" s="54"/>
      <c r="AE2247" s="54"/>
    </row>
    <row r="2248">
      <c r="A2248" s="80"/>
      <c r="B2248" s="80"/>
      <c r="C2248" s="80"/>
      <c r="D2248" s="59"/>
      <c r="E2248" s="59"/>
      <c r="F2248" s="83"/>
      <c r="G2248" s="76"/>
      <c r="H2248" s="76"/>
      <c r="I2248" s="76"/>
      <c r="J2248" s="93"/>
      <c r="K2248" s="93"/>
      <c r="L2248" s="82"/>
      <c r="M2248" s="54"/>
      <c r="N2248" s="54"/>
      <c r="O2248" s="54"/>
      <c r="P2248" s="54"/>
      <c r="Q2248" s="54"/>
      <c r="R2248" s="54"/>
      <c r="S2248" s="54"/>
      <c r="T2248" s="54"/>
      <c r="U2248" s="54"/>
      <c r="V2248" s="54"/>
      <c r="W2248" s="54"/>
      <c r="X2248" s="54"/>
      <c r="Y2248" s="54"/>
      <c r="Z2248" s="54"/>
      <c r="AA2248" s="54"/>
      <c r="AB2248" s="54"/>
      <c r="AC2248" s="54"/>
      <c r="AD2248" s="54"/>
      <c r="AE2248" s="54"/>
    </row>
    <row r="2249">
      <c r="A2249" s="80"/>
      <c r="B2249" s="80"/>
      <c r="C2249" s="80"/>
      <c r="D2249" s="59"/>
      <c r="E2249" s="59"/>
      <c r="F2249" s="83"/>
      <c r="G2249" s="76"/>
      <c r="H2249" s="76"/>
      <c r="I2249" s="76"/>
      <c r="J2249" s="93"/>
      <c r="K2249" s="93"/>
      <c r="L2249" s="82"/>
      <c r="M2249" s="54"/>
      <c r="N2249" s="54"/>
      <c r="O2249" s="54"/>
      <c r="P2249" s="54"/>
      <c r="Q2249" s="54"/>
      <c r="R2249" s="54"/>
      <c r="S2249" s="54"/>
      <c r="T2249" s="54"/>
      <c r="U2249" s="54"/>
      <c r="V2249" s="54"/>
      <c r="W2249" s="54"/>
      <c r="X2249" s="54"/>
      <c r="Y2249" s="54"/>
      <c r="Z2249" s="54"/>
      <c r="AA2249" s="54"/>
      <c r="AB2249" s="54"/>
      <c r="AC2249" s="54"/>
      <c r="AD2249" s="54"/>
      <c r="AE2249" s="54"/>
    </row>
    <row r="2250">
      <c r="A2250" s="80"/>
      <c r="B2250" s="80"/>
      <c r="C2250" s="80"/>
      <c r="D2250" s="59"/>
      <c r="E2250" s="59"/>
      <c r="F2250" s="83"/>
      <c r="G2250" s="76"/>
      <c r="H2250" s="76"/>
      <c r="I2250" s="76"/>
      <c r="J2250" s="93"/>
      <c r="K2250" s="93"/>
      <c r="L2250" s="82"/>
      <c r="M2250" s="54"/>
      <c r="N2250" s="54"/>
      <c r="O2250" s="54"/>
      <c r="P2250" s="54"/>
      <c r="Q2250" s="54"/>
      <c r="R2250" s="54"/>
      <c r="S2250" s="54"/>
      <c r="T2250" s="54"/>
      <c r="U2250" s="54"/>
      <c r="V2250" s="54"/>
      <c r="W2250" s="54"/>
      <c r="X2250" s="54"/>
      <c r="Y2250" s="54"/>
      <c r="Z2250" s="54"/>
      <c r="AA2250" s="54"/>
      <c r="AB2250" s="54"/>
      <c r="AC2250" s="54"/>
      <c r="AD2250" s="54"/>
      <c r="AE2250" s="54"/>
    </row>
    <row r="2251">
      <c r="A2251" s="80"/>
      <c r="B2251" s="80"/>
      <c r="C2251" s="80"/>
      <c r="D2251" s="59"/>
      <c r="E2251" s="59"/>
      <c r="F2251" s="83"/>
      <c r="G2251" s="76"/>
      <c r="H2251" s="76"/>
      <c r="I2251" s="76"/>
      <c r="J2251" s="93"/>
      <c r="K2251" s="93"/>
      <c r="L2251" s="82"/>
      <c r="M2251" s="54"/>
      <c r="N2251" s="54"/>
      <c r="O2251" s="54"/>
      <c r="P2251" s="54"/>
      <c r="Q2251" s="54"/>
      <c r="R2251" s="54"/>
      <c r="S2251" s="54"/>
      <c r="T2251" s="54"/>
      <c r="U2251" s="54"/>
      <c r="V2251" s="54"/>
      <c r="W2251" s="54"/>
      <c r="X2251" s="54"/>
      <c r="Y2251" s="54"/>
      <c r="Z2251" s="54"/>
      <c r="AA2251" s="54"/>
      <c r="AB2251" s="54"/>
      <c r="AC2251" s="54"/>
      <c r="AD2251" s="54"/>
      <c r="AE2251" s="54"/>
    </row>
    <row r="2252">
      <c r="A2252" s="80"/>
      <c r="B2252" s="80"/>
      <c r="C2252" s="80"/>
      <c r="D2252" s="59"/>
      <c r="E2252" s="59"/>
      <c r="F2252" s="83"/>
      <c r="G2252" s="76"/>
      <c r="H2252" s="76"/>
      <c r="I2252" s="76"/>
      <c r="J2252" s="93"/>
      <c r="K2252" s="93"/>
      <c r="L2252" s="82"/>
      <c r="M2252" s="54"/>
      <c r="N2252" s="54"/>
      <c r="O2252" s="54"/>
      <c r="P2252" s="54"/>
      <c r="Q2252" s="54"/>
      <c r="R2252" s="54"/>
      <c r="S2252" s="54"/>
      <c r="T2252" s="54"/>
      <c r="U2252" s="54"/>
      <c r="V2252" s="54"/>
      <c r="W2252" s="54"/>
      <c r="X2252" s="54"/>
      <c r="Y2252" s="54"/>
      <c r="Z2252" s="54"/>
      <c r="AA2252" s="54"/>
      <c r="AB2252" s="54"/>
      <c r="AC2252" s="54"/>
      <c r="AD2252" s="54"/>
      <c r="AE2252" s="54"/>
    </row>
    <row r="2253">
      <c r="A2253" s="80"/>
      <c r="B2253" s="80"/>
      <c r="C2253" s="80"/>
      <c r="D2253" s="59"/>
      <c r="E2253" s="59"/>
      <c r="F2253" s="83"/>
      <c r="G2253" s="76"/>
      <c r="H2253" s="76"/>
      <c r="I2253" s="76"/>
      <c r="J2253" s="93"/>
      <c r="K2253" s="93"/>
      <c r="L2253" s="82"/>
      <c r="M2253" s="54"/>
      <c r="N2253" s="54"/>
      <c r="O2253" s="54"/>
      <c r="P2253" s="54"/>
      <c r="Q2253" s="54"/>
      <c r="R2253" s="54"/>
      <c r="S2253" s="54"/>
      <c r="T2253" s="54"/>
      <c r="U2253" s="54"/>
      <c r="V2253" s="54"/>
      <c r="W2253" s="54"/>
      <c r="X2253" s="54"/>
      <c r="Y2253" s="54"/>
      <c r="Z2253" s="54"/>
      <c r="AA2253" s="54"/>
      <c r="AB2253" s="54"/>
      <c r="AC2253" s="54"/>
      <c r="AD2253" s="54"/>
      <c r="AE2253" s="54"/>
    </row>
    <row r="2254">
      <c r="A2254" s="80"/>
      <c r="B2254" s="80"/>
      <c r="C2254" s="80"/>
      <c r="D2254" s="59"/>
      <c r="E2254" s="59"/>
      <c r="F2254" s="83"/>
      <c r="G2254" s="76"/>
      <c r="H2254" s="76"/>
      <c r="I2254" s="76"/>
      <c r="J2254" s="93"/>
      <c r="K2254" s="93"/>
      <c r="L2254" s="82"/>
      <c r="M2254" s="54"/>
      <c r="N2254" s="54"/>
      <c r="O2254" s="54"/>
      <c r="P2254" s="54"/>
      <c r="Q2254" s="54"/>
      <c r="R2254" s="54"/>
      <c r="S2254" s="54"/>
      <c r="T2254" s="54"/>
      <c r="U2254" s="54"/>
      <c r="V2254" s="54"/>
      <c r="W2254" s="54"/>
      <c r="X2254" s="54"/>
      <c r="Y2254" s="54"/>
      <c r="Z2254" s="54"/>
      <c r="AA2254" s="54"/>
      <c r="AB2254" s="54"/>
      <c r="AC2254" s="54"/>
      <c r="AD2254" s="54"/>
      <c r="AE2254" s="54"/>
    </row>
    <row r="2255">
      <c r="A2255" s="80"/>
      <c r="B2255" s="80"/>
      <c r="C2255" s="80"/>
      <c r="D2255" s="59"/>
      <c r="E2255" s="59"/>
      <c r="F2255" s="83"/>
      <c r="G2255" s="76"/>
      <c r="H2255" s="76"/>
      <c r="I2255" s="76"/>
      <c r="J2255" s="93"/>
      <c r="K2255" s="93"/>
      <c r="L2255" s="82"/>
      <c r="M2255" s="54"/>
      <c r="N2255" s="54"/>
      <c r="O2255" s="54"/>
      <c r="P2255" s="54"/>
      <c r="Q2255" s="54"/>
      <c r="R2255" s="54"/>
      <c r="S2255" s="54"/>
      <c r="T2255" s="54"/>
      <c r="U2255" s="54"/>
      <c r="V2255" s="54"/>
      <c r="W2255" s="54"/>
      <c r="X2255" s="54"/>
      <c r="Y2255" s="54"/>
      <c r="Z2255" s="54"/>
      <c r="AA2255" s="54"/>
      <c r="AB2255" s="54"/>
      <c r="AC2255" s="54"/>
      <c r="AD2255" s="54"/>
      <c r="AE2255" s="54"/>
    </row>
    <row r="2256">
      <c r="A2256" s="80"/>
      <c r="B2256" s="80"/>
      <c r="C2256" s="80"/>
      <c r="D2256" s="59"/>
      <c r="E2256" s="59"/>
      <c r="F2256" s="83"/>
      <c r="G2256" s="76"/>
      <c r="H2256" s="76"/>
      <c r="I2256" s="76"/>
      <c r="J2256" s="93"/>
      <c r="K2256" s="93"/>
      <c r="L2256" s="82"/>
      <c r="M2256" s="54"/>
      <c r="N2256" s="54"/>
      <c r="O2256" s="54"/>
      <c r="P2256" s="54"/>
      <c r="Q2256" s="54"/>
      <c r="R2256" s="54"/>
      <c r="S2256" s="54"/>
      <c r="T2256" s="54"/>
      <c r="U2256" s="54"/>
      <c r="V2256" s="54"/>
      <c r="W2256" s="54"/>
      <c r="X2256" s="54"/>
      <c r="Y2256" s="54"/>
      <c r="Z2256" s="54"/>
      <c r="AA2256" s="54"/>
      <c r="AB2256" s="54"/>
      <c r="AC2256" s="54"/>
      <c r="AD2256" s="54"/>
      <c r="AE2256" s="54"/>
    </row>
    <row r="2257">
      <c r="A2257" s="80"/>
      <c r="B2257" s="80"/>
      <c r="C2257" s="80"/>
      <c r="D2257" s="59"/>
      <c r="E2257" s="59"/>
      <c r="F2257" s="83"/>
      <c r="G2257" s="76"/>
      <c r="H2257" s="76"/>
      <c r="I2257" s="76"/>
      <c r="J2257" s="93"/>
      <c r="K2257" s="93"/>
      <c r="L2257" s="82"/>
      <c r="M2257" s="54"/>
      <c r="N2257" s="54"/>
      <c r="O2257" s="54"/>
      <c r="P2257" s="54"/>
      <c r="Q2257" s="54"/>
      <c r="R2257" s="54"/>
      <c r="S2257" s="54"/>
      <c r="T2257" s="54"/>
      <c r="U2257" s="54"/>
      <c r="V2257" s="54"/>
      <c r="W2257" s="54"/>
      <c r="X2257" s="54"/>
      <c r="Y2257" s="54"/>
      <c r="Z2257" s="54"/>
      <c r="AA2257" s="54"/>
      <c r="AB2257" s="54"/>
      <c r="AC2257" s="54"/>
      <c r="AD2257" s="54"/>
      <c r="AE2257" s="54"/>
    </row>
    <row r="2258">
      <c r="A2258" s="80"/>
      <c r="B2258" s="80"/>
      <c r="C2258" s="80"/>
      <c r="D2258" s="59"/>
      <c r="E2258" s="59"/>
      <c r="F2258" s="83"/>
      <c r="G2258" s="76"/>
      <c r="H2258" s="76"/>
      <c r="I2258" s="76"/>
      <c r="J2258" s="93"/>
      <c r="K2258" s="93"/>
      <c r="L2258" s="82"/>
      <c r="M2258" s="54"/>
      <c r="N2258" s="54"/>
      <c r="O2258" s="54"/>
      <c r="P2258" s="54"/>
      <c r="Q2258" s="54"/>
      <c r="R2258" s="54"/>
      <c r="S2258" s="54"/>
      <c r="T2258" s="54"/>
      <c r="U2258" s="54"/>
      <c r="V2258" s="54"/>
      <c r="W2258" s="54"/>
      <c r="X2258" s="54"/>
      <c r="Y2258" s="54"/>
      <c r="Z2258" s="54"/>
      <c r="AA2258" s="54"/>
      <c r="AB2258" s="54"/>
      <c r="AC2258" s="54"/>
      <c r="AD2258" s="54"/>
      <c r="AE2258" s="54"/>
    </row>
    <row r="2259">
      <c r="A2259" s="80"/>
      <c r="B2259" s="80"/>
      <c r="C2259" s="80"/>
      <c r="D2259" s="59"/>
      <c r="E2259" s="59"/>
      <c r="F2259" s="83"/>
      <c r="G2259" s="76"/>
      <c r="H2259" s="76"/>
      <c r="I2259" s="76"/>
      <c r="J2259" s="93"/>
      <c r="K2259" s="93"/>
      <c r="L2259" s="82"/>
      <c r="M2259" s="54"/>
      <c r="N2259" s="54"/>
      <c r="O2259" s="54"/>
      <c r="P2259" s="54"/>
      <c r="Q2259" s="54"/>
      <c r="R2259" s="54"/>
      <c r="S2259" s="54"/>
      <c r="T2259" s="54"/>
      <c r="U2259" s="54"/>
      <c r="V2259" s="54"/>
      <c r="W2259" s="54"/>
      <c r="X2259" s="54"/>
      <c r="Y2259" s="54"/>
      <c r="Z2259" s="54"/>
      <c r="AA2259" s="54"/>
      <c r="AB2259" s="54"/>
      <c r="AC2259" s="54"/>
      <c r="AD2259" s="54"/>
      <c r="AE2259" s="54"/>
    </row>
    <row r="2260">
      <c r="A2260" s="80"/>
      <c r="B2260" s="80"/>
      <c r="C2260" s="80"/>
      <c r="D2260" s="59"/>
      <c r="E2260" s="59"/>
      <c r="F2260" s="83"/>
      <c r="G2260" s="76"/>
      <c r="H2260" s="76"/>
      <c r="I2260" s="76"/>
      <c r="J2260" s="93"/>
      <c r="K2260" s="93"/>
      <c r="L2260" s="82"/>
      <c r="M2260" s="54"/>
      <c r="N2260" s="54"/>
      <c r="O2260" s="54"/>
      <c r="P2260" s="54"/>
      <c r="Q2260" s="54"/>
      <c r="R2260" s="54"/>
      <c r="S2260" s="54"/>
      <c r="T2260" s="54"/>
      <c r="U2260" s="54"/>
      <c r="V2260" s="54"/>
      <c r="W2260" s="54"/>
      <c r="X2260" s="54"/>
      <c r="Y2260" s="54"/>
      <c r="Z2260" s="54"/>
      <c r="AA2260" s="54"/>
      <c r="AB2260" s="54"/>
      <c r="AC2260" s="54"/>
      <c r="AD2260" s="54"/>
      <c r="AE2260" s="54"/>
    </row>
    <row r="2261">
      <c r="A2261" s="80"/>
      <c r="B2261" s="80"/>
      <c r="C2261" s="80"/>
      <c r="D2261" s="59"/>
      <c r="E2261" s="59"/>
      <c r="F2261" s="83"/>
      <c r="G2261" s="76"/>
      <c r="H2261" s="76"/>
      <c r="I2261" s="76"/>
      <c r="J2261" s="93"/>
      <c r="K2261" s="93"/>
      <c r="L2261" s="82"/>
      <c r="M2261" s="54"/>
      <c r="N2261" s="54"/>
      <c r="O2261" s="54"/>
      <c r="P2261" s="54"/>
      <c r="Q2261" s="54"/>
      <c r="R2261" s="54"/>
      <c r="S2261" s="54"/>
      <c r="T2261" s="54"/>
      <c r="U2261" s="54"/>
      <c r="V2261" s="54"/>
      <c r="W2261" s="54"/>
      <c r="X2261" s="54"/>
      <c r="Y2261" s="54"/>
      <c r="Z2261" s="54"/>
      <c r="AA2261" s="54"/>
      <c r="AB2261" s="54"/>
      <c r="AC2261" s="54"/>
      <c r="AD2261" s="54"/>
      <c r="AE2261" s="54"/>
    </row>
    <row r="2262">
      <c r="A2262" s="80"/>
      <c r="B2262" s="80"/>
      <c r="C2262" s="80"/>
      <c r="D2262" s="59"/>
      <c r="E2262" s="59"/>
      <c r="F2262" s="83"/>
      <c r="G2262" s="76"/>
      <c r="H2262" s="76"/>
      <c r="I2262" s="76"/>
      <c r="J2262" s="93"/>
      <c r="K2262" s="93"/>
      <c r="L2262" s="82"/>
      <c r="M2262" s="54"/>
      <c r="N2262" s="54"/>
      <c r="O2262" s="54"/>
      <c r="P2262" s="54"/>
      <c r="Q2262" s="54"/>
      <c r="R2262" s="54"/>
      <c r="S2262" s="54"/>
      <c r="T2262" s="54"/>
      <c r="U2262" s="54"/>
      <c r="V2262" s="54"/>
      <c r="W2262" s="54"/>
      <c r="X2262" s="54"/>
      <c r="Y2262" s="54"/>
      <c r="Z2262" s="54"/>
      <c r="AA2262" s="54"/>
      <c r="AB2262" s="54"/>
      <c r="AC2262" s="54"/>
      <c r="AD2262" s="54"/>
      <c r="AE2262" s="54"/>
    </row>
    <row r="2263">
      <c r="A2263" s="80"/>
      <c r="B2263" s="80"/>
      <c r="C2263" s="80"/>
      <c r="D2263" s="59"/>
      <c r="E2263" s="59"/>
      <c r="F2263" s="83"/>
      <c r="G2263" s="76"/>
      <c r="H2263" s="76"/>
      <c r="I2263" s="76"/>
      <c r="J2263" s="93"/>
      <c r="K2263" s="93"/>
      <c r="L2263" s="82"/>
      <c r="M2263" s="54"/>
      <c r="N2263" s="54"/>
      <c r="O2263" s="54"/>
      <c r="P2263" s="54"/>
      <c r="Q2263" s="54"/>
      <c r="R2263" s="54"/>
      <c r="S2263" s="54"/>
      <c r="T2263" s="54"/>
      <c r="U2263" s="54"/>
      <c r="V2263" s="54"/>
      <c r="W2263" s="54"/>
      <c r="X2263" s="54"/>
      <c r="Y2263" s="54"/>
      <c r="Z2263" s="54"/>
      <c r="AA2263" s="54"/>
      <c r="AB2263" s="54"/>
      <c r="AC2263" s="54"/>
      <c r="AD2263" s="54"/>
      <c r="AE2263" s="54"/>
    </row>
    <row r="2264">
      <c r="A2264" s="80"/>
      <c r="B2264" s="80"/>
      <c r="C2264" s="80"/>
      <c r="D2264" s="59"/>
      <c r="E2264" s="59"/>
      <c r="F2264" s="83"/>
      <c r="G2264" s="76"/>
      <c r="H2264" s="76"/>
      <c r="I2264" s="76"/>
      <c r="J2264" s="93"/>
      <c r="K2264" s="93"/>
      <c r="L2264" s="82"/>
      <c r="M2264" s="54"/>
      <c r="N2264" s="54"/>
      <c r="O2264" s="54"/>
      <c r="P2264" s="54"/>
      <c r="Q2264" s="54"/>
      <c r="R2264" s="54"/>
      <c r="S2264" s="54"/>
      <c r="T2264" s="54"/>
      <c r="U2264" s="54"/>
      <c r="V2264" s="54"/>
      <c r="W2264" s="54"/>
      <c r="X2264" s="54"/>
      <c r="Y2264" s="54"/>
      <c r="Z2264" s="54"/>
      <c r="AA2264" s="54"/>
      <c r="AB2264" s="54"/>
      <c r="AC2264" s="54"/>
      <c r="AD2264" s="54"/>
      <c r="AE2264" s="54"/>
    </row>
    <row r="2265">
      <c r="A2265" s="80"/>
      <c r="B2265" s="80"/>
      <c r="C2265" s="80"/>
      <c r="D2265" s="59"/>
      <c r="E2265" s="59"/>
      <c r="F2265" s="83"/>
      <c r="G2265" s="76"/>
      <c r="H2265" s="76"/>
      <c r="I2265" s="76"/>
      <c r="J2265" s="93"/>
      <c r="K2265" s="93"/>
      <c r="L2265" s="82"/>
      <c r="M2265" s="54"/>
      <c r="N2265" s="54"/>
      <c r="O2265" s="54"/>
      <c r="P2265" s="54"/>
      <c r="Q2265" s="54"/>
      <c r="R2265" s="54"/>
      <c r="S2265" s="54"/>
      <c r="T2265" s="54"/>
      <c r="U2265" s="54"/>
      <c r="V2265" s="54"/>
      <c r="W2265" s="54"/>
      <c r="X2265" s="54"/>
      <c r="Y2265" s="54"/>
      <c r="Z2265" s="54"/>
      <c r="AA2265" s="54"/>
      <c r="AB2265" s="54"/>
      <c r="AC2265" s="54"/>
      <c r="AD2265" s="54"/>
      <c r="AE2265" s="54"/>
    </row>
    <row r="2266">
      <c r="A2266" s="80"/>
      <c r="B2266" s="80"/>
      <c r="C2266" s="80"/>
      <c r="D2266" s="59"/>
      <c r="E2266" s="59"/>
      <c r="F2266" s="83"/>
      <c r="G2266" s="76"/>
      <c r="H2266" s="76"/>
      <c r="I2266" s="76"/>
      <c r="J2266" s="93"/>
      <c r="K2266" s="93"/>
      <c r="L2266" s="82"/>
      <c r="M2266" s="54"/>
      <c r="N2266" s="54"/>
      <c r="O2266" s="54"/>
      <c r="P2266" s="54"/>
      <c r="Q2266" s="54"/>
      <c r="R2266" s="54"/>
      <c r="S2266" s="54"/>
      <c r="T2266" s="54"/>
      <c r="U2266" s="54"/>
      <c r="V2266" s="54"/>
      <c r="W2266" s="54"/>
      <c r="X2266" s="54"/>
      <c r="Y2266" s="54"/>
      <c r="Z2266" s="54"/>
      <c r="AA2266" s="54"/>
      <c r="AB2266" s="54"/>
      <c r="AC2266" s="54"/>
      <c r="AD2266" s="54"/>
      <c r="AE2266" s="54"/>
    </row>
    <row r="2267">
      <c r="A2267" s="80"/>
      <c r="B2267" s="80"/>
      <c r="C2267" s="80"/>
      <c r="D2267" s="59"/>
      <c r="E2267" s="59"/>
      <c r="F2267" s="83"/>
      <c r="G2267" s="76"/>
      <c r="H2267" s="76"/>
      <c r="I2267" s="76"/>
      <c r="J2267" s="93"/>
      <c r="K2267" s="93"/>
      <c r="L2267" s="82"/>
      <c r="M2267" s="54"/>
      <c r="N2267" s="54"/>
      <c r="O2267" s="54"/>
      <c r="P2267" s="54"/>
      <c r="Q2267" s="54"/>
      <c r="R2267" s="54"/>
      <c r="S2267" s="54"/>
      <c r="T2267" s="54"/>
      <c r="U2267" s="54"/>
      <c r="V2267" s="54"/>
      <c r="W2267" s="54"/>
      <c r="X2267" s="54"/>
      <c r="Y2267" s="54"/>
      <c r="Z2267" s="54"/>
      <c r="AA2267" s="54"/>
      <c r="AB2267" s="54"/>
      <c r="AC2267" s="54"/>
      <c r="AD2267" s="54"/>
      <c r="AE2267" s="54"/>
    </row>
    <row r="2268">
      <c r="A2268" s="80"/>
      <c r="B2268" s="80"/>
      <c r="C2268" s="80"/>
      <c r="D2268" s="59"/>
      <c r="E2268" s="59"/>
      <c r="F2268" s="83"/>
      <c r="G2268" s="76"/>
      <c r="H2268" s="76"/>
      <c r="I2268" s="76"/>
      <c r="J2268" s="93"/>
      <c r="K2268" s="93"/>
      <c r="L2268" s="82"/>
      <c r="M2268" s="54"/>
      <c r="N2268" s="54"/>
      <c r="O2268" s="54"/>
      <c r="P2268" s="54"/>
      <c r="Q2268" s="54"/>
      <c r="R2268" s="54"/>
      <c r="S2268" s="54"/>
      <c r="T2268" s="54"/>
      <c r="U2268" s="54"/>
      <c r="V2268" s="54"/>
      <c r="W2268" s="54"/>
      <c r="X2268" s="54"/>
      <c r="Y2268" s="54"/>
      <c r="Z2268" s="54"/>
      <c r="AA2268" s="54"/>
      <c r="AB2268" s="54"/>
      <c r="AC2268" s="54"/>
      <c r="AD2268" s="54"/>
      <c r="AE2268" s="54"/>
    </row>
    <row r="2269">
      <c r="A2269" s="80"/>
      <c r="B2269" s="80"/>
      <c r="C2269" s="80"/>
      <c r="D2269" s="59"/>
      <c r="E2269" s="59"/>
      <c r="F2269" s="83"/>
      <c r="G2269" s="76"/>
      <c r="H2269" s="76"/>
      <c r="I2269" s="76"/>
      <c r="J2269" s="93"/>
      <c r="K2269" s="93"/>
      <c r="L2269" s="82"/>
      <c r="M2269" s="54"/>
      <c r="N2269" s="54"/>
      <c r="O2269" s="54"/>
      <c r="P2269" s="54"/>
      <c r="Q2269" s="54"/>
      <c r="R2269" s="54"/>
      <c r="S2269" s="54"/>
      <c r="T2269" s="54"/>
      <c r="U2269" s="54"/>
      <c r="V2269" s="54"/>
      <c r="W2269" s="54"/>
      <c r="X2269" s="54"/>
      <c r="Y2269" s="54"/>
      <c r="Z2269" s="54"/>
      <c r="AA2269" s="54"/>
      <c r="AB2269" s="54"/>
      <c r="AC2269" s="54"/>
      <c r="AD2269" s="54"/>
      <c r="AE2269" s="54"/>
    </row>
    <row r="2270">
      <c r="A2270" s="80"/>
      <c r="B2270" s="80"/>
      <c r="C2270" s="80"/>
      <c r="D2270" s="59"/>
      <c r="E2270" s="59"/>
      <c r="F2270" s="83"/>
      <c r="G2270" s="76"/>
      <c r="H2270" s="76"/>
      <c r="I2270" s="76"/>
      <c r="J2270" s="93"/>
      <c r="K2270" s="93"/>
      <c r="L2270" s="82"/>
      <c r="M2270" s="54"/>
      <c r="N2270" s="54"/>
      <c r="O2270" s="54"/>
      <c r="P2270" s="54"/>
      <c r="Q2270" s="54"/>
      <c r="R2270" s="54"/>
      <c r="S2270" s="54"/>
      <c r="T2270" s="54"/>
      <c r="U2270" s="54"/>
      <c r="V2270" s="54"/>
      <c r="W2270" s="54"/>
      <c r="X2270" s="54"/>
      <c r="Y2270" s="54"/>
      <c r="Z2270" s="54"/>
      <c r="AA2270" s="54"/>
      <c r="AB2270" s="54"/>
      <c r="AC2270" s="54"/>
      <c r="AD2270" s="54"/>
      <c r="AE2270" s="54"/>
    </row>
    <row r="2271">
      <c r="A2271" s="80"/>
      <c r="B2271" s="80"/>
      <c r="C2271" s="80"/>
      <c r="D2271" s="59"/>
      <c r="E2271" s="59"/>
      <c r="F2271" s="83"/>
      <c r="G2271" s="76"/>
      <c r="H2271" s="76"/>
      <c r="I2271" s="76"/>
      <c r="J2271" s="93"/>
      <c r="K2271" s="93"/>
      <c r="L2271" s="82"/>
      <c r="M2271" s="54"/>
      <c r="N2271" s="54"/>
      <c r="O2271" s="54"/>
      <c r="P2271" s="54"/>
      <c r="Q2271" s="54"/>
      <c r="R2271" s="54"/>
      <c r="S2271" s="54"/>
      <c r="T2271" s="54"/>
      <c r="U2271" s="54"/>
      <c r="V2271" s="54"/>
      <c r="W2271" s="54"/>
      <c r="X2271" s="54"/>
      <c r="Y2271" s="54"/>
      <c r="Z2271" s="54"/>
      <c r="AA2271" s="54"/>
      <c r="AB2271" s="54"/>
      <c r="AC2271" s="54"/>
      <c r="AD2271" s="54"/>
      <c r="AE2271" s="54"/>
    </row>
    <row r="2272">
      <c r="A2272" s="80"/>
      <c r="B2272" s="80"/>
      <c r="C2272" s="80"/>
      <c r="D2272" s="59"/>
      <c r="E2272" s="59"/>
      <c r="F2272" s="83"/>
      <c r="G2272" s="76"/>
      <c r="H2272" s="76"/>
      <c r="I2272" s="76"/>
      <c r="J2272" s="93"/>
      <c r="K2272" s="93"/>
      <c r="L2272" s="82"/>
      <c r="M2272" s="54"/>
      <c r="N2272" s="54"/>
      <c r="O2272" s="54"/>
      <c r="P2272" s="54"/>
      <c r="Q2272" s="54"/>
      <c r="R2272" s="54"/>
      <c r="S2272" s="54"/>
      <c r="T2272" s="54"/>
      <c r="U2272" s="54"/>
      <c r="V2272" s="54"/>
      <c r="W2272" s="54"/>
      <c r="X2272" s="54"/>
      <c r="Y2272" s="54"/>
      <c r="Z2272" s="54"/>
      <c r="AA2272" s="54"/>
      <c r="AB2272" s="54"/>
      <c r="AC2272" s="54"/>
      <c r="AD2272" s="54"/>
      <c r="AE2272" s="54"/>
    </row>
    <row r="2273">
      <c r="A2273" s="80"/>
      <c r="B2273" s="80"/>
      <c r="C2273" s="80"/>
      <c r="D2273" s="59"/>
      <c r="E2273" s="59"/>
      <c r="F2273" s="83"/>
      <c r="G2273" s="76"/>
      <c r="H2273" s="76"/>
      <c r="I2273" s="76"/>
      <c r="J2273" s="93"/>
      <c r="K2273" s="93"/>
      <c r="L2273" s="82"/>
      <c r="M2273" s="54"/>
      <c r="N2273" s="54"/>
      <c r="O2273" s="54"/>
      <c r="P2273" s="54"/>
      <c r="Q2273" s="54"/>
      <c r="R2273" s="54"/>
      <c r="S2273" s="54"/>
      <c r="T2273" s="54"/>
      <c r="U2273" s="54"/>
      <c r="V2273" s="54"/>
      <c r="W2273" s="54"/>
      <c r="X2273" s="54"/>
      <c r="Y2273" s="54"/>
      <c r="Z2273" s="54"/>
      <c r="AA2273" s="54"/>
      <c r="AB2273" s="54"/>
      <c r="AC2273" s="54"/>
      <c r="AD2273" s="54"/>
      <c r="AE2273" s="54"/>
    </row>
    <row r="2274">
      <c r="A2274" s="80"/>
      <c r="B2274" s="80"/>
      <c r="C2274" s="80"/>
      <c r="D2274" s="59"/>
      <c r="E2274" s="59"/>
      <c r="F2274" s="83"/>
      <c r="G2274" s="76"/>
      <c r="H2274" s="76"/>
      <c r="I2274" s="76"/>
      <c r="J2274" s="93"/>
      <c r="K2274" s="93"/>
      <c r="L2274" s="82"/>
      <c r="M2274" s="54"/>
      <c r="N2274" s="54"/>
      <c r="O2274" s="54"/>
      <c r="P2274" s="54"/>
      <c r="Q2274" s="54"/>
      <c r="R2274" s="54"/>
      <c r="S2274" s="54"/>
      <c r="T2274" s="54"/>
      <c r="U2274" s="54"/>
      <c r="V2274" s="54"/>
      <c r="W2274" s="54"/>
      <c r="X2274" s="54"/>
      <c r="Y2274" s="54"/>
      <c r="Z2274" s="54"/>
      <c r="AA2274" s="54"/>
      <c r="AB2274" s="54"/>
      <c r="AC2274" s="54"/>
      <c r="AD2274" s="54"/>
      <c r="AE2274" s="54"/>
    </row>
    <row r="2275">
      <c r="A2275" s="80"/>
      <c r="B2275" s="80"/>
      <c r="C2275" s="80"/>
      <c r="D2275" s="59"/>
      <c r="E2275" s="59"/>
      <c r="F2275" s="83"/>
      <c r="G2275" s="76"/>
      <c r="H2275" s="76"/>
      <c r="I2275" s="76"/>
      <c r="J2275" s="93"/>
      <c r="K2275" s="93"/>
      <c r="L2275" s="82"/>
      <c r="M2275" s="54"/>
      <c r="N2275" s="54"/>
      <c r="O2275" s="54"/>
      <c r="P2275" s="54"/>
      <c r="Q2275" s="54"/>
      <c r="R2275" s="54"/>
      <c r="S2275" s="54"/>
      <c r="T2275" s="54"/>
      <c r="U2275" s="54"/>
      <c r="V2275" s="54"/>
      <c r="W2275" s="54"/>
      <c r="X2275" s="54"/>
      <c r="Y2275" s="54"/>
      <c r="Z2275" s="54"/>
      <c r="AA2275" s="54"/>
      <c r="AB2275" s="54"/>
      <c r="AC2275" s="54"/>
      <c r="AD2275" s="54"/>
      <c r="AE2275" s="54"/>
    </row>
    <row r="2276">
      <c r="A2276" s="80"/>
      <c r="B2276" s="80"/>
      <c r="C2276" s="80"/>
      <c r="D2276" s="59"/>
      <c r="E2276" s="59"/>
      <c r="F2276" s="83"/>
      <c r="G2276" s="76"/>
      <c r="H2276" s="76"/>
      <c r="I2276" s="76"/>
      <c r="J2276" s="93"/>
      <c r="K2276" s="93"/>
      <c r="L2276" s="82"/>
      <c r="M2276" s="54"/>
      <c r="N2276" s="54"/>
      <c r="O2276" s="54"/>
      <c r="P2276" s="54"/>
      <c r="Q2276" s="54"/>
      <c r="R2276" s="54"/>
      <c r="S2276" s="54"/>
      <c r="T2276" s="54"/>
      <c r="U2276" s="54"/>
      <c r="V2276" s="54"/>
      <c r="W2276" s="54"/>
      <c r="X2276" s="54"/>
      <c r="Y2276" s="54"/>
      <c r="Z2276" s="54"/>
      <c r="AA2276" s="54"/>
      <c r="AB2276" s="54"/>
      <c r="AC2276" s="54"/>
      <c r="AD2276" s="54"/>
      <c r="AE2276" s="54"/>
    </row>
    <row r="2277">
      <c r="A2277" s="80"/>
      <c r="B2277" s="80"/>
      <c r="C2277" s="80"/>
      <c r="D2277" s="59"/>
      <c r="E2277" s="59"/>
      <c r="F2277" s="83"/>
      <c r="G2277" s="76"/>
      <c r="H2277" s="76"/>
      <c r="I2277" s="76"/>
      <c r="J2277" s="93"/>
      <c r="K2277" s="93"/>
      <c r="L2277" s="82"/>
      <c r="M2277" s="54"/>
      <c r="N2277" s="54"/>
      <c r="O2277" s="54"/>
      <c r="P2277" s="54"/>
      <c r="Q2277" s="54"/>
      <c r="R2277" s="54"/>
      <c r="S2277" s="54"/>
      <c r="T2277" s="54"/>
      <c r="U2277" s="54"/>
      <c r="V2277" s="54"/>
      <c r="W2277" s="54"/>
      <c r="X2277" s="54"/>
      <c r="Y2277" s="54"/>
      <c r="Z2277" s="54"/>
      <c r="AA2277" s="54"/>
      <c r="AB2277" s="54"/>
      <c r="AC2277" s="54"/>
      <c r="AD2277" s="54"/>
      <c r="AE2277" s="54"/>
    </row>
    <row r="2278">
      <c r="A2278" s="80"/>
      <c r="B2278" s="80"/>
      <c r="C2278" s="80"/>
      <c r="D2278" s="59"/>
      <c r="E2278" s="59"/>
      <c r="F2278" s="83"/>
      <c r="G2278" s="76"/>
      <c r="H2278" s="76"/>
      <c r="I2278" s="76"/>
      <c r="J2278" s="93"/>
      <c r="K2278" s="93"/>
      <c r="L2278" s="82"/>
      <c r="M2278" s="54"/>
      <c r="N2278" s="54"/>
      <c r="O2278" s="54"/>
      <c r="P2278" s="54"/>
      <c r="Q2278" s="54"/>
      <c r="R2278" s="54"/>
      <c r="S2278" s="54"/>
      <c r="T2278" s="54"/>
      <c r="U2278" s="54"/>
      <c r="V2278" s="54"/>
      <c r="W2278" s="54"/>
      <c r="X2278" s="54"/>
      <c r="Y2278" s="54"/>
      <c r="Z2278" s="54"/>
      <c r="AA2278" s="54"/>
      <c r="AB2278" s="54"/>
      <c r="AC2278" s="54"/>
      <c r="AD2278" s="54"/>
      <c r="AE2278" s="54"/>
    </row>
    <row r="2279">
      <c r="A2279" s="80"/>
      <c r="B2279" s="80"/>
      <c r="C2279" s="80"/>
      <c r="D2279" s="59"/>
      <c r="E2279" s="59"/>
      <c r="F2279" s="83"/>
      <c r="G2279" s="76"/>
      <c r="H2279" s="76"/>
      <c r="I2279" s="76"/>
      <c r="J2279" s="93"/>
      <c r="K2279" s="93"/>
      <c r="L2279" s="82"/>
      <c r="M2279" s="54"/>
      <c r="N2279" s="54"/>
      <c r="O2279" s="54"/>
      <c r="P2279" s="54"/>
      <c r="Q2279" s="54"/>
      <c r="R2279" s="54"/>
      <c r="S2279" s="54"/>
      <c r="T2279" s="54"/>
      <c r="U2279" s="54"/>
      <c r="V2279" s="54"/>
      <c r="W2279" s="54"/>
      <c r="X2279" s="54"/>
      <c r="Y2279" s="54"/>
      <c r="Z2279" s="54"/>
      <c r="AA2279" s="54"/>
      <c r="AB2279" s="54"/>
      <c r="AC2279" s="54"/>
      <c r="AD2279" s="54"/>
      <c r="AE2279" s="54"/>
    </row>
    <row r="2280">
      <c r="A2280" s="80"/>
      <c r="B2280" s="80"/>
      <c r="C2280" s="80"/>
      <c r="D2280" s="59"/>
      <c r="E2280" s="59"/>
      <c r="F2280" s="83"/>
      <c r="G2280" s="76"/>
      <c r="H2280" s="76"/>
      <c r="I2280" s="76"/>
      <c r="J2280" s="93"/>
      <c r="K2280" s="93"/>
      <c r="L2280" s="82"/>
      <c r="M2280" s="54"/>
      <c r="N2280" s="54"/>
      <c r="O2280" s="54"/>
      <c r="P2280" s="54"/>
      <c r="Q2280" s="54"/>
      <c r="R2280" s="54"/>
      <c r="S2280" s="54"/>
      <c r="T2280" s="54"/>
      <c r="U2280" s="54"/>
      <c r="V2280" s="54"/>
      <c r="W2280" s="54"/>
      <c r="X2280" s="54"/>
      <c r="Y2280" s="54"/>
      <c r="Z2280" s="54"/>
      <c r="AA2280" s="54"/>
      <c r="AB2280" s="54"/>
      <c r="AC2280" s="54"/>
      <c r="AD2280" s="54"/>
      <c r="AE2280" s="54"/>
    </row>
    <row r="2281">
      <c r="A2281" s="80"/>
      <c r="B2281" s="80"/>
      <c r="C2281" s="80"/>
      <c r="D2281" s="59"/>
      <c r="E2281" s="59"/>
      <c r="F2281" s="83"/>
      <c r="G2281" s="76"/>
      <c r="H2281" s="76"/>
      <c r="I2281" s="76"/>
      <c r="J2281" s="93"/>
      <c r="K2281" s="93"/>
      <c r="L2281" s="82"/>
      <c r="M2281" s="54"/>
      <c r="N2281" s="54"/>
      <c r="O2281" s="54"/>
      <c r="P2281" s="54"/>
      <c r="Q2281" s="54"/>
      <c r="R2281" s="54"/>
      <c r="S2281" s="54"/>
      <c r="T2281" s="54"/>
      <c r="U2281" s="54"/>
      <c r="V2281" s="54"/>
      <c r="W2281" s="54"/>
      <c r="X2281" s="54"/>
      <c r="Y2281" s="54"/>
      <c r="Z2281" s="54"/>
      <c r="AA2281" s="54"/>
      <c r="AB2281" s="54"/>
      <c r="AC2281" s="54"/>
      <c r="AD2281" s="54"/>
      <c r="AE2281" s="54"/>
    </row>
    <row r="2282">
      <c r="A2282" s="80"/>
      <c r="B2282" s="80"/>
      <c r="C2282" s="80"/>
      <c r="D2282" s="59"/>
      <c r="E2282" s="59"/>
      <c r="F2282" s="83"/>
      <c r="G2282" s="76"/>
      <c r="H2282" s="76"/>
      <c r="I2282" s="76"/>
      <c r="J2282" s="93"/>
      <c r="K2282" s="93"/>
      <c r="L2282" s="82"/>
      <c r="M2282" s="54"/>
      <c r="N2282" s="54"/>
      <c r="O2282" s="54"/>
      <c r="P2282" s="54"/>
      <c r="Q2282" s="54"/>
      <c r="R2282" s="54"/>
      <c r="S2282" s="54"/>
      <c r="T2282" s="54"/>
      <c r="U2282" s="54"/>
      <c r="V2282" s="54"/>
      <c r="W2282" s="54"/>
      <c r="X2282" s="54"/>
      <c r="Y2282" s="54"/>
      <c r="Z2282" s="54"/>
      <c r="AA2282" s="54"/>
      <c r="AB2282" s="54"/>
      <c r="AC2282" s="54"/>
      <c r="AD2282" s="54"/>
      <c r="AE2282" s="54"/>
    </row>
    <row r="2283">
      <c r="A2283" s="80"/>
      <c r="B2283" s="80"/>
      <c r="C2283" s="80"/>
      <c r="D2283" s="59"/>
      <c r="E2283" s="59"/>
      <c r="F2283" s="83"/>
      <c r="G2283" s="76"/>
      <c r="H2283" s="76"/>
      <c r="I2283" s="76"/>
      <c r="J2283" s="93"/>
      <c r="K2283" s="93"/>
      <c r="L2283" s="82"/>
      <c r="M2283" s="54"/>
      <c r="N2283" s="54"/>
      <c r="O2283" s="54"/>
      <c r="P2283" s="54"/>
      <c r="Q2283" s="54"/>
      <c r="R2283" s="54"/>
      <c r="S2283" s="54"/>
      <c r="T2283" s="54"/>
      <c r="U2283" s="54"/>
      <c r="V2283" s="54"/>
      <c r="W2283" s="54"/>
      <c r="X2283" s="54"/>
      <c r="Y2283" s="54"/>
      <c r="Z2283" s="54"/>
      <c r="AA2283" s="54"/>
      <c r="AB2283" s="54"/>
      <c r="AC2283" s="54"/>
      <c r="AD2283" s="54"/>
      <c r="AE2283" s="54"/>
    </row>
    <row r="2284">
      <c r="A2284" s="80"/>
      <c r="B2284" s="80"/>
      <c r="C2284" s="80"/>
      <c r="D2284" s="59"/>
      <c r="E2284" s="59"/>
      <c r="F2284" s="83"/>
      <c r="G2284" s="76"/>
      <c r="H2284" s="76"/>
      <c r="I2284" s="76"/>
      <c r="J2284" s="93"/>
      <c r="K2284" s="93"/>
      <c r="L2284" s="82"/>
      <c r="M2284" s="54"/>
      <c r="N2284" s="54"/>
      <c r="O2284" s="54"/>
      <c r="P2284" s="54"/>
      <c r="Q2284" s="54"/>
      <c r="R2284" s="54"/>
      <c r="S2284" s="54"/>
      <c r="T2284" s="54"/>
      <c r="U2284" s="54"/>
      <c r="V2284" s="54"/>
      <c r="W2284" s="54"/>
      <c r="X2284" s="54"/>
      <c r="Y2284" s="54"/>
      <c r="Z2284" s="54"/>
      <c r="AA2284" s="54"/>
      <c r="AB2284" s="54"/>
      <c r="AC2284" s="54"/>
      <c r="AD2284" s="54"/>
      <c r="AE2284" s="54"/>
    </row>
    <row r="2285">
      <c r="A2285" s="80"/>
      <c r="B2285" s="80"/>
      <c r="C2285" s="80"/>
      <c r="D2285" s="59"/>
      <c r="E2285" s="59"/>
      <c r="F2285" s="83"/>
      <c r="G2285" s="76"/>
      <c r="H2285" s="76"/>
      <c r="I2285" s="76"/>
      <c r="J2285" s="93"/>
      <c r="K2285" s="93"/>
      <c r="L2285" s="82"/>
      <c r="M2285" s="54"/>
      <c r="N2285" s="54"/>
      <c r="O2285" s="54"/>
      <c r="P2285" s="54"/>
      <c r="Q2285" s="54"/>
      <c r="R2285" s="54"/>
      <c r="S2285" s="54"/>
      <c r="T2285" s="54"/>
      <c r="U2285" s="54"/>
      <c r="V2285" s="54"/>
      <c r="W2285" s="54"/>
      <c r="X2285" s="54"/>
      <c r="Y2285" s="54"/>
      <c r="Z2285" s="54"/>
      <c r="AA2285" s="54"/>
      <c r="AB2285" s="54"/>
      <c r="AC2285" s="54"/>
      <c r="AD2285" s="54"/>
      <c r="AE2285" s="54"/>
    </row>
    <row r="2286">
      <c r="A2286" s="80"/>
      <c r="B2286" s="80"/>
      <c r="C2286" s="80"/>
      <c r="D2286" s="59"/>
      <c r="E2286" s="59"/>
      <c r="F2286" s="83"/>
      <c r="G2286" s="76"/>
      <c r="H2286" s="76"/>
      <c r="I2286" s="76"/>
      <c r="J2286" s="93"/>
      <c r="K2286" s="93"/>
      <c r="L2286" s="82"/>
      <c r="M2286" s="54"/>
      <c r="N2286" s="54"/>
      <c r="O2286" s="54"/>
      <c r="P2286" s="54"/>
      <c r="Q2286" s="54"/>
      <c r="R2286" s="54"/>
      <c r="S2286" s="54"/>
      <c r="T2286" s="54"/>
      <c r="U2286" s="54"/>
      <c r="V2286" s="54"/>
      <c r="W2286" s="54"/>
      <c r="X2286" s="54"/>
      <c r="Y2286" s="54"/>
      <c r="Z2286" s="54"/>
      <c r="AA2286" s="54"/>
      <c r="AB2286" s="54"/>
      <c r="AC2286" s="54"/>
      <c r="AD2286" s="54"/>
      <c r="AE2286" s="54"/>
    </row>
    <row r="2287">
      <c r="A2287" s="80"/>
      <c r="B2287" s="80"/>
      <c r="C2287" s="80"/>
      <c r="D2287" s="59"/>
      <c r="E2287" s="59"/>
      <c r="F2287" s="83"/>
      <c r="G2287" s="76"/>
      <c r="H2287" s="76"/>
      <c r="I2287" s="76"/>
      <c r="J2287" s="93"/>
      <c r="K2287" s="93"/>
      <c r="L2287" s="82"/>
      <c r="M2287" s="54"/>
      <c r="N2287" s="54"/>
      <c r="O2287" s="54"/>
      <c r="P2287" s="54"/>
      <c r="Q2287" s="54"/>
      <c r="R2287" s="54"/>
      <c r="S2287" s="54"/>
      <c r="T2287" s="54"/>
      <c r="U2287" s="54"/>
      <c r="V2287" s="54"/>
      <c r="W2287" s="54"/>
      <c r="X2287" s="54"/>
      <c r="Y2287" s="54"/>
      <c r="Z2287" s="54"/>
      <c r="AA2287" s="54"/>
      <c r="AB2287" s="54"/>
      <c r="AC2287" s="54"/>
      <c r="AD2287" s="54"/>
      <c r="AE2287" s="54"/>
    </row>
    <row r="2288">
      <c r="A2288" s="80"/>
      <c r="B2288" s="80"/>
      <c r="C2288" s="80"/>
      <c r="D2288" s="59"/>
      <c r="E2288" s="59"/>
      <c r="F2288" s="83"/>
      <c r="G2288" s="76"/>
      <c r="H2288" s="76"/>
      <c r="I2288" s="76"/>
      <c r="J2288" s="93"/>
      <c r="K2288" s="93"/>
      <c r="L2288" s="82"/>
      <c r="M2288" s="54"/>
      <c r="N2288" s="54"/>
      <c r="O2288" s="54"/>
      <c r="P2288" s="54"/>
      <c r="Q2288" s="54"/>
      <c r="R2288" s="54"/>
      <c r="S2288" s="54"/>
      <c r="T2288" s="54"/>
      <c r="U2288" s="54"/>
      <c r="V2288" s="54"/>
      <c r="W2288" s="54"/>
      <c r="X2288" s="54"/>
      <c r="Y2288" s="54"/>
      <c r="Z2288" s="54"/>
      <c r="AA2288" s="54"/>
      <c r="AB2288" s="54"/>
      <c r="AC2288" s="54"/>
      <c r="AD2288" s="54"/>
      <c r="AE2288" s="54"/>
    </row>
    <row r="2289">
      <c r="A2289" s="80"/>
      <c r="B2289" s="80"/>
      <c r="C2289" s="80"/>
      <c r="D2289" s="59"/>
      <c r="E2289" s="59"/>
      <c r="F2289" s="83"/>
      <c r="G2289" s="76"/>
      <c r="H2289" s="76"/>
      <c r="I2289" s="76"/>
      <c r="J2289" s="93"/>
      <c r="K2289" s="93"/>
      <c r="L2289" s="82"/>
      <c r="M2289" s="54"/>
      <c r="N2289" s="54"/>
      <c r="O2289" s="54"/>
      <c r="P2289" s="54"/>
      <c r="Q2289" s="54"/>
      <c r="R2289" s="54"/>
      <c r="S2289" s="54"/>
      <c r="T2289" s="54"/>
      <c r="U2289" s="54"/>
      <c r="V2289" s="54"/>
      <c r="W2289" s="54"/>
      <c r="X2289" s="54"/>
      <c r="Y2289" s="54"/>
      <c r="Z2289" s="54"/>
      <c r="AA2289" s="54"/>
      <c r="AB2289" s="54"/>
      <c r="AC2289" s="54"/>
      <c r="AD2289" s="54"/>
      <c r="AE2289" s="54"/>
    </row>
    <row r="2290">
      <c r="A2290" s="80"/>
      <c r="B2290" s="80"/>
      <c r="C2290" s="80"/>
      <c r="D2290" s="59"/>
      <c r="E2290" s="59"/>
      <c r="F2290" s="83"/>
      <c r="G2290" s="76"/>
      <c r="H2290" s="76"/>
      <c r="I2290" s="76"/>
      <c r="J2290" s="93"/>
      <c r="K2290" s="93"/>
      <c r="L2290" s="82"/>
      <c r="M2290" s="54"/>
      <c r="N2290" s="54"/>
      <c r="O2290" s="54"/>
      <c r="P2290" s="54"/>
      <c r="Q2290" s="54"/>
      <c r="R2290" s="54"/>
      <c r="S2290" s="54"/>
      <c r="T2290" s="54"/>
      <c r="U2290" s="54"/>
      <c r="V2290" s="54"/>
      <c r="W2290" s="54"/>
      <c r="X2290" s="54"/>
      <c r="Y2290" s="54"/>
      <c r="Z2290" s="54"/>
      <c r="AA2290" s="54"/>
      <c r="AB2290" s="54"/>
      <c r="AC2290" s="54"/>
      <c r="AD2290" s="54"/>
      <c r="AE2290" s="54"/>
    </row>
    <row r="2291">
      <c r="A2291" s="80"/>
      <c r="B2291" s="80"/>
      <c r="C2291" s="80"/>
      <c r="D2291" s="59"/>
      <c r="E2291" s="59"/>
      <c r="F2291" s="83"/>
      <c r="G2291" s="76"/>
      <c r="H2291" s="76"/>
      <c r="I2291" s="76"/>
      <c r="J2291" s="93"/>
      <c r="K2291" s="93"/>
      <c r="L2291" s="82"/>
      <c r="M2291" s="54"/>
      <c r="N2291" s="54"/>
      <c r="O2291" s="54"/>
      <c r="P2291" s="54"/>
      <c r="Q2291" s="54"/>
      <c r="R2291" s="54"/>
      <c r="S2291" s="54"/>
      <c r="T2291" s="54"/>
      <c r="U2291" s="54"/>
      <c r="V2291" s="54"/>
      <c r="W2291" s="54"/>
      <c r="X2291" s="54"/>
      <c r="Y2291" s="54"/>
      <c r="Z2291" s="54"/>
      <c r="AA2291" s="54"/>
      <c r="AB2291" s="54"/>
      <c r="AC2291" s="54"/>
      <c r="AD2291" s="54"/>
      <c r="AE2291" s="54"/>
    </row>
    <row r="2292">
      <c r="A2292" s="80"/>
      <c r="B2292" s="80"/>
      <c r="C2292" s="80"/>
      <c r="D2292" s="59"/>
      <c r="E2292" s="59"/>
      <c r="F2292" s="83"/>
      <c r="G2292" s="76"/>
      <c r="H2292" s="76"/>
      <c r="I2292" s="76"/>
      <c r="J2292" s="93"/>
      <c r="K2292" s="93"/>
      <c r="L2292" s="82"/>
      <c r="M2292" s="54"/>
      <c r="N2292" s="54"/>
      <c r="O2292" s="54"/>
      <c r="P2292" s="54"/>
      <c r="Q2292" s="54"/>
      <c r="R2292" s="54"/>
      <c r="S2292" s="54"/>
      <c r="T2292" s="54"/>
      <c r="U2292" s="54"/>
      <c r="V2292" s="54"/>
      <c r="W2292" s="54"/>
      <c r="X2292" s="54"/>
      <c r="Y2292" s="54"/>
      <c r="Z2292" s="54"/>
      <c r="AA2292" s="54"/>
      <c r="AB2292" s="54"/>
      <c r="AC2292" s="54"/>
      <c r="AD2292" s="54"/>
      <c r="AE2292" s="54"/>
    </row>
    <row r="2293">
      <c r="A2293" s="80"/>
      <c r="B2293" s="80"/>
      <c r="C2293" s="80"/>
      <c r="D2293" s="59"/>
      <c r="E2293" s="59"/>
      <c r="F2293" s="83"/>
      <c r="G2293" s="76"/>
      <c r="H2293" s="76"/>
      <c r="I2293" s="76"/>
      <c r="J2293" s="93"/>
      <c r="K2293" s="93"/>
      <c r="L2293" s="82"/>
      <c r="M2293" s="54"/>
      <c r="N2293" s="54"/>
      <c r="O2293" s="54"/>
      <c r="P2293" s="54"/>
      <c r="Q2293" s="54"/>
      <c r="R2293" s="54"/>
      <c r="S2293" s="54"/>
      <c r="T2293" s="54"/>
      <c r="U2293" s="54"/>
      <c r="V2293" s="54"/>
      <c r="W2293" s="54"/>
      <c r="X2293" s="54"/>
      <c r="Y2293" s="54"/>
      <c r="Z2293" s="54"/>
      <c r="AA2293" s="54"/>
      <c r="AB2293" s="54"/>
      <c r="AC2293" s="54"/>
      <c r="AD2293" s="54"/>
      <c r="AE2293" s="54"/>
    </row>
    <row r="2294">
      <c r="A2294" s="80"/>
      <c r="B2294" s="80"/>
      <c r="C2294" s="80"/>
      <c r="D2294" s="59"/>
      <c r="E2294" s="59"/>
      <c r="F2294" s="83"/>
      <c r="G2294" s="76"/>
      <c r="H2294" s="76"/>
      <c r="I2294" s="76"/>
      <c r="J2294" s="93"/>
      <c r="K2294" s="93"/>
      <c r="L2294" s="82"/>
      <c r="M2294" s="54"/>
      <c r="N2294" s="54"/>
      <c r="O2294" s="54"/>
      <c r="P2294" s="54"/>
      <c r="Q2294" s="54"/>
      <c r="R2294" s="54"/>
      <c r="S2294" s="54"/>
      <c r="T2294" s="54"/>
      <c r="U2294" s="54"/>
      <c r="V2294" s="54"/>
      <c r="W2294" s="54"/>
      <c r="X2294" s="54"/>
      <c r="Y2294" s="54"/>
      <c r="Z2294" s="54"/>
      <c r="AA2294" s="54"/>
      <c r="AB2294" s="54"/>
      <c r="AC2294" s="54"/>
      <c r="AD2294" s="54"/>
      <c r="AE2294" s="54"/>
    </row>
    <row r="2295">
      <c r="A2295" s="80"/>
      <c r="B2295" s="80"/>
      <c r="C2295" s="80"/>
      <c r="D2295" s="59"/>
      <c r="E2295" s="59"/>
      <c r="F2295" s="83"/>
      <c r="G2295" s="76"/>
      <c r="H2295" s="76"/>
      <c r="I2295" s="76"/>
      <c r="J2295" s="93"/>
      <c r="K2295" s="93"/>
      <c r="L2295" s="82"/>
      <c r="M2295" s="54"/>
      <c r="N2295" s="54"/>
      <c r="O2295" s="54"/>
      <c r="P2295" s="54"/>
      <c r="Q2295" s="54"/>
      <c r="R2295" s="54"/>
      <c r="S2295" s="54"/>
      <c r="T2295" s="54"/>
      <c r="U2295" s="54"/>
      <c r="V2295" s="54"/>
      <c r="W2295" s="54"/>
      <c r="X2295" s="54"/>
      <c r="Y2295" s="54"/>
      <c r="Z2295" s="54"/>
      <c r="AA2295" s="54"/>
      <c r="AB2295" s="54"/>
      <c r="AC2295" s="54"/>
      <c r="AD2295" s="54"/>
      <c r="AE2295" s="54"/>
    </row>
    <row r="2296">
      <c r="A2296" s="80"/>
      <c r="B2296" s="80"/>
      <c r="C2296" s="80"/>
      <c r="D2296" s="59"/>
      <c r="E2296" s="59"/>
      <c r="F2296" s="83"/>
      <c r="G2296" s="76"/>
      <c r="H2296" s="76"/>
      <c r="I2296" s="76"/>
      <c r="J2296" s="93"/>
      <c r="K2296" s="93"/>
      <c r="L2296" s="82"/>
      <c r="M2296" s="54"/>
      <c r="N2296" s="54"/>
      <c r="O2296" s="54"/>
      <c r="P2296" s="54"/>
      <c r="Q2296" s="54"/>
      <c r="R2296" s="54"/>
      <c r="S2296" s="54"/>
      <c r="T2296" s="54"/>
      <c r="U2296" s="54"/>
      <c r="V2296" s="54"/>
      <c r="W2296" s="54"/>
      <c r="X2296" s="54"/>
      <c r="Y2296" s="54"/>
      <c r="Z2296" s="54"/>
      <c r="AA2296" s="54"/>
      <c r="AB2296" s="54"/>
      <c r="AC2296" s="54"/>
      <c r="AD2296" s="54"/>
      <c r="AE2296" s="54"/>
    </row>
    <row r="2297">
      <c r="A2297" s="80"/>
      <c r="B2297" s="80"/>
      <c r="C2297" s="80"/>
      <c r="D2297" s="59"/>
      <c r="E2297" s="59"/>
      <c r="F2297" s="83"/>
      <c r="G2297" s="76"/>
      <c r="H2297" s="76"/>
      <c r="I2297" s="76"/>
      <c r="J2297" s="93"/>
      <c r="K2297" s="93"/>
      <c r="L2297" s="82"/>
      <c r="M2297" s="54"/>
      <c r="N2297" s="54"/>
      <c r="O2297" s="54"/>
      <c r="P2297" s="54"/>
      <c r="Q2297" s="54"/>
      <c r="R2297" s="54"/>
      <c r="S2297" s="54"/>
      <c r="T2297" s="54"/>
      <c r="U2297" s="54"/>
      <c r="V2297" s="54"/>
      <c r="W2297" s="54"/>
      <c r="X2297" s="54"/>
      <c r="Y2297" s="54"/>
      <c r="Z2297" s="54"/>
      <c r="AA2297" s="54"/>
      <c r="AB2297" s="54"/>
      <c r="AC2297" s="54"/>
      <c r="AD2297" s="54"/>
      <c r="AE2297" s="54"/>
    </row>
    <row r="2298">
      <c r="A2298" s="80"/>
      <c r="B2298" s="80"/>
      <c r="C2298" s="80"/>
      <c r="D2298" s="59"/>
      <c r="E2298" s="59"/>
      <c r="F2298" s="83"/>
      <c r="G2298" s="76"/>
      <c r="H2298" s="76"/>
      <c r="I2298" s="76"/>
      <c r="J2298" s="93"/>
      <c r="K2298" s="93"/>
      <c r="L2298" s="82"/>
      <c r="M2298" s="54"/>
      <c r="N2298" s="54"/>
      <c r="O2298" s="54"/>
      <c r="P2298" s="54"/>
      <c r="Q2298" s="54"/>
      <c r="R2298" s="54"/>
      <c r="S2298" s="54"/>
      <c r="T2298" s="54"/>
      <c r="U2298" s="54"/>
      <c r="V2298" s="54"/>
      <c r="W2298" s="54"/>
      <c r="X2298" s="54"/>
      <c r="Y2298" s="54"/>
      <c r="Z2298" s="54"/>
      <c r="AA2298" s="54"/>
      <c r="AB2298" s="54"/>
      <c r="AC2298" s="54"/>
      <c r="AD2298" s="54"/>
      <c r="AE2298" s="54"/>
    </row>
    <row r="2299">
      <c r="A2299" s="80"/>
      <c r="B2299" s="80"/>
      <c r="C2299" s="80"/>
      <c r="D2299" s="59"/>
      <c r="E2299" s="59"/>
      <c r="F2299" s="83"/>
      <c r="G2299" s="76"/>
      <c r="H2299" s="76"/>
      <c r="I2299" s="76"/>
      <c r="J2299" s="93"/>
      <c r="K2299" s="93"/>
      <c r="L2299" s="82"/>
      <c r="M2299" s="54"/>
      <c r="N2299" s="54"/>
      <c r="O2299" s="54"/>
      <c r="P2299" s="54"/>
      <c r="Q2299" s="54"/>
      <c r="R2299" s="54"/>
      <c r="S2299" s="54"/>
      <c r="T2299" s="54"/>
      <c r="U2299" s="54"/>
      <c r="V2299" s="54"/>
      <c r="W2299" s="54"/>
      <c r="X2299" s="54"/>
      <c r="Y2299" s="54"/>
      <c r="Z2299" s="54"/>
      <c r="AA2299" s="54"/>
      <c r="AB2299" s="54"/>
      <c r="AC2299" s="54"/>
      <c r="AD2299" s="54"/>
      <c r="AE2299" s="54"/>
    </row>
    <row r="2300">
      <c r="A2300" s="80"/>
      <c r="B2300" s="80"/>
      <c r="C2300" s="80"/>
      <c r="D2300" s="59"/>
      <c r="E2300" s="59"/>
      <c r="F2300" s="83"/>
      <c r="G2300" s="76"/>
      <c r="H2300" s="76"/>
      <c r="I2300" s="76"/>
      <c r="J2300" s="93"/>
      <c r="K2300" s="93"/>
      <c r="L2300" s="82"/>
      <c r="M2300" s="54"/>
      <c r="N2300" s="54"/>
      <c r="O2300" s="54"/>
      <c r="P2300" s="54"/>
      <c r="Q2300" s="54"/>
      <c r="R2300" s="54"/>
      <c r="S2300" s="54"/>
      <c r="T2300" s="54"/>
      <c r="U2300" s="54"/>
      <c r="V2300" s="54"/>
      <c r="W2300" s="54"/>
      <c r="X2300" s="54"/>
      <c r="Y2300" s="54"/>
      <c r="Z2300" s="54"/>
      <c r="AA2300" s="54"/>
      <c r="AB2300" s="54"/>
      <c r="AC2300" s="54"/>
      <c r="AD2300" s="54"/>
      <c r="AE2300" s="54"/>
    </row>
    <row r="2301">
      <c r="A2301" s="80"/>
      <c r="B2301" s="80"/>
      <c r="C2301" s="80"/>
      <c r="D2301" s="59"/>
      <c r="E2301" s="59"/>
      <c r="F2301" s="83"/>
      <c r="G2301" s="76"/>
      <c r="H2301" s="76"/>
      <c r="I2301" s="76"/>
      <c r="J2301" s="93"/>
      <c r="K2301" s="93"/>
      <c r="L2301" s="82"/>
      <c r="M2301" s="54"/>
      <c r="N2301" s="54"/>
      <c r="O2301" s="54"/>
      <c r="P2301" s="54"/>
      <c r="Q2301" s="54"/>
      <c r="R2301" s="54"/>
      <c r="S2301" s="54"/>
      <c r="T2301" s="54"/>
      <c r="U2301" s="54"/>
      <c r="V2301" s="54"/>
      <c r="W2301" s="54"/>
      <c r="X2301" s="54"/>
      <c r="Y2301" s="54"/>
      <c r="Z2301" s="54"/>
      <c r="AA2301" s="54"/>
      <c r="AB2301" s="54"/>
      <c r="AC2301" s="54"/>
      <c r="AD2301" s="54"/>
      <c r="AE2301" s="54"/>
    </row>
    <row r="2302">
      <c r="A2302" s="80"/>
      <c r="B2302" s="80"/>
      <c r="C2302" s="80"/>
      <c r="D2302" s="59"/>
      <c r="E2302" s="59"/>
      <c r="F2302" s="83"/>
      <c r="G2302" s="76"/>
      <c r="H2302" s="76"/>
      <c r="I2302" s="76"/>
      <c r="J2302" s="93"/>
      <c r="K2302" s="93"/>
      <c r="L2302" s="82"/>
      <c r="M2302" s="54"/>
      <c r="N2302" s="54"/>
      <c r="O2302" s="54"/>
      <c r="P2302" s="54"/>
      <c r="Q2302" s="54"/>
      <c r="R2302" s="54"/>
      <c r="S2302" s="54"/>
      <c r="T2302" s="54"/>
      <c r="U2302" s="54"/>
      <c r="V2302" s="54"/>
      <c r="W2302" s="54"/>
      <c r="X2302" s="54"/>
      <c r="Y2302" s="54"/>
      <c r="Z2302" s="54"/>
      <c r="AA2302" s="54"/>
      <c r="AB2302" s="54"/>
      <c r="AC2302" s="54"/>
      <c r="AD2302" s="54"/>
      <c r="AE2302" s="54"/>
    </row>
    <row r="2303">
      <c r="A2303" s="80"/>
      <c r="B2303" s="80"/>
      <c r="C2303" s="80"/>
      <c r="D2303" s="59"/>
      <c r="E2303" s="59"/>
      <c r="F2303" s="83"/>
      <c r="G2303" s="76"/>
      <c r="H2303" s="76"/>
      <c r="I2303" s="76"/>
      <c r="J2303" s="93"/>
      <c r="K2303" s="93"/>
      <c r="L2303" s="82"/>
      <c r="M2303" s="54"/>
      <c r="N2303" s="54"/>
      <c r="O2303" s="54"/>
      <c r="P2303" s="54"/>
      <c r="Q2303" s="54"/>
      <c r="R2303" s="54"/>
      <c r="S2303" s="54"/>
      <c r="T2303" s="54"/>
      <c r="U2303" s="54"/>
      <c r="V2303" s="54"/>
      <c r="W2303" s="54"/>
      <c r="X2303" s="54"/>
      <c r="Y2303" s="54"/>
      <c r="Z2303" s="54"/>
      <c r="AA2303" s="54"/>
      <c r="AB2303" s="54"/>
      <c r="AC2303" s="54"/>
      <c r="AD2303" s="54"/>
      <c r="AE2303" s="54"/>
    </row>
    <row r="2304">
      <c r="A2304" s="80"/>
      <c r="B2304" s="80"/>
      <c r="C2304" s="80"/>
      <c r="D2304" s="59"/>
      <c r="E2304" s="59"/>
      <c r="F2304" s="83"/>
      <c r="G2304" s="76"/>
      <c r="H2304" s="76"/>
      <c r="I2304" s="76"/>
      <c r="J2304" s="93"/>
      <c r="K2304" s="93"/>
      <c r="L2304" s="82"/>
      <c r="M2304" s="54"/>
      <c r="N2304" s="54"/>
      <c r="O2304" s="54"/>
      <c r="P2304" s="54"/>
      <c r="Q2304" s="54"/>
      <c r="R2304" s="54"/>
      <c r="S2304" s="54"/>
      <c r="T2304" s="54"/>
      <c r="U2304" s="54"/>
      <c r="V2304" s="54"/>
      <c r="W2304" s="54"/>
      <c r="X2304" s="54"/>
      <c r="Y2304" s="54"/>
      <c r="Z2304" s="54"/>
      <c r="AA2304" s="54"/>
      <c r="AB2304" s="54"/>
      <c r="AC2304" s="54"/>
      <c r="AD2304" s="54"/>
      <c r="AE2304" s="54"/>
    </row>
    <row r="2305">
      <c r="A2305" s="80"/>
      <c r="B2305" s="80"/>
      <c r="C2305" s="80"/>
      <c r="D2305" s="59"/>
      <c r="E2305" s="59"/>
      <c r="F2305" s="83"/>
      <c r="G2305" s="76"/>
      <c r="H2305" s="76"/>
      <c r="I2305" s="76"/>
      <c r="J2305" s="93"/>
      <c r="K2305" s="93"/>
      <c r="L2305" s="82"/>
      <c r="M2305" s="54"/>
      <c r="N2305" s="54"/>
      <c r="O2305" s="54"/>
      <c r="P2305" s="54"/>
      <c r="Q2305" s="54"/>
      <c r="R2305" s="54"/>
      <c r="S2305" s="54"/>
      <c r="T2305" s="54"/>
      <c r="U2305" s="54"/>
      <c r="V2305" s="54"/>
      <c r="W2305" s="54"/>
      <c r="X2305" s="54"/>
      <c r="Y2305" s="54"/>
      <c r="Z2305" s="54"/>
      <c r="AA2305" s="54"/>
      <c r="AB2305" s="54"/>
      <c r="AC2305" s="54"/>
      <c r="AD2305" s="54"/>
      <c r="AE2305" s="54"/>
    </row>
    <row r="2306">
      <c r="A2306" s="80"/>
      <c r="B2306" s="80"/>
      <c r="C2306" s="80"/>
      <c r="D2306" s="59"/>
      <c r="E2306" s="59"/>
      <c r="F2306" s="83"/>
      <c r="G2306" s="76"/>
      <c r="H2306" s="76"/>
      <c r="I2306" s="76"/>
      <c r="J2306" s="93"/>
      <c r="K2306" s="93"/>
      <c r="L2306" s="82"/>
      <c r="M2306" s="54"/>
      <c r="N2306" s="54"/>
      <c r="O2306" s="54"/>
      <c r="P2306" s="54"/>
      <c r="Q2306" s="54"/>
      <c r="R2306" s="54"/>
      <c r="S2306" s="54"/>
      <c r="T2306" s="54"/>
      <c r="U2306" s="54"/>
      <c r="V2306" s="54"/>
      <c r="W2306" s="54"/>
      <c r="X2306" s="54"/>
      <c r="Y2306" s="54"/>
      <c r="Z2306" s="54"/>
      <c r="AA2306" s="54"/>
      <c r="AB2306" s="54"/>
      <c r="AC2306" s="54"/>
      <c r="AD2306" s="54"/>
      <c r="AE2306" s="54"/>
    </row>
    <row r="2307">
      <c r="A2307" s="80"/>
      <c r="B2307" s="80"/>
      <c r="C2307" s="80"/>
      <c r="D2307" s="59"/>
      <c r="E2307" s="59"/>
      <c r="F2307" s="83"/>
      <c r="G2307" s="76"/>
      <c r="H2307" s="76"/>
      <c r="I2307" s="76"/>
      <c r="J2307" s="93"/>
      <c r="K2307" s="93"/>
      <c r="L2307" s="82"/>
      <c r="M2307" s="54"/>
      <c r="N2307" s="54"/>
      <c r="O2307" s="54"/>
      <c r="P2307" s="54"/>
      <c r="Q2307" s="54"/>
      <c r="R2307" s="54"/>
      <c r="S2307" s="54"/>
      <c r="T2307" s="54"/>
      <c r="U2307" s="54"/>
      <c r="V2307" s="54"/>
      <c r="W2307" s="54"/>
      <c r="X2307" s="54"/>
      <c r="Y2307" s="54"/>
      <c r="Z2307" s="54"/>
      <c r="AA2307" s="54"/>
      <c r="AB2307" s="54"/>
      <c r="AC2307" s="54"/>
      <c r="AD2307" s="54"/>
      <c r="AE2307" s="54"/>
    </row>
    <row r="2308">
      <c r="A2308" s="80"/>
      <c r="B2308" s="80"/>
      <c r="C2308" s="80"/>
      <c r="D2308" s="59"/>
      <c r="E2308" s="59"/>
      <c r="F2308" s="83"/>
      <c r="G2308" s="76"/>
      <c r="H2308" s="76"/>
      <c r="I2308" s="76"/>
      <c r="J2308" s="93"/>
      <c r="K2308" s="93"/>
      <c r="L2308" s="82"/>
      <c r="M2308" s="54"/>
      <c r="N2308" s="54"/>
      <c r="O2308" s="54"/>
      <c r="P2308" s="54"/>
      <c r="Q2308" s="54"/>
      <c r="R2308" s="54"/>
      <c r="S2308" s="54"/>
      <c r="T2308" s="54"/>
      <c r="U2308" s="54"/>
      <c r="V2308" s="54"/>
      <c r="W2308" s="54"/>
      <c r="X2308" s="54"/>
      <c r="Y2308" s="54"/>
      <c r="Z2308" s="54"/>
      <c r="AA2308" s="54"/>
      <c r="AB2308" s="54"/>
      <c r="AC2308" s="54"/>
      <c r="AD2308" s="54"/>
      <c r="AE2308" s="54"/>
    </row>
    <row r="2309">
      <c r="A2309" s="80"/>
      <c r="B2309" s="80"/>
      <c r="C2309" s="80"/>
      <c r="D2309" s="59"/>
      <c r="E2309" s="59"/>
      <c r="F2309" s="83"/>
      <c r="G2309" s="76"/>
      <c r="H2309" s="76"/>
      <c r="I2309" s="76"/>
      <c r="J2309" s="93"/>
      <c r="K2309" s="93"/>
      <c r="L2309" s="82"/>
      <c r="M2309" s="54"/>
      <c r="N2309" s="54"/>
      <c r="O2309" s="54"/>
      <c r="P2309" s="54"/>
      <c r="Q2309" s="54"/>
      <c r="R2309" s="54"/>
      <c r="S2309" s="54"/>
      <c r="T2309" s="54"/>
      <c r="U2309" s="54"/>
      <c r="V2309" s="54"/>
      <c r="W2309" s="54"/>
      <c r="X2309" s="54"/>
      <c r="Y2309" s="54"/>
      <c r="Z2309" s="54"/>
      <c r="AA2309" s="54"/>
      <c r="AB2309" s="54"/>
      <c r="AC2309" s="54"/>
      <c r="AD2309" s="54"/>
      <c r="AE2309" s="54"/>
    </row>
    <row r="2310">
      <c r="A2310" s="80"/>
      <c r="B2310" s="80"/>
      <c r="C2310" s="80"/>
      <c r="D2310" s="59"/>
      <c r="E2310" s="59"/>
      <c r="F2310" s="83"/>
      <c r="G2310" s="76"/>
      <c r="H2310" s="76"/>
      <c r="I2310" s="76"/>
      <c r="J2310" s="93"/>
      <c r="K2310" s="93"/>
      <c r="L2310" s="82"/>
      <c r="M2310" s="54"/>
      <c r="N2310" s="54"/>
      <c r="O2310" s="54"/>
      <c r="P2310" s="54"/>
      <c r="Q2310" s="54"/>
      <c r="R2310" s="54"/>
      <c r="S2310" s="54"/>
      <c r="T2310" s="54"/>
      <c r="U2310" s="54"/>
      <c r="V2310" s="54"/>
      <c r="W2310" s="54"/>
      <c r="X2310" s="54"/>
      <c r="Y2310" s="54"/>
      <c r="Z2310" s="54"/>
      <c r="AA2310" s="54"/>
      <c r="AB2310" s="54"/>
      <c r="AC2310" s="54"/>
      <c r="AD2310" s="54"/>
      <c r="AE2310" s="54"/>
    </row>
    <row r="2311">
      <c r="A2311" s="80"/>
      <c r="B2311" s="80"/>
      <c r="C2311" s="80"/>
      <c r="D2311" s="59"/>
      <c r="E2311" s="59"/>
      <c r="F2311" s="83"/>
      <c r="G2311" s="76"/>
      <c r="H2311" s="76"/>
      <c r="I2311" s="76"/>
      <c r="J2311" s="93"/>
      <c r="K2311" s="93"/>
      <c r="L2311" s="82"/>
      <c r="M2311" s="54"/>
      <c r="N2311" s="54"/>
      <c r="O2311" s="54"/>
      <c r="P2311" s="54"/>
      <c r="Q2311" s="54"/>
      <c r="R2311" s="54"/>
      <c r="S2311" s="54"/>
      <c r="T2311" s="54"/>
      <c r="U2311" s="54"/>
      <c r="V2311" s="54"/>
      <c r="W2311" s="54"/>
      <c r="X2311" s="54"/>
      <c r="Y2311" s="54"/>
      <c r="Z2311" s="54"/>
      <c r="AA2311" s="54"/>
      <c r="AB2311" s="54"/>
      <c r="AC2311" s="54"/>
      <c r="AD2311" s="54"/>
      <c r="AE2311" s="54"/>
    </row>
    <row r="2312">
      <c r="A2312" s="80"/>
      <c r="B2312" s="80"/>
      <c r="C2312" s="80"/>
      <c r="D2312" s="59"/>
      <c r="E2312" s="59"/>
      <c r="F2312" s="83"/>
      <c r="G2312" s="76"/>
      <c r="H2312" s="76"/>
      <c r="I2312" s="76"/>
      <c r="J2312" s="93"/>
      <c r="K2312" s="93"/>
      <c r="L2312" s="82"/>
      <c r="M2312" s="54"/>
      <c r="N2312" s="54"/>
      <c r="O2312" s="54"/>
      <c r="P2312" s="54"/>
      <c r="Q2312" s="54"/>
      <c r="R2312" s="54"/>
      <c r="S2312" s="54"/>
      <c r="T2312" s="54"/>
      <c r="U2312" s="54"/>
      <c r="V2312" s="54"/>
      <c r="W2312" s="54"/>
      <c r="X2312" s="54"/>
      <c r="Y2312" s="54"/>
      <c r="Z2312" s="54"/>
      <c r="AA2312" s="54"/>
      <c r="AB2312" s="54"/>
      <c r="AC2312" s="54"/>
      <c r="AD2312" s="54"/>
      <c r="AE2312" s="54"/>
    </row>
    <row r="2313">
      <c r="A2313" s="80"/>
      <c r="B2313" s="80"/>
      <c r="C2313" s="80"/>
      <c r="D2313" s="59"/>
      <c r="E2313" s="59"/>
      <c r="F2313" s="83"/>
      <c r="G2313" s="76"/>
      <c r="H2313" s="76"/>
      <c r="I2313" s="76"/>
      <c r="J2313" s="93"/>
      <c r="K2313" s="93"/>
      <c r="L2313" s="82"/>
      <c r="M2313" s="54"/>
      <c r="N2313" s="54"/>
      <c r="O2313" s="54"/>
      <c r="P2313" s="54"/>
      <c r="Q2313" s="54"/>
      <c r="R2313" s="54"/>
      <c r="S2313" s="54"/>
      <c r="T2313" s="54"/>
      <c r="U2313" s="54"/>
      <c r="V2313" s="54"/>
      <c r="W2313" s="54"/>
      <c r="X2313" s="54"/>
      <c r="Y2313" s="54"/>
      <c r="Z2313" s="54"/>
      <c r="AA2313" s="54"/>
      <c r="AB2313" s="54"/>
      <c r="AC2313" s="54"/>
      <c r="AD2313" s="54"/>
      <c r="AE2313" s="54"/>
    </row>
    <row r="2314">
      <c r="A2314" s="80"/>
      <c r="B2314" s="80"/>
      <c r="C2314" s="80"/>
      <c r="D2314" s="59"/>
      <c r="E2314" s="59"/>
      <c r="F2314" s="83"/>
      <c r="G2314" s="76"/>
      <c r="H2314" s="76"/>
      <c r="I2314" s="76"/>
      <c r="J2314" s="93"/>
      <c r="K2314" s="93"/>
      <c r="L2314" s="82"/>
      <c r="M2314" s="54"/>
      <c r="N2314" s="54"/>
      <c r="O2314" s="54"/>
      <c r="P2314" s="54"/>
      <c r="Q2314" s="54"/>
      <c r="R2314" s="54"/>
      <c r="S2314" s="54"/>
      <c r="T2314" s="54"/>
      <c r="U2314" s="54"/>
      <c r="V2314" s="54"/>
      <c r="W2314" s="54"/>
      <c r="X2314" s="54"/>
      <c r="Y2314" s="54"/>
      <c r="Z2314" s="54"/>
      <c r="AA2314" s="54"/>
      <c r="AB2314" s="54"/>
      <c r="AC2314" s="54"/>
      <c r="AD2314" s="54"/>
      <c r="AE2314" s="54"/>
    </row>
    <row r="2315">
      <c r="A2315" s="80"/>
      <c r="B2315" s="80"/>
      <c r="C2315" s="80"/>
      <c r="D2315" s="59"/>
      <c r="E2315" s="59"/>
      <c r="F2315" s="83"/>
      <c r="G2315" s="76"/>
      <c r="H2315" s="76"/>
      <c r="I2315" s="76"/>
      <c r="J2315" s="93"/>
      <c r="K2315" s="93"/>
      <c r="L2315" s="82"/>
      <c r="M2315" s="54"/>
      <c r="N2315" s="54"/>
      <c r="O2315" s="54"/>
      <c r="P2315" s="54"/>
      <c r="Q2315" s="54"/>
      <c r="R2315" s="54"/>
      <c r="S2315" s="54"/>
      <c r="T2315" s="54"/>
      <c r="U2315" s="54"/>
      <c r="V2315" s="54"/>
      <c r="W2315" s="54"/>
      <c r="X2315" s="54"/>
      <c r="Y2315" s="54"/>
      <c r="Z2315" s="54"/>
      <c r="AA2315" s="54"/>
      <c r="AB2315" s="54"/>
      <c r="AC2315" s="54"/>
      <c r="AD2315" s="54"/>
      <c r="AE2315" s="54"/>
    </row>
    <row r="2316">
      <c r="A2316" s="80"/>
      <c r="B2316" s="80"/>
      <c r="C2316" s="80"/>
      <c r="D2316" s="59"/>
      <c r="E2316" s="59"/>
      <c r="F2316" s="83"/>
      <c r="G2316" s="76"/>
      <c r="H2316" s="76"/>
      <c r="I2316" s="76"/>
      <c r="J2316" s="93"/>
      <c r="K2316" s="93"/>
      <c r="L2316" s="82"/>
      <c r="M2316" s="54"/>
      <c r="N2316" s="54"/>
      <c r="O2316" s="54"/>
      <c r="P2316" s="54"/>
      <c r="Q2316" s="54"/>
      <c r="R2316" s="54"/>
      <c r="S2316" s="54"/>
      <c r="T2316" s="54"/>
      <c r="U2316" s="54"/>
      <c r="V2316" s="54"/>
      <c r="W2316" s="54"/>
      <c r="X2316" s="54"/>
      <c r="Y2316" s="54"/>
      <c r="Z2316" s="54"/>
      <c r="AA2316" s="54"/>
      <c r="AB2316" s="54"/>
      <c r="AC2316" s="54"/>
      <c r="AD2316" s="54"/>
      <c r="AE2316" s="54"/>
    </row>
    <row r="2317">
      <c r="A2317" s="80"/>
      <c r="B2317" s="80"/>
      <c r="C2317" s="80"/>
      <c r="D2317" s="59"/>
      <c r="E2317" s="59"/>
      <c r="F2317" s="83"/>
      <c r="G2317" s="76"/>
      <c r="H2317" s="76"/>
      <c r="I2317" s="76"/>
      <c r="J2317" s="93"/>
      <c r="K2317" s="93"/>
      <c r="L2317" s="82"/>
      <c r="M2317" s="54"/>
      <c r="N2317" s="54"/>
      <c r="O2317" s="54"/>
      <c r="P2317" s="54"/>
      <c r="Q2317" s="54"/>
      <c r="R2317" s="54"/>
      <c r="S2317" s="54"/>
      <c r="T2317" s="54"/>
      <c r="U2317" s="54"/>
      <c r="V2317" s="54"/>
      <c r="W2317" s="54"/>
      <c r="X2317" s="54"/>
      <c r="Y2317" s="54"/>
      <c r="Z2317" s="54"/>
      <c r="AA2317" s="54"/>
      <c r="AB2317" s="54"/>
      <c r="AC2317" s="54"/>
      <c r="AD2317" s="54"/>
      <c r="AE2317" s="54"/>
    </row>
    <row r="2318">
      <c r="A2318" s="80"/>
      <c r="B2318" s="80"/>
      <c r="C2318" s="80"/>
      <c r="D2318" s="59"/>
      <c r="E2318" s="59"/>
      <c r="F2318" s="83"/>
      <c r="G2318" s="76"/>
      <c r="H2318" s="76"/>
      <c r="I2318" s="76"/>
      <c r="J2318" s="93"/>
      <c r="K2318" s="93"/>
      <c r="L2318" s="82"/>
      <c r="M2318" s="54"/>
      <c r="N2318" s="54"/>
      <c r="O2318" s="54"/>
      <c r="P2318" s="54"/>
      <c r="Q2318" s="54"/>
      <c r="R2318" s="54"/>
      <c r="S2318" s="54"/>
      <c r="T2318" s="54"/>
      <c r="U2318" s="54"/>
      <c r="V2318" s="54"/>
      <c r="W2318" s="54"/>
      <c r="X2318" s="54"/>
      <c r="Y2318" s="54"/>
      <c r="Z2318" s="54"/>
      <c r="AA2318" s="54"/>
      <c r="AB2318" s="54"/>
      <c r="AC2318" s="54"/>
      <c r="AD2318" s="54"/>
      <c r="AE2318" s="54"/>
    </row>
    <row r="2319">
      <c r="A2319" s="80"/>
      <c r="B2319" s="80"/>
      <c r="C2319" s="80"/>
      <c r="D2319" s="59"/>
      <c r="E2319" s="59"/>
      <c r="F2319" s="83"/>
      <c r="G2319" s="76"/>
      <c r="H2319" s="76"/>
      <c r="I2319" s="76"/>
      <c r="J2319" s="93"/>
      <c r="K2319" s="93"/>
      <c r="L2319" s="82"/>
      <c r="M2319" s="54"/>
      <c r="N2319" s="54"/>
      <c r="O2319" s="54"/>
      <c r="P2319" s="54"/>
      <c r="Q2319" s="54"/>
      <c r="R2319" s="54"/>
      <c r="S2319" s="54"/>
      <c r="T2319" s="54"/>
      <c r="U2319" s="54"/>
      <c r="V2319" s="54"/>
      <c r="W2319" s="54"/>
      <c r="X2319" s="54"/>
      <c r="Y2319" s="54"/>
      <c r="Z2319" s="54"/>
      <c r="AA2319" s="54"/>
      <c r="AB2319" s="54"/>
      <c r="AC2319" s="54"/>
      <c r="AD2319" s="54"/>
      <c r="AE2319" s="54"/>
    </row>
    <row r="2320">
      <c r="A2320" s="80"/>
      <c r="B2320" s="80"/>
      <c r="C2320" s="80"/>
      <c r="D2320" s="59"/>
      <c r="E2320" s="59"/>
      <c r="F2320" s="83"/>
      <c r="G2320" s="76"/>
      <c r="H2320" s="76"/>
      <c r="I2320" s="76"/>
      <c r="J2320" s="93"/>
      <c r="K2320" s="93"/>
      <c r="L2320" s="82"/>
      <c r="M2320" s="54"/>
      <c r="N2320" s="54"/>
      <c r="O2320" s="54"/>
      <c r="P2320" s="54"/>
      <c r="Q2320" s="54"/>
      <c r="R2320" s="54"/>
      <c r="S2320" s="54"/>
      <c r="T2320" s="54"/>
      <c r="U2320" s="54"/>
      <c r="V2320" s="54"/>
      <c r="W2320" s="54"/>
      <c r="X2320" s="54"/>
      <c r="Y2320" s="54"/>
      <c r="Z2320" s="54"/>
      <c r="AA2320" s="54"/>
      <c r="AB2320" s="54"/>
      <c r="AC2320" s="54"/>
      <c r="AD2320" s="54"/>
      <c r="AE2320" s="54"/>
    </row>
    <row r="2321">
      <c r="A2321" s="80"/>
      <c r="B2321" s="80"/>
      <c r="C2321" s="80"/>
      <c r="D2321" s="59"/>
      <c r="E2321" s="59"/>
      <c r="F2321" s="83"/>
      <c r="G2321" s="76"/>
      <c r="H2321" s="76"/>
      <c r="I2321" s="76"/>
      <c r="J2321" s="93"/>
      <c r="K2321" s="93"/>
      <c r="L2321" s="82"/>
      <c r="M2321" s="54"/>
      <c r="N2321" s="54"/>
      <c r="O2321" s="54"/>
      <c r="P2321" s="54"/>
      <c r="Q2321" s="54"/>
      <c r="R2321" s="54"/>
      <c r="S2321" s="54"/>
      <c r="T2321" s="54"/>
      <c r="U2321" s="54"/>
      <c r="V2321" s="54"/>
      <c r="W2321" s="54"/>
      <c r="X2321" s="54"/>
      <c r="Y2321" s="54"/>
      <c r="Z2321" s="54"/>
      <c r="AA2321" s="54"/>
      <c r="AB2321" s="54"/>
      <c r="AC2321" s="54"/>
      <c r="AD2321" s="54"/>
      <c r="AE2321" s="54"/>
    </row>
    <row r="2322">
      <c r="A2322" s="80"/>
      <c r="B2322" s="80"/>
      <c r="C2322" s="80"/>
      <c r="D2322" s="59"/>
      <c r="E2322" s="59"/>
      <c r="F2322" s="83"/>
      <c r="G2322" s="76"/>
      <c r="H2322" s="76"/>
      <c r="I2322" s="76"/>
      <c r="J2322" s="93"/>
      <c r="K2322" s="93"/>
      <c r="L2322" s="82"/>
      <c r="M2322" s="54"/>
      <c r="N2322" s="54"/>
      <c r="O2322" s="54"/>
      <c r="P2322" s="54"/>
      <c r="Q2322" s="54"/>
      <c r="R2322" s="54"/>
      <c r="S2322" s="54"/>
      <c r="T2322" s="54"/>
      <c r="U2322" s="54"/>
      <c r="V2322" s="54"/>
      <c r="W2322" s="54"/>
      <c r="X2322" s="54"/>
      <c r="Y2322" s="54"/>
      <c r="Z2322" s="54"/>
      <c r="AA2322" s="54"/>
      <c r="AB2322" s="54"/>
      <c r="AC2322" s="54"/>
      <c r="AD2322" s="54"/>
      <c r="AE2322" s="54"/>
    </row>
    <row r="2323">
      <c r="A2323" s="80"/>
      <c r="B2323" s="80"/>
      <c r="C2323" s="80"/>
      <c r="D2323" s="59"/>
      <c r="E2323" s="59"/>
      <c r="F2323" s="83"/>
      <c r="G2323" s="76"/>
      <c r="H2323" s="76"/>
      <c r="I2323" s="76"/>
      <c r="J2323" s="93"/>
      <c r="K2323" s="93"/>
      <c r="L2323" s="82"/>
      <c r="M2323" s="54"/>
      <c r="N2323" s="54"/>
      <c r="O2323" s="54"/>
      <c r="P2323" s="54"/>
      <c r="Q2323" s="54"/>
      <c r="R2323" s="54"/>
      <c r="S2323" s="54"/>
      <c r="T2323" s="54"/>
      <c r="U2323" s="54"/>
      <c r="V2323" s="54"/>
      <c r="W2323" s="54"/>
      <c r="X2323" s="54"/>
      <c r="Y2323" s="54"/>
      <c r="Z2323" s="54"/>
      <c r="AA2323" s="54"/>
      <c r="AB2323" s="54"/>
      <c r="AC2323" s="54"/>
      <c r="AD2323" s="54"/>
      <c r="AE2323" s="54"/>
    </row>
    <row r="2324">
      <c r="A2324" s="80"/>
      <c r="B2324" s="80"/>
      <c r="C2324" s="80"/>
      <c r="D2324" s="59"/>
      <c r="E2324" s="59"/>
      <c r="F2324" s="83"/>
      <c r="G2324" s="76"/>
      <c r="H2324" s="76"/>
      <c r="I2324" s="76"/>
      <c r="J2324" s="93"/>
      <c r="K2324" s="93"/>
      <c r="L2324" s="82"/>
      <c r="M2324" s="54"/>
      <c r="N2324" s="54"/>
      <c r="O2324" s="54"/>
      <c r="P2324" s="54"/>
      <c r="Q2324" s="54"/>
      <c r="R2324" s="54"/>
      <c r="S2324" s="54"/>
      <c r="T2324" s="54"/>
      <c r="U2324" s="54"/>
      <c r="V2324" s="54"/>
      <c r="W2324" s="54"/>
      <c r="X2324" s="54"/>
      <c r="Y2324" s="54"/>
      <c r="Z2324" s="54"/>
      <c r="AA2324" s="54"/>
      <c r="AB2324" s="54"/>
      <c r="AC2324" s="54"/>
      <c r="AD2324" s="54"/>
      <c r="AE2324" s="54"/>
    </row>
    <row r="2325">
      <c r="A2325" s="80"/>
      <c r="B2325" s="80"/>
      <c r="C2325" s="80"/>
      <c r="D2325" s="59"/>
      <c r="E2325" s="59"/>
      <c r="F2325" s="83"/>
      <c r="G2325" s="76"/>
      <c r="H2325" s="76"/>
      <c r="I2325" s="76"/>
      <c r="J2325" s="93"/>
      <c r="K2325" s="93"/>
      <c r="L2325" s="82"/>
      <c r="M2325" s="54"/>
      <c r="N2325" s="54"/>
      <c r="O2325" s="54"/>
      <c r="P2325" s="54"/>
      <c r="Q2325" s="54"/>
      <c r="R2325" s="54"/>
      <c r="S2325" s="54"/>
      <c r="T2325" s="54"/>
      <c r="U2325" s="54"/>
      <c r="V2325" s="54"/>
      <c r="W2325" s="54"/>
      <c r="X2325" s="54"/>
      <c r="Y2325" s="54"/>
      <c r="Z2325" s="54"/>
      <c r="AA2325" s="54"/>
      <c r="AB2325" s="54"/>
      <c r="AC2325" s="54"/>
      <c r="AD2325" s="54"/>
      <c r="AE2325" s="54"/>
    </row>
    <row r="2326">
      <c r="A2326" s="80"/>
      <c r="B2326" s="80"/>
      <c r="C2326" s="80"/>
      <c r="D2326" s="59"/>
      <c r="E2326" s="59"/>
      <c r="F2326" s="83"/>
      <c r="G2326" s="76"/>
      <c r="H2326" s="76"/>
      <c r="I2326" s="76"/>
      <c r="J2326" s="93"/>
      <c r="K2326" s="93"/>
      <c r="L2326" s="82"/>
      <c r="M2326" s="54"/>
      <c r="N2326" s="54"/>
      <c r="O2326" s="54"/>
      <c r="P2326" s="54"/>
      <c r="Q2326" s="54"/>
      <c r="R2326" s="54"/>
      <c r="S2326" s="54"/>
      <c r="T2326" s="54"/>
      <c r="U2326" s="54"/>
      <c r="V2326" s="54"/>
      <c r="W2326" s="54"/>
      <c r="X2326" s="54"/>
      <c r="Y2326" s="54"/>
      <c r="Z2326" s="54"/>
      <c r="AA2326" s="54"/>
      <c r="AB2326" s="54"/>
      <c r="AC2326" s="54"/>
      <c r="AD2326" s="54"/>
      <c r="AE2326" s="54"/>
    </row>
    <row r="2327">
      <c r="A2327" s="80"/>
      <c r="B2327" s="80"/>
      <c r="C2327" s="80"/>
      <c r="D2327" s="59"/>
      <c r="E2327" s="59"/>
      <c r="F2327" s="83"/>
      <c r="G2327" s="76"/>
      <c r="H2327" s="76"/>
      <c r="I2327" s="76"/>
      <c r="J2327" s="93"/>
      <c r="K2327" s="93"/>
      <c r="L2327" s="82"/>
      <c r="M2327" s="54"/>
      <c r="N2327" s="54"/>
      <c r="O2327" s="54"/>
      <c r="P2327" s="54"/>
      <c r="Q2327" s="54"/>
      <c r="R2327" s="54"/>
      <c r="S2327" s="54"/>
      <c r="T2327" s="54"/>
      <c r="U2327" s="54"/>
      <c r="V2327" s="54"/>
      <c r="W2327" s="54"/>
      <c r="X2327" s="54"/>
      <c r="Y2327" s="54"/>
      <c r="Z2327" s="54"/>
      <c r="AA2327" s="54"/>
      <c r="AB2327" s="54"/>
      <c r="AC2327" s="54"/>
      <c r="AD2327" s="54"/>
      <c r="AE2327" s="54"/>
    </row>
    <row r="2328">
      <c r="A2328" s="80"/>
      <c r="B2328" s="80"/>
      <c r="C2328" s="80"/>
      <c r="D2328" s="59"/>
      <c r="E2328" s="59"/>
      <c r="F2328" s="83"/>
      <c r="G2328" s="76"/>
      <c r="H2328" s="76"/>
      <c r="I2328" s="76"/>
      <c r="J2328" s="93"/>
      <c r="K2328" s="93"/>
      <c r="L2328" s="82"/>
      <c r="M2328" s="54"/>
      <c r="N2328" s="54"/>
      <c r="O2328" s="54"/>
      <c r="P2328" s="54"/>
      <c r="Q2328" s="54"/>
      <c r="R2328" s="54"/>
      <c r="S2328" s="54"/>
      <c r="T2328" s="54"/>
      <c r="U2328" s="54"/>
      <c r="V2328" s="54"/>
      <c r="W2328" s="54"/>
      <c r="X2328" s="54"/>
      <c r="Y2328" s="54"/>
      <c r="Z2328" s="54"/>
      <c r="AA2328" s="54"/>
      <c r="AB2328" s="54"/>
      <c r="AC2328" s="54"/>
      <c r="AD2328" s="54"/>
      <c r="AE2328" s="54"/>
    </row>
    <row r="2329">
      <c r="A2329" s="80"/>
      <c r="B2329" s="80"/>
      <c r="C2329" s="80"/>
      <c r="D2329" s="59"/>
      <c r="E2329" s="59"/>
      <c r="F2329" s="83"/>
      <c r="G2329" s="76"/>
      <c r="H2329" s="76"/>
      <c r="I2329" s="76"/>
      <c r="J2329" s="93"/>
      <c r="K2329" s="93"/>
      <c r="L2329" s="82"/>
      <c r="M2329" s="54"/>
      <c r="N2329" s="54"/>
      <c r="O2329" s="54"/>
      <c r="P2329" s="54"/>
      <c r="Q2329" s="54"/>
      <c r="R2329" s="54"/>
      <c r="S2329" s="54"/>
      <c r="T2329" s="54"/>
      <c r="U2329" s="54"/>
      <c r="V2329" s="54"/>
      <c r="W2329" s="54"/>
      <c r="X2329" s="54"/>
      <c r="Y2329" s="54"/>
      <c r="Z2329" s="54"/>
      <c r="AA2329" s="54"/>
      <c r="AB2329" s="54"/>
      <c r="AC2329" s="54"/>
      <c r="AD2329" s="54"/>
      <c r="AE2329" s="54"/>
    </row>
    <row r="2330">
      <c r="A2330" s="80"/>
      <c r="B2330" s="80"/>
      <c r="C2330" s="80"/>
      <c r="D2330" s="59"/>
      <c r="E2330" s="59"/>
      <c r="F2330" s="83"/>
      <c r="G2330" s="76"/>
      <c r="H2330" s="76"/>
      <c r="I2330" s="76"/>
      <c r="J2330" s="93"/>
      <c r="K2330" s="93"/>
      <c r="L2330" s="82"/>
      <c r="M2330" s="54"/>
      <c r="N2330" s="54"/>
      <c r="O2330" s="54"/>
      <c r="P2330" s="54"/>
      <c r="Q2330" s="54"/>
      <c r="R2330" s="54"/>
      <c r="S2330" s="54"/>
      <c r="T2330" s="54"/>
      <c r="U2330" s="54"/>
      <c r="V2330" s="54"/>
      <c r="W2330" s="54"/>
      <c r="X2330" s="54"/>
      <c r="Y2330" s="54"/>
      <c r="Z2330" s="54"/>
      <c r="AA2330" s="54"/>
      <c r="AB2330" s="54"/>
      <c r="AC2330" s="54"/>
      <c r="AD2330" s="54"/>
      <c r="AE2330" s="54"/>
    </row>
    <row r="2331">
      <c r="A2331" s="80"/>
      <c r="B2331" s="80"/>
      <c r="C2331" s="80"/>
      <c r="D2331" s="59"/>
      <c r="E2331" s="59"/>
      <c r="F2331" s="83"/>
      <c r="G2331" s="76"/>
      <c r="H2331" s="76"/>
      <c r="I2331" s="76"/>
      <c r="J2331" s="93"/>
      <c r="K2331" s="93"/>
      <c r="L2331" s="82"/>
      <c r="M2331" s="54"/>
      <c r="N2331" s="54"/>
      <c r="O2331" s="54"/>
      <c r="P2331" s="54"/>
      <c r="Q2331" s="54"/>
      <c r="R2331" s="54"/>
      <c r="S2331" s="54"/>
      <c r="T2331" s="54"/>
      <c r="U2331" s="54"/>
      <c r="V2331" s="54"/>
      <c r="W2331" s="54"/>
      <c r="X2331" s="54"/>
      <c r="Y2331" s="54"/>
      <c r="Z2331" s="54"/>
      <c r="AA2331" s="54"/>
      <c r="AB2331" s="54"/>
      <c r="AC2331" s="54"/>
      <c r="AD2331" s="54"/>
      <c r="AE2331" s="54"/>
    </row>
    <row r="2332">
      <c r="A2332" s="80"/>
      <c r="B2332" s="80"/>
      <c r="C2332" s="80"/>
      <c r="D2332" s="59"/>
      <c r="E2332" s="59"/>
      <c r="F2332" s="83"/>
      <c r="G2332" s="76"/>
      <c r="H2332" s="76"/>
      <c r="I2332" s="76"/>
      <c r="J2332" s="93"/>
      <c r="K2332" s="93"/>
      <c r="L2332" s="82"/>
      <c r="M2332" s="54"/>
      <c r="N2332" s="54"/>
      <c r="O2332" s="54"/>
      <c r="P2332" s="54"/>
      <c r="Q2332" s="54"/>
      <c r="R2332" s="54"/>
      <c r="S2332" s="54"/>
      <c r="T2332" s="54"/>
      <c r="U2332" s="54"/>
      <c r="V2332" s="54"/>
      <c r="W2332" s="54"/>
      <c r="X2332" s="54"/>
      <c r="Y2332" s="54"/>
      <c r="Z2332" s="54"/>
      <c r="AA2332" s="54"/>
      <c r="AB2332" s="54"/>
      <c r="AC2332" s="54"/>
      <c r="AD2332" s="54"/>
      <c r="AE2332" s="54"/>
    </row>
    <row r="2333">
      <c r="A2333" s="80"/>
      <c r="B2333" s="80"/>
      <c r="C2333" s="80"/>
      <c r="D2333" s="59"/>
      <c r="E2333" s="59"/>
      <c r="F2333" s="83"/>
      <c r="G2333" s="76"/>
      <c r="H2333" s="76"/>
      <c r="I2333" s="76"/>
      <c r="J2333" s="93"/>
      <c r="K2333" s="93"/>
      <c r="L2333" s="82"/>
      <c r="M2333" s="54"/>
      <c r="N2333" s="54"/>
      <c r="O2333" s="54"/>
      <c r="P2333" s="54"/>
      <c r="Q2333" s="54"/>
      <c r="R2333" s="54"/>
      <c r="S2333" s="54"/>
      <c r="T2333" s="54"/>
      <c r="U2333" s="54"/>
      <c r="V2333" s="54"/>
      <c r="W2333" s="54"/>
      <c r="X2333" s="54"/>
      <c r="Y2333" s="54"/>
      <c r="Z2333" s="54"/>
      <c r="AA2333" s="54"/>
      <c r="AB2333" s="54"/>
      <c r="AC2333" s="54"/>
      <c r="AD2333" s="54"/>
      <c r="AE2333" s="54"/>
    </row>
    <row r="2334">
      <c r="A2334" s="80"/>
      <c r="B2334" s="80"/>
      <c r="C2334" s="80"/>
      <c r="D2334" s="59"/>
      <c r="E2334" s="59"/>
      <c r="F2334" s="83"/>
      <c r="G2334" s="76"/>
      <c r="H2334" s="76"/>
      <c r="I2334" s="76"/>
      <c r="J2334" s="93"/>
      <c r="K2334" s="93"/>
      <c r="L2334" s="82"/>
      <c r="M2334" s="54"/>
      <c r="N2334" s="54"/>
      <c r="O2334" s="54"/>
      <c r="P2334" s="54"/>
      <c r="Q2334" s="54"/>
      <c r="R2334" s="54"/>
      <c r="S2334" s="54"/>
      <c r="T2334" s="54"/>
      <c r="U2334" s="54"/>
      <c r="V2334" s="54"/>
      <c r="W2334" s="54"/>
      <c r="X2334" s="54"/>
      <c r="Y2334" s="54"/>
      <c r="Z2334" s="54"/>
      <c r="AA2334" s="54"/>
      <c r="AB2334" s="54"/>
      <c r="AC2334" s="54"/>
      <c r="AD2334" s="54"/>
      <c r="AE2334" s="54"/>
    </row>
    <row r="2335">
      <c r="A2335" s="80"/>
      <c r="B2335" s="80"/>
      <c r="C2335" s="80"/>
      <c r="D2335" s="59"/>
      <c r="E2335" s="59"/>
      <c r="F2335" s="83"/>
      <c r="G2335" s="76"/>
      <c r="H2335" s="76"/>
      <c r="I2335" s="76"/>
      <c r="J2335" s="93"/>
      <c r="K2335" s="93"/>
      <c r="L2335" s="82"/>
      <c r="M2335" s="54"/>
      <c r="N2335" s="54"/>
      <c r="O2335" s="54"/>
      <c r="P2335" s="54"/>
      <c r="Q2335" s="54"/>
      <c r="R2335" s="54"/>
      <c r="S2335" s="54"/>
      <c r="T2335" s="54"/>
      <c r="U2335" s="54"/>
      <c r="V2335" s="54"/>
      <c r="W2335" s="54"/>
      <c r="X2335" s="54"/>
      <c r="Y2335" s="54"/>
      <c r="Z2335" s="54"/>
      <c r="AA2335" s="54"/>
      <c r="AB2335" s="54"/>
      <c r="AC2335" s="54"/>
      <c r="AD2335" s="54"/>
      <c r="AE2335" s="54"/>
    </row>
    <row r="2336">
      <c r="A2336" s="80"/>
      <c r="B2336" s="80"/>
      <c r="C2336" s="80"/>
      <c r="D2336" s="59"/>
      <c r="E2336" s="59"/>
      <c r="F2336" s="83"/>
      <c r="G2336" s="76"/>
      <c r="H2336" s="76"/>
      <c r="I2336" s="76"/>
      <c r="J2336" s="93"/>
      <c r="K2336" s="93"/>
      <c r="L2336" s="82"/>
      <c r="M2336" s="54"/>
      <c r="N2336" s="54"/>
      <c r="O2336" s="54"/>
      <c r="P2336" s="54"/>
      <c r="Q2336" s="54"/>
      <c r="R2336" s="54"/>
      <c r="S2336" s="54"/>
      <c r="T2336" s="54"/>
      <c r="U2336" s="54"/>
      <c r="V2336" s="54"/>
      <c r="W2336" s="54"/>
      <c r="X2336" s="54"/>
      <c r="Y2336" s="54"/>
      <c r="Z2336" s="54"/>
      <c r="AA2336" s="54"/>
      <c r="AB2336" s="54"/>
      <c r="AC2336" s="54"/>
      <c r="AD2336" s="54"/>
      <c r="AE2336" s="54"/>
    </row>
    <row r="2337">
      <c r="A2337" s="80"/>
      <c r="B2337" s="80"/>
      <c r="C2337" s="80"/>
      <c r="D2337" s="59"/>
      <c r="E2337" s="59"/>
      <c r="F2337" s="83"/>
      <c r="G2337" s="76"/>
      <c r="H2337" s="76"/>
      <c r="I2337" s="76"/>
      <c r="J2337" s="93"/>
      <c r="K2337" s="93"/>
      <c r="L2337" s="82"/>
      <c r="M2337" s="54"/>
      <c r="N2337" s="54"/>
      <c r="O2337" s="54"/>
      <c r="P2337" s="54"/>
      <c r="Q2337" s="54"/>
      <c r="R2337" s="54"/>
      <c r="S2337" s="54"/>
      <c r="T2337" s="54"/>
      <c r="U2337" s="54"/>
      <c r="V2337" s="54"/>
      <c r="W2337" s="54"/>
      <c r="X2337" s="54"/>
      <c r="Y2337" s="54"/>
      <c r="Z2337" s="54"/>
      <c r="AA2337" s="54"/>
      <c r="AB2337" s="54"/>
      <c r="AC2337" s="54"/>
      <c r="AD2337" s="54"/>
      <c r="AE2337" s="54"/>
    </row>
    <row r="2338">
      <c r="A2338" s="80"/>
      <c r="B2338" s="80"/>
      <c r="C2338" s="80"/>
      <c r="D2338" s="59"/>
      <c r="E2338" s="59"/>
      <c r="F2338" s="83"/>
      <c r="G2338" s="76"/>
      <c r="H2338" s="76"/>
      <c r="I2338" s="76"/>
      <c r="J2338" s="93"/>
      <c r="K2338" s="93"/>
      <c r="L2338" s="82"/>
      <c r="M2338" s="54"/>
      <c r="N2338" s="54"/>
      <c r="O2338" s="54"/>
      <c r="P2338" s="54"/>
      <c r="Q2338" s="54"/>
      <c r="R2338" s="54"/>
      <c r="S2338" s="54"/>
      <c r="T2338" s="54"/>
      <c r="U2338" s="54"/>
      <c r="V2338" s="54"/>
      <c r="W2338" s="54"/>
      <c r="X2338" s="54"/>
      <c r="Y2338" s="54"/>
      <c r="Z2338" s="54"/>
      <c r="AA2338" s="54"/>
      <c r="AB2338" s="54"/>
      <c r="AC2338" s="54"/>
      <c r="AD2338" s="54"/>
      <c r="AE2338" s="54"/>
    </row>
    <row r="2339">
      <c r="A2339" s="80"/>
      <c r="B2339" s="80"/>
      <c r="C2339" s="80"/>
      <c r="D2339" s="59"/>
      <c r="E2339" s="59"/>
      <c r="F2339" s="83"/>
      <c r="G2339" s="76"/>
      <c r="H2339" s="76"/>
      <c r="I2339" s="76"/>
      <c r="J2339" s="93"/>
      <c r="K2339" s="93"/>
      <c r="L2339" s="82"/>
      <c r="M2339" s="54"/>
      <c r="N2339" s="54"/>
      <c r="O2339" s="54"/>
      <c r="P2339" s="54"/>
      <c r="Q2339" s="54"/>
      <c r="R2339" s="54"/>
      <c r="S2339" s="54"/>
      <c r="T2339" s="54"/>
      <c r="U2339" s="54"/>
      <c r="V2339" s="54"/>
      <c r="W2339" s="54"/>
      <c r="X2339" s="54"/>
      <c r="Y2339" s="54"/>
      <c r="Z2339" s="54"/>
      <c r="AA2339" s="54"/>
      <c r="AB2339" s="54"/>
      <c r="AC2339" s="54"/>
      <c r="AD2339" s="54"/>
      <c r="AE2339" s="54"/>
    </row>
    <row r="2340">
      <c r="A2340" s="80"/>
      <c r="B2340" s="80"/>
      <c r="C2340" s="80"/>
      <c r="D2340" s="59"/>
      <c r="E2340" s="59"/>
      <c r="F2340" s="83"/>
      <c r="G2340" s="76"/>
      <c r="H2340" s="76"/>
      <c r="I2340" s="76"/>
      <c r="J2340" s="93"/>
      <c r="K2340" s="93"/>
      <c r="L2340" s="82"/>
      <c r="M2340" s="54"/>
      <c r="N2340" s="54"/>
      <c r="O2340" s="54"/>
      <c r="P2340" s="54"/>
      <c r="Q2340" s="54"/>
      <c r="R2340" s="54"/>
      <c r="S2340" s="54"/>
      <c r="T2340" s="54"/>
      <c r="U2340" s="54"/>
      <c r="V2340" s="54"/>
      <c r="W2340" s="54"/>
      <c r="X2340" s="54"/>
      <c r="Y2340" s="54"/>
      <c r="Z2340" s="54"/>
      <c r="AA2340" s="54"/>
      <c r="AB2340" s="54"/>
      <c r="AC2340" s="54"/>
      <c r="AD2340" s="54"/>
      <c r="AE2340" s="54"/>
    </row>
    <row r="2341">
      <c r="A2341" s="80"/>
      <c r="B2341" s="80"/>
      <c r="C2341" s="80"/>
      <c r="D2341" s="59"/>
      <c r="E2341" s="59"/>
      <c r="F2341" s="83"/>
      <c r="G2341" s="76"/>
      <c r="H2341" s="76"/>
      <c r="I2341" s="76"/>
      <c r="J2341" s="93"/>
      <c r="K2341" s="93"/>
      <c r="L2341" s="82"/>
      <c r="M2341" s="54"/>
      <c r="N2341" s="54"/>
      <c r="O2341" s="54"/>
      <c r="P2341" s="54"/>
      <c r="Q2341" s="54"/>
      <c r="R2341" s="54"/>
      <c r="S2341" s="54"/>
      <c r="T2341" s="54"/>
      <c r="U2341" s="54"/>
      <c r="V2341" s="54"/>
      <c r="W2341" s="54"/>
      <c r="X2341" s="54"/>
      <c r="Y2341" s="54"/>
      <c r="Z2341" s="54"/>
      <c r="AA2341" s="54"/>
      <c r="AB2341" s="54"/>
      <c r="AC2341" s="54"/>
      <c r="AD2341" s="54"/>
      <c r="AE2341" s="54"/>
    </row>
    <row r="2342">
      <c r="A2342" s="80"/>
      <c r="B2342" s="80"/>
      <c r="C2342" s="80"/>
      <c r="D2342" s="59"/>
      <c r="E2342" s="59"/>
      <c r="F2342" s="83"/>
      <c r="G2342" s="76"/>
      <c r="H2342" s="76"/>
      <c r="I2342" s="76"/>
      <c r="J2342" s="93"/>
      <c r="K2342" s="93"/>
      <c r="L2342" s="82"/>
      <c r="M2342" s="54"/>
      <c r="N2342" s="54"/>
      <c r="O2342" s="54"/>
      <c r="P2342" s="54"/>
      <c r="Q2342" s="54"/>
      <c r="R2342" s="54"/>
      <c r="S2342" s="54"/>
      <c r="T2342" s="54"/>
      <c r="U2342" s="54"/>
      <c r="V2342" s="54"/>
      <c r="W2342" s="54"/>
      <c r="X2342" s="54"/>
      <c r="Y2342" s="54"/>
      <c r="Z2342" s="54"/>
      <c r="AA2342" s="54"/>
      <c r="AB2342" s="54"/>
      <c r="AC2342" s="54"/>
      <c r="AD2342" s="54"/>
      <c r="AE2342" s="54"/>
    </row>
    <row r="2343">
      <c r="A2343" s="80"/>
      <c r="B2343" s="80"/>
      <c r="C2343" s="80"/>
      <c r="D2343" s="59"/>
      <c r="E2343" s="59"/>
      <c r="F2343" s="83"/>
      <c r="G2343" s="76"/>
      <c r="H2343" s="76"/>
      <c r="I2343" s="76"/>
      <c r="J2343" s="93"/>
      <c r="K2343" s="93"/>
      <c r="L2343" s="82"/>
      <c r="M2343" s="54"/>
      <c r="N2343" s="54"/>
      <c r="O2343" s="54"/>
      <c r="P2343" s="54"/>
      <c r="Q2343" s="54"/>
      <c r="R2343" s="54"/>
      <c r="S2343" s="54"/>
      <c r="T2343" s="54"/>
      <c r="U2343" s="54"/>
      <c r="V2343" s="54"/>
      <c r="W2343" s="54"/>
      <c r="X2343" s="54"/>
      <c r="Y2343" s="54"/>
      <c r="Z2343" s="54"/>
      <c r="AA2343" s="54"/>
      <c r="AB2343" s="54"/>
      <c r="AC2343" s="54"/>
      <c r="AD2343" s="54"/>
      <c r="AE2343" s="54"/>
    </row>
    <row r="2344">
      <c r="A2344" s="80"/>
      <c r="B2344" s="80"/>
      <c r="C2344" s="80"/>
      <c r="D2344" s="59"/>
      <c r="E2344" s="59"/>
      <c r="F2344" s="83"/>
      <c r="G2344" s="76"/>
      <c r="H2344" s="76"/>
      <c r="I2344" s="76"/>
      <c r="J2344" s="93"/>
      <c r="K2344" s="93"/>
      <c r="L2344" s="82"/>
      <c r="M2344" s="54"/>
      <c r="N2344" s="54"/>
      <c r="O2344" s="54"/>
      <c r="P2344" s="54"/>
      <c r="Q2344" s="54"/>
      <c r="R2344" s="54"/>
      <c r="S2344" s="54"/>
      <c r="T2344" s="54"/>
      <c r="U2344" s="54"/>
      <c r="V2344" s="54"/>
      <c r="W2344" s="54"/>
      <c r="X2344" s="54"/>
      <c r="Y2344" s="54"/>
      <c r="Z2344" s="54"/>
      <c r="AA2344" s="54"/>
      <c r="AB2344" s="54"/>
      <c r="AC2344" s="54"/>
      <c r="AD2344" s="54"/>
      <c r="AE2344" s="54"/>
    </row>
    <row r="2345">
      <c r="A2345" s="80"/>
      <c r="B2345" s="80"/>
      <c r="C2345" s="80"/>
      <c r="D2345" s="59"/>
      <c r="E2345" s="59"/>
      <c r="F2345" s="83"/>
      <c r="G2345" s="76"/>
      <c r="H2345" s="76"/>
      <c r="I2345" s="76"/>
      <c r="J2345" s="93"/>
      <c r="K2345" s="93"/>
      <c r="L2345" s="82"/>
      <c r="M2345" s="54"/>
      <c r="N2345" s="54"/>
      <c r="O2345" s="54"/>
      <c r="P2345" s="54"/>
      <c r="Q2345" s="54"/>
      <c r="R2345" s="54"/>
      <c r="S2345" s="54"/>
      <c r="T2345" s="54"/>
      <c r="U2345" s="54"/>
      <c r="V2345" s="54"/>
      <c r="W2345" s="54"/>
      <c r="X2345" s="54"/>
      <c r="Y2345" s="54"/>
      <c r="Z2345" s="54"/>
      <c r="AA2345" s="54"/>
      <c r="AB2345" s="54"/>
      <c r="AC2345" s="54"/>
      <c r="AD2345" s="54"/>
      <c r="AE2345" s="54"/>
    </row>
    <row r="2346">
      <c r="A2346" s="80"/>
      <c r="B2346" s="80"/>
      <c r="C2346" s="80"/>
      <c r="D2346" s="59"/>
      <c r="E2346" s="59"/>
      <c r="F2346" s="83"/>
      <c r="G2346" s="76"/>
      <c r="H2346" s="76"/>
      <c r="I2346" s="76"/>
      <c r="J2346" s="93"/>
      <c r="K2346" s="93"/>
      <c r="L2346" s="82"/>
      <c r="M2346" s="54"/>
      <c r="N2346" s="54"/>
      <c r="O2346" s="54"/>
      <c r="P2346" s="54"/>
      <c r="Q2346" s="54"/>
      <c r="R2346" s="54"/>
      <c r="S2346" s="54"/>
      <c r="T2346" s="54"/>
      <c r="U2346" s="54"/>
      <c r="V2346" s="54"/>
      <c r="W2346" s="54"/>
      <c r="X2346" s="54"/>
      <c r="Y2346" s="54"/>
      <c r="Z2346" s="54"/>
      <c r="AA2346" s="54"/>
      <c r="AB2346" s="54"/>
      <c r="AC2346" s="54"/>
      <c r="AD2346" s="54"/>
      <c r="AE2346" s="54"/>
    </row>
    <row r="2347">
      <c r="A2347" s="80"/>
      <c r="B2347" s="80"/>
      <c r="C2347" s="80"/>
      <c r="D2347" s="59"/>
      <c r="E2347" s="59"/>
      <c r="F2347" s="83"/>
      <c r="G2347" s="76"/>
      <c r="H2347" s="76"/>
      <c r="I2347" s="76"/>
      <c r="J2347" s="93"/>
      <c r="K2347" s="93"/>
      <c r="L2347" s="82"/>
      <c r="M2347" s="54"/>
      <c r="N2347" s="54"/>
      <c r="O2347" s="54"/>
      <c r="P2347" s="54"/>
      <c r="Q2347" s="54"/>
      <c r="R2347" s="54"/>
      <c r="S2347" s="54"/>
      <c r="T2347" s="54"/>
      <c r="U2347" s="54"/>
      <c r="V2347" s="54"/>
      <c r="W2347" s="54"/>
      <c r="X2347" s="54"/>
      <c r="Y2347" s="54"/>
      <c r="Z2347" s="54"/>
      <c r="AA2347" s="54"/>
      <c r="AB2347" s="54"/>
      <c r="AC2347" s="54"/>
      <c r="AD2347" s="54"/>
      <c r="AE2347" s="54"/>
    </row>
    <row r="2348">
      <c r="A2348" s="80"/>
      <c r="B2348" s="80"/>
      <c r="C2348" s="80"/>
      <c r="D2348" s="59"/>
      <c r="E2348" s="59"/>
      <c r="F2348" s="83"/>
      <c r="G2348" s="76"/>
      <c r="H2348" s="76"/>
      <c r="I2348" s="76"/>
      <c r="J2348" s="93"/>
      <c r="K2348" s="93"/>
      <c r="L2348" s="82"/>
      <c r="M2348" s="54"/>
      <c r="N2348" s="54"/>
      <c r="O2348" s="54"/>
      <c r="P2348" s="54"/>
      <c r="Q2348" s="54"/>
      <c r="R2348" s="54"/>
      <c r="S2348" s="54"/>
      <c r="T2348" s="54"/>
      <c r="U2348" s="54"/>
      <c r="V2348" s="54"/>
      <c r="W2348" s="54"/>
      <c r="X2348" s="54"/>
      <c r="Y2348" s="54"/>
      <c r="Z2348" s="54"/>
      <c r="AA2348" s="54"/>
      <c r="AB2348" s="54"/>
      <c r="AC2348" s="54"/>
      <c r="AD2348" s="54"/>
      <c r="AE2348" s="54"/>
    </row>
    <row r="2349">
      <c r="A2349" s="80"/>
      <c r="B2349" s="80"/>
      <c r="C2349" s="80"/>
      <c r="D2349" s="59"/>
      <c r="E2349" s="59"/>
      <c r="F2349" s="83"/>
      <c r="G2349" s="76"/>
      <c r="H2349" s="76"/>
      <c r="I2349" s="76"/>
      <c r="J2349" s="93"/>
      <c r="K2349" s="93"/>
      <c r="L2349" s="82"/>
      <c r="M2349" s="54"/>
      <c r="N2349" s="54"/>
      <c r="O2349" s="54"/>
      <c r="P2349" s="54"/>
      <c r="Q2349" s="54"/>
      <c r="R2349" s="54"/>
      <c r="S2349" s="54"/>
      <c r="T2349" s="54"/>
      <c r="U2349" s="54"/>
      <c r="V2349" s="54"/>
      <c r="W2349" s="54"/>
      <c r="X2349" s="54"/>
      <c r="Y2349" s="54"/>
      <c r="Z2349" s="54"/>
      <c r="AA2349" s="54"/>
      <c r="AB2349" s="54"/>
      <c r="AC2349" s="54"/>
      <c r="AD2349" s="54"/>
      <c r="AE2349" s="54"/>
    </row>
    <row r="2350">
      <c r="A2350" s="80"/>
      <c r="B2350" s="80"/>
      <c r="C2350" s="80"/>
      <c r="D2350" s="59"/>
      <c r="E2350" s="59"/>
      <c r="F2350" s="83"/>
      <c r="G2350" s="76"/>
      <c r="H2350" s="76"/>
      <c r="I2350" s="76"/>
      <c r="J2350" s="93"/>
      <c r="K2350" s="93"/>
      <c r="L2350" s="82"/>
      <c r="M2350" s="54"/>
      <c r="N2350" s="54"/>
      <c r="O2350" s="54"/>
      <c r="P2350" s="54"/>
      <c r="Q2350" s="54"/>
      <c r="R2350" s="54"/>
      <c r="S2350" s="54"/>
      <c r="T2350" s="54"/>
      <c r="U2350" s="54"/>
      <c r="V2350" s="54"/>
      <c r="W2350" s="54"/>
      <c r="X2350" s="54"/>
      <c r="Y2350" s="54"/>
      <c r="Z2350" s="54"/>
      <c r="AA2350" s="54"/>
      <c r="AB2350" s="54"/>
      <c r="AC2350" s="54"/>
      <c r="AD2350" s="54"/>
      <c r="AE2350" s="54"/>
    </row>
    <row r="2351">
      <c r="A2351" s="80"/>
      <c r="B2351" s="80"/>
      <c r="C2351" s="80"/>
      <c r="D2351" s="59"/>
      <c r="E2351" s="59"/>
      <c r="F2351" s="83"/>
      <c r="G2351" s="76"/>
      <c r="H2351" s="76"/>
      <c r="I2351" s="76"/>
      <c r="J2351" s="93"/>
      <c r="K2351" s="93"/>
      <c r="L2351" s="82"/>
      <c r="M2351" s="54"/>
      <c r="N2351" s="54"/>
      <c r="O2351" s="54"/>
      <c r="P2351" s="54"/>
      <c r="Q2351" s="54"/>
      <c r="R2351" s="54"/>
      <c r="S2351" s="54"/>
      <c r="T2351" s="54"/>
      <c r="U2351" s="54"/>
      <c r="V2351" s="54"/>
      <c r="W2351" s="54"/>
      <c r="X2351" s="54"/>
      <c r="Y2351" s="54"/>
      <c r="Z2351" s="54"/>
      <c r="AA2351" s="54"/>
      <c r="AB2351" s="54"/>
      <c r="AC2351" s="54"/>
      <c r="AD2351" s="54"/>
      <c r="AE2351" s="54"/>
    </row>
    <row r="2352">
      <c r="A2352" s="80"/>
      <c r="B2352" s="80"/>
      <c r="C2352" s="80"/>
      <c r="D2352" s="59"/>
      <c r="E2352" s="59"/>
      <c r="F2352" s="83"/>
      <c r="G2352" s="76"/>
      <c r="H2352" s="76"/>
      <c r="I2352" s="76"/>
      <c r="J2352" s="93"/>
      <c r="K2352" s="93"/>
      <c r="L2352" s="82"/>
      <c r="M2352" s="54"/>
      <c r="N2352" s="54"/>
      <c r="O2352" s="54"/>
      <c r="P2352" s="54"/>
      <c r="Q2352" s="54"/>
      <c r="R2352" s="54"/>
      <c r="S2352" s="54"/>
      <c r="T2352" s="54"/>
      <c r="U2352" s="54"/>
      <c r="V2352" s="54"/>
      <c r="W2352" s="54"/>
      <c r="X2352" s="54"/>
      <c r="Y2352" s="54"/>
      <c r="Z2352" s="54"/>
      <c r="AA2352" s="54"/>
      <c r="AB2352" s="54"/>
      <c r="AC2352" s="54"/>
      <c r="AD2352" s="54"/>
      <c r="AE2352" s="54"/>
    </row>
    <row r="2353">
      <c r="A2353" s="80"/>
      <c r="B2353" s="80"/>
      <c r="C2353" s="80"/>
      <c r="D2353" s="59"/>
      <c r="E2353" s="59"/>
      <c r="F2353" s="83"/>
      <c r="G2353" s="76"/>
      <c r="H2353" s="76"/>
      <c r="I2353" s="76"/>
      <c r="J2353" s="93"/>
      <c r="K2353" s="93"/>
      <c r="L2353" s="82"/>
      <c r="M2353" s="54"/>
      <c r="N2353" s="54"/>
      <c r="O2353" s="54"/>
      <c r="P2353" s="54"/>
      <c r="Q2353" s="54"/>
      <c r="R2353" s="54"/>
      <c r="S2353" s="54"/>
      <c r="T2353" s="54"/>
      <c r="U2353" s="54"/>
      <c r="V2353" s="54"/>
      <c r="W2353" s="54"/>
      <c r="X2353" s="54"/>
      <c r="Y2353" s="54"/>
      <c r="Z2353" s="54"/>
      <c r="AA2353" s="54"/>
      <c r="AB2353" s="54"/>
      <c r="AC2353" s="54"/>
      <c r="AD2353" s="54"/>
      <c r="AE2353" s="54"/>
    </row>
    <row r="2354">
      <c r="A2354" s="80"/>
      <c r="B2354" s="80"/>
      <c r="C2354" s="80"/>
      <c r="D2354" s="59"/>
      <c r="E2354" s="59"/>
      <c r="F2354" s="83"/>
      <c r="G2354" s="76"/>
      <c r="H2354" s="76"/>
      <c r="I2354" s="76"/>
      <c r="J2354" s="93"/>
      <c r="K2354" s="93"/>
      <c r="L2354" s="82"/>
      <c r="M2354" s="54"/>
      <c r="N2354" s="54"/>
      <c r="O2354" s="54"/>
      <c r="P2354" s="54"/>
      <c r="Q2354" s="54"/>
      <c r="R2354" s="54"/>
      <c r="S2354" s="54"/>
      <c r="T2354" s="54"/>
      <c r="U2354" s="54"/>
      <c r="V2354" s="54"/>
      <c r="W2354" s="54"/>
      <c r="X2354" s="54"/>
      <c r="Y2354" s="54"/>
      <c r="Z2354" s="54"/>
      <c r="AA2354" s="54"/>
      <c r="AB2354" s="54"/>
      <c r="AC2354" s="54"/>
      <c r="AD2354" s="54"/>
      <c r="AE2354" s="54"/>
    </row>
    <row r="2355">
      <c r="A2355" s="80"/>
      <c r="B2355" s="80"/>
      <c r="C2355" s="80"/>
      <c r="D2355" s="59"/>
      <c r="E2355" s="59"/>
      <c r="F2355" s="83"/>
      <c r="G2355" s="76"/>
      <c r="H2355" s="76"/>
      <c r="I2355" s="76"/>
      <c r="J2355" s="93"/>
      <c r="K2355" s="93"/>
      <c r="L2355" s="82"/>
      <c r="M2355" s="54"/>
      <c r="N2355" s="54"/>
      <c r="O2355" s="54"/>
      <c r="P2355" s="54"/>
      <c r="Q2355" s="54"/>
      <c r="R2355" s="54"/>
      <c r="S2355" s="54"/>
      <c r="T2355" s="54"/>
      <c r="U2355" s="54"/>
      <c r="V2355" s="54"/>
      <c r="W2355" s="54"/>
      <c r="X2355" s="54"/>
      <c r="Y2355" s="54"/>
      <c r="Z2355" s="54"/>
      <c r="AA2355" s="54"/>
      <c r="AB2355" s="54"/>
      <c r="AC2355" s="54"/>
      <c r="AD2355" s="54"/>
      <c r="AE2355" s="54"/>
    </row>
    <row r="2356">
      <c r="A2356" s="80"/>
      <c r="B2356" s="80"/>
      <c r="C2356" s="80"/>
      <c r="D2356" s="59"/>
      <c r="E2356" s="59"/>
      <c r="F2356" s="83"/>
      <c r="G2356" s="76"/>
      <c r="H2356" s="76"/>
      <c r="I2356" s="76"/>
      <c r="J2356" s="93"/>
      <c r="K2356" s="93"/>
      <c r="L2356" s="82"/>
      <c r="M2356" s="54"/>
      <c r="N2356" s="54"/>
      <c r="O2356" s="54"/>
      <c r="P2356" s="54"/>
      <c r="Q2356" s="54"/>
      <c r="R2356" s="54"/>
      <c r="S2356" s="54"/>
      <c r="T2356" s="54"/>
      <c r="U2356" s="54"/>
      <c r="V2356" s="54"/>
      <c r="W2356" s="54"/>
      <c r="X2356" s="54"/>
      <c r="Y2356" s="54"/>
      <c r="Z2356" s="54"/>
      <c r="AA2356" s="54"/>
      <c r="AB2356" s="54"/>
      <c r="AC2356" s="54"/>
      <c r="AD2356" s="54"/>
      <c r="AE2356" s="54"/>
    </row>
    <row r="2357">
      <c r="A2357" s="80"/>
      <c r="B2357" s="80"/>
      <c r="C2357" s="80"/>
      <c r="D2357" s="59"/>
      <c r="E2357" s="59"/>
      <c r="F2357" s="83"/>
      <c r="G2357" s="76"/>
      <c r="H2357" s="76"/>
      <c r="I2357" s="76"/>
      <c r="J2357" s="93"/>
      <c r="K2357" s="93"/>
      <c r="L2357" s="82"/>
      <c r="M2357" s="54"/>
      <c r="N2357" s="54"/>
      <c r="O2357" s="54"/>
      <c r="P2357" s="54"/>
      <c r="Q2357" s="54"/>
      <c r="R2357" s="54"/>
      <c r="S2357" s="54"/>
      <c r="T2357" s="54"/>
      <c r="U2357" s="54"/>
      <c r="V2357" s="54"/>
      <c r="W2357" s="54"/>
      <c r="X2357" s="54"/>
      <c r="Y2357" s="54"/>
      <c r="Z2357" s="54"/>
      <c r="AA2357" s="54"/>
      <c r="AB2357" s="54"/>
      <c r="AC2357" s="54"/>
      <c r="AD2357" s="54"/>
      <c r="AE2357" s="54"/>
    </row>
    <row r="2358">
      <c r="A2358" s="80"/>
      <c r="B2358" s="80"/>
      <c r="C2358" s="80"/>
      <c r="D2358" s="59"/>
      <c r="E2358" s="59"/>
      <c r="F2358" s="83"/>
      <c r="G2358" s="76"/>
      <c r="H2358" s="76"/>
      <c r="I2358" s="76"/>
      <c r="J2358" s="93"/>
      <c r="K2358" s="93"/>
      <c r="L2358" s="82"/>
      <c r="M2358" s="54"/>
      <c r="N2358" s="54"/>
      <c r="O2358" s="54"/>
      <c r="P2358" s="54"/>
      <c r="Q2358" s="54"/>
      <c r="R2358" s="54"/>
      <c r="S2358" s="54"/>
      <c r="T2358" s="54"/>
      <c r="U2358" s="54"/>
      <c r="V2358" s="54"/>
      <c r="W2358" s="54"/>
      <c r="X2358" s="54"/>
      <c r="Y2358" s="54"/>
      <c r="Z2358" s="54"/>
      <c r="AA2358" s="54"/>
      <c r="AB2358" s="54"/>
      <c r="AC2358" s="54"/>
      <c r="AD2358" s="54"/>
      <c r="AE2358" s="54"/>
    </row>
    <row r="2359">
      <c r="A2359" s="80"/>
      <c r="B2359" s="80"/>
      <c r="C2359" s="80"/>
      <c r="D2359" s="59"/>
      <c r="E2359" s="59"/>
      <c r="F2359" s="83"/>
      <c r="G2359" s="76"/>
      <c r="H2359" s="76"/>
      <c r="I2359" s="76"/>
      <c r="J2359" s="93"/>
      <c r="K2359" s="93"/>
      <c r="L2359" s="82"/>
      <c r="M2359" s="54"/>
      <c r="N2359" s="54"/>
      <c r="O2359" s="54"/>
      <c r="P2359" s="54"/>
      <c r="Q2359" s="54"/>
      <c r="R2359" s="54"/>
      <c r="S2359" s="54"/>
      <c r="T2359" s="54"/>
      <c r="U2359" s="54"/>
      <c r="V2359" s="54"/>
      <c r="W2359" s="54"/>
      <c r="X2359" s="54"/>
      <c r="Y2359" s="54"/>
      <c r="Z2359" s="54"/>
      <c r="AA2359" s="54"/>
      <c r="AB2359" s="54"/>
      <c r="AC2359" s="54"/>
      <c r="AD2359" s="54"/>
      <c r="AE2359" s="54"/>
    </row>
    <row r="2360">
      <c r="A2360" s="80"/>
      <c r="B2360" s="80"/>
      <c r="C2360" s="80"/>
      <c r="D2360" s="59"/>
      <c r="E2360" s="59"/>
      <c r="F2360" s="83"/>
      <c r="G2360" s="76"/>
      <c r="H2360" s="76"/>
      <c r="I2360" s="76"/>
      <c r="J2360" s="93"/>
      <c r="K2360" s="93"/>
      <c r="L2360" s="82"/>
      <c r="M2360" s="54"/>
      <c r="N2360" s="54"/>
      <c r="O2360" s="54"/>
      <c r="P2360" s="54"/>
      <c r="Q2360" s="54"/>
      <c r="R2360" s="54"/>
      <c r="S2360" s="54"/>
      <c r="T2360" s="54"/>
      <c r="U2360" s="54"/>
      <c r="V2360" s="54"/>
      <c r="W2360" s="54"/>
      <c r="X2360" s="54"/>
      <c r="Y2360" s="54"/>
      <c r="Z2360" s="54"/>
      <c r="AA2360" s="54"/>
      <c r="AB2360" s="54"/>
      <c r="AC2360" s="54"/>
      <c r="AD2360" s="54"/>
      <c r="AE2360" s="54"/>
    </row>
    <row r="2361">
      <c r="A2361" s="80"/>
      <c r="B2361" s="80"/>
      <c r="C2361" s="80"/>
      <c r="D2361" s="59"/>
      <c r="E2361" s="59"/>
      <c r="F2361" s="83"/>
      <c r="G2361" s="76"/>
      <c r="H2361" s="76"/>
      <c r="I2361" s="76"/>
      <c r="J2361" s="93"/>
      <c r="K2361" s="93"/>
      <c r="L2361" s="82"/>
      <c r="M2361" s="54"/>
      <c r="N2361" s="54"/>
      <c r="O2361" s="54"/>
      <c r="P2361" s="54"/>
      <c r="Q2361" s="54"/>
      <c r="R2361" s="54"/>
      <c r="S2361" s="54"/>
      <c r="T2361" s="54"/>
      <c r="U2361" s="54"/>
      <c r="V2361" s="54"/>
      <c r="W2361" s="54"/>
      <c r="X2361" s="54"/>
      <c r="Y2361" s="54"/>
      <c r="Z2361" s="54"/>
      <c r="AA2361" s="54"/>
      <c r="AB2361" s="54"/>
      <c r="AC2361" s="54"/>
      <c r="AD2361" s="54"/>
      <c r="AE2361" s="54"/>
    </row>
    <row r="2362">
      <c r="A2362" s="80"/>
      <c r="B2362" s="80"/>
      <c r="C2362" s="80"/>
      <c r="D2362" s="59"/>
      <c r="E2362" s="59"/>
      <c r="F2362" s="83"/>
      <c r="G2362" s="76"/>
      <c r="H2362" s="76"/>
      <c r="I2362" s="76"/>
      <c r="J2362" s="93"/>
      <c r="K2362" s="93"/>
      <c r="L2362" s="82"/>
      <c r="M2362" s="54"/>
      <c r="N2362" s="54"/>
      <c r="O2362" s="54"/>
      <c r="P2362" s="54"/>
      <c r="Q2362" s="54"/>
      <c r="R2362" s="54"/>
      <c r="S2362" s="54"/>
      <c r="T2362" s="54"/>
      <c r="U2362" s="54"/>
      <c r="V2362" s="54"/>
      <c r="W2362" s="54"/>
      <c r="X2362" s="54"/>
      <c r="Y2362" s="54"/>
      <c r="Z2362" s="54"/>
      <c r="AA2362" s="54"/>
      <c r="AB2362" s="54"/>
      <c r="AC2362" s="54"/>
      <c r="AD2362" s="54"/>
      <c r="AE2362" s="54"/>
    </row>
    <row r="2363">
      <c r="A2363" s="80"/>
      <c r="B2363" s="80"/>
      <c r="C2363" s="80"/>
      <c r="D2363" s="59"/>
      <c r="E2363" s="59"/>
      <c r="F2363" s="83"/>
      <c r="G2363" s="76"/>
      <c r="H2363" s="76"/>
      <c r="I2363" s="76"/>
      <c r="J2363" s="93"/>
      <c r="K2363" s="93"/>
      <c r="L2363" s="82"/>
      <c r="M2363" s="54"/>
      <c r="N2363" s="54"/>
      <c r="O2363" s="54"/>
      <c r="P2363" s="54"/>
      <c r="Q2363" s="54"/>
      <c r="R2363" s="54"/>
      <c r="S2363" s="54"/>
      <c r="T2363" s="54"/>
      <c r="U2363" s="54"/>
      <c r="V2363" s="54"/>
      <c r="W2363" s="54"/>
      <c r="X2363" s="54"/>
      <c r="Y2363" s="54"/>
      <c r="Z2363" s="54"/>
      <c r="AA2363" s="54"/>
      <c r="AB2363" s="54"/>
      <c r="AC2363" s="54"/>
      <c r="AD2363" s="54"/>
      <c r="AE2363" s="54"/>
    </row>
    <row r="2364">
      <c r="A2364" s="80"/>
      <c r="B2364" s="80"/>
      <c r="C2364" s="80"/>
      <c r="D2364" s="59"/>
      <c r="E2364" s="59"/>
      <c r="F2364" s="83"/>
      <c r="G2364" s="76"/>
      <c r="H2364" s="76"/>
      <c r="I2364" s="76"/>
      <c r="J2364" s="93"/>
      <c r="K2364" s="93"/>
      <c r="L2364" s="82"/>
      <c r="M2364" s="54"/>
      <c r="N2364" s="54"/>
      <c r="O2364" s="54"/>
      <c r="P2364" s="54"/>
      <c r="Q2364" s="54"/>
      <c r="R2364" s="54"/>
      <c r="S2364" s="54"/>
      <c r="T2364" s="54"/>
      <c r="U2364" s="54"/>
      <c r="V2364" s="54"/>
      <c r="W2364" s="54"/>
      <c r="X2364" s="54"/>
      <c r="Y2364" s="54"/>
      <c r="Z2364" s="54"/>
      <c r="AA2364" s="54"/>
      <c r="AB2364" s="54"/>
      <c r="AC2364" s="54"/>
      <c r="AD2364" s="54"/>
      <c r="AE2364" s="54"/>
    </row>
    <row r="2365">
      <c r="A2365" s="80"/>
      <c r="B2365" s="80"/>
      <c r="C2365" s="80"/>
      <c r="D2365" s="59"/>
      <c r="E2365" s="59"/>
      <c r="F2365" s="83"/>
      <c r="G2365" s="76"/>
      <c r="H2365" s="76"/>
      <c r="I2365" s="76"/>
      <c r="J2365" s="93"/>
      <c r="K2365" s="93"/>
      <c r="L2365" s="82"/>
      <c r="M2365" s="54"/>
      <c r="N2365" s="54"/>
      <c r="O2365" s="54"/>
      <c r="P2365" s="54"/>
      <c r="Q2365" s="54"/>
      <c r="R2365" s="54"/>
      <c r="S2365" s="54"/>
      <c r="T2365" s="54"/>
      <c r="U2365" s="54"/>
      <c r="V2365" s="54"/>
      <c r="W2365" s="54"/>
      <c r="X2365" s="54"/>
      <c r="Y2365" s="54"/>
      <c r="Z2365" s="54"/>
      <c r="AA2365" s="54"/>
      <c r="AB2365" s="54"/>
      <c r="AC2365" s="54"/>
      <c r="AD2365" s="54"/>
      <c r="AE2365" s="54"/>
    </row>
    <row r="2366">
      <c r="A2366" s="80"/>
      <c r="B2366" s="80"/>
      <c r="C2366" s="80"/>
      <c r="D2366" s="59"/>
      <c r="E2366" s="59"/>
      <c r="F2366" s="83"/>
      <c r="G2366" s="76"/>
      <c r="H2366" s="76"/>
      <c r="I2366" s="76"/>
      <c r="J2366" s="93"/>
      <c r="K2366" s="93"/>
      <c r="L2366" s="82"/>
      <c r="M2366" s="54"/>
      <c r="N2366" s="54"/>
      <c r="O2366" s="54"/>
      <c r="P2366" s="54"/>
      <c r="Q2366" s="54"/>
      <c r="R2366" s="54"/>
      <c r="S2366" s="54"/>
      <c r="T2366" s="54"/>
      <c r="U2366" s="54"/>
      <c r="V2366" s="54"/>
      <c r="W2366" s="54"/>
      <c r="X2366" s="54"/>
      <c r="Y2366" s="54"/>
      <c r="Z2366" s="54"/>
      <c r="AA2366" s="54"/>
      <c r="AB2366" s="54"/>
      <c r="AC2366" s="54"/>
      <c r="AD2366" s="54"/>
      <c r="AE2366" s="54"/>
    </row>
    <row r="2367">
      <c r="A2367" s="80"/>
      <c r="B2367" s="80"/>
      <c r="C2367" s="80"/>
      <c r="D2367" s="59"/>
      <c r="E2367" s="59"/>
      <c r="F2367" s="83"/>
      <c r="G2367" s="76"/>
      <c r="H2367" s="76"/>
      <c r="I2367" s="76"/>
      <c r="J2367" s="93"/>
      <c r="K2367" s="93"/>
      <c r="L2367" s="82"/>
      <c r="M2367" s="54"/>
      <c r="N2367" s="54"/>
      <c r="O2367" s="54"/>
      <c r="P2367" s="54"/>
      <c r="Q2367" s="54"/>
      <c r="R2367" s="54"/>
      <c r="S2367" s="54"/>
      <c r="T2367" s="54"/>
      <c r="U2367" s="54"/>
      <c r="V2367" s="54"/>
      <c r="W2367" s="54"/>
      <c r="X2367" s="54"/>
      <c r="Y2367" s="54"/>
      <c r="Z2367" s="54"/>
      <c r="AA2367" s="54"/>
      <c r="AB2367" s="54"/>
      <c r="AC2367" s="54"/>
      <c r="AD2367" s="54"/>
      <c r="AE2367" s="54"/>
    </row>
    <row r="2368">
      <c r="A2368" s="80"/>
      <c r="B2368" s="80"/>
      <c r="C2368" s="80"/>
      <c r="D2368" s="59"/>
      <c r="E2368" s="59"/>
      <c r="F2368" s="83"/>
      <c r="G2368" s="76"/>
      <c r="H2368" s="76"/>
      <c r="I2368" s="76"/>
      <c r="J2368" s="93"/>
      <c r="K2368" s="93"/>
      <c r="L2368" s="82"/>
      <c r="M2368" s="54"/>
      <c r="N2368" s="54"/>
      <c r="O2368" s="54"/>
      <c r="P2368" s="54"/>
      <c r="Q2368" s="54"/>
      <c r="R2368" s="54"/>
      <c r="S2368" s="54"/>
      <c r="T2368" s="54"/>
      <c r="U2368" s="54"/>
      <c r="V2368" s="54"/>
      <c r="W2368" s="54"/>
      <c r="X2368" s="54"/>
      <c r="Y2368" s="54"/>
      <c r="Z2368" s="54"/>
      <c r="AA2368" s="54"/>
      <c r="AB2368" s="54"/>
      <c r="AC2368" s="54"/>
      <c r="AD2368" s="54"/>
      <c r="AE2368" s="54"/>
    </row>
    <row r="2369">
      <c r="A2369" s="80"/>
      <c r="B2369" s="80"/>
      <c r="C2369" s="80"/>
      <c r="D2369" s="59"/>
      <c r="E2369" s="59"/>
      <c r="F2369" s="83"/>
      <c r="G2369" s="76"/>
      <c r="H2369" s="76"/>
      <c r="I2369" s="76"/>
      <c r="J2369" s="93"/>
      <c r="K2369" s="93"/>
      <c r="L2369" s="82"/>
      <c r="M2369" s="54"/>
      <c r="N2369" s="54"/>
      <c r="O2369" s="54"/>
      <c r="P2369" s="54"/>
      <c r="Q2369" s="54"/>
      <c r="R2369" s="54"/>
      <c r="S2369" s="54"/>
      <c r="T2369" s="54"/>
      <c r="U2369" s="54"/>
      <c r="V2369" s="54"/>
      <c r="W2369" s="54"/>
      <c r="X2369" s="54"/>
      <c r="Y2369" s="54"/>
      <c r="Z2369" s="54"/>
      <c r="AA2369" s="54"/>
      <c r="AB2369" s="54"/>
      <c r="AC2369" s="54"/>
      <c r="AD2369" s="54"/>
      <c r="AE2369" s="54"/>
    </row>
    <row r="2370">
      <c r="A2370" s="80"/>
      <c r="B2370" s="80"/>
      <c r="C2370" s="80"/>
      <c r="D2370" s="59"/>
      <c r="E2370" s="59"/>
      <c r="F2370" s="83"/>
      <c r="G2370" s="76"/>
      <c r="H2370" s="76"/>
      <c r="I2370" s="76"/>
      <c r="J2370" s="93"/>
      <c r="K2370" s="93"/>
      <c r="L2370" s="82"/>
      <c r="M2370" s="54"/>
      <c r="N2370" s="54"/>
      <c r="O2370" s="54"/>
      <c r="P2370" s="54"/>
      <c r="Q2370" s="54"/>
      <c r="R2370" s="54"/>
      <c r="S2370" s="54"/>
      <c r="T2370" s="54"/>
      <c r="U2370" s="54"/>
      <c r="V2370" s="54"/>
      <c r="W2370" s="54"/>
      <c r="X2370" s="54"/>
      <c r="Y2370" s="54"/>
      <c r="Z2370" s="54"/>
      <c r="AA2370" s="54"/>
      <c r="AB2370" s="54"/>
      <c r="AC2370" s="54"/>
      <c r="AD2370" s="54"/>
      <c r="AE2370" s="54"/>
    </row>
    <row r="2371">
      <c r="A2371" s="80"/>
      <c r="B2371" s="80"/>
      <c r="C2371" s="80"/>
      <c r="D2371" s="59"/>
      <c r="E2371" s="59"/>
      <c r="F2371" s="83"/>
      <c r="G2371" s="76"/>
      <c r="H2371" s="76"/>
      <c r="I2371" s="76"/>
      <c r="J2371" s="93"/>
      <c r="K2371" s="93"/>
      <c r="L2371" s="82"/>
      <c r="M2371" s="54"/>
      <c r="N2371" s="54"/>
      <c r="O2371" s="54"/>
      <c r="P2371" s="54"/>
      <c r="Q2371" s="54"/>
      <c r="R2371" s="54"/>
      <c r="S2371" s="54"/>
      <c r="T2371" s="54"/>
      <c r="U2371" s="54"/>
      <c r="V2371" s="54"/>
      <c r="W2371" s="54"/>
      <c r="X2371" s="54"/>
      <c r="Y2371" s="54"/>
      <c r="Z2371" s="54"/>
      <c r="AA2371" s="54"/>
      <c r="AB2371" s="54"/>
      <c r="AC2371" s="54"/>
      <c r="AD2371" s="54"/>
      <c r="AE2371" s="54"/>
    </row>
    <row r="2372">
      <c r="A2372" s="80"/>
      <c r="B2372" s="80"/>
      <c r="C2372" s="80"/>
      <c r="D2372" s="59"/>
      <c r="E2372" s="59"/>
      <c r="F2372" s="83"/>
      <c r="G2372" s="76"/>
      <c r="H2372" s="76"/>
      <c r="I2372" s="76"/>
      <c r="J2372" s="93"/>
      <c r="K2372" s="93"/>
      <c r="L2372" s="82"/>
      <c r="M2372" s="54"/>
      <c r="N2372" s="54"/>
      <c r="O2372" s="54"/>
      <c r="P2372" s="54"/>
      <c r="Q2372" s="54"/>
      <c r="R2372" s="54"/>
      <c r="S2372" s="54"/>
      <c r="T2372" s="54"/>
      <c r="U2372" s="54"/>
      <c r="V2372" s="54"/>
      <c r="W2372" s="54"/>
      <c r="X2372" s="54"/>
      <c r="Y2372" s="54"/>
      <c r="Z2372" s="54"/>
      <c r="AA2372" s="54"/>
      <c r="AB2372" s="54"/>
      <c r="AC2372" s="54"/>
      <c r="AD2372" s="54"/>
      <c r="AE2372" s="54"/>
    </row>
    <row r="2373">
      <c r="A2373" s="80"/>
      <c r="B2373" s="80"/>
      <c r="C2373" s="80"/>
      <c r="D2373" s="59"/>
      <c r="E2373" s="59"/>
      <c r="F2373" s="83"/>
      <c r="G2373" s="76"/>
      <c r="H2373" s="76"/>
      <c r="I2373" s="76"/>
      <c r="J2373" s="93"/>
      <c r="K2373" s="93"/>
      <c r="L2373" s="82"/>
      <c r="M2373" s="54"/>
      <c r="N2373" s="54"/>
      <c r="O2373" s="54"/>
      <c r="P2373" s="54"/>
      <c r="Q2373" s="54"/>
      <c r="R2373" s="54"/>
      <c r="S2373" s="54"/>
      <c r="T2373" s="54"/>
      <c r="U2373" s="54"/>
      <c r="V2373" s="54"/>
      <c r="W2373" s="54"/>
      <c r="X2373" s="54"/>
      <c r="Y2373" s="54"/>
      <c r="Z2373" s="54"/>
      <c r="AA2373" s="54"/>
      <c r="AB2373" s="54"/>
      <c r="AC2373" s="54"/>
      <c r="AD2373" s="54"/>
      <c r="AE2373" s="54"/>
    </row>
    <row r="2374">
      <c r="A2374" s="80"/>
      <c r="B2374" s="80"/>
      <c r="C2374" s="80"/>
      <c r="D2374" s="59"/>
      <c r="E2374" s="59"/>
      <c r="F2374" s="83"/>
      <c r="G2374" s="76"/>
      <c r="H2374" s="76"/>
      <c r="I2374" s="76"/>
      <c r="J2374" s="93"/>
      <c r="K2374" s="93"/>
      <c r="L2374" s="82"/>
      <c r="M2374" s="54"/>
      <c r="N2374" s="54"/>
      <c r="O2374" s="54"/>
      <c r="P2374" s="54"/>
      <c r="Q2374" s="54"/>
      <c r="R2374" s="54"/>
      <c r="S2374" s="54"/>
      <c r="T2374" s="54"/>
      <c r="U2374" s="54"/>
      <c r="V2374" s="54"/>
      <c r="W2374" s="54"/>
      <c r="X2374" s="54"/>
      <c r="Y2374" s="54"/>
      <c r="Z2374" s="54"/>
      <c r="AA2374" s="54"/>
      <c r="AB2374" s="54"/>
      <c r="AC2374" s="54"/>
      <c r="AD2374" s="54"/>
      <c r="AE2374" s="54"/>
    </row>
    <row r="2375">
      <c r="A2375" s="80"/>
      <c r="B2375" s="80"/>
      <c r="C2375" s="80"/>
      <c r="D2375" s="59"/>
      <c r="E2375" s="59"/>
      <c r="F2375" s="83"/>
      <c r="G2375" s="76"/>
      <c r="H2375" s="76"/>
      <c r="I2375" s="76"/>
      <c r="J2375" s="93"/>
      <c r="K2375" s="93"/>
      <c r="L2375" s="82"/>
      <c r="M2375" s="54"/>
      <c r="N2375" s="54"/>
      <c r="O2375" s="54"/>
      <c r="P2375" s="54"/>
      <c r="Q2375" s="54"/>
      <c r="R2375" s="54"/>
      <c r="S2375" s="54"/>
      <c r="T2375" s="54"/>
      <c r="U2375" s="54"/>
      <c r="V2375" s="54"/>
      <c r="W2375" s="54"/>
      <c r="X2375" s="54"/>
      <c r="Y2375" s="54"/>
      <c r="Z2375" s="54"/>
      <c r="AA2375" s="54"/>
      <c r="AB2375" s="54"/>
      <c r="AC2375" s="54"/>
      <c r="AD2375" s="54"/>
      <c r="AE2375" s="54"/>
    </row>
    <row r="2376">
      <c r="A2376" s="80"/>
      <c r="B2376" s="80"/>
      <c r="C2376" s="80"/>
      <c r="D2376" s="59"/>
      <c r="E2376" s="59"/>
      <c r="F2376" s="83"/>
      <c r="G2376" s="76"/>
      <c r="H2376" s="76"/>
      <c r="I2376" s="76"/>
      <c r="J2376" s="93"/>
      <c r="K2376" s="93"/>
      <c r="L2376" s="82"/>
      <c r="M2376" s="54"/>
      <c r="N2376" s="54"/>
      <c r="O2376" s="54"/>
      <c r="P2376" s="54"/>
      <c r="Q2376" s="54"/>
      <c r="R2376" s="54"/>
      <c r="S2376" s="54"/>
      <c r="T2376" s="54"/>
      <c r="U2376" s="54"/>
      <c r="V2376" s="54"/>
      <c r="W2376" s="54"/>
      <c r="X2376" s="54"/>
      <c r="Y2376" s="54"/>
      <c r="Z2376" s="54"/>
      <c r="AA2376" s="54"/>
      <c r="AB2376" s="54"/>
      <c r="AC2376" s="54"/>
      <c r="AD2376" s="54"/>
      <c r="AE2376" s="54"/>
    </row>
    <row r="2377">
      <c r="A2377" s="80"/>
      <c r="B2377" s="80"/>
      <c r="C2377" s="80"/>
      <c r="D2377" s="59"/>
      <c r="E2377" s="59"/>
      <c r="F2377" s="83"/>
      <c r="G2377" s="76"/>
      <c r="H2377" s="76"/>
      <c r="I2377" s="76"/>
      <c r="J2377" s="93"/>
      <c r="K2377" s="93"/>
      <c r="L2377" s="82"/>
      <c r="M2377" s="54"/>
      <c r="N2377" s="54"/>
      <c r="O2377" s="54"/>
      <c r="P2377" s="54"/>
      <c r="Q2377" s="54"/>
      <c r="R2377" s="54"/>
      <c r="S2377" s="54"/>
      <c r="T2377" s="54"/>
      <c r="U2377" s="54"/>
      <c r="V2377" s="54"/>
      <c r="W2377" s="54"/>
      <c r="X2377" s="54"/>
      <c r="Y2377" s="54"/>
      <c r="Z2377" s="54"/>
      <c r="AA2377" s="54"/>
      <c r="AB2377" s="54"/>
      <c r="AC2377" s="54"/>
      <c r="AD2377" s="54"/>
      <c r="AE2377" s="54"/>
    </row>
    <row r="2378">
      <c r="A2378" s="80"/>
      <c r="B2378" s="80"/>
      <c r="C2378" s="80"/>
      <c r="D2378" s="59"/>
      <c r="E2378" s="59"/>
      <c r="F2378" s="83"/>
      <c r="G2378" s="76"/>
      <c r="H2378" s="76"/>
      <c r="I2378" s="76"/>
      <c r="J2378" s="93"/>
      <c r="K2378" s="93"/>
      <c r="L2378" s="82"/>
      <c r="M2378" s="54"/>
      <c r="N2378" s="54"/>
      <c r="O2378" s="54"/>
      <c r="P2378" s="54"/>
      <c r="Q2378" s="54"/>
      <c r="R2378" s="54"/>
      <c r="S2378" s="54"/>
      <c r="T2378" s="54"/>
      <c r="U2378" s="54"/>
      <c r="V2378" s="54"/>
      <c r="W2378" s="54"/>
      <c r="X2378" s="54"/>
      <c r="Y2378" s="54"/>
      <c r="Z2378" s="54"/>
      <c r="AA2378" s="54"/>
      <c r="AB2378" s="54"/>
      <c r="AC2378" s="54"/>
      <c r="AD2378" s="54"/>
      <c r="AE2378" s="54"/>
    </row>
    <row r="2379">
      <c r="A2379" s="80"/>
      <c r="B2379" s="80"/>
      <c r="C2379" s="80"/>
      <c r="D2379" s="59"/>
      <c r="E2379" s="59"/>
      <c r="F2379" s="83"/>
      <c r="G2379" s="76"/>
      <c r="H2379" s="76"/>
      <c r="I2379" s="76"/>
      <c r="J2379" s="93"/>
      <c r="K2379" s="93"/>
      <c r="L2379" s="82"/>
      <c r="M2379" s="54"/>
      <c r="N2379" s="54"/>
      <c r="O2379" s="54"/>
      <c r="P2379" s="54"/>
      <c r="Q2379" s="54"/>
      <c r="R2379" s="54"/>
      <c r="S2379" s="54"/>
      <c r="T2379" s="54"/>
      <c r="U2379" s="54"/>
      <c r="V2379" s="54"/>
      <c r="W2379" s="54"/>
      <c r="X2379" s="54"/>
      <c r="Y2379" s="54"/>
      <c r="Z2379" s="54"/>
      <c r="AA2379" s="54"/>
      <c r="AB2379" s="54"/>
      <c r="AC2379" s="54"/>
      <c r="AD2379" s="54"/>
      <c r="AE2379" s="54"/>
    </row>
    <row r="2380">
      <c r="A2380" s="80"/>
      <c r="B2380" s="80"/>
      <c r="C2380" s="80"/>
      <c r="D2380" s="59"/>
      <c r="E2380" s="59"/>
      <c r="F2380" s="83"/>
      <c r="G2380" s="76"/>
      <c r="H2380" s="76"/>
      <c r="I2380" s="76"/>
      <c r="J2380" s="93"/>
      <c r="K2380" s="93"/>
      <c r="L2380" s="82"/>
      <c r="M2380" s="54"/>
      <c r="N2380" s="54"/>
      <c r="O2380" s="54"/>
      <c r="P2380" s="54"/>
      <c r="Q2380" s="54"/>
      <c r="R2380" s="54"/>
      <c r="S2380" s="54"/>
      <c r="T2380" s="54"/>
      <c r="U2380" s="54"/>
      <c r="V2380" s="54"/>
      <c r="W2380" s="54"/>
      <c r="X2380" s="54"/>
      <c r="Y2380" s="54"/>
      <c r="Z2380" s="54"/>
      <c r="AA2380" s="54"/>
      <c r="AB2380" s="54"/>
      <c r="AC2380" s="54"/>
      <c r="AD2380" s="54"/>
      <c r="AE2380" s="54"/>
    </row>
    <row r="2381">
      <c r="A2381" s="80"/>
      <c r="B2381" s="80"/>
      <c r="C2381" s="80"/>
      <c r="D2381" s="59"/>
      <c r="E2381" s="59"/>
      <c r="F2381" s="83"/>
      <c r="G2381" s="76"/>
      <c r="H2381" s="76"/>
      <c r="I2381" s="76"/>
      <c r="J2381" s="93"/>
      <c r="K2381" s="93"/>
      <c r="L2381" s="82"/>
      <c r="M2381" s="54"/>
      <c r="N2381" s="54"/>
      <c r="O2381" s="54"/>
      <c r="P2381" s="54"/>
      <c r="Q2381" s="54"/>
      <c r="R2381" s="54"/>
      <c r="S2381" s="54"/>
      <c r="T2381" s="54"/>
      <c r="U2381" s="54"/>
      <c r="V2381" s="54"/>
      <c r="W2381" s="54"/>
      <c r="X2381" s="54"/>
      <c r="Y2381" s="54"/>
      <c r="Z2381" s="54"/>
      <c r="AA2381" s="54"/>
      <c r="AB2381" s="54"/>
      <c r="AC2381" s="54"/>
      <c r="AD2381" s="54"/>
      <c r="AE2381" s="54"/>
    </row>
    <row r="2382">
      <c r="A2382" s="80"/>
      <c r="B2382" s="80"/>
      <c r="C2382" s="80"/>
      <c r="D2382" s="59"/>
      <c r="E2382" s="59"/>
      <c r="F2382" s="83"/>
      <c r="G2382" s="76"/>
      <c r="H2382" s="76"/>
      <c r="I2382" s="76"/>
      <c r="J2382" s="93"/>
      <c r="K2382" s="93"/>
      <c r="L2382" s="82"/>
      <c r="M2382" s="54"/>
      <c r="N2382" s="54"/>
      <c r="O2382" s="54"/>
      <c r="P2382" s="54"/>
      <c r="Q2382" s="54"/>
      <c r="R2382" s="54"/>
      <c r="S2382" s="54"/>
      <c r="T2382" s="54"/>
      <c r="U2382" s="54"/>
      <c r="V2382" s="54"/>
      <c r="W2382" s="54"/>
      <c r="X2382" s="54"/>
      <c r="Y2382" s="54"/>
      <c r="Z2382" s="54"/>
      <c r="AA2382" s="54"/>
      <c r="AB2382" s="54"/>
      <c r="AC2382" s="54"/>
      <c r="AD2382" s="54"/>
      <c r="AE2382" s="54"/>
    </row>
    <row r="2383">
      <c r="A2383" s="80"/>
      <c r="B2383" s="80"/>
      <c r="C2383" s="80"/>
      <c r="D2383" s="59"/>
      <c r="E2383" s="59"/>
      <c r="F2383" s="83"/>
      <c r="G2383" s="76"/>
      <c r="H2383" s="76"/>
      <c r="I2383" s="76"/>
      <c r="J2383" s="93"/>
      <c r="K2383" s="93"/>
      <c r="L2383" s="82"/>
      <c r="M2383" s="54"/>
      <c r="N2383" s="54"/>
      <c r="O2383" s="54"/>
      <c r="P2383" s="54"/>
      <c r="Q2383" s="54"/>
      <c r="R2383" s="54"/>
      <c r="S2383" s="54"/>
      <c r="T2383" s="54"/>
      <c r="U2383" s="54"/>
      <c r="V2383" s="54"/>
      <c r="W2383" s="54"/>
      <c r="X2383" s="54"/>
      <c r="Y2383" s="54"/>
      <c r="Z2383" s="54"/>
      <c r="AA2383" s="54"/>
      <c r="AB2383" s="54"/>
      <c r="AC2383" s="54"/>
      <c r="AD2383" s="54"/>
      <c r="AE2383" s="54"/>
    </row>
    <row r="2384">
      <c r="A2384" s="80"/>
      <c r="B2384" s="80"/>
      <c r="C2384" s="80"/>
      <c r="D2384" s="59"/>
      <c r="E2384" s="59"/>
      <c r="F2384" s="83"/>
      <c r="G2384" s="76"/>
      <c r="H2384" s="76"/>
      <c r="I2384" s="76"/>
      <c r="J2384" s="93"/>
      <c r="K2384" s="93"/>
      <c r="L2384" s="82"/>
      <c r="M2384" s="54"/>
      <c r="N2384" s="54"/>
      <c r="O2384" s="54"/>
      <c r="P2384" s="54"/>
      <c r="Q2384" s="54"/>
      <c r="R2384" s="54"/>
      <c r="S2384" s="54"/>
      <c r="T2384" s="54"/>
      <c r="U2384" s="54"/>
      <c r="V2384" s="54"/>
      <c r="W2384" s="54"/>
      <c r="X2384" s="54"/>
      <c r="Y2384" s="54"/>
      <c r="Z2384" s="54"/>
      <c r="AA2384" s="54"/>
      <c r="AB2384" s="54"/>
      <c r="AC2384" s="54"/>
      <c r="AD2384" s="54"/>
      <c r="AE2384" s="54"/>
    </row>
    <row r="2385">
      <c r="A2385" s="80"/>
      <c r="B2385" s="80"/>
      <c r="C2385" s="80"/>
      <c r="D2385" s="59"/>
      <c r="E2385" s="59"/>
      <c r="F2385" s="83"/>
      <c r="G2385" s="76"/>
      <c r="H2385" s="76"/>
      <c r="I2385" s="76"/>
      <c r="J2385" s="93"/>
      <c r="K2385" s="93"/>
      <c r="L2385" s="82"/>
      <c r="M2385" s="54"/>
      <c r="N2385" s="54"/>
      <c r="O2385" s="54"/>
      <c r="P2385" s="54"/>
      <c r="Q2385" s="54"/>
      <c r="R2385" s="54"/>
      <c r="S2385" s="54"/>
      <c r="T2385" s="54"/>
      <c r="U2385" s="54"/>
      <c r="V2385" s="54"/>
      <c r="W2385" s="54"/>
      <c r="X2385" s="54"/>
      <c r="Y2385" s="54"/>
      <c r="Z2385" s="54"/>
      <c r="AA2385" s="54"/>
      <c r="AB2385" s="54"/>
      <c r="AC2385" s="54"/>
      <c r="AD2385" s="54"/>
      <c r="AE2385" s="54"/>
    </row>
    <row r="2386">
      <c r="A2386" s="80"/>
      <c r="B2386" s="80"/>
      <c r="C2386" s="80"/>
      <c r="D2386" s="59"/>
      <c r="E2386" s="59"/>
      <c r="F2386" s="83"/>
      <c r="G2386" s="76"/>
      <c r="H2386" s="76"/>
      <c r="I2386" s="76"/>
      <c r="J2386" s="93"/>
      <c r="K2386" s="93"/>
      <c r="L2386" s="82"/>
      <c r="M2386" s="54"/>
      <c r="N2386" s="54"/>
      <c r="O2386" s="54"/>
      <c r="P2386" s="54"/>
      <c r="Q2386" s="54"/>
      <c r="R2386" s="54"/>
      <c r="S2386" s="54"/>
      <c r="T2386" s="54"/>
      <c r="U2386" s="54"/>
      <c r="V2386" s="54"/>
      <c r="W2386" s="54"/>
      <c r="X2386" s="54"/>
      <c r="Y2386" s="54"/>
      <c r="Z2386" s="54"/>
      <c r="AA2386" s="54"/>
      <c r="AB2386" s="54"/>
      <c r="AC2386" s="54"/>
      <c r="AD2386" s="54"/>
      <c r="AE2386" s="54"/>
    </row>
    <row r="2387">
      <c r="A2387" s="80"/>
      <c r="B2387" s="80"/>
      <c r="C2387" s="80"/>
      <c r="D2387" s="59"/>
      <c r="E2387" s="59"/>
      <c r="F2387" s="83"/>
      <c r="G2387" s="76"/>
      <c r="H2387" s="76"/>
      <c r="I2387" s="76"/>
      <c r="J2387" s="93"/>
      <c r="K2387" s="93"/>
      <c r="L2387" s="82"/>
      <c r="M2387" s="54"/>
      <c r="N2387" s="54"/>
      <c r="O2387" s="54"/>
      <c r="P2387" s="54"/>
      <c r="Q2387" s="54"/>
      <c r="R2387" s="54"/>
      <c r="S2387" s="54"/>
      <c r="T2387" s="54"/>
      <c r="U2387" s="54"/>
      <c r="V2387" s="54"/>
      <c r="W2387" s="54"/>
      <c r="X2387" s="54"/>
      <c r="Y2387" s="54"/>
      <c r="Z2387" s="54"/>
      <c r="AA2387" s="54"/>
      <c r="AB2387" s="54"/>
      <c r="AC2387" s="54"/>
      <c r="AD2387" s="54"/>
      <c r="AE2387" s="54"/>
    </row>
    <row r="2388">
      <c r="A2388" s="80"/>
      <c r="B2388" s="80"/>
      <c r="C2388" s="80"/>
      <c r="D2388" s="59"/>
      <c r="E2388" s="59"/>
      <c r="F2388" s="83"/>
      <c r="G2388" s="76"/>
      <c r="H2388" s="76"/>
      <c r="I2388" s="76"/>
      <c r="J2388" s="93"/>
      <c r="K2388" s="93"/>
      <c r="L2388" s="82"/>
      <c r="M2388" s="54"/>
      <c r="N2388" s="54"/>
      <c r="O2388" s="54"/>
      <c r="P2388" s="54"/>
      <c r="Q2388" s="54"/>
      <c r="R2388" s="54"/>
      <c r="S2388" s="54"/>
      <c r="T2388" s="54"/>
      <c r="U2388" s="54"/>
      <c r="V2388" s="54"/>
      <c r="W2388" s="54"/>
      <c r="X2388" s="54"/>
      <c r="Y2388" s="54"/>
      <c r="Z2388" s="54"/>
      <c r="AA2388" s="54"/>
      <c r="AB2388" s="54"/>
      <c r="AC2388" s="54"/>
      <c r="AD2388" s="54"/>
      <c r="AE2388" s="54"/>
    </row>
    <row r="2389">
      <c r="A2389" s="80"/>
      <c r="B2389" s="80"/>
      <c r="C2389" s="80"/>
      <c r="D2389" s="59"/>
      <c r="E2389" s="59"/>
      <c r="F2389" s="83"/>
      <c r="G2389" s="76"/>
      <c r="H2389" s="76"/>
      <c r="I2389" s="76"/>
      <c r="J2389" s="93"/>
      <c r="K2389" s="93"/>
      <c r="L2389" s="82"/>
      <c r="M2389" s="54"/>
      <c r="N2389" s="54"/>
      <c r="O2389" s="54"/>
      <c r="P2389" s="54"/>
      <c r="Q2389" s="54"/>
      <c r="R2389" s="54"/>
      <c r="S2389" s="54"/>
      <c r="T2389" s="54"/>
      <c r="U2389" s="54"/>
      <c r="V2389" s="54"/>
      <c r="W2389" s="54"/>
      <c r="X2389" s="54"/>
      <c r="Y2389" s="54"/>
      <c r="Z2389" s="54"/>
      <c r="AA2389" s="54"/>
      <c r="AB2389" s="54"/>
      <c r="AC2389" s="54"/>
      <c r="AD2389" s="54"/>
      <c r="AE2389" s="54"/>
    </row>
    <row r="2390">
      <c r="A2390" s="80"/>
      <c r="B2390" s="80"/>
      <c r="C2390" s="80"/>
      <c r="D2390" s="59"/>
      <c r="E2390" s="59"/>
      <c r="F2390" s="83"/>
      <c r="G2390" s="76"/>
      <c r="H2390" s="76"/>
      <c r="I2390" s="76"/>
      <c r="J2390" s="93"/>
      <c r="K2390" s="93"/>
      <c r="L2390" s="82"/>
      <c r="M2390" s="54"/>
      <c r="N2390" s="54"/>
      <c r="O2390" s="54"/>
      <c r="P2390" s="54"/>
      <c r="Q2390" s="54"/>
      <c r="R2390" s="54"/>
      <c r="S2390" s="54"/>
      <c r="T2390" s="54"/>
      <c r="U2390" s="54"/>
      <c r="V2390" s="54"/>
      <c r="W2390" s="54"/>
      <c r="X2390" s="54"/>
      <c r="Y2390" s="54"/>
      <c r="Z2390" s="54"/>
      <c r="AA2390" s="54"/>
      <c r="AB2390" s="54"/>
      <c r="AC2390" s="54"/>
      <c r="AD2390" s="54"/>
      <c r="AE2390" s="54"/>
    </row>
    <row r="2391">
      <c r="A2391" s="80"/>
      <c r="B2391" s="80"/>
      <c r="C2391" s="80"/>
      <c r="D2391" s="59"/>
      <c r="E2391" s="59"/>
      <c r="F2391" s="83"/>
      <c r="G2391" s="76"/>
      <c r="H2391" s="76"/>
      <c r="I2391" s="76"/>
      <c r="J2391" s="93"/>
      <c r="K2391" s="93"/>
      <c r="L2391" s="82"/>
      <c r="M2391" s="54"/>
      <c r="N2391" s="54"/>
      <c r="O2391" s="54"/>
      <c r="P2391" s="54"/>
      <c r="Q2391" s="54"/>
      <c r="R2391" s="54"/>
      <c r="S2391" s="54"/>
      <c r="T2391" s="54"/>
      <c r="U2391" s="54"/>
      <c r="V2391" s="54"/>
      <c r="W2391" s="54"/>
      <c r="X2391" s="54"/>
      <c r="Y2391" s="54"/>
      <c r="Z2391" s="54"/>
      <c r="AA2391" s="54"/>
      <c r="AB2391" s="54"/>
      <c r="AC2391" s="54"/>
      <c r="AD2391" s="54"/>
      <c r="AE2391" s="54"/>
    </row>
    <row r="2392">
      <c r="A2392" s="80"/>
      <c r="B2392" s="80"/>
      <c r="C2392" s="80"/>
      <c r="D2392" s="59"/>
      <c r="E2392" s="59"/>
      <c r="F2392" s="83"/>
      <c r="G2392" s="76"/>
      <c r="H2392" s="76"/>
      <c r="I2392" s="76"/>
      <c r="J2392" s="93"/>
      <c r="K2392" s="93"/>
      <c r="L2392" s="82"/>
      <c r="M2392" s="54"/>
      <c r="N2392" s="54"/>
      <c r="O2392" s="54"/>
      <c r="P2392" s="54"/>
      <c r="Q2392" s="54"/>
      <c r="R2392" s="54"/>
      <c r="S2392" s="54"/>
      <c r="T2392" s="54"/>
      <c r="U2392" s="54"/>
      <c r="V2392" s="54"/>
      <c r="W2392" s="54"/>
      <c r="X2392" s="54"/>
      <c r="Y2392" s="54"/>
      <c r="Z2392" s="54"/>
      <c r="AA2392" s="54"/>
      <c r="AB2392" s="54"/>
      <c r="AC2392" s="54"/>
      <c r="AD2392" s="54"/>
      <c r="AE2392" s="54"/>
    </row>
    <row r="2393">
      <c r="A2393" s="80"/>
      <c r="B2393" s="80"/>
      <c r="C2393" s="80"/>
      <c r="D2393" s="59"/>
      <c r="E2393" s="59"/>
      <c r="F2393" s="83"/>
      <c r="G2393" s="76"/>
      <c r="H2393" s="76"/>
      <c r="I2393" s="76"/>
      <c r="J2393" s="93"/>
      <c r="K2393" s="93"/>
      <c r="L2393" s="82"/>
      <c r="M2393" s="54"/>
      <c r="N2393" s="54"/>
      <c r="O2393" s="54"/>
      <c r="P2393" s="54"/>
      <c r="Q2393" s="54"/>
      <c r="R2393" s="54"/>
      <c r="S2393" s="54"/>
      <c r="T2393" s="54"/>
      <c r="U2393" s="54"/>
      <c r="V2393" s="54"/>
      <c r="W2393" s="54"/>
      <c r="X2393" s="54"/>
      <c r="Y2393" s="54"/>
      <c r="Z2393" s="54"/>
      <c r="AA2393" s="54"/>
      <c r="AB2393" s="54"/>
      <c r="AC2393" s="54"/>
      <c r="AD2393" s="54"/>
      <c r="AE2393" s="54"/>
    </row>
    <row r="2394">
      <c r="A2394" s="80"/>
      <c r="B2394" s="80"/>
      <c r="C2394" s="80"/>
      <c r="D2394" s="59"/>
      <c r="E2394" s="59"/>
      <c r="F2394" s="83"/>
      <c r="G2394" s="76"/>
      <c r="H2394" s="76"/>
      <c r="I2394" s="76"/>
      <c r="J2394" s="93"/>
      <c r="K2394" s="93"/>
      <c r="L2394" s="82"/>
      <c r="M2394" s="54"/>
      <c r="N2394" s="54"/>
      <c r="O2394" s="54"/>
      <c r="P2394" s="54"/>
      <c r="Q2394" s="54"/>
      <c r="R2394" s="54"/>
      <c r="S2394" s="54"/>
      <c r="T2394" s="54"/>
      <c r="U2394" s="54"/>
      <c r="V2394" s="54"/>
      <c r="W2394" s="54"/>
      <c r="X2394" s="54"/>
      <c r="Y2394" s="54"/>
      <c r="Z2394" s="54"/>
      <c r="AA2394" s="54"/>
      <c r="AB2394" s="54"/>
      <c r="AC2394" s="54"/>
      <c r="AD2394" s="54"/>
      <c r="AE2394" s="54"/>
    </row>
    <row r="2395">
      <c r="A2395" s="80"/>
      <c r="B2395" s="80"/>
      <c r="C2395" s="80"/>
      <c r="D2395" s="59"/>
      <c r="E2395" s="59"/>
      <c r="F2395" s="83"/>
      <c r="G2395" s="76"/>
      <c r="H2395" s="76"/>
      <c r="I2395" s="76"/>
      <c r="J2395" s="93"/>
      <c r="K2395" s="93"/>
      <c r="L2395" s="82"/>
      <c r="M2395" s="54"/>
      <c r="N2395" s="54"/>
      <c r="O2395" s="54"/>
      <c r="P2395" s="54"/>
      <c r="Q2395" s="54"/>
      <c r="R2395" s="54"/>
      <c r="S2395" s="54"/>
      <c r="T2395" s="54"/>
      <c r="U2395" s="54"/>
      <c r="V2395" s="54"/>
      <c r="W2395" s="54"/>
      <c r="X2395" s="54"/>
      <c r="Y2395" s="54"/>
      <c r="Z2395" s="54"/>
      <c r="AA2395" s="54"/>
      <c r="AB2395" s="54"/>
      <c r="AC2395" s="54"/>
      <c r="AD2395" s="54"/>
      <c r="AE2395" s="54"/>
    </row>
    <row r="2396">
      <c r="A2396" s="80"/>
      <c r="B2396" s="80"/>
      <c r="C2396" s="80"/>
      <c r="D2396" s="59"/>
      <c r="E2396" s="59"/>
      <c r="F2396" s="83"/>
      <c r="G2396" s="76"/>
      <c r="H2396" s="76"/>
      <c r="I2396" s="76"/>
      <c r="J2396" s="93"/>
      <c r="K2396" s="93"/>
      <c r="L2396" s="82"/>
      <c r="M2396" s="54"/>
      <c r="N2396" s="54"/>
      <c r="O2396" s="54"/>
      <c r="P2396" s="54"/>
      <c r="Q2396" s="54"/>
      <c r="R2396" s="54"/>
      <c r="S2396" s="54"/>
      <c r="T2396" s="54"/>
      <c r="U2396" s="54"/>
      <c r="V2396" s="54"/>
      <c r="W2396" s="54"/>
      <c r="X2396" s="54"/>
      <c r="Y2396" s="54"/>
      <c r="Z2396" s="54"/>
      <c r="AA2396" s="54"/>
      <c r="AB2396" s="54"/>
      <c r="AC2396" s="54"/>
      <c r="AD2396" s="54"/>
      <c r="AE2396" s="54"/>
    </row>
    <row r="2397">
      <c r="A2397" s="80"/>
      <c r="B2397" s="80"/>
      <c r="C2397" s="80"/>
      <c r="D2397" s="59"/>
      <c r="E2397" s="59"/>
      <c r="F2397" s="83"/>
      <c r="G2397" s="76"/>
      <c r="H2397" s="76"/>
      <c r="I2397" s="76"/>
      <c r="J2397" s="93"/>
      <c r="K2397" s="93"/>
      <c r="L2397" s="82"/>
      <c r="M2397" s="54"/>
      <c r="N2397" s="54"/>
      <c r="O2397" s="54"/>
      <c r="P2397" s="54"/>
      <c r="Q2397" s="54"/>
      <c r="R2397" s="54"/>
      <c r="S2397" s="54"/>
      <c r="T2397" s="54"/>
      <c r="U2397" s="54"/>
      <c r="V2397" s="54"/>
      <c r="W2397" s="54"/>
      <c r="X2397" s="54"/>
      <c r="Y2397" s="54"/>
      <c r="Z2397" s="54"/>
      <c r="AA2397" s="54"/>
      <c r="AB2397" s="54"/>
      <c r="AC2397" s="54"/>
      <c r="AD2397" s="54"/>
      <c r="AE2397" s="54"/>
    </row>
    <row r="2398">
      <c r="A2398" s="80"/>
      <c r="B2398" s="80"/>
      <c r="C2398" s="80"/>
      <c r="D2398" s="59"/>
      <c r="E2398" s="59"/>
      <c r="F2398" s="83"/>
      <c r="G2398" s="76"/>
      <c r="H2398" s="76"/>
      <c r="I2398" s="76"/>
      <c r="J2398" s="93"/>
      <c r="K2398" s="93"/>
      <c r="L2398" s="82"/>
      <c r="M2398" s="54"/>
      <c r="N2398" s="54"/>
      <c r="O2398" s="54"/>
      <c r="P2398" s="54"/>
      <c r="Q2398" s="54"/>
      <c r="R2398" s="54"/>
      <c r="S2398" s="54"/>
      <c r="T2398" s="54"/>
      <c r="U2398" s="54"/>
      <c r="V2398" s="54"/>
      <c r="W2398" s="54"/>
      <c r="X2398" s="54"/>
      <c r="Y2398" s="54"/>
      <c r="Z2398" s="54"/>
      <c r="AA2398" s="54"/>
      <c r="AB2398" s="54"/>
      <c r="AC2398" s="54"/>
      <c r="AD2398" s="54"/>
      <c r="AE2398" s="54"/>
    </row>
    <row r="2399">
      <c r="A2399" s="80"/>
      <c r="B2399" s="80"/>
      <c r="C2399" s="80"/>
      <c r="D2399" s="59"/>
      <c r="E2399" s="59"/>
      <c r="F2399" s="83"/>
      <c r="G2399" s="76"/>
      <c r="H2399" s="76"/>
      <c r="I2399" s="76"/>
      <c r="J2399" s="93"/>
      <c r="K2399" s="93"/>
      <c r="L2399" s="82"/>
      <c r="M2399" s="54"/>
      <c r="N2399" s="54"/>
      <c r="O2399" s="54"/>
      <c r="P2399" s="54"/>
      <c r="Q2399" s="54"/>
      <c r="R2399" s="54"/>
      <c r="S2399" s="54"/>
      <c r="T2399" s="54"/>
      <c r="U2399" s="54"/>
      <c r="V2399" s="54"/>
      <c r="W2399" s="54"/>
      <c r="X2399" s="54"/>
      <c r="Y2399" s="54"/>
      <c r="Z2399" s="54"/>
      <c r="AA2399" s="54"/>
      <c r="AB2399" s="54"/>
      <c r="AC2399" s="54"/>
      <c r="AD2399" s="54"/>
      <c r="AE2399" s="54"/>
    </row>
    <row r="2400">
      <c r="A2400" s="80"/>
      <c r="B2400" s="80"/>
      <c r="C2400" s="80"/>
      <c r="D2400" s="59"/>
      <c r="E2400" s="59"/>
      <c r="F2400" s="83"/>
      <c r="G2400" s="76"/>
      <c r="H2400" s="76"/>
      <c r="I2400" s="76"/>
      <c r="J2400" s="93"/>
      <c r="K2400" s="93"/>
      <c r="L2400" s="82"/>
      <c r="M2400" s="54"/>
      <c r="N2400" s="54"/>
      <c r="O2400" s="54"/>
      <c r="P2400" s="54"/>
      <c r="Q2400" s="54"/>
      <c r="R2400" s="54"/>
      <c r="S2400" s="54"/>
      <c r="T2400" s="54"/>
      <c r="U2400" s="54"/>
      <c r="V2400" s="54"/>
      <c r="W2400" s="54"/>
      <c r="X2400" s="54"/>
      <c r="Y2400" s="54"/>
      <c r="Z2400" s="54"/>
      <c r="AA2400" s="54"/>
      <c r="AB2400" s="54"/>
      <c r="AC2400" s="54"/>
      <c r="AD2400" s="54"/>
      <c r="AE2400" s="54"/>
    </row>
    <row r="2401">
      <c r="A2401" s="80"/>
      <c r="B2401" s="80"/>
      <c r="C2401" s="80"/>
      <c r="D2401" s="59"/>
      <c r="E2401" s="59"/>
      <c r="F2401" s="83"/>
      <c r="G2401" s="76"/>
      <c r="H2401" s="76"/>
      <c r="I2401" s="76"/>
      <c r="J2401" s="93"/>
      <c r="K2401" s="93"/>
      <c r="L2401" s="82"/>
      <c r="M2401" s="54"/>
      <c r="N2401" s="54"/>
      <c r="O2401" s="54"/>
      <c r="P2401" s="54"/>
      <c r="Q2401" s="54"/>
      <c r="R2401" s="54"/>
      <c r="S2401" s="54"/>
      <c r="T2401" s="54"/>
      <c r="U2401" s="54"/>
      <c r="V2401" s="54"/>
      <c r="W2401" s="54"/>
      <c r="X2401" s="54"/>
      <c r="Y2401" s="54"/>
      <c r="Z2401" s="54"/>
      <c r="AA2401" s="54"/>
      <c r="AB2401" s="54"/>
      <c r="AC2401" s="54"/>
      <c r="AD2401" s="54"/>
      <c r="AE2401" s="54"/>
    </row>
    <row r="2402">
      <c r="A2402" s="80"/>
      <c r="B2402" s="80"/>
      <c r="C2402" s="80"/>
      <c r="D2402" s="59"/>
      <c r="E2402" s="59"/>
      <c r="F2402" s="83"/>
      <c r="G2402" s="76"/>
      <c r="H2402" s="76"/>
      <c r="I2402" s="76"/>
      <c r="J2402" s="93"/>
      <c r="K2402" s="93"/>
      <c r="L2402" s="82"/>
      <c r="M2402" s="54"/>
      <c r="N2402" s="54"/>
      <c r="O2402" s="54"/>
      <c r="P2402" s="54"/>
      <c r="Q2402" s="54"/>
      <c r="R2402" s="54"/>
      <c r="S2402" s="54"/>
      <c r="T2402" s="54"/>
      <c r="U2402" s="54"/>
      <c r="V2402" s="54"/>
      <c r="W2402" s="54"/>
      <c r="X2402" s="54"/>
      <c r="Y2402" s="54"/>
      <c r="Z2402" s="54"/>
      <c r="AA2402" s="54"/>
      <c r="AB2402" s="54"/>
      <c r="AC2402" s="54"/>
      <c r="AD2402" s="54"/>
      <c r="AE2402" s="54"/>
    </row>
    <row r="2403">
      <c r="A2403" s="80"/>
      <c r="B2403" s="80"/>
      <c r="C2403" s="80"/>
      <c r="D2403" s="59"/>
      <c r="E2403" s="59"/>
      <c r="F2403" s="83"/>
      <c r="G2403" s="76"/>
      <c r="H2403" s="76"/>
      <c r="I2403" s="76"/>
      <c r="J2403" s="93"/>
      <c r="K2403" s="93"/>
      <c r="L2403" s="82"/>
      <c r="M2403" s="54"/>
      <c r="N2403" s="54"/>
      <c r="O2403" s="54"/>
      <c r="P2403" s="54"/>
      <c r="Q2403" s="54"/>
      <c r="R2403" s="54"/>
      <c r="S2403" s="54"/>
      <c r="T2403" s="54"/>
      <c r="U2403" s="54"/>
      <c r="V2403" s="54"/>
      <c r="W2403" s="54"/>
      <c r="X2403" s="54"/>
      <c r="Y2403" s="54"/>
      <c r="Z2403" s="54"/>
      <c r="AA2403" s="54"/>
      <c r="AB2403" s="54"/>
      <c r="AC2403" s="54"/>
      <c r="AD2403" s="54"/>
      <c r="AE2403" s="54"/>
    </row>
    <row r="2404">
      <c r="A2404" s="80"/>
      <c r="B2404" s="80"/>
      <c r="C2404" s="80"/>
      <c r="D2404" s="59"/>
      <c r="E2404" s="59"/>
      <c r="F2404" s="83"/>
      <c r="G2404" s="76"/>
      <c r="H2404" s="76"/>
      <c r="I2404" s="76"/>
      <c r="J2404" s="93"/>
      <c r="K2404" s="93"/>
      <c r="L2404" s="82"/>
      <c r="M2404" s="54"/>
      <c r="N2404" s="54"/>
      <c r="O2404" s="54"/>
      <c r="P2404" s="54"/>
      <c r="Q2404" s="54"/>
      <c r="R2404" s="54"/>
      <c r="S2404" s="54"/>
      <c r="T2404" s="54"/>
      <c r="U2404" s="54"/>
      <c r="V2404" s="54"/>
      <c r="W2404" s="54"/>
      <c r="X2404" s="54"/>
      <c r="Y2404" s="54"/>
      <c r="Z2404" s="54"/>
      <c r="AA2404" s="54"/>
      <c r="AB2404" s="54"/>
      <c r="AC2404" s="54"/>
      <c r="AD2404" s="54"/>
      <c r="AE2404" s="54"/>
    </row>
    <row r="2405">
      <c r="A2405" s="80"/>
      <c r="B2405" s="80"/>
      <c r="C2405" s="80"/>
      <c r="D2405" s="59"/>
      <c r="E2405" s="59"/>
      <c r="F2405" s="83"/>
      <c r="G2405" s="76"/>
      <c r="H2405" s="76"/>
      <c r="I2405" s="76"/>
      <c r="J2405" s="93"/>
      <c r="K2405" s="93"/>
      <c r="L2405" s="82"/>
      <c r="M2405" s="54"/>
      <c r="N2405" s="54"/>
      <c r="O2405" s="54"/>
      <c r="P2405" s="54"/>
      <c r="Q2405" s="54"/>
      <c r="R2405" s="54"/>
      <c r="S2405" s="54"/>
      <c r="T2405" s="54"/>
      <c r="U2405" s="54"/>
      <c r="V2405" s="54"/>
      <c r="W2405" s="54"/>
      <c r="X2405" s="54"/>
      <c r="Y2405" s="54"/>
      <c r="Z2405" s="54"/>
      <c r="AA2405" s="54"/>
      <c r="AB2405" s="54"/>
      <c r="AC2405" s="54"/>
      <c r="AD2405" s="54"/>
      <c r="AE2405" s="54"/>
    </row>
    <row r="2406">
      <c r="A2406" s="80"/>
      <c r="B2406" s="80"/>
      <c r="C2406" s="80"/>
      <c r="D2406" s="59"/>
      <c r="E2406" s="59"/>
      <c r="F2406" s="83"/>
      <c r="G2406" s="76"/>
      <c r="H2406" s="76"/>
      <c r="I2406" s="76"/>
      <c r="J2406" s="93"/>
      <c r="K2406" s="93"/>
      <c r="L2406" s="82"/>
      <c r="M2406" s="54"/>
      <c r="N2406" s="54"/>
      <c r="O2406" s="54"/>
      <c r="P2406" s="54"/>
      <c r="Q2406" s="54"/>
      <c r="R2406" s="54"/>
      <c r="S2406" s="54"/>
      <c r="T2406" s="54"/>
      <c r="U2406" s="54"/>
      <c r="V2406" s="54"/>
      <c r="W2406" s="54"/>
      <c r="X2406" s="54"/>
      <c r="Y2406" s="54"/>
      <c r="Z2406" s="54"/>
      <c r="AA2406" s="54"/>
      <c r="AB2406" s="54"/>
      <c r="AC2406" s="54"/>
      <c r="AD2406" s="54"/>
      <c r="AE2406" s="54"/>
    </row>
    <row r="2407">
      <c r="A2407" s="80"/>
      <c r="B2407" s="80"/>
      <c r="C2407" s="80"/>
      <c r="D2407" s="59"/>
      <c r="E2407" s="59"/>
      <c r="F2407" s="83"/>
      <c r="G2407" s="76"/>
      <c r="H2407" s="76"/>
      <c r="I2407" s="76"/>
      <c r="J2407" s="93"/>
      <c r="K2407" s="93"/>
      <c r="L2407" s="82"/>
      <c r="M2407" s="54"/>
      <c r="N2407" s="54"/>
      <c r="O2407" s="54"/>
      <c r="P2407" s="54"/>
      <c r="Q2407" s="54"/>
      <c r="R2407" s="54"/>
      <c r="S2407" s="54"/>
      <c r="T2407" s="54"/>
      <c r="U2407" s="54"/>
      <c r="V2407" s="54"/>
      <c r="W2407" s="54"/>
      <c r="X2407" s="54"/>
      <c r="Y2407" s="54"/>
      <c r="Z2407" s="54"/>
      <c r="AA2407" s="54"/>
      <c r="AB2407" s="54"/>
      <c r="AC2407" s="54"/>
      <c r="AD2407" s="54"/>
      <c r="AE2407" s="54"/>
    </row>
    <row r="2408">
      <c r="A2408" s="80"/>
      <c r="B2408" s="80"/>
      <c r="C2408" s="80"/>
      <c r="D2408" s="59"/>
      <c r="E2408" s="59"/>
      <c r="F2408" s="83"/>
      <c r="G2408" s="76"/>
      <c r="H2408" s="76"/>
      <c r="I2408" s="76"/>
      <c r="J2408" s="93"/>
      <c r="K2408" s="93"/>
      <c r="L2408" s="82"/>
      <c r="M2408" s="54"/>
      <c r="N2408" s="54"/>
      <c r="O2408" s="54"/>
      <c r="P2408" s="54"/>
      <c r="Q2408" s="54"/>
      <c r="R2408" s="54"/>
      <c r="S2408" s="54"/>
      <c r="T2408" s="54"/>
      <c r="U2408" s="54"/>
      <c r="V2408" s="54"/>
      <c r="W2408" s="54"/>
      <c r="X2408" s="54"/>
      <c r="Y2408" s="54"/>
      <c r="Z2408" s="54"/>
      <c r="AA2408" s="54"/>
      <c r="AB2408" s="54"/>
      <c r="AC2408" s="54"/>
      <c r="AD2408" s="54"/>
      <c r="AE2408" s="54"/>
    </row>
    <row r="2409">
      <c r="A2409" s="80"/>
      <c r="B2409" s="80"/>
      <c r="C2409" s="80"/>
      <c r="D2409" s="59"/>
      <c r="E2409" s="59"/>
      <c r="F2409" s="83"/>
      <c r="G2409" s="76"/>
      <c r="H2409" s="76"/>
      <c r="I2409" s="76"/>
      <c r="J2409" s="93"/>
      <c r="K2409" s="93"/>
      <c r="L2409" s="82"/>
      <c r="M2409" s="54"/>
      <c r="N2409" s="54"/>
      <c r="O2409" s="54"/>
      <c r="P2409" s="54"/>
      <c r="Q2409" s="54"/>
      <c r="R2409" s="54"/>
      <c r="S2409" s="54"/>
      <c r="T2409" s="54"/>
      <c r="U2409" s="54"/>
      <c r="V2409" s="54"/>
      <c r="W2409" s="54"/>
      <c r="X2409" s="54"/>
      <c r="Y2409" s="54"/>
      <c r="Z2409" s="54"/>
      <c r="AA2409" s="54"/>
      <c r="AB2409" s="54"/>
      <c r="AC2409" s="54"/>
      <c r="AD2409" s="54"/>
      <c r="AE2409" s="54"/>
    </row>
    <row r="2410">
      <c r="A2410" s="80"/>
      <c r="B2410" s="80"/>
      <c r="C2410" s="80"/>
      <c r="D2410" s="59"/>
      <c r="E2410" s="59"/>
      <c r="F2410" s="83"/>
      <c r="G2410" s="76"/>
      <c r="H2410" s="76"/>
      <c r="I2410" s="76"/>
      <c r="J2410" s="93"/>
      <c r="K2410" s="93"/>
      <c r="L2410" s="82"/>
      <c r="M2410" s="54"/>
      <c r="N2410" s="54"/>
      <c r="O2410" s="54"/>
      <c r="P2410" s="54"/>
      <c r="Q2410" s="54"/>
      <c r="R2410" s="54"/>
      <c r="S2410" s="54"/>
      <c r="T2410" s="54"/>
      <c r="U2410" s="54"/>
      <c r="V2410" s="54"/>
      <c r="W2410" s="54"/>
      <c r="X2410" s="54"/>
      <c r="Y2410" s="54"/>
      <c r="Z2410" s="54"/>
      <c r="AA2410" s="54"/>
      <c r="AB2410" s="54"/>
      <c r="AC2410" s="54"/>
      <c r="AD2410" s="54"/>
      <c r="AE2410" s="54"/>
    </row>
    <row r="2411">
      <c r="A2411" s="80"/>
      <c r="B2411" s="80"/>
      <c r="C2411" s="80"/>
      <c r="D2411" s="59"/>
      <c r="E2411" s="59"/>
      <c r="F2411" s="83"/>
      <c r="G2411" s="76"/>
      <c r="H2411" s="76"/>
      <c r="I2411" s="76"/>
      <c r="J2411" s="93"/>
      <c r="K2411" s="93"/>
      <c r="L2411" s="82"/>
      <c r="M2411" s="54"/>
      <c r="N2411" s="54"/>
      <c r="O2411" s="54"/>
      <c r="P2411" s="54"/>
      <c r="Q2411" s="54"/>
      <c r="R2411" s="54"/>
      <c r="S2411" s="54"/>
      <c r="T2411" s="54"/>
      <c r="U2411" s="54"/>
      <c r="V2411" s="54"/>
      <c r="W2411" s="54"/>
      <c r="X2411" s="54"/>
      <c r="Y2411" s="54"/>
      <c r="Z2411" s="54"/>
      <c r="AA2411" s="54"/>
      <c r="AB2411" s="54"/>
      <c r="AC2411" s="54"/>
      <c r="AD2411" s="54"/>
      <c r="AE2411" s="54"/>
    </row>
    <row r="2412">
      <c r="A2412" s="80"/>
      <c r="B2412" s="80"/>
      <c r="C2412" s="80"/>
      <c r="D2412" s="59"/>
      <c r="E2412" s="59"/>
      <c r="F2412" s="83"/>
      <c r="G2412" s="76"/>
      <c r="H2412" s="76"/>
      <c r="I2412" s="76"/>
      <c r="J2412" s="93"/>
      <c r="K2412" s="93"/>
      <c r="L2412" s="82"/>
      <c r="M2412" s="54"/>
      <c r="N2412" s="54"/>
      <c r="O2412" s="54"/>
      <c r="P2412" s="54"/>
      <c r="Q2412" s="54"/>
      <c r="R2412" s="54"/>
      <c r="S2412" s="54"/>
      <c r="T2412" s="54"/>
      <c r="U2412" s="54"/>
      <c r="V2412" s="54"/>
      <c r="W2412" s="54"/>
      <c r="X2412" s="54"/>
      <c r="Y2412" s="54"/>
      <c r="Z2412" s="54"/>
      <c r="AA2412" s="54"/>
      <c r="AB2412" s="54"/>
      <c r="AC2412" s="54"/>
      <c r="AD2412" s="54"/>
      <c r="AE2412" s="54"/>
    </row>
    <row r="2413">
      <c r="A2413" s="80"/>
      <c r="B2413" s="80"/>
      <c r="C2413" s="80"/>
      <c r="D2413" s="59"/>
      <c r="E2413" s="59"/>
      <c r="F2413" s="83"/>
      <c r="G2413" s="76"/>
      <c r="H2413" s="76"/>
      <c r="I2413" s="76"/>
      <c r="J2413" s="93"/>
      <c r="K2413" s="93"/>
      <c r="L2413" s="82"/>
      <c r="M2413" s="54"/>
      <c r="N2413" s="54"/>
      <c r="O2413" s="54"/>
      <c r="P2413" s="54"/>
      <c r="Q2413" s="54"/>
      <c r="R2413" s="54"/>
      <c r="S2413" s="54"/>
      <c r="T2413" s="54"/>
      <c r="U2413" s="54"/>
      <c r="V2413" s="54"/>
      <c r="W2413" s="54"/>
      <c r="X2413" s="54"/>
      <c r="Y2413" s="54"/>
      <c r="Z2413" s="54"/>
      <c r="AA2413" s="54"/>
      <c r="AB2413" s="54"/>
      <c r="AC2413" s="54"/>
      <c r="AD2413" s="54"/>
      <c r="AE2413" s="54"/>
    </row>
    <row r="2414">
      <c r="A2414" s="80"/>
      <c r="B2414" s="80"/>
      <c r="C2414" s="80"/>
      <c r="D2414" s="59"/>
      <c r="E2414" s="59"/>
      <c r="F2414" s="83"/>
      <c r="G2414" s="76"/>
      <c r="H2414" s="76"/>
      <c r="I2414" s="76"/>
      <c r="J2414" s="93"/>
      <c r="K2414" s="93"/>
      <c r="L2414" s="82"/>
      <c r="M2414" s="54"/>
      <c r="N2414" s="54"/>
      <c r="O2414" s="54"/>
      <c r="P2414" s="54"/>
      <c r="Q2414" s="54"/>
      <c r="R2414" s="54"/>
      <c r="S2414" s="54"/>
      <c r="T2414" s="54"/>
      <c r="U2414" s="54"/>
      <c r="V2414" s="54"/>
      <c r="W2414" s="54"/>
      <c r="X2414" s="54"/>
      <c r="Y2414" s="54"/>
      <c r="Z2414" s="54"/>
      <c r="AA2414" s="54"/>
      <c r="AB2414" s="54"/>
      <c r="AC2414" s="54"/>
      <c r="AD2414" s="54"/>
      <c r="AE2414" s="54"/>
    </row>
    <row r="2415">
      <c r="A2415" s="80"/>
      <c r="B2415" s="80"/>
      <c r="C2415" s="80"/>
      <c r="D2415" s="59"/>
      <c r="E2415" s="59"/>
      <c r="F2415" s="83"/>
      <c r="G2415" s="76"/>
      <c r="H2415" s="76"/>
      <c r="I2415" s="76"/>
      <c r="J2415" s="93"/>
      <c r="K2415" s="93"/>
      <c r="L2415" s="82"/>
      <c r="M2415" s="54"/>
      <c r="N2415" s="54"/>
      <c r="O2415" s="54"/>
      <c r="P2415" s="54"/>
      <c r="Q2415" s="54"/>
      <c r="R2415" s="54"/>
      <c r="S2415" s="54"/>
      <c r="T2415" s="54"/>
      <c r="U2415" s="54"/>
      <c r="V2415" s="54"/>
      <c r="W2415" s="54"/>
      <c r="X2415" s="54"/>
      <c r="Y2415" s="54"/>
      <c r="Z2415" s="54"/>
      <c r="AA2415" s="54"/>
      <c r="AB2415" s="54"/>
      <c r="AC2415" s="54"/>
      <c r="AD2415" s="54"/>
      <c r="AE2415" s="54"/>
    </row>
    <row r="2416">
      <c r="A2416" s="80"/>
      <c r="B2416" s="80"/>
      <c r="C2416" s="80"/>
      <c r="D2416" s="59"/>
      <c r="E2416" s="59"/>
      <c r="F2416" s="83"/>
      <c r="G2416" s="76"/>
      <c r="H2416" s="76"/>
      <c r="I2416" s="76"/>
      <c r="J2416" s="93"/>
      <c r="K2416" s="93"/>
      <c r="L2416" s="82"/>
      <c r="M2416" s="54"/>
      <c r="N2416" s="54"/>
      <c r="O2416" s="54"/>
      <c r="P2416" s="54"/>
      <c r="Q2416" s="54"/>
      <c r="R2416" s="54"/>
      <c r="S2416" s="54"/>
      <c r="T2416" s="54"/>
      <c r="U2416" s="54"/>
      <c r="V2416" s="54"/>
      <c r="W2416" s="54"/>
      <c r="X2416" s="54"/>
      <c r="Y2416" s="54"/>
      <c r="Z2416" s="54"/>
      <c r="AA2416" s="54"/>
      <c r="AB2416" s="54"/>
      <c r="AC2416" s="54"/>
      <c r="AD2416" s="54"/>
      <c r="AE2416" s="54"/>
    </row>
    <row r="2417">
      <c r="A2417" s="80"/>
      <c r="B2417" s="80"/>
      <c r="C2417" s="80"/>
      <c r="D2417" s="59"/>
      <c r="E2417" s="59"/>
      <c r="F2417" s="83"/>
      <c r="G2417" s="76"/>
      <c r="H2417" s="76"/>
      <c r="I2417" s="76"/>
      <c r="J2417" s="93"/>
      <c r="K2417" s="93"/>
      <c r="L2417" s="82"/>
      <c r="M2417" s="54"/>
      <c r="N2417" s="54"/>
      <c r="O2417" s="54"/>
      <c r="P2417" s="54"/>
      <c r="Q2417" s="54"/>
      <c r="R2417" s="54"/>
      <c r="S2417" s="54"/>
      <c r="T2417" s="54"/>
      <c r="U2417" s="54"/>
      <c r="V2417" s="54"/>
      <c r="W2417" s="54"/>
      <c r="X2417" s="54"/>
      <c r="Y2417" s="54"/>
      <c r="Z2417" s="54"/>
      <c r="AA2417" s="54"/>
      <c r="AB2417" s="54"/>
      <c r="AC2417" s="54"/>
      <c r="AD2417" s="54"/>
      <c r="AE2417" s="54"/>
    </row>
    <row r="2418">
      <c r="A2418" s="80"/>
      <c r="B2418" s="80"/>
      <c r="C2418" s="80"/>
      <c r="D2418" s="59"/>
      <c r="E2418" s="59"/>
      <c r="F2418" s="83"/>
      <c r="G2418" s="76"/>
      <c r="H2418" s="76"/>
      <c r="I2418" s="76"/>
      <c r="J2418" s="93"/>
      <c r="K2418" s="93"/>
      <c r="L2418" s="82"/>
      <c r="M2418" s="54"/>
      <c r="N2418" s="54"/>
      <c r="O2418" s="54"/>
      <c r="P2418" s="54"/>
      <c r="Q2418" s="54"/>
      <c r="R2418" s="54"/>
      <c r="S2418" s="54"/>
      <c r="T2418" s="54"/>
      <c r="U2418" s="54"/>
      <c r="V2418" s="54"/>
      <c r="W2418" s="54"/>
      <c r="X2418" s="54"/>
      <c r="Y2418" s="54"/>
      <c r="Z2418" s="54"/>
      <c r="AA2418" s="54"/>
      <c r="AB2418" s="54"/>
      <c r="AC2418" s="54"/>
      <c r="AD2418" s="54"/>
      <c r="AE2418" s="54"/>
    </row>
    <row r="2419">
      <c r="A2419" s="80"/>
      <c r="B2419" s="80"/>
      <c r="C2419" s="80"/>
      <c r="D2419" s="59"/>
      <c r="E2419" s="59"/>
      <c r="F2419" s="83"/>
      <c r="G2419" s="76"/>
      <c r="H2419" s="76"/>
      <c r="I2419" s="76"/>
      <c r="J2419" s="93"/>
      <c r="K2419" s="93"/>
      <c r="L2419" s="82"/>
      <c r="M2419" s="54"/>
      <c r="N2419" s="54"/>
      <c r="O2419" s="54"/>
      <c r="P2419" s="54"/>
      <c r="Q2419" s="54"/>
      <c r="R2419" s="54"/>
      <c r="S2419" s="54"/>
      <c r="T2419" s="54"/>
      <c r="U2419" s="54"/>
      <c r="V2419" s="54"/>
      <c r="W2419" s="54"/>
      <c r="X2419" s="54"/>
      <c r="Y2419" s="54"/>
      <c r="Z2419" s="54"/>
      <c r="AA2419" s="54"/>
      <c r="AB2419" s="54"/>
      <c r="AC2419" s="54"/>
      <c r="AD2419" s="54"/>
      <c r="AE2419" s="54"/>
    </row>
    <row r="2420">
      <c r="A2420" s="80"/>
      <c r="B2420" s="80"/>
      <c r="C2420" s="80"/>
      <c r="D2420" s="59"/>
      <c r="E2420" s="59"/>
      <c r="F2420" s="83"/>
      <c r="G2420" s="76"/>
      <c r="H2420" s="76"/>
      <c r="I2420" s="76"/>
      <c r="J2420" s="93"/>
      <c r="K2420" s="93"/>
      <c r="L2420" s="82"/>
      <c r="M2420" s="54"/>
      <c r="N2420" s="54"/>
      <c r="O2420" s="54"/>
      <c r="P2420" s="54"/>
      <c r="Q2420" s="54"/>
      <c r="R2420" s="54"/>
      <c r="S2420" s="54"/>
      <c r="T2420" s="54"/>
      <c r="U2420" s="54"/>
      <c r="V2420" s="54"/>
      <c r="W2420" s="54"/>
      <c r="X2420" s="54"/>
      <c r="Y2420" s="54"/>
      <c r="Z2420" s="54"/>
      <c r="AA2420" s="54"/>
      <c r="AB2420" s="54"/>
      <c r="AC2420" s="54"/>
      <c r="AD2420" s="54"/>
      <c r="AE2420" s="54"/>
    </row>
    <row r="2421">
      <c r="A2421" s="80"/>
      <c r="B2421" s="80"/>
      <c r="C2421" s="80"/>
      <c r="D2421" s="59"/>
      <c r="E2421" s="59"/>
      <c r="F2421" s="83"/>
      <c r="G2421" s="76"/>
      <c r="H2421" s="76"/>
      <c r="I2421" s="76"/>
      <c r="J2421" s="93"/>
      <c r="K2421" s="93"/>
      <c r="L2421" s="82"/>
      <c r="M2421" s="54"/>
      <c r="N2421" s="54"/>
      <c r="O2421" s="54"/>
      <c r="P2421" s="54"/>
      <c r="Q2421" s="54"/>
      <c r="R2421" s="54"/>
      <c r="S2421" s="54"/>
      <c r="T2421" s="54"/>
      <c r="U2421" s="54"/>
      <c r="V2421" s="54"/>
      <c r="W2421" s="54"/>
      <c r="X2421" s="54"/>
      <c r="Y2421" s="54"/>
      <c r="Z2421" s="54"/>
      <c r="AA2421" s="54"/>
      <c r="AB2421" s="54"/>
      <c r="AC2421" s="54"/>
      <c r="AD2421" s="54"/>
      <c r="AE2421" s="54"/>
    </row>
    <row r="2422">
      <c r="A2422" s="80"/>
      <c r="B2422" s="80"/>
      <c r="C2422" s="80"/>
      <c r="D2422" s="59"/>
      <c r="E2422" s="59"/>
      <c r="F2422" s="83"/>
      <c r="G2422" s="76"/>
      <c r="H2422" s="76"/>
      <c r="I2422" s="76"/>
      <c r="J2422" s="93"/>
      <c r="K2422" s="93"/>
      <c r="L2422" s="82"/>
      <c r="M2422" s="54"/>
      <c r="N2422" s="54"/>
      <c r="O2422" s="54"/>
      <c r="P2422" s="54"/>
      <c r="Q2422" s="54"/>
      <c r="R2422" s="54"/>
      <c r="S2422" s="54"/>
      <c r="T2422" s="54"/>
      <c r="U2422" s="54"/>
      <c r="V2422" s="54"/>
      <c r="W2422" s="54"/>
      <c r="X2422" s="54"/>
      <c r="Y2422" s="54"/>
      <c r="Z2422" s="54"/>
      <c r="AA2422" s="54"/>
      <c r="AB2422" s="54"/>
      <c r="AC2422" s="54"/>
      <c r="AD2422" s="54"/>
      <c r="AE2422" s="54"/>
    </row>
    <row r="2423">
      <c r="A2423" s="80"/>
      <c r="B2423" s="80"/>
      <c r="C2423" s="80"/>
      <c r="D2423" s="59"/>
      <c r="E2423" s="59"/>
      <c r="F2423" s="83"/>
      <c r="G2423" s="76"/>
      <c r="H2423" s="76"/>
      <c r="I2423" s="76"/>
      <c r="J2423" s="93"/>
      <c r="K2423" s="93"/>
      <c r="L2423" s="82"/>
      <c r="M2423" s="54"/>
      <c r="N2423" s="54"/>
      <c r="O2423" s="54"/>
      <c r="P2423" s="54"/>
      <c r="Q2423" s="54"/>
      <c r="R2423" s="54"/>
      <c r="S2423" s="54"/>
      <c r="T2423" s="54"/>
      <c r="U2423" s="54"/>
      <c r="V2423" s="54"/>
      <c r="W2423" s="54"/>
      <c r="X2423" s="54"/>
      <c r="Y2423" s="54"/>
      <c r="Z2423" s="54"/>
      <c r="AA2423" s="54"/>
      <c r="AB2423" s="54"/>
      <c r="AC2423" s="54"/>
      <c r="AD2423" s="54"/>
      <c r="AE2423" s="54"/>
    </row>
    <row r="2424">
      <c r="A2424" s="80"/>
      <c r="B2424" s="80"/>
      <c r="C2424" s="80"/>
      <c r="D2424" s="59"/>
      <c r="E2424" s="59"/>
      <c r="F2424" s="83"/>
      <c r="G2424" s="76"/>
      <c r="H2424" s="76"/>
      <c r="I2424" s="76"/>
      <c r="J2424" s="93"/>
      <c r="K2424" s="93"/>
      <c r="L2424" s="82"/>
      <c r="M2424" s="54"/>
      <c r="N2424" s="54"/>
      <c r="O2424" s="54"/>
      <c r="P2424" s="54"/>
      <c r="Q2424" s="54"/>
      <c r="R2424" s="54"/>
      <c r="S2424" s="54"/>
      <c r="T2424" s="54"/>
      <c r="U2424" s="54"/>
      <c r="V2424" s="54"/>
      <c r="W2424" s="54"/>
      <c r="X2424" s="54"/>
      <c r="Y2424" s="54"/>
      <c r="Z2424" s="54"/>
      <c r="AA2424" s="54"/>
      <c r="AB2424" s="54"/>
      <c r="AC2424" s="54"/>
      <c r="AD2424" s="54"/>
      <c r="AE2424" s="54"/>
    </row>
    <row r="2425">
      <c r="A2425" s="80"/>
      <c r="B2425" s="80"/>
      <c r="C2425" s="80"/>
      <c r="D2425" s="59"/>
      <c r="E2425" s="59"/>
      <c r="F2425" s="83"/>
      <c r="G2425" s="76"/>
      <c r="H2425" s="76"/>
      <c r="I2425" s="76"/>
      <c r="J2425" s="93"/>
      <c r="K2425" s="93"/>
      <c r="L2425" s="82"/>
      <c r="M2425" s="54"/>
      <c r="N2425" s="54"/>
      <c r="O2425" s="54"/>
      <c r="P2425" s="54"/>
      <c r="Q2425" s="54"/>
      <c r="R2425" s="54"/>
      <c r="S2425" s="54"/>
      <c r="T2425" s="54"/>
      <c r="U2425" s="54"/>
      <c r="V2425" s="54"/>
      <c r="W2425" s="54"/>
      <c r="X2425" s="54"/>
      <c r="Y2425" s="54"/>
      <c r="Z2425" s="54"/>
      <c r="AA2425" s="54"/>
      <c r="AB2425" s="54"/>
      <c r="AC2425" s="54"/>
      <c r="AD2425" s="54"/>
      <c r="AE2425" s="54"/>
    </row>
    <row r="2426">
      <c r="A2426" s="80"/>
      <c r="B2426" s="80"/>
      <c r="C2426" s="80"/>
      <c r="D2426" s="59"/>
      <c r="E2426" s="59"/>
      <c r="F2426" s="83"/>
      <c r="G2426" s="76"/>
      <c r="H2426" s="76"/>
      <c r="I2426" s="76"/>
      <c r="J2426" s="93"/>
      <c r="K2426" s="93"/>
      <c r="L2426" s="82"/>
      <c r="M2426" s="54"/>
      <c r="N2426" s="54"/>
      <c r="O2426" s="54"/>
      <c r="P2426" s="54"/>
      <c r="Q2426" s="54"/>
      <c r="R2426" s="54"/>
      <c r="S2426" s="54"/>
      <c r="T2426" s="54"/>
      <c r="U2426" s="54"/>
      <c r="V2426" s="54"/>
      <c r="W2426" s="54"/>
      <c r="X2426" s="54"/>
      <c r="Y2426" s="54"/>
      <c r="Z2426" s="54"/>
      <c r="AA2426" s="54"/>
      <c r="AB2426" s="54"/>
      <c r="AC2426" s="54"/>
      <c r="AD2426" s="54"/>
      <c r="AE2426" s="54"/>
    </row>
    <row r="2427">
      <c r="A2427" s="80"/>
      <c r="B2427" s="80"/>
      <c r="C2427" s="80"/>
      <c r="D2427" s="59"/>
      <c r="E2427" s="59"/>
      <c r="F2427" s="83"/>
      <c r="G2427" s="76"/>
      <c r="H2427" s="76"/>
      <c r="I2427" s="76"/>
      <c r="J2427" s="93"/>
      <c r="K2427" s="93"/>
      <c r="L2427" s="82"/>
      <c r="M2427" s="54"/>
      <c r="N2427" s="54"/>
      <c r="O2427" s="54"/>
      <c r="P2427" s="54"/>
      <c r="Q2427" s="54"/>
      <c r="R2427" s="54"/>
      <c r="S2427" s="54"/>
      <c r="T2427" s="54"/>
      <c r="U2427" s="54"/>
      <c r="V2427" s="54"/>
      <c r="W2427" s="54"/>
      <c r="X2427" s="54"/>
      <c r="Y2427" s="54"/>
      <c r="Z2427" s="54"/>
      <c r="AA2427" s="54"/>
      <c r="AB2427" s="54"/>
      <c r="AC2427" s="54"/>
      <c r="AD2427" s="54"/>
      <c r="AE2427" s="54"/>
    </row>
    <row r="2428">
      <c r="A2428" s="80"/>
      <c r="B2428" s="80"/>
      <c r="C2428" s="80"/>
      <c r="D2428" s="59"/>
      <c r="E2428" s="59"/>
      <c r="F2428" s="83"/>
      <c r="G2428" s="76"/>
      <c r="H2428" s="76"/>
      <c r="I2428" s="76"/>
      <c r="J2428" s="93"/>
      <c r="K2428" s="93"/>
      <c r="L2428" s="82"/>
      <c r="M2428" s="54"/>
      <c r="N2428" s="54"/>
      <c r="O2428" s="54"/>
      <c r="P2428" s="54"/>
      <c r="Q2428" s="54"/>
      <c r="R2428" s="54"/>
      <c r="S2428" s="54"/>
      <c r="T2428" s="54"/>
      <c r="U2428" s="54"/>
      <c r="V2428" s="54"/>
      <c r="W2428" s="54"/>
      <c r="X2428" s="54"/>
      <c r="Y2428" s="54"/>
      <c r="Z2428" s="54"/>
      <c r="AA2428" s="54"/>
      <c r="AB2428" s="54"/>
      <c r="AC2428" s="54"/>
      <c r="AD2428" s="54"/>
      <c r="AE2428" s="54"/>
    </row>
    <row r="2429">
      <c r="A2429" s="80"/>
      <c r="B2429" s="80"/>
      <c r="C2429" s="80"/>
      <c r="D2429" s="59"/>
      <c r="E2429" s="59"/>
      <c r="F2429" s="83"/>
      <c r="G2429" s="76"/>
      <c r="H2429" s="76"/>
      <c r="I2429" s="76"/>
      <c r="J2429" s="93"/>
      <c r="K2429" s="93"/>
      <c r="L2429" s="82"/>
      <c r="M2429" s="54"/>
      <c r="N2429" s="54"/>
      <c r="O2429" s="54"/>
      <c r="P2429" s="54"/>
      <c r="Q2429" s="54"/>
      <c r="R2429" s="54"/>
      <c r="S2429" s="54"/>
      <c r="T2429" s="54"/>
      <c r="U2429" s="54"/>
      <c r="V2429" s="54"/>
      <c r="W2429" s="54"/>
      <c r="X2429" s="54"/>
      <c r="Y2429" s="54"/>
      <c r="Z2429" s="54"/>
      <c r="AA2429" s="54"/>
      <c r="AB2429" s="54"/>
      <c r="AC2429" s="54"/>
      <c r="AD2429" s="54"/>
      <c r="AE2429" s="54"/>
    </row>
    <row r="2430">
      <c r="A2430" s="80"/>
      <c r="B2430" s="80"/>
      <c r="C2430" s="80"/>
      <c r="D2430" s="59"/>
      <c r="E2430" s="59"/>
      <c r="F2430" s="83"/>
      <c r="G2430" s="76"/>
      <c r="H2430" s="76"/>
      <c r="I2430" s="76"/>
      <c r="J2430" s="93"/>
      <c r="K2430" s="93"/>
      <c r="L2430" s="82"/>
      <c r="M2430" s="54"/>
      <c r="N2430" s="54"/>
      <c r="O2430" s="54"/>
      <c r="P2430" s="54"/>
      <c r="Q2430" s="54"/>
      <c r="R2430" s="54"/>
      <c r="S2430" s="54"/>
      <c r="T2430" s="54"/>
      <c r="U2430" s="54"/>
      <c r="V2430" s="54"/>
      <c r="W2430" s="54"/>
      <c r="X2430" s="54"/>
      <c r="Y2430" s="54"/>
      <c r="Z2430" s="54"/>
      <c r="AA2430" s="54"/>
      <c r="AB2430" s="54"/>
      <c r="AC2430" s="54"/>
      <c r="AD2430" s="54"/>
      <c r="AE2430" s="54"/>
    </row>
    <row r="2431">
      <c r="A2431" s="80"/>
      <c r="B2431" s="80"/>
      <c r="C2431" s="80"/>
      <c r="D2431" s="59"/>
      <c r="E2431" s="59"/>
      <c r="F2431" s="83"/>
      <c r="G2431" s="76"/>
      <c r="H2431" s="76"/>
      <c r="I2431" s="76"/>
      <c r="J2431" s="93"/>
      <c r="K2431" s="93"/>
      <c r="L2431" s="82"/>
      <c r="M2431" s="54"/>
      <c r="N2431" s="54"/>
      <c r="O2431" s="54"/>
      <c r="P2431" s="54"/>
      <c r="Q2431" s="54"/>
      <c r="R2431" s="54"/>
      <c r="S2431" s="54"/>
      <c r="T2431" s="54"/>
      <c r="U2431" s="54"/>
      <c r="V2431" s="54"/>
      <c r="W2431" s="54"/>
      <c r="X2431" s="54"/>
      <c r="Y2431" s="54"/>
      <c r="Z2431" s="54"/>
      <c r="AA2431" s="54"/>
      <c r="AB2431" s="54"/>
      <c r="AC2431" s="54"/>
      <c r="AD2431" s="54"/>
      <c r="AE2431" s="54"/>
    </row>
    <row r="2432">
      <c r="A2432" s="80"/>
      <c r="B2432" s="80"/>
      <c r="C2432" s="80"/>
      <c r="D2432" s="59"/>
      <c r="E2432" s="59"/>
      <c r="F2432" s="83"/>
      <c r="G2432" s="76"/>
      <c r="H2432" s="76"/>
      <c r="I2432" s="76"/>
      <c r="J2432" s="93"/>
      <c r="K2432" s="93"/>
      <c r="L2432" s="82"/>
      <c r="M2432" s="54"/>
      <c r="N2432" s="54"/>
      <c r="O2432" s="54"/>
      <c r="P2432" s="54"/>
      <c r="Q2432" s="54"/>
      <c r="R2432" s="54"/>
      <c r="S2432" s="54"/>
      <c r="T2432" s="54"/>
      <c r="U2432" s="54"/>
      <c r="V2432" s="54"/>
      <c r="W2432" s="54"/>
      <c r="X2432" s="54"/>
      <c r="Y2432" s="54"/>
      <c r="Z2432" s="54"/>
      <c r="AA2432" s="54"/>
      <c r="AB2432" s="54"/>
      <c r="AC2432" s="54"/>
      <c r="AD2432" s="54"/>
      <c r="AE2432" s="54"/>
    </row>
    <row r="2433">
      <c r="A2433" s="80"/>
      <c r="B2433" s="80"/>
      <c r="C2433" s="80"/>
      <c r="D2433" s="59"/>
      <c r="E2433" s="59"/>
      <c r="F2433" s="83"/>
      <c r="G2433" s="76"/>
      <c r="H2433" s="76"/>
      <c r="I2433" s="76"/>
      <c r="J2433" s="93"/>
      <c r="K2433" s="93"/>
      <c r="L2433" s="82"/>
      <c r="M2433" s="54"/>
      <c r="N2433" s="54"/>
      <c r="O2433" s="54"/>
      <c r="P2433" s="54"/>
      <c r="Q2433" s="54"/>
      <c r="R2433" s="54"/>
      <c r="S2433" s="54"/>
      <c r="T2433" s="54"/>
      <c r="U2433" s="54"/>
      <c r="V2433" s="54"/>
      <c r="W2433" s="54"/>
      <c r="X2433" s="54"/>
      <c r="Y2433" s="54"/>
      <c r="Z2433" s="54"/>
      <c r="AA2433" s="54"/>
      <c r="AB2433" s="54"/>
      <c r="AC2433" s="54"/>
      <c r="AD2433" s="54"/>
      <c r="AE2433" s="54"/>
    </row>
    <row r="2434">
      <c r="A2434" s="80"/>
      <c r="B2434" s="80"/>
      <c r="C2434" s="80"/>
      <c r="D2434" s="59"/>
      <c r="E2434" s="59"/>
      <c r="F2434" s="83"/>
      <c r="G2434" s="76"/>
      <c r="H2434" s="76"/>
      <c r="I2434" s="76"/>
      <c r="J2434" s="93"/>
      <c r="K2434" s="93"/>
      <c r="L2434" s="82"/>
      <c r="M2434" s="54"/>
      <c r="N2434" s="54"/>
      <c r="O2434" s="54"/>
      <c r="P2434" s="54"/>
      <c r="Q2434" s="54"/>
      <c r="R2434" s="54"/>
      <c r="S2434" s="54"/>
      <c r="T2434" s="54"/>
      <c r="U2434" s="54"/>
      <c r="V2434" s="54"/>
      <c r="W2434" s="54"/>
      <c r="X2434" s="54"/>
      <c r="Y2434" s="54"/>
      <c r="Z2434" s="54"/>
      <c r="AA2434" s="54"/>
      <c r="AB2434" s="54"/>
      <c r="AC2434" s="54"/>
      <c r="AD2434" s="54"/>
      <c r="AE2434" s="54"/>
    </row>
    <row r="2435">
      <c r="A2435" s="80"/>
      <c r="B2435" s="80"/>
      <c r="C2435" s="80"/>
      <c r="D2435" s="59"/>
      <c r="E2435" s="59"/>
      <c r="F2435" s="83"/>
      <c r="G2435" s="76"/>
      <c r="H2435" s="76"/>
      <c r="I2435" s="76"/>
      <c r="J2435" s="93"/>
      <c r="K2435" s="93"/>
      <c r="L2435" s="82"/>
      <c r="M2435" s="54"/>
      <c r="N2435" s="54"/>
      <c r="O2435" s="54"/>
      <c r="P2435" s="54"/>
      <c r="Q2435" s="54"/>
      <c r="R2435" s="54"/>
      <c r="S2435" s="54"/>
      <c r="T2435" s="54"/>
      <c r="U2435" s="54"/>
      <c r="V2435" s="54"/>
      <c r="W2435" s="54"/>
      <c r="X2435" s="54"/>
      <c r="Y2435" s="54"/>
      <c r="Z2435" s="54"/>
      <c r="AA2435" s="54"/>
      <c r="AB2435" s="54"/>
      <c r="AC2435" s="54"/>
      <c r="AD2435" s="54"/>
      <c r="AE2435" s="54"/>
    </row>
    <row r="2436">
      <c r="A2436" s="80"/>
      <c r="B2436" s="80"/>
      <c r="C2436" s="80"/>
      <c r="D2436" s="59"/>
      <c r="E2436" s="59"/>
      <c r="F2436" s="83"/>
      <c r="G2436" s="76"/>
      <c r="H2436" s="76"/>
      <c r="I2436" s="76"/>
      <c r="J2436" s="93"/>
      <c r="K2436" s="93"/>
      <c r="L2436" s="82"/>
      <c r="M2436" s="54"/>
      <c r="N2436" s="54"/>
      <c r="O2436" s="54"/>
      <c r="P2436" s="54"/>
      <c r="Q2436" s="54"/>
      <c r="R2436" s="54"/>
      <c r="S2436" s="54"/>
      <c r="T2436" s="54"/>
      <c r="U2436" s="54"/>
      <c r="V2436" s="54"/>
      <c r="W2436" s="54"/>
      <c r="X2436" s="54"/>
      <c r="Y2436" s="54"/>
      <c r="Z2436" s="54"/>
      <c r="AA2436" s="54"/>
      <c r="AB2436" s="54"/>
      <c r="AC2436" s="54"/>
      <c r="AD2436" s="54"/>
      <c r="AE2436" s="54"/>
    </row>
    <row r="2437">
      <c r="A2437" s="80"/>
      <c r="B2437" s="80"/>
      <c r="C2437" s="80"/>
      <c r="D2437" s="59"/>
      <c r="E2437" s="59"/>
      <c r="F2437" s="83"/>
      <c r="G2437" s="76"/>
      <c r="H2437" s="76"/>
      <c r="I2437" s="76"/>
      <c r="J2437" s="93"/>
      <c r="K2437" s="93"/>
      <c r="L2437" s="82"/>
      <c r="M2437" s="54"/>
      <c r="N2437" s="54"/>
      <c r="O2437" s="54"/>
      <c r="P2437" s="54"/>
      <c r="Q2437" s="54"/>
      <c r="R2437" s="54"/>
      <c r="S2437" s="54"/>
      <c r="T2437" s="54"/>
      <c r="U2437" s="54"/>
      <c r="V2437" s="54"/>
      <c r="W2437" s="54"/>
      <c r="X2437" s="54"/>
      <c r="Y2437" s="54"/>
      <c r="Z2437" s="54"/>
      <c r="AA2437" s="54"/>
      <c r="AB2437" s="54"/>
      <c r="AC2437" s="54"/>
      <c r="AD2437" s="54"/>
      <c r="AE2437" s="54"/>
    </row>
    <row r="2438">
      <c r="A2438" s="80"/>
      <c r="B2438" s="80"/>
      <c r="C2438" s="80"/>
      <c r="D2438" s="59"/>
      <c r="E2438" s="59"/>
      <c r="F2438" s="83"/>
      <c r="G2438" s="76"/>
      <c r="H2438" s="76"/>
      <c r="I2438" s="76"/>
      <c r="J2438" s="93"/>
      <c r="K2438" s="93"/>
      <c r="L2438" s="82"/>
      <c r="M2438" s="54"/>
      <c r="N2438" s="54"/>
      <c r="O2438" s="54"/>
      <c r="P2438" s="54"/>
      <c r="Q2438" s="54"/>
      <c r="R2438" s="54"/>
      <c r="S2438" s="54"/>
      <c r="T2438" s="54"/>
      <c r="U2438" s="54"/>
      <c r="V2438" s="54"/>
      <c r="W2438" s="54"/>
      <c r="X2438" s="54"/>
      <c r="Y2438" s="54"/>
      <c r="Z2438" s="54"/>
      <c r="AA2438" s="54"/>
      <c r="AB2438" s="54"/>
      <c r="AC2438" s="54"/>
      <c r="AD2438" s="54"/>
      <c r="AE2438" s="54"/>
    </row>
    <row r="2439">
      <c r="A2439" s="80"/>
      <c r="B2439" s="80"/>
      <c r="C2439" s="80"/>
      <c r="D2439" s="59"/>
      <c r="E2439" s="59"/>
      <c r="F2439" s="83"/>
      <c r="G2439" s="76"/>
      <c r="H2439" s="76"/>
      <c r="I2439" s="76"/>
      <c r="J2439" s="93"/>
      <c r="K2439" s="93"/>
      <c r="L2439" s="82"/>
      <c r="M2439" s="54"/>
      <c r="N2439" s="54"/>
      <c r="O2439" s="54"/>
      <c r="P2439" s="54"/>
      <c r="Q2439" s="54"/>
      <c r="R2439" s="54"/>
      <c r="S2439" s="54"/>
      <c r="T2439" s="54"/>
      <c r="U2439" s="54"/>
      <c r="V2439" s="54"/>
      <c r="W2439" s="54"/>
      <c r="X2439" s="54"/>
      <c r="Y2439" s="54"/>
      <c r="Z2439" s="54"/>
      <c r="AA2439" s="54"/>
      <c r="AB2439" s="54"/>
      <c r="AC2439" s="54"/>
      <c r="AD2439" s="54"/>
      <c r="AE2439" s="54"/>
    </row>
    <row r="2440">
      <c r="A2440" s="80"/>
      <c r="B2440" s="80"/>
      <c r="C2440" s="80"/>
      <c r="D2440" s="59"/>
      <c r="E2440" s="59"/>
      <c r="F2440" s="83"/>
      <c r="G2440" s="76"/>
      <c r="H2440" s="76"/>
      <c r="I2440" s="76"/>
      <c r="J2440" s="93"/>
      <c r="K2440" s="93"/>
      <c r="L2440" s="82"/>
      <c r="M2440" s="54"/>
      <c r="N2440" s="54"/>
      <c r="O2440" s="54"/>
      <c r="P2440" s="54"/>
      <c r="Q2440" s="54"/>
      <c r="R2440" s="54"/>
      <c r="S2440" s="54"/>
      <c r="T2440" s="54"/>
      <c r="U2440" s="54"/>
      <c r="V2440" s="54"/>
      <c r="W2440" s="54"/>
      <c r="X2440" s="54"/>
      <c r="Y2440" s="54"/>
      <c r="Z2440" s="54"/>
      <c r="AA2440" s="54"/>
      <c r="AB2440" s="54"/>
      <c r="AC2440" s="54"/>
      <c r="AD2440" s="54"/>
      <c r="AE2440" s="54"/>
    </row>
    <row r="2441">
      <c r="A2441" s="80"/>
      <c r="B2441" s="80"/>
      <c r="C2441" s="80"/>
      <c r="D2441" s="59"/>
      <c r="E2441" s="59"/>
      <c r="F2441" s="83"/>
      <c r="G2441" s="76"/>
      <c r="H2441" s="76"/>
      <c r="I2441" s="76"/>
      <c r="J2441" s="93"/>
      <c r="K2441" s="93"/>
      <c r="L2441" s="82"/>
      <c r="M2441" s="54"/>
      <c r="N2441" s="54"/>
      <c r="O2441" s="54"/>
      <c r="P2441" s="54"/>
      <c r="Q2441" s="54"/>
      <c r="R2441" s="54"/>
      <c r="S2441" s="54"/>
      <c r="T2441" s="54"/>
      <c r="U2441" s="54"/>
      <c r="V2441" s="54"/>
      <c r="W2441" s="54"/>
      <c r="X2441" s="54"/>
      <c r="Y2441" s="54"/>
      <c r="Z2441" s="54"/>
      <c r="AA2441" s="54"/>
      <c r="AB2441" s="54"/>
      <c r="AC2441" s="54"/>
      <c r="AD2441" s="54"/>
      <c r="AE2441" s="54"/>
    </row>
    <row r="2442">
      <c r="A2442" s="80"/>
      <c r="B2442" s="80"/>
      <c r="C2442" s="80"/>
      <c r="D2442" s="59"/>
      <c r="E2442" s="59"/>
      <c r="F2442" s="83"/>
      <c r="G2442" s="76"/>
      <c r="H2442" s="76"/>
      <c r="I2442" s="76"/>
      <c r="J2442" s="93"/>
      <c r="K2442" s="93"/>
      <c r="L2442" s="82"/>
      <c r="M2442" s="54"/>
      <c r="N2442" s="54"/>
      <c r="O2442" s="54"/>
      <c r="P2442" s="54"/>
      <c r="Q2442" s="54"/>
      <c r="R2442" s="54"/>
      <c r="S2442" s="54"/>
      <c r="T2442" s="54"/>
      <c r="U2442" s="54"/>
      <c r="V2442" s="54"/>
      <c r="W2442" s="54"/>
      <c r="X2442" s="54"/>
      <c r="Y2442" s="54"/>
      <c r="Z2442" s="54"/>
      <c r="AA2442" s="54"/>
      <c r="AB2442" s="54"/>
      <c r="AC2442" s="54"/>
      <c r="AD2442" s="54"/>
      <c r="AE2442" s="54"/>
    </row>
    <row r="2443">
      <c r="A2443" s="80"/>
      <c r="B2443" s="80"/>
      <c r="C2443" s="80"/>
      <c r="D2443" s="59"/>
      <c r="E2443" s="59"/>
      <c r="F2443" s="83"/>
      <c r="G2443" s="76"/>
      <c r="H2443" s="76"/>
      <c r="I2443" s="76"/>
      <c r="J2443" s="93"/>
      <c r="K2443" s="93"/>
      <c r="L2443" s="82"/>
      <c r="M2443" s="54"/>
      <c r="N2443" s="54"/>
      <c r="O2443" s="54"/>
      <c r="P2443" s="54"/>
      <c r="Q2443" s="54"/>
      <c r="R2443" s="54"/>
      <c r="S2443" s="54"/>
      <c r="T2443" s="54"/>
      <c r="U2443" s="54"/>
      <c r="V2443" s="54"/>
      <c r="W2443" s="54"/>
      <c r="X2443" s="54"/>
      <c r="Y2443" s="54"/>
      <c r="Z2443" s="54"/>
      <c r="AA2443" s="54"/>
      <c r="AB2443" s="54"/>
      <c r="AC2443" s="54"/>
      <c r="AD2443" s="54"/>
      <c r="AE2443" s="54"/>
    </row>
    <row r="2444">
      <c r="A2444" s="80"/>
      <c r="B2444" s="80"/>
      <c r="C2444" s="80"/>
      <c r="D2444" s="59"/>
      <c r="E2444" s="59"/>
      <c r="F2444" s="83"/>
      <c r="G2444" s="76"/>
      <c r="H2444" s="76"/>
      <c r="I2444" s="76"/>
      <c r="J2444" s="93"/>
      <c r="K2444" s="93"/>
      <c r="L2444" s="82"/>
      <c r="M2444" s="54"/>
      <c r="N2444" s="54"/>
      <c r="O2444" s="54"/>
      <c r="P2444" s="54"/>
      <c r="Q2444" s="54"/>
      <c r="R2444" s="54"/>
      <c r="S2444" s="54"/>
      <c r="T2444" s="54"/>
      <c r="U2444" s="54"/>
      <c r="V2444" s="54"/>
      <c r="W2444" s="54"/>
      <c r="X2444" s="54"/>
      <c r="Y2444" s="54"/>
      <c r="Z2444" s="54"/>
      <c r="AA2444" s="54"/>
      <c r="AB2444" s="54"/>
      <c r="AC2444" s="54"/>
      <c r="AD2444" s="54"/>
      <c r="AE2444" s="54"/>
    </row>
    <row r="2445">
      <c r="A2445" s="80"/>
      <c r="B2445" s="80"/>
      <c r="C2445" s="80"/>
      <c r="D2445" s="59"/>
      <c r="E2445" s="59"/>
      <c r="F2445" s="83"/>
      <c r="G2445" s="76"/>
      <c r="H2445" s="76"/>
      <c r="I2445" s="76"/>
      <c r="J2445" s="93"/>
      <c r="K2445" s="93"/>
      <c r="L2445" s="82"/>
      <c r="M2445" s="54"/>
      <c r="N2445" s="54"/>
      <c r="O2445" s="54"/>
      <c r="P2445" s="54"/>
      <c r="Q2445" s="54"/>
      <c r="R2445" s="54"/>
      <c r="S2445" s="54"/>
      <c r="T2445" s="54"/>
      <c r="U2445" s="54"/>
      <c r="V2445" s="54"/>
      <c r="W2445" s="54"/>
      <c r="X2445" s="54"/>
      <c r="Y2445" s="54"/>
      <c r="Z2445" s="54"/>
      <c r="AA2445" s="54"/>
      <c r="AB2445" s="54"/>
      <c r="AC2445" s="54"/>
      <c r="AD2445" s="54"/>
      <c r="AE2445" s="54"/>
    </row>
    <row r="2446">
      <c r="A2446" s="80"/>
      <c r="B2446" s="80"/>
      <c r="C2446" s="80"/>
      <c r="D2446" s="59"/>
      <c r="E2446" s="59"/>
      <c r="F2446" s="83"/>
      <c r="G2446" s="76"/>
      <c r="H2446" s="76"/>
      <c r="I2446" s="76"/>
      <c r="J2446" s="93"/>
      <c r="K2446" s="93"/>
      <c r="L2446" s="82"/>
      <c r="M2446" s="54"/>
      <c r="N2446" s="54"/>
      <c r="O2446" s="54"/>
      <c r="P2446" s="54"/>
      <c r="Q2446" s="54"/>
      <c r="R2446" s="54"/>
      <c r="S2446" s="54"/>
      <c r="T2446" s="54"/>
      <c r="U2446" s="54"/>
      <c r="V2446" s="54"/>
      <c r="W2446" s="54"/>
      <c r="X2446" s="54"/>
      <c r="Y2446" s="54"/>
      <c r="Z2446" s="54"/>
      <c r="AA2446" s="54"/>
      <c r="AB2446" s="54"/>
      <c r="AC2446" s="54"/>
      <c r="AD2446" s="54"/>
      <c r="AE2446" s="54"/>
    </row>
    <row r="2447">
      <c r="A2447" s="80"/>
      <c r="B2447" s="80"/>
      <c r="C2447" s="80"/>
      <c r="D2447" s="59"/>
      <c r="E2447" s="59"/>
      <c r="F2447" s="83"/>
      <c r="G2447" s="76"/>
      <c r="H2447" s="76"/>
      <c r="I2447" s="76"/>
      <c r="J2447" s="93"/>
      <c r="K2447" s="93"/>
      <c r="L2447" s="82"/>
      <c r="M2447" s="54"/>
      <c r="N2447" s="54"/>
      <c r="O2447" s="54"/>
      <c r="P2447" s="54"/>
      <c r="Q2447" s="54"/>
      <c r="R2447" s="54"/>
      <c r="S2447" s="54"/>
      <c r="T2447" s="54"/>
      <c r="U2447" s="54"/>
      <c r="V2447" s="54"/>
      <c r="W2447" s="54"/>
      <c r="X2447" s="54"/>
      <c r="Y2447" s="54"/>
      <c r="Z2447" s="54"/>
      <c r="AA2447" s="54"/>
      <c r="AB2447" s="54"/>
      <c r="AC2447" s="54"/>
      <c r="AD2447" s="54"/>
      <c r="AE2447" s="54"/>
    </row>
    <row r="2448">
      <c r="A2448" s="80"/>
      <c r="B2448" s="80"/>
      <c r="C2448" s="80"/>
      <c r="D2448" s="59"/>
      <c r="E2448" s="59"/>
      <c r="F2448" s="83"/>
      <c r="G2448" s="76"/>
      <c r="H2448" s="76"/>
      <c r="I2448" s="76"/>
      <c r="J2448" s="93"/>
      <c r="K2448" s="93"/>
      <c r="L2448" s="82"/>
      <c r="M2448" s="54"/>
      <c r="N2448" s="54"/>
      <c r="O2448" s="54"/>
      <c r="P2448" s="54"/>
      <c r="Q2448" s="54"/>
      <c r="R2448" s="54"/>
      <c r="S2448" s="54"/>
      <c r="T2448" s="54"/>
      <c r="U2448" s="54"/>
      <c r="V2448" s="54"/>
      <c r="W2448" s="54"/>
      <c r="X2448" s="54"/>
      <c r="Y2448" s="54"/>
      <c r="Z2448" s="54"/>
      <c r="AA2448" s="54"/>
      <c r="AB2448" s="54"/>
      <c r="AC2448" s="54"/>
      <c r="AD2448" s="54"/>
      <c r="AE2448" s="54"/>
    </row>
    <row r="2449">
      <c r="A2449" s="80"/>
      <c r="B2449" s="80"/>
      <c r="C2449" s="80"/>
      <c r="D2449" s="59"/>
      <c r="E2449" s="59"/>
      <c r="F2449" s="83"/>
      <c r="G2449" s="76"/>
      <c r="H2449" s="76"/>
      <c r="I2449" s="76"/>
      <c r="J2449" s="93"/>
      <c r="K2449" s="93"/>
      <c r="L2449" s="82"/>
      <c r="M2449" s="54"/>
      <c r="N2449" s="54"/>
      <c r="O2449" s="54"/>
      <c r="P2449" s="54"/>
      <c r="Q2449" s="54"/>
      <c r="R2449" s="54"/>
      <c r="S2449" s="54"/>
      <c r="T2449" s="54"/>
      <c r="U2449" s="54"/>
      <c r="V2449" s="54"/>
      <c r="W2449" s="54"/>
      <c r="X2449" s="54"/>
      <c r="Y2449" s="54"/>
      <c r="Z2449" s="54"/>
      <c r="AA2449" s="54"/>
      <c r="AB2449" s="54"/>
      <c r="AC2449" s="54"/>
      <c r="AD2449" s="54"/>
      <c r="AE2449" s="54"/>
    </row>
    <row r="2450">
      <c r="A2450" s="80"/>
      <c r="B2450" s="80"/>
      <c r="C2450" s="80"/>
      <c r="D2450" s="59"/>
      <c r="E2450" s="59"/>
      <c r="F2450" s="83"/>
      <c r="G2450" s="76"/>
      <c r="H2450" s="76"/>
      <c r="I2450" s="76"/>
      <c r="J2450" s="93"/>
      <c r="K2450" s="93"/>
      <c r="L2450" s="82"/>
      <c r="M2450" s="54"/>
      <c r="N2450" s="54"/>
      <c r="O2450" s="54"/>
      <c r="P2450" s="54"/>
      <c r="Q2450" s="54"/>
      <c r="R2450" s="54"/>
      <c r="S2450" s="54"/>
      <c r="T2450" s="54"/>
      <c r="U2450" s="54"/>
      <c r="V2450" s="54"/>
      <c r="W2450" s="54"/>
      <c r="X2450" s="54"/>
      <c r="Y2450" s="54"/>
      <c r="Z2450" s="54"/>
      <c r="AA2450" s="54"/>
      <c r="AB2450" s="54"/>
      <c r="AC2450" s="54"/>
      <c r="AD2450" s="54"/>
      <c r="AE2450" s="54"/>
    </row>
    <row r="2451">
      <c r="A2451" s="80"/>
      <c r="B2451" s="80"/>
      <c r="C2451" s="80"/>
      <c r="D2451" s="59"/>
      <c r="E2451" s="59"/>
      <c r="F2451" s="83"/>
      <c r="G2451" s="76"/>
      <c r="H2451" s="76"/>
      <c r="I2451" s="76"/>
      <c r="J2451" s="93"/>
      <c r="K2451" s="93"/>
      <c r="L2451" s="82"/>
      <c r="M2451" s="54"/>
      <c r="N2451" s="54"/>
      <c r="O2451" s="54"/>
      <c r="P2451" s="54"/>
      <c r="Q2451" s="54"/>
      <c r="R2451" s="54"/>
      <c r="S2451" s="54"/>
      <c r="T2451" s="54"/>
      <c r="U2451" s="54"/>
      <c r="V2451" s="54"/>
      <c r="W2451" s="54"/>
      <c r="X2451" s="54"/>
      <c r="Y2451" s="54"/>
      <c r="Z2451" s="54"/>
      <c r="AA2451" s="54"/>
      <c r="AB2451" s="54"/>
      <c r="AC2451" s="54"/>
      <c r="AD2451" s="54"/>
      <c r="AE2451" s="54"/>
    </row>
    <row r="2452">
      <c r="A2452" s="80"/>
      <c r="B2452" s="80"/>
      <c r="C2452" s="80"/>
      <c r="D2452" s="59"/>
      <c r="E2452" s="59"/>
      <c r="F2452" s="83"/>
      <c r="G2452" s="76"/>
      <c r="H2452" s="76"/>
      <c r="I2452" s="76"/>
      <c r="J2452" s="93"/>
      <c r="K2452" s="93"/>
      <c r="L2452" s="82"/>
      <c r="M2452" s="54"/>
      <c r="N2452" s="54"/>
      <c r="O2452" s="54"/>
      <c r="P2452" s="54"/>
      <c r="Q2452" s="54"/>
      <c r="R2452" s="54"/>
      <c r="S2452" s="54"/>
      <c r="T2452" s="54"/>
      <c r="U2452" s="54"/>
      <c r="V2452" s="54"/>
      <c r="W2452" s="54"/>
      <c r="X2452" s="54"/>
      <c r="Y2452" s="54"/>
      <c r="Z2452" s="54"/>
      <c r="AA2452" s="54"/>
      <c r="AB2452" s="54"/>
      <c r="AC2452" s="54"/>
      <c r="AD2452" s="54"/>
      <c r="AE2452" s="54"/>
    </row>
    <row r="2453">
      <c r="A2453" s="80"/>
      <c r="B2453" s="80"/>
      <c r="C2453" s="80"/>
      <c r="D2453" s="59"/>
      <c r="E2453" s="59"/>
      <c r="F2453" s="83"/>
      <c r="G2453" s="76"/>
      <c r="H2453" s="76"/>
      <c r="I2453" s="76"/>
      <c r="J2453" s="93"/>
      <c r="K2453" s="93"/>
      <c r="L2453" s="82"/>
      <c r="M2453" s="54"/>
      <c r="N2453" s="54"/>
      <c r="O2453" s="54"/>
      <c r="P2453" s="54"/>
      <c r="Q2453" s="54"/>
      <c r="R2453" s="54"/>
      <c r="S2453" s="54"/>
      <c r="T2453" s="54"/>
      <c r="U2453" s="54"/>
      <c r="V2453" s="54"/>
      <c r="W2453" s="54"/>
      <c r="X2453" s="54"/>
      <c r="Y2453" s="54"/>
      <c r="Z2453" s="54"/>
      <c r="AA2453" s="54"/>
      <c r="AB2453" s="54"/>
      <c r="AC2453" s="54"/>
      <c r="AD2453" s="54"/>
      <c r="AE2453" s="54"/>
    </row>
    <row r="2454">
      <c r="A2454" s="80"/>
      <c r="B2454" s="80"/>
      <c r="C2454" s="80"/>
      <c r="D2454" s="59"/>
      <c r="E2454" s="59"/>
      <c r="F2454" s="83"/>
      <c r="G2454" s="76"/>
      <c r="H2454" s="76"/>
      <c r="I2454" s="76"/>
      <c r="J2454" s="93"/>
      <c r="K2454" s="93"/>
      <c r="L2454" s="82"/>
      <c r="M2454" s="54"/>
      <c r="N2454" s="54"/>
      <c r="O2454" s="54"/>
      <c r="P2454" s="54"/>
      <c r="Q2454" s="54"/>
      <c r="R2454" s="54"/>
      <c r="S2454" s="54"/>
      <c r="T2454" s="54"/>
      <c r="U2454" s="54"/>
      <c r="V2454" s="54"/>
      <c r="W2454" s="54"/>
      <c r="X2454" s="54"/>
      <c r="Y2454" s="54"/>
      <c r="Z2454" s="54"/>
      <c r="AA2454" s="54"/>
      <c r="AB2454" s="54"/>
      <c r="AC2454" s="54"/>
      <c r="AD2454" s="54"/>
      <c r="AE2454" s="54"/>
    </row>
    <row r="2455">
      <c r="A2455" s="80"/>
      <c r="B2455" s="80"/>
      <c r="C2455" s="80"/>
      <c r="D2455" s="59"/>
      <c r="E2455" s="59"/>
      <c r="F2455" s="83"/>
      <c r="G2455" s="76"/>
      <c r="H2455" s="76"/>
      <c r="I2455" s="76"/>
      <c r="J2455" s="93"/>
      <c r="K2455" s="93"/>
      <c r="L2455" s="82"/>
      <c r="M2455" s="54"/>
      <c r="N2455" s="54"/>
      <c r="O2455" s="54"/>
      <c r="P2455" s="54"/>
      <c r="Q2455" s="54"/>
      <c r="R2455" s="54"/>
      <c r="S2455" s="54"/>
      <c r="T2455" s="54"/>
      <c r="U2455" s="54"/>
      <c r="V2455" s="54"/>
      <c r="W2455" s="54"/>
      <c r="X2455" s="54"/>
      <c r="Y2455" s="54"/>
      <c r="Z2455" s="54"/>
      <c r="AA2455" s="54"/>
      <c r="AB2455" s="54"/>
      <c r="AC2455" s="54"/>
      <c r="AD2455" s="54"/>
      <c r="AE2455" s="54"/>
    </row>
    <row r="2456">
      <c r="A2456" s="80"/>
      <c r="B2456" s="80"/>
      <c r="C2456" s="80"/>
      <c r="D2456" s="59"/>
      <c r="E2456" s="59"/>
      <c r="F2456" s="83"/>
      <c r="G2456" s="76"/>
      <c r="H2456" s="76"/>
      <c r="I2456" s="76"/>
      <c r="J2456" s="93"/>
      <c r="K2456" s="93"/>
      <c r="L2456" s="82"/>
      <c r="M2456" s="54"/>
      <c r="N2456" s="54"/>
      <c r="O2456" s="54"/>
      <c r="P2456" s="54"/>
      <c r="Q2456" s="54"/>
      <c r="R2456" s="54"/>
      <c r="S2456" s="54"/>
      <c r="T2456" s="54"/>
      <c r="U2456" s="54"/>
      <c r="V2456" s="54"/>
      <c r="W2456" s="54"/>
      <c r="X2456" s="54"/>
      <c r="Y2456" s="54"/>
      <c r="Z2456" s="54"/>
      <c r="AA2456" s="54"/>
      <c r="AB2456" s="54"/>
      <c r="AC2456" s="54"/>
      <c r="AD2456" s="54"/>
      <c r="AE2456" s="54"/>
    </row>
    <row r="2457">
      <c r="A2457" s="80"/>
      <c r="B2457" s="80"/>
      <c r="C2457" s="80"/>
      <c r="D2457" s="59"/>
      <c r="E2457" s="59"/>
      <c r="F2457" s="83"/>
      <c r="G2457" s="76"/>
      <c r="H2457" s="76"/>
      <c r="I2457" s="76"/>
      <c r="J2457" s="93"/>
      <c r="K2457" s="93"/>
      <c r="L2457" s="82"/>
      <c r="M2457" s="54"/>
      <c r="N2457" s="54"/>
      <c r="O2457" s="54"/>
      <c r="P2457" s="54"/>
      <c r="Q2457" s="54"/>
      <c r="R2457" s="54"/>
      <c r="S2457" s="54"/>
      <c r="T2457" s="54"/>
      <c r="U2457" s="54"/>
      <c r="V2457" s="54"/>
      <c r="W2457" s="54"/>
      <c r="X2457" s="54"/>
      <c r="Y2457" s="54"/>
      <c r="Z2457" s="54"/>
      <c r="AA2457" s="54"/>
      <c r="AB2457" s="54"/>
      <c r="AC2457" s="54"/>
      <c r="AD2457" s="54"/>
      <c r="AE2457" s="54"/>
    </row>
    <row r="2458">
      <c r="A2458" s="80"/>
      <c r="B2458" s="80"/>
      <c r="C2458" s="80"/>
      <c r="D2458" s="59"/>
      <c r="E2458" s="59"/>
      <c r="F2458" s="83"/>
      <c r="G2458" s="76"/>
      <c r="H2458" s="76"/>
      <c r="I2458" s="76"/>
      <c r="J2458" s="93"/>
      <c r="K2458" s="93"/>
      <c r="L2458" s="82"/>
      <c r="M2458" s="54"/>
      <c r="N2458" s="54"/>
      <c r="O2458" s="54"/>
      <c r="P2458" s="54"/>
      <c r="Q2458" s="54"/>
      <c r="R2458" s="54"/>
      <c r="S2458" s="54"/>
      <c r="T2458" s="54"/>
      <c r="U2458" s="54"/>
      <c r="V2458" s="54"/>
      <c r="W2458" s="54"/>
      <c r="X2458" s="54"/>
      <c r="Y2458" s="54"/>
      <c r="Z2458" s="54"/>
      <c r="AA2458" s="54"/>
      <c r="AB2458" s="54"/>
      <c r="AC2458" s="54"/>
      <c r="AD2458" s="54"/>
      <c r="AE2458" s="54"/>
    </row>
    <row r="2459">
      <c r="A2459" s="80"/>
      <c r="B2459" s="80"/>
      <c r="C2459" s="80"/>
      <c r="D2459" s="59"/>
      <c r="E2459" s="59"/>
      <c r="F2459" s="83"/>
      <c r="G2459" s="76"/>
      <c r="H2459" s="76"/>
      <c r="I2459" s="76"/>
      <c r="J2459" s="93"/>
      <c r="K2459" s="93"/>
      <c r="L2459" s="82"/>
      <c r="M2459" s="54"/>
      <c r="N2459" s="54"/>
      <c r="O2459" s="54"/>
      <c r="P2459" s="54"/>
      <c r="Q2459" s="54"/>
      <c r="R2459" s="54"/>
      <c r="S2459" s="54"/>
      <c r="T2459" s="54"/>
      <c r="U2459" s="54"/>
      <c r="V2459" s="54"/>
      <c r="W2459" s="54"/>
      <c r="X2459" s="54"/>
      <c r="Y2459" s="54"/>
      <c r="Z2459" s="54"/>
      <c r="AA2459" s="54"/>
      <c r="AB2459" s="54"/>
      <c r="AC2459" s="54"/>
      <c r="AD2459" s="54"/>
      <c r="AE2459" s="54"/>
    </row>
    <row r="2460">
      <c r="A2460" s="80"/>
      <c r="B2460" s="80"/>
      <c r="C2460" s="80"/>
      <c r="D2460" s="59"/>
      <c r="E2460" s="59"/>
      <c r="F2460" s="83"/>
      <c r="G2460" s="76"/>
      <c r="H2460" s="76"/>
      <c r="I2460" s="76"/>
      <c r="J2460" s="93"/>
      <c r="K2460" s="93"/>
      <c r="L2460" s="82"/>
      <c r="M2460" s="54"/>
      <c r="N2460" s="54"/>
      <c r="O2460" s="54"/>
      <c r="P2460" s="54"/>
      <c r="Q2460" s="54"/>
      <c r="R2460" s="54"/>
      <c r="S2460" s="54"/>
      <c r="T2460" s="54"/>
      <c r="U2460" s="54"/>
      <c r="V2460" s="54"/>
      <c r="W2460" s="54"/>
      <c r="X2460" s="54"/>
      <c r="Y2460" s="54"/>
      <c r="Z2460" s="54"/>
      <c r="AA2460" s="54"/>
      <c r="AB2460" s="54"/>
      <c r="AC2460" s="54"/>
      <c r="AD2460" s="54"/>
      <c r="AE2460" s="54"/>
    </row>
    <row r="2461">
      <c r="A2461" s="80"/>
      <c r="B2461" s="80"/>
      <c r="C2461" s="80"/>
      <c r="D2461" s="59"/>
      <c r="E2461" s="59"/>
      <c r="F2461" s="83"/>
      <c r="G2461" s="76"/>
      <c r="H2461" s="76"/>
      <c r="I2461" s="76"/>
      <c r="J2461" s="93"/>
      <c r="K2461" s="93"/>
      <c r="L2461" s="82"/>
      <c r="M2461" s="54"/>
      <c r="N2461" s="54"/>
      <c r="O2461" s="54"/>
      <c r="P2461" s="54"/>
      <c r="Q2461" s="54"/>
      <c r="R2461" s="54"/>
      <c r="S2461" s="54"/>
      <c r="T2461" s="54"/>
      <c r="U2461" s="54"/>
      <c r="V2461" s="54"/>
      <c r="W2461" s="54"/>
      <c r="X2461" s="54"/>
      <c r="Y2461" s="54"/>
      <c r="Z2461" s="54"/>
      <c r="AA2461" s="54"/>
      <c r="AB2461" s="54"/>
      <c r="AC2461" s="54"/>
      <c r="AD2461" s="54"/>
      <c r="AE2461" s="54"/>
    </row>
    <row r="2462">
      <c r="A2462" s="80"/>
      <c r="B2462" s="80"/>
      <c r="C2462" s="80"/>
      <c r="D2462" s="59"/>
      <c r="E2462" s="59"/>
      <c r="F2462" s="83"/>
      <c r="G2462" s="76"/>
      <c r="H2462" s="76"/>
      <c r="I2462" s="76"/>
      <c r="J2462" s="93"/>
      <c r="K2462" s="93"/>
      <c r="L2462" s="82"/>
      <c r="M2462" s="54"/>
      <c r="N2462" s="54"/>
      <c r="O2462" s="54"/>
      <c r="P2462" s="54"/>
      <c r="Q2462" s="54"/>
      <c r="R2462" s="54"/>
      <c r="S2462" s="54"/>
      <c r="T2462" s="54"/>
      <c r="U2462" s="54"/>
      <c r="V2462" s="54"/>
      <c r="W2462" s="54"/>
      <c r="X2462" s="54"/>
      <c r="Y2462" s="54"/>
      <c r="Z2462" s="54"/>
      <c r="AA2462" s="54"/>
      <c r="AB2462" s="54"/>
      <c r="AC2462" s="54"/>
      <c r="AD2462" s="54"/>
      <c r="AE2462" s="54"/>
    </row>
    <row r="2463">
      <c r="A2463" s="80"/>
      <c r="B2463" s="80"/>
      <c r="C2463" s="80"/>
      <c r="D2463" s="59"/>
      <c r="E2463" s="59"/>
      <c r="F2463" s="83"/>
      <c r="G2463" s="76"/>
      <c r="H2463" s="76"/>
      <c r="I2463" s="76"/>
      <c r="J2463" s="93"/>
      <c r="K2463" s="93"/>
      <c r="L2463" s="82"/>
      <c r="M2463" s="54"/>
      <c r="N2463" s="54"/>
      <c r="O2463" s="54"/>
      <c r="P2463" s="54"/>
      <c r="Q2463" s="54"/>
      <c r="R2463" s="54"/>
      <c r="S2463" s="54"/>
      <c r="T2463" s="54"/>
      <c r="U2463" s="54"/>
      <c r="V2463" s="54"/>
      <c r="W2463" s="54"/>
      <c r="X2463" s="54"/>
      <c r="Y2463" s="54"/>
      <c r="Z2463" s="54"/>
      <c r="AA2463" s="54"/>
      <c r="AB2463" s="54"/>
      <c r="AC2463" s="54"/>
      <c r="AD2463" s="54"/>
      <c r="AE2463" s="54"/>
    </row>
    <row r="2464">
      <c r="A2464" s="80"/>
      <c r="B2464" s="80"/>
      <c r="C2464" s="80"/>
      <c r="D2464" s="59"/>
      <c r="E2464" s="59"/>
      <c r="F2464" s="83"/>
      <c r="G2464" s="76"/>
      <c r="H2464" s="76"/>
      <c r="I2464" s="76"/>
      <c r="J2464" s="93"/>
      <c r="K2464" s="93"/>
      <c r="L2464" s="82"/>
      <c r="M2464" s="54"/>
      <c r="N2464" s="54"/>
      <c r="O2464" s="54"/>
      <c r="P2464" s="54"/>
      <c r="Q2464" s="54"/>
      <c r="R2464" s="54"/>
      <c r="S2464" s="54"/>
      <c r="T2464" s="54"/>
      <c r="U2464" s="54"/>
      <c r="V2464" s="54"/>
      <c r="W2464" s="54"/>
      <c r="X2464" s="54"/>
      <c r="Y2464" s="54"/>
      <c r="Z2464" s="54"/>
      <c r="AA2464" s="54"/>
      <c r="AB2464" s="54"/>
      <c r="AC2464" s="54"/>
      <c r="AD2464" s="54"/>
      <c r="AE2464" s="54"/>
    </row>
    <row r="2465">
      <c r="A2465" s="80"/>
      <c r="B2465" s="80"/>
      <c r="C2465" s="80"/>
      <c r="D2465" s="59"/>
      <c r="E2465" s="59"/>
      <c r="F2465" s="83"/>
      <c r="G2465" s="76"/>
      <c r="H2465" s="76"/>
      <c r="I2465" s="76"/>
      <c r="J2465" s="93"/>
      <c r="K2465" s="93"/>
      <c r="L2465" s="82"/>
      <c r="M2465" s="54"/>
      <c r="N2465" s="54"/>
      <c r="O2465" s="54"/>
      <c r="P2465" s="54"/>
      <c r="Q2465" s="54"/>
      <c r="R2465" s="54"/>
      <c r="S2465" s="54"/>
      <c r="T2465" s="54"/>
      <c r="U2465" s="54"/>
      <c r="V2465" s="54"/>
      <c r="W2465" s="54"/>
      <c r="X2465" s="54"/>
      <c r="Y2465" s="54"/>
      <c r="Z2465" s="54"/>
      <c r="AA2465" s="54"/>
      <c r="AB2465" s="54"/>
      <c r="AC2465" s="54"/>
      <c r="AD2465" s="54"/>
      <c r="AE2465" s="54"/>
    </row>
    <row r="2466">
      <c r="A2466" s="80"/>
      <c r="B2466" s="80"/>
      <c r="C2466" s="80"/>
      <c r="D2466" s="59"/>
      <c r="E2466" s="59"/>
      <c r="F2466" s="83"/>
      <c r="G2466" s="76"/>
      <c r="H2466" s="76"/>
      <c r="I2466" s="76"/>
      <c r="J2466" s="93"/>
      <c r="K2466" s="93"/>
      <c r="L2466" s="82"/>
      <c r="M2466" s="54"/>
      <c r="N2466" s="54"/>
      <c r="O2466" s="54"/>
      <c r="P2466" s="54"/>
      <c r="Q2466" s="54"/>
      <c r="R2466" s="54"/>
      <c r="S2466" s="54"/>
      <c r="T2466" s="54"/>
      <c r="U2466" s="54"/>
      <c r="V2466" s="54"/>
      <c r="W2466" s="54"/>
      <c r="X2466" s="54"/>
      <c r="Y2466" s="54"/>
      <c r="Z2466" s="54"/>
      <c r="AA2466" s="54"/>
      <c r="AB2466" s="54"/>
      <c r="AC2466" s="54"/>
      <c r="AD2466" s="54"/>
      <c r="AE2466" s="54"/>
    </row>
    <row r="2467">
      <c r="A2467" s="80"/>
      <c r="B2467" s="80"/>
      <c r="C2467" s="80"/>
      <c r="D2467" s="59"/>
      <c r="E2467" s="59"/>
      <c r="F2467" s="83"/>
      <c r="G2467" s="76"/>
      <c r="H2467" s="76"/>
      <c r="I2467" s="76"/>
      <c r="J2467" s="93"/>
      <c r="K2467" s="93"/>
      <c r="L2467" s="82"/>
      <c r="M2467" s="54"/>
      <c r="N2467" s="54"/>
      <c r="O2467" s="54"/>
      <c r="P2467" s="54"/>
      <c r="Q2467" s="54"/>
      <c r="R2467" s="54"/>
      <c r="S2467" s="54"/>
      <c r="T2467" s="54"/>
      <c r="U2467" s="54"/>
      <c r="V2467" s="54"/>
      <c r="W2467" s="54"/>
      <c r="X2467" s="54"/>
      <c r="Y2467" s="54"/>
      <c r="Z2467" s="54"/>
      <c r="AA2467" s="54"/>
      <c r="AB2467" s="54"/>
      <c r="AC2467" s="54"/>
      <c r="AD2467" s="54"/>
      <c r="AE2467" s="54"/>
    </row>
    <row r="2468">
      <c r="A2468" s="80"/>
      <c r="B2468" s="80"/>
      <c r="C2468" s="80"/>
      <c r="D2468" s="59"/>
      <c r="E2468" s="59"/>
      <c r="F2468" s="83"/>
      <c r="G2468" s="76"/>
      <c r="H2468" s="76"/>
      <c r="I2468" s="76"/>
      <c r="J2468" s="93"/>
      <c r="K2468" s="93"/>
      <c r="L2468" s="82"/>
      <c r="M2468" s="54"/>
      <c r="N2468" s="54"/>
      <c r="O2468" s="54"/>
      <c r="P2468" s="54"/>
      <c r="Q2468" s="54"/>
      <c r="R2468" s="54"/>
      <c r="S2468" s="54"/>
      <c r="T2468" s="54"/>
      <c r="U2468" s="54"/>
      <c r="V2468" s="54"/>
      <c r="W2468" s="54"/>
      <c r="X2468" s="54"/>
      <c r="Y2468" s="54"/>
      <c r="Z2468" s="54"/>
      <c r="AA2468" s="54"/>
      <c r="AB2468" s="54"/>
      <c r="AC2468" s="54"/>
      <c r="AD2468" s="54"/>
      <c r="AE2468" s="54"/>
    </row>
    <row r="2469">
      <c r="A2469" s="80"/>
      <c r="B2469" s="80"/>
      <c r="C2469" s="80"/>
      <c r="D2469" s="59"/>
      <c r="E2469" s="59"/>
      <c r="F2469" s="83"/>
      <c r="G2469" s="76"/>
      <c r="H2469" s="76"/>
      <c r="I2469" s="76"/>
      <c r="J2469" s="93"/>
      <c r="K2469" s="93"/>
      <c r="L2469" s="82"/>
      <c r="M2469" s="54"/>
      <c r="N2469" s="54"/>
      <c r="O2469" s="54"/>
      <c r="P2469" s="54"/>
      <c r="Q2469" s="54"/>
      <c r="R2469" s="54"/>
      <c r="S2469" s="54"/>
      <c r="T2469" s="54"/>
      <c r="U2469" s="54"/>
      <c r="V2469" s="54"/>
      <c r="W2469" s="54"/>
      <c r="X2469" s="54"/>
      <c r="Y2469" s="54"/>
      <c r="Z2469" s="54"/>
      <c r="AA2469" s="54"/>
      <c r="AB2469" s="54"/>
      <c r="AC2469" s="54"/>
      <c r="AD2469" s="54"/>
      <c r="AE2469" s="54"/>
    </row>
    <row r="2470">
      <c r="A2470" s="80"/>
      <c r="B2470" s="80"/>
      <c r="C2470" s="80"/>
      <c r="D2470" s="59"/>
      <c r="E2470" s="59"/>
      <c r="F2470" s="83"/>
      <c r="G2470" s="76"/>
      <c r="H2470" s="76"/>
      <c r="I2470" s="76"/>
      <c r="J2470" s="93"/>
      <c r="K2470" s="93"/>
      <c r="L2470" s="82"/>
      <c r="M2470" s="54"/>
      <c r="N2470" s="54"/>
      <c r="O2470" s="54"/>
      <c r="P2470" s="54"/>
      <c r="Q2470" s="54"/>
      <c r="R2470" s="54"/>
      <c r="S2470" s="54"/>
      <c r="T2470" s="54"/>
      <c r="U2470" s="54"/>
      <c r="V2470" s="54"/>
      <c r="W2470" s="54"/>
      <c r="X2470" s="54"/>
      <c r="Y2470" s="54"/>
      <c r="Z2470" s="54"/>
      <c r="AA2470" s="54"/>
      <c r="AB2470" s="54"/>
      <c r="AC2470" s="54"/>
      <c r="AD2470" s="54"/>
      <c r="AE2470" s="54"/>
    </row>
    <row r="2471">
      <c r="A2471" s="80"/>
      <c r="B2471" s="80"/>
      <c r="C2471" s="80"/>
      <c r="D2471" s="59"/>
      <c r="E2471" s="59"/>
      <c r="F2471" s="83"/>
      <c r="G2471" s="76"/>
      <c r="H2471" s="76"/>
      <c r="I2471" s="76"/>
      <c r="J2471" s="93"/>
      <c r="K2471" s="93"/>
      <c r="L2471" s="82"/>
      <c r="M2471" s="54"/>
      <c r="N2471" s="54"/>
      <c r="O2471" s="54"/>
      <c r="P2471" s="54"/>
      <c r="Q2471" s="54"/>
      <c r="R2471" s="54"/>
      <c r="S2471" s="54"/>
      <c r="T2471" s="54"/>
      <c r="U2471" s="54"/>
      <c r="V2471" s="54"/>
      <c r="W2471" s="54"/>
      <c r="X2471" s="54"/>
      <c r="Y2471" s="54"/>
      <c r="Z2471" s="54"/>
      <c r="AA2471" s="54"/>
      <c r="AB2471" s="54"/>
      <c r="AC2471" s="54"/>
      <c r="AD2471" s="54"/>
      <c r="AE2471" s="54"/>
    </row>
    <row r="2472">
      <c r="A2472" s="80"/>
      <c r="B2472" s="80"/>
      <c r="C2472" s="80"/>
      <c r="D2472" s="59"/>
      <c r="E2472" s="59"/>
      <c r="F2472" s="83"/>
      <c r="G2472" s="76"/>
      <c r="H2472" s="76"/>
      <c r="I2472" s="76"/>
      <c r="J2472" s="93"/>
      <c r="K2472" s="93"/>
      <c r="L2472" s="82"/>
      <c r="M2472" s="54"/>
      <c r="N2472" s="54"/>
      <c r="O2472" s="54"/>
      <c r="P2472" s="54"/>
      <c r="Q2472" s="54"/>
      <c r="R2472" s="54"/>
      <c r="S2472" s="54"/>
      <c r="T2472" s="54"/>
      <c r="U2472" s="54"/>
      <c r="V2472" s="54"/>
      <c r="W2472" s="54"/>
      <c r="X2472" s="54"/>
      <c r="Y2472" s="54"/>
      <c r="Z2472" s="54"/>
      <c r="AA2472" s="54"/>
      <c r="AB2472" s="54"/>
      <c r="AC2472" s="54"/>
      <c r="AD2472" s="54"/>
      <c r="AE2472" s="54"/>
    </row>
    <row r="2473">
      <c r="A2473" s="80"/>
      <c r="B2473" s="80"/>
      <c r="C2473" s="80"/>
      <c r="D2473" s="59"/>
      <c r="E2473" s="59"/>
      <c r="F2473" s="83"/>
      <c r="G2473" s="76"/>
      <c r="H2473" s="76"/>
      <c r="I2473" s="76"/>
      <c r="J2473" s="93"/>
      <c r="K2473" s="93"/>
      <c r="L2473" s="82"/>
      <c r="M2473" s="54"/>
      <c r="N2473" s="54"/>
      <c r="O2473" s="54"/>
      <c r="P2473" s="54"/>
      <c r="Q2473" s="54"/>
      <c r="R2473" s="54"/>
      <c r="S2473" s="54"/>
      <c r="T2473" s="54"/>
      <c r="U2473" s="54"/>
      <c r="V2473" s="54"/>
      <c r="W2473" s="54"/>
      <c r="X2473" s="54"/>
      <c r="Y2473" s="54"/>
      <c r="Z2473" s="54"/>
      <c r="AA2473" s="54"/>
      <c r="AB2473" s="54"/>
      <c r="AC2473" s="54"/>
      <c r="AD2473" s="54"/>
      <c r="AE2473" s="54"/>
    </row>
    <row r="2474">
      <c r="A2474" s="80"/>
      <c r="B2474" s="80"/>
      <c r="C2474" s="80"/>
      <c r="D2474" s="59"/>
      <c r="E2474" s="59"/>
      <c r="F2474" s="83"/>
      <c r="G2474" s="76"/>
      <c r="H2474" s="76"/>
      <c r="I2474" s="76"/>
      <c r="J2474" s="93"/>
      <c r="K2474" s="93"/>
      <c r="L2474" s="82"/>
      <c r="M2474" s="54"/>
      <c r="N2474" s="54"/>
      <c r="O2474" s="54"/>
      <c r="P2474" s="54"/>
      <c r="Q2474" s="54"/>
      <c r="R2474" s="54"/>
      <c r="S2474" s="54"/>
      <c r="T2474" s="54"/>
      <c r="U2474" s="54"/>
      <c r="V2474" s="54"/>
      <c r="W2474" s="54"/>
      <c r="X2474" s="54"/>
      <c r="Y2474" s="54"/>
      <c r="Z2474" s="54"/>
      <c r="AA2474" s="54"/>
      <c r="AB2474" s="54"/>
      <c r="AC2474" s="54"/>
      <c r="AD2474" s="54"/>
      <c r="AE2474" s="54"/>
    </row>
    <row r="2475">
      <c r="A2475" s="80"/>
      <c r="B2475" s="80"/>
      <c r="C2475" s="80"/>
      <c r="D2475" s="59"/>
      <c r="E2475" s="59"/>
      <c r="F2475" s="83"/>
      <c r="G2475" s="76"/>
      <c r="H2475" s="76"/>
      <c r="I2475" s="76"/>
      <c r="J2475" s="93"/>
      <c r="K2475" s="93"/>
      <c r="L2475" s="82"/>
      <c r="M2475" s="54"/>
      <c r="N2475" s="54"/>
      <c r="O2475" s="54"/>
      <c r="P2475" s="54"/>
      <c r="Q2475" s="54"/>
      <c r="R2475" s="54"/>
      <c r="S2475" s="54"/>
      <c r="T2475" s="54"/>
      <c r="U2475" s="54"/>
      <c r="V2475" s="54"/>
      <c r="W2475" s="54"/>
      <c r="X2475" s="54"/>
      <c r="Y2475" s="54"/>
      <c r="Z2475" s="54"/>
      <c r="AA2475" s="54"/>
      <c r="AB2475" s="54"/>
      <c r="AC2475" s="54"/>
      <c r="AD2475" s="54"/>
      <c r="AE2475" s="54"/>
    </row>
    <row r="2476">
      <c r="A2476" s="80"/>
      <c r="B2476" s="80"/>
      <c r="C2476" s="80"/>
      <c r="D2476" s="59"/>
      <c r="E2476" s="59"/>
      <c r="F2476" s="83"/>
      <c r="G2476" s="76"/>
      <c r="H2476" s="76"/>
      <c r="I2476" s="76"/>
      <c r="J2476" s="93"/>
      <c r="K2476" s="93"/>
      <c r="L2476" s="82"/>
      <c r="M2476" s="54"/>
      <c r="N2476" s="54"/>
      <c r="O2476" s="54"/>
      <c r="P2476" s="54"/>
      <c r="Q2476" s="54"/>
      <c r="R2476" s="54"/>
      <c r="S2476" s="54"/>
      <c r="T2476" s="54"/>
      <c r="U2476" s="54"/>
      <c r="V2476" s="54"/>
      <c r="W2476" s="54"/>
      <c r="X2476" s="54"/>
      <c r="Y2476" s="54"/>
      <c r="Z2476" s="54"/>
      <c r="AA2476" s="54"/>
      <c r="AB2476" s="54"/>
      <c r="AC2476" s="54"/>
      <c r="AD2476" s="54"/>
      <c r="AE2476" s="54"/>
    </row>
    <row r="2477">
      <c r="A2477" s="80"/>
      <c r="B2477" s="80"/>
      <c r="C2477" s="80"/>
      <c r="D2477" s="59"/>
      <c r="E2477" s="59"/>
      <c r="F2477" s="83"/>
      <c r="G2477" s="76"/>
      <c r="H2477" s="76"/>
      <c r="I2477" s="76"/>
      <c r="J2477" s="93"/>
      <c r="K2477" s="93"/>
      <c r="L2477" s="82"/>
      <c r="M2477" s="54"/>
      <c r="N2477" s="54"/>
      <c r="O2477" s="54"/>
      <c r="P2477" s="54"/>
      <c r="Q2477" s="54"/>
      <c r="R2477" s="54"/>
      <c r="S2477" s="54"/>
      <c r="T2477" s="54"/>
      <c r="U2477" s="54"/>
      <c r="V2477" s="54"/>
      <c r="W2477" s="54"/>
      <c r="X2477" s="54"/>
      <c r="Y2477" s="54"/>
      <c r="Z2477" s="54"/>
      <c r="AA2477" s="54"/>
      <c r="AB2477" s="54"/>
      <c r="AC2477" s="54"/>
      <c r="AD2477" s="54"/>
      <c r="AE2477" s="54"/>
    </row>
    <row r="2478">
      <c r="A2478" s="80"/>
      <c r="B2478" s="80"/>
      <c r="C2478" s="80"/>
      <c r="D2478" s="59"/>
      <c r="E2478" s="59"/>
      <c r="F2478" s="83"/>
      <c r="G2478" s="76"/>
      <c r="H2478" s="76"/>
      <c r="I2478" s="76"/>
      <c r="J2478" s="93"/>
      <c r="K2478" s="93"/>
      <c r="L2478" s="82"/>
      <c r="M2478" s="54"/>
      <c r="N2478" s="54"/>
      <c r="O2478" s="54"/>
      <c r="P2478" s="54"/>
      <c r="Q2478" s="54"/>
      <c r="R2478" s="54"/>
      <c r="S2478" s="54"/>
      <c r="T2478" s="54"/>
      <c r="U2478" s="54"/>
      <c r="V2478" s="54"/>
      <c r="W2478" s="54"/>
      <c r="X2478" s="54"/>
      <c r="Y2478" s="54"/>
      <c r="Z2478" s="54"/>
      <c r="AA2478" s="54"/>
      <c r="AB2478" s="54"/>
      <c r="AC2478" s="54"/>
      <c r="AD2478" s="54"/>
      <c r="AE2478" s="54"/>
    </row>
    <row r="2479">
      <c r="A2479" s="80"/>
      <c r="B2479" s="80"/>
      <c r="C2479" s="80"/>
      <c r="D2479" s="59"/>
      <c r="E2479" s="59"/>
      <c r="F2479" s="83"/>
      <c r="G2479" s="76"/>
      <c r="H2479" s="76"/>
      <c r="I2479" s="76"/>
      <c r="J2479" s="93"/>
      <c r="K2479" s="93"/>
      <c r="L2479" s="82"/>
      <c r="M2479" s="54"/>
      <c r="N2479" s="54"/>
      <c r="O2479" s="54"/>
      <c r="P2479" s="54"/>
      <c r="Q2479" s="54"/>
      <c r="R2479" s="54"/>
      <c r="S2479" s="54"/>
      <c r="T2479" s="54"/>
      <c r="U2479" s="54"/>
      <c r="V2479" s="54"/>
      <c r="W2479" s="54"/>
      <c r="X2479" s="54"/>
      <c r="Y2479" s="54"/>
      <c r="Z2479" s="54"/>
      <c r="AA2479" s="54"/>
      <c r="AB2479" s="54"/>
      <c r="AC2479" s="54"/>
      <c r="AD2479" s="54"/>
      <c r="AE2479" s="54"/>
    </row>
    <row r="2480">
      <c r="A2480" s="80"/>
      <c r="B2480" s="80"/>
      <c r="C2480" s="80"/>
      <c r="D2480" s="59"/>
      <c r="E2480" s="59"/>
      <c r="F2480" s="83"/>
      <c r="G2480" s="76"/>
      <c r="H2480" s="76"/>
      <c r="I2480" s="76"/>
      <c r="J2480" s="93"/>
      <c r="K2480" s="93"/>
      <c r="L2480" s="82"/>
      <c r="M2480" s="54"/>
      <c r="N2480" s="54"/>
      <c r="O2480" s="54"/>
      <c r="P2480" s="54"/>
      <c r="Q2480" s="54"/>
      <c r="R2480" s="54"/>
      <c r="S2480" s="54"/>
      <c r="T2480" s="54"/>
      <c r="U2480" s="54"/>
      <c r="V2480" s="54"/>
      <c r="W2480" s="54"/>
      <c r="X2480" s="54"/>
      <c r="Y2480" s="54"/>
      <c r="Z2480" s="54"/>
      <c r="AA2480" s="54"/>
      <c r="AB2480" s="54"/>
      <c r="AC2480" s="54"/>
      <c r="AD2480" s="54"/>
      <c r="AE2480" s="54"/>
    </row>
    <row r="2481">
      <c r="A2481" s="80"/>
      <c r="B2481" s="80"/>
      <c r="C2481" s="80"/>
      <c r="D2481" s="59"/>
      <c r="E2481" s="59"/>
      <c r="F2481" s="83"/>
      <c r="G2481" s="76"/>
      <c r="H2481" s="76"/>
      <c r="I2481" s="76"/>
      <c r="J2481" s="93"/>
      <c r="K2481" s="93"/>
      <c r="L2481" s="82"/>
      <c r="M2481" s="54"/>
      <c r="N2481" s="54"/>
      <c r="O2481" s="54"/>
      <c r="P2481" s="54"/>
      <c r="Q2481" s="54"/>
      <c r="R2481" s="54"/>
      <c r="S2481" s="54"/>
      <c r="T2481" s="54"/>
      <c r="U2481" s="54"/>
      <c r="V2481" s="54"/>
      <c r="W2481" s="54"/>
      <c r="X2481" s="54"/>
      <c r="Y2481" s="54"/>
      <c r="Z2481" s="54"/>
      <c r="AA2481" s="54"/>
      <c r="AB2481" s="54"/>
      <c r="AC2481" s="54"/>
      <c r="AD2481" s="54"/>
      <c r="AE2481" s="54"/>
    </row>
    <row r="2482">
      <c r="A2482" s="80"/>
      <c r="B2482" s="80"/>
      <c r="C2482" s="80"/>
      <c r="D2482" s="59"/>
      <c r="E2482" s="59"/>
      <c r="F2482" s="83"/>
      <c r="G2482" s="76"/>
      <c r="H2482" s="76"/>
      <c r="I2482" s="76"/>
      <c r="J2482" s="93"/>
      <c r="K2482" s="93"/>
      <c r="L2482" s="82"/>
      <c r="M2482" s="54"/>
      <c r="N2482" s="54"/>
      <c r="O2482" s="54"/>
      <c r="P2482" s="54"/>
      <c r="Q2482" s="54"/>
      <c r="R2482" s="54"/>
      <c r="S2482" s="54"/>
      <c r="T2482" s="54"/>
      <c r="U2482" s="54"/>
      <c r="V2482" s="54"/>
      <c r="W2482" s="54"/>
      <c r="X2482" s="54"/>
      <c r="Y2482" s="54"/>
      <c r="Z2482" s="54"/>
      <c r="AA2482" s="54"/>
      <c r="AB2482" s="54"/>
      <c r="AC2482" s="54"/>
      <c r="AD2482" s="54"/>
      <c r="AE2482" s="54"/>
    </row>
    <row r="2483">
      <c r="A2483" s="80"/>
      <c r="B2483" s="80"/>
      <c r="C2483" s="80"/>
      <c r="D2483" s="59"/>
      <c r="E2483" s="59"/>
      <c r="F2483" s="83"/>
      <c r="G2483" s="76"/>
      <c r="H2483" s="76"/>
      <c r="I2483" s="76"/>
      <c r="J2483" s="93"/>
      <c r="K2483" s="93"/>
      <c r="L2483" s="82"/>
      <c r="M2483" s="54"/>
      <c r="N2483" s="54"/>
      <c r="O2483" s="54"/>
      <c r="P2483" s="54"/>
      <c r="Q2483" s="54"/>
      <c r="R2483" s="54"/>
      <c r="S2483" s="54"/>
      <c r="T2483" s="54"/>
      <c r="U2483" s="54"/>
      <c r="V2483" s="54"/>
      <c r="W2483" s="54"/>
      <c r="X2483" s="54"/>
      <c r="Y2483" s="54"/>
      <c r="Z2483" s="54"/>
      <c r="AA2483" s="54"/>
      <c r="AB2483" s="54"/>
      <c r="AC2483" s="54"/>
      <c r="AD2483" s="54"/>
      <c r="AE2483" s="54"/>
    </row>
    <row r="2484">
      <c r="A2484" s="80"/>
      <c r="B2484" s="80"/>
      <c r="C2484" s="80"/>
      <c r="D2484" s="59"/>
      <c r="E2484" s="59"/>
      <c r="F2484" s="83"/>
      <c r="G2484" s="76"/>
      <c r="H2484" s="76"/>
      <c r="I2484" s="76"/>
      <c r="J2484" s="93"/>
      <c r="K2484" s="93"/>
      <c r="L2484" s="82"/>
      <c r="M2484" s="54"/>
      <c r="N2484" s="54"/>
      <c r="O2484" s="54"/>
      <c r="P2484" s="54"/>
      <c r="Q2484" s="54"/>
      <c r="R2484" s="54"/>
      <c r="S2484" s="54"/>
      <c r="T2484" s="54"/>
      <c r="U2484" s="54"/>
      <c r="V2484" s="54"/>
      <c r="W2484" s="54"/>
      <c r="X2484" s="54"/>
      <c r="Y2484" s="54"/>
      <c r="Z2484" s="54"/>
      <c r="AA2484" s="54"/>
      <c r="AB2484" s="54"/>
      <c r="AC2484" s="54"/>
      <c r="AD2484" s="54"/>
      <c r="AE2484" s="54"/>
    </row>
    <row r="2485">
      <c r="A2485" s="80"/>
      <c r="B2485" s="80"/>
      <c r="C2485" s="80"/>
      <c r="D2485" s="59"/>
      <c r="E2485" s="59"/>
      <c r="F2485" s="83"/>
      <c r="G2485" s="76"/>
      <c r="H2485" s="76"/>
      <c r="I2485" s="76"/>
      <c r="J2485" s="93"/>
      <c r="K2485" s="93"/>
      <c r="L2485" s="82"/>
      <c r="M2485" s="54"/>
      <c r="N2485" s="54"/>
      <c r="O2485" s="54"/>
      <c r="P2485" s="54"/>
      <c r="Q2485" s="54"/>
      <c r="R2485" s="54"/>
      <c r="S2485" s="54"/>
      <c r="T2485" s="54"/>
      <c r="U2485" s="54"/>
      <c r="V2485" s="54"/>
      <c r="W2485" s="54"/>
      <c r="X2485" s="54"/>
      <c r="Y2485" s="54"/>
      <c r="Z2485" s="54"/>
      <c r="AA2485" s="54"/>
      <c r="AB2485" s="54"/>
      <c r="AC2485" s="54"/>
      <c r="AD2485" s="54"/>
      <c r="AE2485" s="54"/>
    </row>
    <row r="2486">
      <c r="A2486" s="80"/>
      <c r="B2486" s="80"/>
      <c r="C2486" s="80"/>
      <c r="D2486" s="59"/>
      <c r="E2486" s="59"/>
      <c r="F2486" s="83"/>
      <c r="G2486" s="76"/>
      <c r="H2486" s="76"/>
      <c r="I2486" s="76"/>
      <c r="J2486" s="93"/>
      <c r="K2486" s="93"/>
      <c r="L2486" s="82"/>
      <c r="M2486" s="54"/>
      <c r="N2486" s="54"/>
      <c r="O2486" s="54"/>
      <c r="P2486" s="54"/>
      <c r="Q2486" s="54"/>
      <c r="R2486" s="54"/>
      <c r="S2486" s="54"/>
      <c r="T2486" s="54"/>
      <c r="U2486" s="54"/>
      <c r="V2486" s="54"/>
      <c r="W2486" s="54"/>
      <c r="X2486" s="54"/>
      <c r="Y2486" s="54"/>
      <c r="Z2486" s="54"/>
      <c r="AA2486" s="54"/>
      <c r="AB2486" s="54"/>
      <c r="AC2486" s="54"/>
      <c r="AD2486" s="54"/>
      <c r="AE2486" s="54"/>
    </row>
    <row r="2487">
      <c r="A2487" s="80"/>
      <c r="B2487" s="80"/>
      <c r="C2487" s="80"/>
      <c r="D2487" s="59"/>
      <c r="E2487" s="59"/>
      <c r="F2487" s="83"/>
      <c r="G2487" s="76"/>
      <c r="H2487" s="76"/>
      <c r="I2487" s="76"/>
      <c r="J2487" s="93"/>
      <c r="K2487" s="93"/>
      <c r="L2487" s="82"/>
      <c r="M2487" s="54"/>
      <c r="N2487" s="54"/>
      <c r="O2487" s="54"/>
      <c r="P2487" s="54"/>
      <c r="Q2487" s="54"/>
      <c r="R2487" s="54"/>
      <c r="S2487" s="54"/>
      <c r="T2487" s="54"/>
      <c r="U2487" s="54"/>
      <c r="V2487" s="54"/>
      <c r="W2487" s="54"/>
      <c r="X2487" s="54"/>
      <c r="Y2487" s="54"/>
      <c r="Z2487" s="54"/>
      <c r="AA2487" s="54"/>
      <c r="AB2487" s="54"/>
      <c r="AC2487" s="54"/>
      <c r="AD2487" s="54"/>
      <c r="AE2487" s="54"/>
    </row>
    <row r="2488">
      <c r="A2488" s="80"/>
      <c r="B2488" s="80"/>
      <c r="C2488" s="80"/>
      <c r="D2488" s="59"/>
      <c r="E2488" s="59"/>
      <c r="F2488" s="83"/>
      <c r="G2488" s="76"/>
      <c r="H2488" s="76"/>
      <c r="I2488" s="76"/>
      <c r="J2488" s="93"/>
      <c r="K2488" s="93"/>
      <c r="L2488" s="82"/>
      <c r="M2488" s="54"/>
      <c r="N2488" s="54"/>
      <c r="O2488" s="54"/>
      <c r="P2488" s="54"/>
      <c r="Q2488" s="54"/>
      <c r="R2488" s="54"/>
      <c r="S2488" s="54"/>
      <c r="T2488" s="54"/>
      <c r="U2488" s="54"/>
      <c r="V2488" s="54"/>
      <c r="W2488" s="54"/>
      <c r="X2488" s="54"/>
      <c r="Y2488" s="54"/>
      <c r="Z2488" s="54"/>
      <c r="AA2488" s="54"/>
      <c r="AB2488" s="54"/>
      <c r="AC2488" s="54"/>
      <c r="AD2488" s="54"/>
      <c r="AE2488" s="54"/>
    </row>
    <row r="2489">
      <c r="A2489" s="80"/>
      <c r="B2489" s="80"/>
      <c r="C2489" s="80"/>
      <c r="D2489" s="59"/>
      <c r="E2489" s="59"/>
      <c r="F2489" s="83"/>
      <c r="G2489" s="76"/>
      <c r="H2489" s="76"/>
      <c r="I2489" s="76"/>
      <c r="J2489" s="93"/>
      <c r="K2489" s="93"/>
      <c r="L2489" s="82"/>
      <c r="M2489" s="54"/>
      <c r="N2489" s="54"/>
      <c r="O2489" s="54"/>
      <c r="P2489" s="54"/>
      <c r="Q2489" s="54"/>
      <c r="R2489" s="54"/>
      <c r="S2489" s="54"/>
      <c r="T2489" s="54"/>
      <c r="U2489" s="54"/>
      <c r="V2489" s="54"/>
      <c r="W2489" s="54"/>
      <c r="X2489" s="54"/>
      <c r="Y2489" s="54"/>
      <c r="Z2489" s="54"/>
      <c r="AA2489" s="54"/>
      <c r="AB2489" s="54"/>
      <c r="AC2489" s="54"/>
      <c r="AD2489" s="54"/>
      <c r="AE2489" s="54"/>
    </row>
    <row r="2490">
      <c r="A2490" s="80"/>
      <c r="B2490" s="80"/>
      <c r="C2490" s="80"/>
      <c r="D2490" s="59"/>
      <c r="E2490" s="59"/>
      <c r="F2490" s="83"/>
      <c r="G2490" s="76"/>
      <c r="H2490" s="76"/>
      <c r="I2490" s="76"/>
      <c r="J2490" s="93"/>
      <c r="K2490" s="93"/>
      <c r="L2490" s="82"/>
      <c r="M2490" s="54"/>
      <c r="N2490" s="54"/>
      <c r="O2490" s="54"/>
      <c r="P2490" s="54"/>
      <c r="Q2490" s="54"/>
      <c r="R2490" s="54"/>
      <c r="S2490" s="54"/>
      <c r="T2490" s="54"/>
      <c r="U2490" s="54"/>
      <c r="V2490" s="54"/>
      <c r="W2490" s="54"/>
      <c r="X2490" s="54"/>
      <c r="Y2490" s="54"/>
      <c r="Z2490" s="54"/>
      <c r="AA2490" s="54"/>
      <c r="AB2490" s="54"/>
      <c r="AC2490" s="54"/>
      <c r="AD2490" s="54"/>
      <c r="AE2490" s="54"/>
    </row>
    <row r="2491">
      <c r="A2491" s="80"/>
      <c r="B2491" s="80"/>
      <c r="C2491" s="80"/>
      <c r="D2491" s="59"/>
      <c r="E2491" s="59"/>
      <c r="F2491" s="83"/>
      <c r="G2491" s="76"/>
      <c r="H2491" s="76"/>
      <c r="I2491" s="76"/>
      <c r="J2491" s="93"/>
      <c r="K2491" s="93"/>
      <c r="L2491" s="82"/>
      <c r="M2491" s="54"/>
      <c r="N2491" s="54"/>
      <c r="O2491" s="54"/>
      <c r="P2491" s="54"/>
      <c r="Q2491" s="54"/>
      <c r="R2491" s="54"/>
      <c r="S2491" s="54"/>
      <c r="T2491" s="54"/>
      <c r="U2491" s="54"/>
      <c r="V2491" s="54"/>
      <c r="W2491" s="54"/>
      <c r="X2491" s="54"/>
      <c r="Y2491" s="54"/>
      <c r="Z2491" s="54"/>
      <c r="AA2491" s="54"/>
      <c r="AB2491" s="54"/>
      <c r="AC2491" s="54"/>
      <c r="AD2491" s="54"/>
      <c r="AE2491" s="54"/>
    </row>
    <row r="2492">
      <c r="A2492" s="80"/>
      <c r="B2492" s="80"/>
      <c r="C2492" s="80"/>
      <c r="D2492" s="59"/>
      <c r="E2492" s="59"/>
      <c r="F2492" s="83"/>
      <c r="G2492" s="76"/>
      <c r="H2492" s="76"/>
      <c r="I2492" s="76"/>
      <c r="J2492" s="93"/>
      <c r="K2492" s="93"/>
      <c r="L2492" s="82"/>
      <c r="M2492" s="54"/>
      <c r="N2492" s="54"/>
      <c r="O2492" s="54"/>
      <c r="P2492" s="54"/>
      <c r="Q2492" s="54"/>
      <c r="R2492" s="54"/>
      <c r="S2492" s="54"/>
      <c r="T2492" s="54"/>
      <c r="U2492" s="54"/>
      <c r="V2492" s="54"/>
      <c r="W2492" s="54"/>
      <c r="X2492" s="54"/>
      <c r="Y2492" s="54"/>
      <c r="Z2492" s="54"/>
      <c r="AA2492" s="54"/>
      <c r="AB2492" s="54"/>
      <c r="AC2492" s="54"/>
      <c r="AD2492" s="54"/>
      <c r="AE2492" s="54"/>
    </row>
    <row r="2493">
      <c r="A2493" s="80"/>
      <c r="B2493" s="80"/>
      <c r="C2493" s="80"/>
      <c r="D2493" s="59"/>
      <c r="E2493" s="59"/>
      <c r="F2493" s="83"/>
      <c r="G2493" s="76"/>
      <c r="H2493" s="76"/>
      <c r="I2493" s="76"/>
      <c r="J2493" s="93"/>
      <c r="K2493" s="93"/>
      <c r="L2493" s="82"/>
      <c r="M2493" s="54"/>
      <c r="N2493" s="54"/>
      <c r="O2493" s="54"/>
      <c r="P2493" s="54"/>
      <c r="Q2493" s="54"/>
      <c r="R2493" s="54"/>
      <c r="S2493" s="54"/>
      <c r="T2493" s="54"/>
      <c r="U2493" s="54"/>
      <c r="V2493" s="54"/>
      <c r="W2493" s="54"/>
      <c r="X2493" s="54"/>
      <c r="Y2493" s="54"/>
      <c r="Z2493" s="54"/>
      <c r="AA2493" s="54"/>
      <c r="AB2493" s="54"/>
      <c r="AC2493" s="54"/>
      <c r="AD2493" s="54"/>
      <c r="AE2493" s="54"/>
    </row>
    <row r="2494">
      <c r="A2494" s="80"/>
      <c r="B2494" s="80"/>
      <c r="C2494" s="80"/>
      <c r="D2494" s="59"/>
      <c r="E2494" s="59"/>
      <c r="F2494" s="83"/>
      <c r="G2494" s="76"/>
      <c r="H2494" s="76"/>
      <c r="I2494" s="76"/>
      <c r="J2494" s="93"/>
      <c r="K2494" s="93"/>
      <c r="L2494" s="82"/>
      <c r="M2494" s="54"/>
      <c r="N2494" s="54"/>
      <c r="O2494" s="54"/>
      <c r="P2494" s="54"/>
      <c r="Q2494" s="54"/>
      <c r="R2494" s="54"/>
      <c r="S2494" s="54"/>
      <c r="T2494" s="54"/>
      <c r="U2494" s="54"/>
      <c r="V2494" s="54"/>
      <c r="W2494" s="54"/>
      <c r="X2494" s="54"/>
      <c r="Y2494" s="54"/>
      <c r="Z2494" s="54"/>
      <c r="AA2494" s="54"/>
      <c r="AB2494" s="54"/>
      <c r="AC2494" s="54"/>
      <c r="AD2494" s="54"/>
      <c r="AE2494" s="54"/>
    </row>
    <row r="2495">
      <c r="A2495" s="80"/>
      <c r="B2495" s="80"/>
      <c r="C2495" s="80"/>
      <c r="D2495" s="59"/>
      <c r="E2495" s="59"/>
      <c r="F2495" s="83"/>
      <c r="G2495" s="76"/>
      <c r="H2495" s="76"/>
      <c r="I2495" s="76"/>
      <c r="J2495" s="93"/>
      <c r="K2495" s="93"/>
      <c r="L2495" s="82"/>
      <c r="M2495" s="54"/>
      <c r="N2495" s="54"/>
      <c r="O2495" s="54"/>
      <c r="P2495" s="54"/>
      <c r="Q2495" s="54"/>
      <c r="R2495" s="54"/>
      <c r="S2495" s="54"/>
      <c r="T2495" s="54"/>
      <c r="U2495" s="54"/>
      <c r="V2495" s="54"/>
      <c r="W2495" s="54"/>
      <c r="X2495" s="54"/>
      <c r="Y2495" s="54"/>
      <c r="Z2495" s="54"/>
      <c r="AA2495" s="54"/>
      <c r="AB2495" s="54"/>
      <c r="AC2495" s="54"/>
      <c r="AD2495" s="54"/>
      <c r="AE2495" s="54"/>
    </row>
    <row r="2496">
      <c r="A2496" s="80"/>
      <c r="B2496" s="80"/>
      <c r="C2496" s="80"/>
      <c r="D2496" s="59"/>
      <c r="E2496" s="59"/>
      <c r="F2496" s="83"/>
      <c r="G2496" s="76"/>
      <c r="H2496" s="76"/>
      <c r="I2496" s="76"/>
      <c r="J2496" s="93"/>
      <c r="K2496" s="93"/>
      <c r="L2496" s="82"/>
      <c r="M2496" s="54"/>
      <c r="N2496" s="54"/>
      <c r="O2496" s="54"/>
      <c r="P2496" s="54"/>
      <c r="Q2496" s="54"/>
      <c r="R2496" s="54"/>
      <c r="S2496" s="54"/>
      <c r="T2496" s="54"/>
      <c r="U2496" s="54"/>
      <c r="V2496" s="54"/>
      <c r="W2496" s="54"/>
      <c r="X2496" s="54"/>
      <c r="Y2496" s="54"/>
      <c r="Z2496" s="54"/>
      <c r="AA2496" s="54"/>
      <c r="AB2496" s="54"/>
      <c r="AC2496" s="54"/>
      <c r="AD2496" s="54"/>
      <c r="AE2496" s="54"/>
    </row>
    <row r="2497">
      <c r="A2497" s="80"/>
      <c r="B2497" s="80"/>
      <c r="C2497" s="80"/>
      <c r="D2497" s="59"/>
      <c r="E2497" s="59"/>
      <c r="F2497" s="83"/>
      <c r="G2497" s="76"/>
      <c r="H2497" s="76"/>
      <c r="I2497" s="76"/>
      <c r="J2497" s="93"/>
      <c r="K2497" s="93"/>
      <c r="L2497" s="82"/>
      <c r="M2497" s="54"/>
      <c r="N2497" s="54"/>
      <c r="O2497" s="54"/>
      <c r="P2497" s="54"/>
      <c r="Q2497" s="54"/>
      <c r="R2497" s="54"/>
      <c r="S2497" s="54"/>
      <c r="T2497" s="54"/>
      <c r="U2497" s="54"/>
      <c r="V2497" s="54"/>
      <c r="W2497" s="54"/>
      <c r="X2497" s="54"/>
      <c r="Y2497" s="54"/>
      <c r="Z2497" s="54"/>
      <c r="AA2497" s="54"/>
      <c r="AB2497" s="54"/>
      <c r="AC2497" s="54"/>
      <c r="AD2497" s="54"/>
      <c r="AE2497" s="54"/>
    </row>
    <row r="2498">
      <c r="A2498" s="80"/>
      <c r="B2498" s="80"/>
      <c r="C2498" s="80"/>
      <c r="D2498" s="59"/>
      <c r="E2498" s="59"/>
      <c r="F2498" s="83"/>
      <c r="G2498" s="76"/>
      <c r="H2498" s="76"/>
      <c r="I2498" s="76"/>
      <c r="J2498" s="93"/>
      <c r="K2498" s="93"/>
      <c r="L2498" s="82"/>
      <c r="M2498" s="54"/>
      <c r="N2498" s="54"/>
      <c r="O2498" s="54"/>
      <c r="P2498" s="54"/>
      <c r="Q2498" s="54"/>
      <c r="R2498" s="54"/>
      <c r="S2498" s="54"/>
      <c r="T2498" s="54"/>
      <c r="U2498" s="54"/>
      <c r="V2498" s="54"/>
      <c r="W2498" s="54"/>
      <c r="X2498" s="54"/>
      <c r="Y2498" s="54"/>
      <c r="Z2498" s="54"/>
      <c r="AA2498" s="54"/>
      <c r="AB2498" s="54"/>
      <c r="AC2498" s="54"/>
      <c r="AD2498" s="54"/>
      <c r="AE2498" s="54"/>
    </row>
    <row r="2499">
      <c r="A2499" s="80"/>
      <c r="B2499" s="80"/>
      <c r="C2499" s="80"/>
      <c r="D2499" s="59"/>
      <c r="E2499" s="59"/>
      <c r="F2499" s="83"/>
      <c r="G2499" s="76"/>
      <c r="H2499" s="76"/>
      <c r="I2499" s="76"/>
      <c r="J2499" s="93"/>
      <c r="K2499" s="93"/>
      <c r="L2499" s="82"/>
      <c r="M2499" s="54"/>
      <c r="N2499" s="54"/>
      <c r="O2499" s="54"/>
      <c r="P2499" s="54"/>
      <c r="Q2499" s="54"/>
      <c r="R2499" s="54"/>
      <c r="S2499" s="54"/>
      <c r="T2499" s="54"/>
      <c r="U2499" s="54"/>
      <c r="V2499" s="54"/>
      <c r="W2499" s="54"/>
      <c r="X2499" s="54"/>
      <c r="Y2499" s="54"/>
      <c r="Z2499" s="54"/>
      <c r="AA2499" s="54"/>
      <c r="AB2499" s="54"/>
      <c r="AC2499" s="54"/>
      <c r="AD2499" s="54"/>
      <c r="AE2499" s="54"/>
    </row>
    <row r="2500">
      <c r="A2500" s="80"/>
      <c r="B2500" s="80"/>
      <c r="C2500" s="80"/>
      <c r="D2500" s="59"/>
      <c r="E2500" s="59"/>
      <c r="F2500" s="83"/>
      <c r="G2500" s="76"/>
      <c r="H2500" s="76"/>
      <c r="I2500" s="76"/>
      <c r="J2500" s="93"/>
      <c r="K2500" s="93"/>
      <c r="L2500" s="82"/>
      <c r="M2500" s="54"/>
      <c r="N2500" s="54"/>
      <c r="O2500" s="54"/>
      <c r="P2500" s="54"/>
      <c r="Q2500" s="54"/>
      <c r="R2500" s="54"/>
      <c r="S2500" s="54"/>
      <c r="T2500" s="54"/>
      <c r="U2500" s="54"/>
      <c r="V2500" s="54"/>
      <c r="W2500" s="54"/>
      <c r="X2500" s="54"/>
      <c r="Y2500" s="54"/>
      <c r="Z2500" s="54"/>
      <c r="AA2500" s="54"/>
      <c r="AB2500" s="54"/>
      <c r="AC2500" s="54"/>
      <c r="AD2500" s="54"/>
      <c r="AE2500" s="54"/>
    </row>
    <row r="2501">
      <c r="A2501" s="80"/>
      <c r="B2501" s="80"/>
      <c r="C2501" s="80"/>
      <c r="D2501" s="59"/>
      <c r="E2501" s="59"/>
      <c r="F2501" s="83"/>
      <c r="G2501" s="76"/>
      <c r="H2501" s="76"/>
      <c r="I2501" s="76"/>
      <c r="J2501" s="93"/>
      <c r="K2501" s="93"/>
      <c r="L2501" s="82"/>
      <c r="M2501" s="54"/>
      <c r="N2501" s="54"/>
      <c r="O2501" s="54"/>
      <c r="P2501" s="54"/>
      <c r="Q2501" s="54"/>
      <c r="R2501" s="54"/>
      <c r="S2501" s="54"/>
      <c r="T2501" s="54"/>
      <c r="U2501" s="54"/>
      <c r="V2501" s="54"/>
      <c r="W2501" s="54"/>
      <c r="X2501" s="54"/>
      <c r="Y2501" s="54"/>
      <c r="Z2501" s="54"/>
      <c r="AA2501" s="54"/>
      <c r="AB2501" s="54"/>
      <c r="AC2501" s="54"/>
      <c r="AD2501" s="54"/>
      <c r="AE2501" s="54"/>
    </row>
    <row r="2502">
      <c r="A2502" s="80"/>
      <c r="B2502" s="80"/>
      <c r="C2502" s="80"/>
      <c r="D2502" s="59"/>
      <c r="E2502" s="59"/>
      <c r="F2502" s="83"/>
      <c r="G2502" s="76"/>
      <c r="H2502" s="76"/>
      <c r="I2502" s="76"/>
      <c r="J2502" s="93"/>
      <c r="K2502" s="93"/>
      <c r="L2502" s="82"/>
      <c r="M2502" s="54"/>
      <c r="N2502" s="54"/>
      <c r="O2502" s="54"/>
      <c r="P2502" s="54"/>
      <c r="Q2502" s="54"/>
      <c r="R2502" s="54"/>
      <c r="S2502" s="54"/>
      <c r="T2502" s="54"/>
      <c r="U2502" s="54"/>
      <c r="V2502" s="54"/>
      <c r="W2502" s="54"/>
      <c r="X2502" s="54"/>
      <c r="Y2502" s="54"/>
      <c r="Z2502" s="54"/>
      <c r="AA2502" s="54"/>
      <c r="AB2502" s="54"/>
      <c r="AC2502" s="54"/>
      <c r="AD2502" s="54"/>
      <c r="AE2502" s="54"/>
    </row>
    <row r="2503">
      <c r="A2503" s="80"/>
      <c r="B2503" s="80"/>
      <c r="C2503" s="80"/>
      <c r="D2503" s="59"/>
      <c r="E2503" s="59"/>
      <c r="F2503" s="83"/>
      <c r="G2503" s="76"/>
      <c r="H2503" s="76"/>
      <c r="I2503" s="76"/>
      <c r="J2503" s="93"/>
      <c r="K2503" s="93"/>
      <c r="L2503" s="82"/>
      <c r="M2503" s="54"/>
      <c r="N2503" s="54"/>
      <c r="O2503" s="54"/>
      <c r="P2503" s="54"/>
      <c r="Q2503" s="54"/>
      <c r="R2503" s="54"/>
      <c r="S2503" s="54"/>
      <c r="T2503" s="54"/>
      <c r="U2503" s="54"/>
      <c r="V2503" s="54"/>
      <c r="W2503" s="54"/>
      <c r="X2503" s="54"/>
      <c r="Y2503" s="54"/>
      <c r="Z2503" s="54"/>
      <c r="AA2503" s="54"/>
      <c r="AB2503" s="54"/>
      <c r="AC2503" s="54"/>
      <c r="AD2503" s="54"/>
      <c r="AE2503" s="54"/>
    </row>
    <row r="2504">
      <c r="A2504" s="80"/>
      <c r="B2504" s="80"/>
      <c r="C2504" s="80"/>
      <c r="D2504" s="59"/>
      <c r="E2504" s="59"/>
      <c r="F2504" s="83"/>
      <c r="G2504" s="76"/>
      <c r="H2504" s="76"/>
      <c r="I2504" s="76"/>
      <c r="J2504" s="93"/>
      <c r="K2504" s="93"/>
      <c r="L2504" s="82"/>
      <c r="M2504" s="54"/>
      <c r="N2504" s="54"/>
      <c r="O2504" s="54"/>
      <c r="P2504" s="54"/>
      <c r="Q2504" s="54"/>
      <c r="R2504" s="54"/>
      <c r="S2504" s="54"/>
      <c r="T2504" s="54"/>
      <c r="U2504" s="54"/>
      <c r="V2504" s="54"/>
      <c r="W2504" s="54"/>
      <c r="X2504" s="54"/>
      <c r="Y2504" s="54"/>
      <c r="Z2504" s="54"/>
      <c r="AA2504" s="54"/>
      <c r="AB2504" s="54"/>
      <c r="AC2504" s="54"/>
      <c r="AD2504" s="54"/>
      <c r="AE2504" s="54"/>
    </row>
    <row r="2505">
      <c r="A2505" s="80"/>
      <c r="B2505" s="80"/>
      <c r="C2505" s="80"/>
      <c r="D2505" s="59"/>
      <c r="E2505" s="59"/>
      <c r="F2505" s="83"/>
      <c r="G2505" s="76"/>
      <c r="H2505" s="76"/>
      <c r="I2505" s="76"/>
      <c r="J2505" s="93"/>
      <c r="K2505" s="93"/>
      <c r="L2505" s="82"/>
      <c r="M2505" s="54"/>
      <c r="N2505" s="54"/>
      <c r="O2505" s="54"/>
      <c r="P2505" s="54"/>
      <c r="Q2505" s="54"/>
      <c r="R2505" s="54"/>
      <c r="S2505" s="54"/>
      <c r="T2505" s="54"/>
      <c r="U2505" s="54"/>
      <c r="V2505" s="54"/>
      <c r="W2505" s="54"/>
      <c r="X2505" s="54"/>
      <c r="Y2505" s="54"/>
      <c r="Z2505" s="54"/>
      <c r="AA2505" s="54"/>
      <c r="AB2505" s="54"/>
      <c r="AC2505" s="54"/>
      <c r="AD2505" s="54"/>
      <c r="AE2505" s="54"/>
    </row>
    <row r="2506">
      <c r="A2506" s="80"/>
      <c r="B2506" s="80"/>
      <c r="C2506" s="80"/>
      <c r="D2506" s="59"/>
      <c r="E2506" s="59"/>
      <c r="F2506" s="83"/>
      <c r="G2506" s="76"/>
      <c r="H2506" s="76"/>
      <c r="I2506" s="76"/>
      <c r="J2506" s="93"/>
      <c r="K2506" s="93"/>
      <c r="L2506" s="82"/>
      <c r="M2506" s="54"/>
      <c r="N2506" s="54"/>
      <c r="O2506" s="54"/>
      <c r="P2506" s="54"/>
      <c r="Q2506" s="54"/>
      <c r="R2506" s="54"/>
      <c r="S2506" s="54"/>
      <c r="T2506" s="54"/>
      <c r="U2506" s="54"/>
      <c r="V2506" s="54"/>
      <c r="W2506" s="54"/>
      <c r="X2506" s="54"/>
      <c r="Y2506" s="54"/>
      <c r="Z2506" s="54"/>
      <c r="AA2506" s="54"/>
      <c r="AB2506" s="54"/>
      <c r="AC2506" s="54"/>
      <c r="AD2506" s="54"/>
      <c r="AE2506" s="54"/>
    </row>
    <row r="2507">
      <c r="A2507" s="80"/>
      <c r="B2507" s="80"/>
      <c r="C2507" s="80"/>
      <c r="D2507" s="59"/>
      <c r="E2507" s="59"/>
      <c r="F2507" s="83"/>
      <c r="G2507" s="76"/>
      <c r="H2507" s="76"/>
      <c r="I2507" s="76"/>
      <c r="J2507" s="93"/>
      <c r="K2507" s="93"/>
      <c r="L2507" s="82"/>
      <c r="M2507" s="54"/>
      <c r="N2507" s="54"/>
      <c r="O2507" s="54"/>
      <c r="P2507" s="54"/>
      <c r="Q2507" s="54"/>
      <c r="R2507" s="54"/>
      <c r="S2507" s="54"/>
      <c r="T2507" s="54"/>
      <c r="U2507" s="54"/>
      <c r="V2507" s="54"/>
      <c r="W2507" s="54"/>
      <c r="X2507" s="54"/>
      <c r="Y2507" s="54"/>
      <c r="Z2507" s="54"/>
      <c r="AA2507" s="54"/>
      <c r="AB2507" s="54"/>
      <c r="AC2507" s="54"/>
      <c r="AD2507" s="54"/>
      <c r="AE2507" s="54"/>
    </row>
    <row r="2508">
      <c r="A2508" s="80"/>
      <c r="B2508" s="80"/>
      <c r="C2508" s="80"/>
      <c r="D2508" s="59"/>
      <c r="E2508" s="59"/>
      <c r="F2508" s="83"/>
      <c r="G2508" s="76"/>
      <c r="H2508" s="76"/>
      <c r="I2508" s="76"/>
      <c r="J2508" s="93"/>
      <c r="K2508" s="93"/>
      <c r="L2508" s="82"/>
      <c r="M2508" s="54"/>
      <c r="N2508" s="54"/>
      <c r="O2508" s="54"/>
      <c r="P2508" s="54"/>
      <c r="Q2508" s="54"/>
      <c r="R2508" s="54"/>
      <c r="S2508" s="54"/>
      <c r="T2508" s="54"/>
      <c r="U2508" s="54"/>
      <c r="V2508" s="54"/>
      <c r="W2508" s="54"/>
      <c r="X2508" s="54"/>
      <c r="Y2508" s="54"/>
      <c r="Z2508" s="54"/>
      <c r="AA2508" s="54"/>
      <c r="AB2508" s="54"/>
      <c r="AC2508" s="54"/>
      <c r="AD2508" s="54"/>
      <c r="AE2508" s="54"/>
    </row>
    <row r="2509">
      <c r="A2509" s="80"/>
      <c r="B2509" s="80"/>
      <c r="C2509" s="80"/>
      <c r="D2509" s="59"/>
      <c r="E2509" s="59"/>
      <c r="F2509" s="83"/>
      <c r="G2509" s="76"/>
      <c r="H2509" s="76"/>
      <c r="I2509" s="76"/>
      <c r="J2509" s="93"/>
      <c r="K2509" s="93"/>
      <c r="L2509" s="82"/>
      <c r="M2509" s="54"/>
      <c r="N2509" s="54"/>
      <c r="O2509" s="54"/>
      <c r="P2509" s="54"/>
      <c r="Q2509" s="54"/>
      <c r="R2509" s="54"/>
      <c r="S2509" s="54"/>
      <c r="T2509" s="54"/>
      <c r="U2509" s="54"/>
      <c r="V2509" s="54"/>
      <c r="W2509" s="54"/>
      <c r="X2509" s="54"/>
      <c r="Y2509" s="54"/>
      <c r="Z2509" s="54"/>
      <c r="AA2509" s="54"/>
      <c r="AB2509" s="54"/>
      <c r="AC2509" s="54"/>
      <c r="AD2509" s="54"/>
      <c r="AE2509" s="54"/>
    </row>
    <row r="2510">
      <c r="A2510" s="80"/>
      <c r="B2510" s="80"/>
      <c r="C2510" s="80"/>
      <c r="D2510" s="59"/>
      <c r="E2510" s="59"/>
      <c r="F2510" s="83"/>
      <c r="G2510" s="76"/>
      <c r="H2510" s="76"/>
      <c r="I2510" s="76"/>
      <c r="J2510" s="93"/>
      <c r="K2510" s="93"/>
      <c r="L2510" s="82"/>
      <c r="M2510" s="54"/>
      <c r="N2510" s="54"/>
      <c r="O2510" s="54"/>
      <c r="P2510" s="54"/>
      <c r="Q2510" s="54"/>
      <c r="R2510" s="54"/>
      <c r="S2510" s="54"/>
      <c r="T2510" s="54"/>
      <c r="U2510" s="54"/>
      <c r="V2510" s="54"/>
      <c r="W2510" s="54"/>
      <c r="X2510" s="54"/>
      <c r="Y2510" s="54"/>
      <c r="Z2510" s="54"/>
      <c r="AA2510" s="54"/>
      <c r="AB2510" s="54"/>
      <c r="AC2510" s="54"/>
      <c r="AD2510" s="54"/>
      <c r="AE2510" s="54"/>
    </row>
    <row r="2511">
      <c r="A2511" s="80"/>
      <c r="B2511" s="80"/>
      <c r="C2511" s="80"/>
      <c r="D2511" s="59"/>
      <c r="E2511" s="59"/>
      <c r="F2511" s="83"/>
      <c r="G2511" s="76"/>
      <c r="H2511" s="76"/>
      <c r="I2511" s="76"/>
      <c r="J2511" s="93"/>
      <c r="K2511" s="93"/>
      <c r="L2511" s="82"/>
      <c r="M2511" s="54"/>
      <c r="N2511" s="54"/>
      <c r="O2511" s="54"/>
      <c r="P2511" s="54"/>
      <c r="Q2511" s="54"/>
      <c r="R2511" s="54"/>
      <c r="S2511" s="54"/>
      <c r="T2511" s="54"/>
      <c r="U2511" s="54"/>
      <c r="V2511" s="54"/>
      <c r="W2511" s="54"/>
      <c r="X2511" s="54"/>
      <c r="Y2511" s="54"/>
      <c r="Z2511" s="54"/>
      <c r="AA2511" s="54"/>
      <c r="AB2511" s="54"/>
      <c r="AC2511" s="54"/>
      <c r="AD2511" s="54"/>
      <c r="AE2511" s="54"/>
    </row>
    <row r="2512">
      <c r="A2512" s="80"/>
      <c r="B2512" s="80"/>
      <c r="C2512" s="80"/>
      <c r="D2512" s="59"/>
      <c r="E2512" s="59"/>
      <c r="F2512" s="83"/>
      <c r="G2512" s="76"/>
      <c r="H2512" s="76"/>
      <c r="I2512" s="76"/>
      <c r="J2512" s="93"/>
      <c r="K2512" s="93"/>
      <c r="L2512" s="82"/>
      <c r="M2512" s="54"/>
      <c r="N2512" s="54"/>
      <c r="O2512" s="54"/>
      <c r="P2512" s="54"/>
      <c r="Q2512" s="54"/>
      <c r="R2512" s="54"/>
      <c r="S2512" s="54"/>
      <c r="T2512" s="54"/>
      <c r="U2512" s="54"/>
      <c r="V2512" s="54"/>
      <c r="W2512" s="54"/>
      <c r="X2512" s="54"/>
      <c r="Y2512" s="54"/>
      <c r="Z2512" s="54"/>
      <c r="AA2512" s="54"/>
      <c r="AB2512" s="54"/>
      <c r="AC2512" s="54"/>
      <c r="AD2512" s="54"/>
      <c r="AE2512" s="54"/>
    </row>
    <row r="2513">
      <c r="A2513" s="80"/>
      <c r="B2513" s="80"/>
      <c r="C2513" s="80"/>
      <c r="D2513" s="59"/>
      <c r="E2513" s="59"/>
      <c r="F2513" s="83"/>
      <c r="G2513" s="76"/>
      <c r="H2513" s="76"/>
      <c r="I2513" s="76"/>
      <c r="J2513" s="93"/>
      <c r="K2513" s="93"/>
      <c r="L2513" s="82"/>
      <c r="M2513" s="54"/>
      <c r="N2513" s="54"/>
      <c r="O2513" s="54"/>
      <c r="P2513" s="54"/>
      <c r="Q2513" s="54"/>
      <c r="R2513" s="54"/>
      <c r="S2513" s="54"/>
      <c r="T2513" s="54"/>
      <c r="U2513" s="54"/>
      <c r="V2513" s="54"/>
      <c r="W2513" s="54"/>
      <c r="X2513" s="54"/>
      <c r="Y2513" s="54"/>
      <c r="Z2513" s="54"/>
      <c r="AA2513" s="54"/>
      <c r="AB2513" s="54"/>
      <c r="AC2513" s="54"/>
      <c r="AD2513" s="54"/>
      <c r="AE2513" s="54"/>
    </row>
    <row r="2514">
      <c r="A2514" s="80"/>
      <c r="B2514" s="80"/>
      <c r="C2514" s="80"/>
      <c r="D2514" s="59"/>
      <c r="E2514" s="59"/>
      <c r="F2514" s="83"/>
      <c r="G2514" s="76"/>
      <c r="H2514" s="76"/>
      <c r="I2514" s="76"/>
      <c r="J2514" s="93"/>
      <c r="K2514" s="93"/>
      <c r="L2514" s="82"/>
      <c r="M2514" s="54"/>
      <c r="N2514" s="54"/>
      <c r="O2514" s="54"/>
      <c r="P2514" s="54"/>
      <c r="Q2514" s="54"/>
      <c r="R2514" s="54"/>
      <c r="S2514" s="54"/>
      <c r="T2514" s="54"/>
      <c r="U2514" s="54"/>
      <c r="V2514" s="54"/>
      <c r="W2514" s="54"/>
      <c r="X2514" s="54"/>
      <c r="Y2514" s="54"/>
      <c r="Z2514" s="54"/>
      <c r="AA2514" s="54"/>
      <c r="AB2514" s="54"/>
      <c r="AC2514" s="54"/>
      <c r="AD2514" s="54"/>
      <c r="AE2514" s="54"/>
    </row>
    <row r="2515">
      <c r="A2515" s="80"/>
      <c r="B2515" s="80"/>
      <c r="C2515" s="80"/>
      <c r="D2515" s="59"/>
      <c r="E2515" s="59"/>
      <c r="F2515" s="83"/>
      <c r="G2515" s="76"/>
      <c r="H2515" s="76"/>
      <c r="I2515" s="76"/>
      <c r="J2515" s="93"/>
      <c r="K2515" s="93"/>
      <c r="L2515" s="82"/>
      <c r="M2515" s="54"/>
      <c r="N2515" s="54"/>
      <c r="O2515" s="54"/>
      <c r="P2515" s="54"/>
      <c r="Q2515" s="54"/>
      <c r="R2515" s="54"/>
      <c r="S2515" s="54"/>
      <c r="T2515" s="54"/>
      <c r="U2515" s="54"/>
      <c r="V2515" s="54"/>
      <c r="W2515" s="54"/>
      <c r="X2515" s="54"/>
      <c r="Y2515" s="54"/>
      <c r="Z2515" s="54"/>
      <c r="AA2515" s="54"/>
      <c r="AB2515" s="54"/>
      <c r="AC2515" s="54"/>
      <c r="AD2515" s="54"/>
      <c r="AE2515" s="54"/>
    </row>
    <row r="2516">
      <c r="A2516" s="80"/>
      <c r="B2516" s="80"/>
      <c r="C2516" s="80"/>
      <c r="D2516" s="59"/>
      <c r="E2516" s="59"/>
      <c r="F2516" s="83"/>
      <c r="G2516" s="76"/>
      <c r="H2516" s="76"/>
      <c r="I2516" s="76"/>
      <c r="J2516" s="93"/>
      <c r="K2516" s="93"/>
      <c r="L2516" s="82"/>
      <c r="M2516" s="54"/>
      <c r="N2516" s="54"/>
      <c r="O2516" s="54"/>
      <c r="P2516" s="54"/>
      <c r="Q2516" s="54"/>
      <c r="R2516" s="54"/>
      <c r="S2516" s="54"/>
      <c r="T2516" s="54"/>
      <c r="U2516" s="54"/>
      <c r="V2516" s="54"/>
      <c r="W2516" s="54"/>
      <c r="X2516" s="54"/>
      <c r="Y2516" s="54"/>
      <c r="Z2516" s="54"/>
      <c r="AA2516" s="54"/>
      <c r="AB2516" s="54"/>
      <c r="AC2516" s="54"/>
      <c r="AD2516" s="54"/>
      <c r="AE2516" s="54"/>
    </row>
    <row r="2517">
      <c r="A2517" s="80"/>
      <c r="B2517" s="80"/>
      <c r="C2517" s="80"/>
      <c r="D2517" s="59"/>
      <c r="E2517" s="59"/>
      <c r="F2517" s="83"/>
      <c r="G2517" s="76"/>
      <c r="H2517" s="76"/>
      <c r="I2517" s="76"/>
      <c r="J2517" s="93"/>
      <c r="K2517" s="93"/>
      <c r="L2517" s="82"/>
      <c r="M2517" s="54"/>
      <c r="N2517" s="54"/>
      <c r="O2517" s="54"/>
      <c r="P2517" s="54"/>
      <c r="Q2517" s="54"/>
      <c r="R2517" s="54"/>
      <c r="S2517" s="54"/>
      <c r="T2517" s="54"/>
      <c r="U2517" s="54"/>
      <c r="V2517" s="54"/>
      <c r="W2517" s="54"/>
      <c r="X2517" s="54"/>
      <c r="Y2517" s="54"/>
      <c r="Z2517" s="54"/>
      <c r="AA2517" s="54"/>
      <c r="AB2517" s="54"/>
      <c r="AC2517" s="54"/>
      <c r="AD2517" s="54"/>
      <c r="AE2517" s="54"/>
    </row>
    <row r="2518">
      <c r="A2518" s="80"/>
      <c r="B2518" s="80"/>
      <c r="C2518" s="80"/>
      <c r="D2518" s="59"/>
      <c r="E2518" s="59"/>
      <c r="F2518" s="83"/>
      <c r="G2518" s="76"/>
      <c r="H2518" s="76"/>
      <c r="I2518" s="76"/>
      <c r="J2518" s="93"/>
      <c r="K2518" s="93"/>
      <c r="L2518" s="82"/>
      <c r="M2518" s="54"/>
      <c r="N2518" s="54"/>
      <c r="O2518" s="54"/>
      <c r="P2518" s="54"/>
      <c r="Q2518" s="54"/>
      <c r="R2518" s="54"/>
      <c r="S2518" s="54"/>
      <c r="T2518" s="54"/>
      <c r="U2518" s="54"/>
      <c r="V2518" s="54"/>
      <c r="W2518" s="54"/>
      <c r="X2518" s="54"/>
      <c r="Y2518" s="54"/>
      <c r="Z2518" s="54"/>
      <c r="AA2518" s="54"/>
      <c r="AB2518" s="54"/>
      <c r="AC2518" s="54"/>
      <c r="AD2518" s="54"/>
      <c r="AE2518" s="54"/>
    </row>
    <row r="2519">
      <c r="A2519" s="80"/>
      <c r="B2519" s="80"/>
      <c r="C2519" s="80"/>
      <c r="D2519" s="59"/>
      <c r="E2519" s="59"/>
      <c r="F2519" s="83"/>
      <c r="G2519" s="76"/>
      <c r="H2519" s="76"/>
      <c r="I2519" s="76"/>
      <c r="J2519" s="93"/>
      <c r="K2519" s="93"/>
      <c r="L2519" s="82"/>
      <c r="M2519" s="54"/>
      <c r="N2519" s="54"/>
      <c r="O2519" s="54"/>
      <c r="P2519" s="54"/>
      <c r="Q2519" s="54"/>
      <c r="R2519" s="54"/>
      <c r="S2519" s="54"/>
      <c r="T2519" s="54"/>
      <c r="U2519" s="54"/>
      <c r="V2519" s="54"/>
      <c r="W2519" s="54"/>
      <c r="X2519" s="54"/>
      <c r="Y2519" s="54"/>
      <c r="Z2519" s="54"/>
      <c r="AA2519" s="54"/>
      <c r="AB2519" s="54"/>
      <c r="AC2519" s="54"/>
      <c r="AD2519" s="54"/>
      <c r="AE2519" s="54"/>
    </row>
    <row r="2520">
      <c r="A2520" s="80"/>
      <c r="B2520" s="80"/>
      <c r="C2520" s="80"/>
      <c r="D2520" s="59"/>
      <c r="E2520" s="59"/>
      <c r="F2520" s="83"/>
      <c r="G2520" s="76"/>
      <c r="H2520" s="76"/>
      <c r="I2520" s="76"/>
      <c r="J2520" s="93"/>
      <c r="K2520" s="93"/>
      <c r="L2520" s="82"/>
      <c r="M2520" s="54"/>
      <c r="N2520" s="54"/>
      <c r="O2520" s="54"/>
      <c r="P2520" s="54"/>
      <c r="Q2520" s="54"/>
      <c r="R2520" s="54"/>
      <c r="S2520" s="54"/>
      <c r="T2520" s="54"/>
      <c r="U2520" s="54"/>
      <c r="V2520" s="54"/>
      <c r="W2520" s="54"/>
      <c r="X2520" s="54"/>
      <c r="Y2520" s="54"/>
      <c r="Z2520" s="54"/>
      <c r="AA2520" s="54"/>
      <c r="AB2520" s="54"/>
      <c r="AC2520" s="54"/>
      <c r="AD2520" s="54"/>
      <c r="AE2520" s="54"/>
    </row>
    <row r="2521">
      <c r="A2521" s="80"/>
      <c r="B2521" s="80"/>
      <c r="C2521" s="80"/>
      <c r="D2521" s="59"/>
      <c r="E2521" s="59"/>
      <c r="F2521" s="83"/>
      <c r="G2521" s="76"/>
      <c r="H2521" s="76"/>
      <c r="I2521" s="76"/>
      <c r="J2521" s="93"/>
      <c r="K2521" s="93"/>
      <c r="L2521" s="82"/>
      <c r="M2521" s="54"/>
      <c r="N2521" s="54"/>
      <c r="O2521" s="54"/>
      <c r="P2521" s="54"/>
      <c r="Q2521" s="54"/>
      <c r="R2521" s="54"/>
      <c r="S2521" s="54"/>
      <c r="T2521" s="54"/>
      <c r="U2521" s="54"/>
      <c r="V2521" s="54"/>
      <c r="W2521" s="54"/>
      <c r="X2521" s="54"/>
      <c r="Y2521" s="54"/>
      <c r="Z2521" s="54"/>
      <c r="AA2521" s="54"/>
      <c r="AB2521" s="54"/>
      <c r="AC2521" s="54"/>
      <c r="AD2521" s="54"/>
      <c r="AE2521" s="54"/>
    </row>
    <row r="2522">
      <c r="A2522" s="80"/>
      <c r="B2522" s="80"/>
      <c r="C2522" s="80"/>
      <c r="D2522" s="59"/>
      <c r="E2522" s="59"/>
      <c r="F2522" s="83"/>
      <c r="G2522" s="76"/>
      <c r="H2522" s="76"/>
      <c r="I2522" s="76"/>
      <c r="J2522" s="93"/>
      <c r="K2522" s="93"/>
      <c r="L2522" s="82"/>
      <c r="M2522" s="54"/>
      <c r="N2522" s="54"/>
      <c r="O2522" s="54"/>
      <c r="P2522" s="54"/>
      <c r="Q2522" s="54"/>
      <c r="R2522" s="54"/>
      <c r="S2522" s="54"/>
      <c r="T2522" s="54"/>
      <c r="U2522" s="54"/>
      <c r="V2522" s="54"/>
      <c r="W2522" s="54"/>
      <c r="X2522" s="54"/>
      <c r="Y2522" s="54"/>
      <c r="Z2522" s="54"/>
      <c r="AA2522" s="54"/>
      <c r="AB2522" s="54"/>
      <c r="AC2522" s="54"/>
      <c r="AD2522" s="54"/>
      <c r="AE2522" s="54"/>
    </row>
    <row r="2523">
      <c r="A2523" s="80"/>
      <c r="B2523" s="80"/>
      <c r="C2523" s="80"/>
      <c r="D2523" s="59"/>
      <c r="E2523" s="59"/>
      <c r="F2523" s="83"/>
      <c r="G2523" s="76"/>
      <c r="H2523" s="76"/>
      <c r="I2523" s="76"/>
      <c r="J2523" s="93"/>
      <c r="K2523" s="93"/>
      <c r="L2523" s="82"/>
      <c r="M2523" s="54"/>
      <c r="N2523" s="54"/>
      <c r="O2523" s="54"/>
      <c r="P2523" s="54"/>
      <c r="Q2523" s="54"/>
      <c r="R2523" s="54"/>
      <c r="S2523" s="54"/>
      <c r="T2523" s="54"/>
      <c r="U2523" s="54"/>
      <c r="V2523" s="54"/>
      <c r="W2523" s="54"/>
      <c r="X2523" s="54"/>
      <c r="Y2523" s="54"/>
      <c r="Z2523" s="54"/>
      <c r="AA2523" s="54"/>
      <c r="AB2523" s="54"/>
      <c r="AC2523" s="54"/>
      <c r="AD2523" s="54"/>
      <c r="AE2523" s="54"/>
    </row>
    <row r="2524">
      <c r="A2524" s="80"/>
      <c r="B2524" s="80"/>
      <c r="C2524" s="80"/>
      <c r="D2524" s="59"/>
      <c r="E2524" s="59"/>
      <c r="F2524" s="83"/>
      <c r="G2524" s="76"/>
      <c r="H2524" s="76"/>
      <c r="I2524" s="76"/>
      <c r="J2524" s="93"/>
      <c r="K2524" s="93"/>
      <c r="L2524" s="82"/>
      <c r="M2524" s="54"/>
      <c r="N2524" s="54"/>
      <c r="O2524" s="54"/>
      <c r="P2524" s="54"/>
      <c r="Q2524" s="54"/>
      <c r="R2524" s="54"/>
      <c r="S2524" s="54"/>
      <c r="T2524" s="54"/>
      <c r="U2524" s="54"/>
      <c r="V2524" s="54"/>
      <c r="W2524" s="54"/>
      <c r="X2524" s="54"/>
      <c r="Y2524" s="54"/>
      <c r="Z2524" s="54"/>
      <c r="AA2524" s="54"/>
      <c r="AB2524" s="54"/>
      <c r="AC2524" s="54"/>
      <c r="AD2524" s="54"/>
      <c r="AE2524" s="54"/>
    </row>
    <row r="2525">
      <c r="A2525" s="80"/>
      <c r="B2525" s="80"/>
      <c r="C2525" s="80"/>
      <c r="D2525" s="59"/>
      <c r="E2525" s="59"/>
      <c r="F2525" s="83"/>
      <c r="G2525" s="76"/>
      <c r="H2525" s="76"/>
      <c r="I2525" s="76"/>
      <c r="J2525" s="93"/>
      <c r="K2525" s="93"/>
      <c r="L2525" s="82"/>
      <c r="M2525" s="54"/>
      <c r="N2525" s="54"/>
      <c r="O2525" s="54"/>
      <c r="P2525" s="54"/>
      <c r="Q2525" s="54"/>
      <c r="R2525" s="54"/>
      <c r="S2525" s="54"/>
      <c r="T2525" s="54"/>
      <c r="U2525" s="54"/>
      <c r="V2525" s="54"/>
      <c r="W2525" s="54"/>
      <c r="X2525" s="54"/>
      <c r="Y2525" s="54"/>
      <c r="Z2525" s="54"/>
      <c r="AA2525" s="54"/>
      <c r="AB2525" s="54"/>
      <c r="AC2525" s="54"/>
      <c r="AD2525" s="54"/>
      <c r="AE2525" s="54"/>
    </row>
    <row r="2526">
      <c r="A2526" s="80"/>
      <c r="B2526" s="80"/>
      <c r="C2526" s="80"/>
      <c r="D2526" s="59"/>
      <c r="E2526" s="59"/>
      <c r="F2526" s="83"/>
      <c r="G2526" s="76"/>
      <c r="H2526" s="76"/>
      <c r="I2526" s="76"/>
      <c r="J2526" s="93"/>
      <c r="K2526" s="93"/>
      <c r="L2526" s="82"/>
      <c r="M2526" s="54"/>
      <c r="N2526" s="54"/>
      <c r="O2526" s="54"/>
      <c r="P2526" s="54"/>
      <c r="Q2526" s="54"/>
      <c r="R2526" s="54"/>
      <c r="S2526" s="54"/>
      <c r="T2526" s="54"/>
      <c r="U2526" s="54"/>
      <c r="V2526" s="54"/>
      <c r="W2526" s="54"/>
      <c r="X2526" s="54"/>
      <c r="Y2526" s="54"/>
      <c r="Z2526" s="54"/>
      <c r="AA2526" s="54"/>
      <c r="AB2526" s="54"/>
      <c r="AC2526" s="54"/>
      <c r="AD2526" s="54"/>
      <c r="AE2526" s="54"/>
    </row>
    <row r="2527">
      <c r="A2527" s="80"/>
      <c r="B2527" s="80"/>
      <c r="C2527" s="80"/>
      <c r="D2527" s="59"/>
      <c r="E2527" s="59"/>
      <c r="F2527" s="83"/>
      <c r="G2527" s="76"/>
      <c r="H2527" s="76"/>
      <c r="I2527" s="76"/>
      <c r="J2527" s="93"/>
      <c r="K2527" s="93"/>
      <c r="L2527" s="82"/>
      <c r="M2527" s="54"/>
      <c r="N2527" s="54"/>
      <c r="O2527" s="54"/>
      <c r="P2527" s="54"/>
      <c r="Q2527" s="54"/>
      <c r="R2527" s="54"/>
      <c r="S2527" s="54"/>
      <c r="T2527" s="54"/>
      <c r="U2527" s="54"/>
      <c r="V2527" s="54"/>
      <c r="W2527" s="54"/>
      <c r="X2527" s="54"/>
      <c r="Y2527" s="54"/>
      <c r="Z2527" s="54"/>
      <c r="AA2527" s="54"/>
      <c r="AB2527" s="54"/>
      <c r="AC2527" s="54"/>
      <c r="AD2527" s="54"/>
      <c r="AE2527" s="54"/>
    </row>
    <row r="2528">
      <c r="A2528" s="80"/>
      <c r="B2528" s="80"/>
      <c r="C2528" s="80"/>
      <c r="D2528" s="59"/>
      <c r="E2528" s="59"/>
      <c r="F2528" s="83"/>
      <c r="G2528" s="76"/>
      <c r="H2528" s="76"/>
      <c r="I2528" s="76"/>
      <c r="J2528" s="93"/>
      <c r="K2528" s="93"/>
      <c r="L2528" s="82"/>
      <c r="M2528" s="54"/>
      <c r="N2528" s="54"/>
      <c r="O2528" s="54"/>
      <c r="P2528" s="54"/>
      <c r="Q2528" s="54"/>
      <c r="R2528" s="54"/>
      <c r="S2528" s="54"/>
      <c r="T2528" s="54"/>
      <c r="U2528" s="54"/>
      <c r="V2528" s="54"/>
      <c r="W2528" s="54"/>
      <c r="X2528" s="54"/>
      <c r="Y2528" s="54"/>
      <c r="Z2528" s="54"/>
      <c r="AA2528" s="54"/>
      <c r="AB2528" s="54"/>
      <c r="AC2528" s="54"/>
      <c r="AD2528" s="54"/>
      <c r="AE2528" s="54"/>
    </row>
    <row r="2529">
      <c r="A2529" s="80"/>
      <c r="B2529" s="80"/>
      <c r="C2529" s="80"/>
      <c r="D2529" s="59"/>
      <c r="E2529" s="59"/>
      <c r="F2529" s="83"/>
      <c r="G2529" s="76"/>
      <c r="H2529" s="76"/>
      <c r="I2529" s="76"/>
      <c r="J2529" s="93"/>
      <c r="K2529" s="93"/>
      <c r="L2529" s="82"/>
      <c r="M2529" s="54"/>
      <c r="N2529" s="54"/>
      <c r="O2529" s="54"/>
      <c r="P2529" s="54"/>
      <c r="Q2529" s="54"/>
      <c r="R2529" s="54"/>
      <c r="S2529" s="54"/>
      <c r="T2529" s="54"/>
      <c r="U2529" s="54"/>
      <c r="V2529" s="54"/>
      <c r="W2529" s="54"/>
      <c r="X2529" s="54"/>
      <c r="Y2529" s="54"/>
      <c r="Z2529" s="54"/>
      <c r="AA2529" s="54"/>
      <c r="AB2529" s="54"/>
      <c r="AC2529" s="54"/>
      <c r="AD2529" s="54"/>
      <c r="AE2529" s="54"/>
    </row>
    <row r="2530">
      <c r="A2530" s="80"/>
      <c r="B2530" s="80"/>
      <c r="C2530" s="80"/>
      <c r="D2530" s="59"/>
      <c r="E2530" s="59"/>
      <c r="F2530" s="83"/>
      <c r="G2530" s="76"/>
      <c r="H2530" s="76"/>
      <c r="I2530" s="76"/>
      <c r="J2530" s="93"/>
      <c r="K2530" s="93"/>
      <c r="L2530" s="82"/>
      <c r="M2530" s="54"/>
      <c r="N2530" s="54"/>
      <c r="O2530" s="54"/>
      <c r="P2530" s="54"/>
      <c r="Q2530" s="54"/>
      <c r="R2530" s="54"/>
      <c r="S2530" s="54"/>
      <c r="T2530" s="54"/>
      <c r="U2530" s="54"/>
      <c r="V2530" s="54"/>
      <c r="W2530" s="54"/>
      <c r="X2530" s="54"/>
      <c r="Y2530" s="54"/>
      <c r="Z2530" s="54"/>
      <c r="AA2530" s="54"/>
      <c r="AB2530" s="54"/>
      <c r="AC2530" s="54"/>
      <c r="AD2530" s="54"/>
      <c r="AE2530" s="54"/>
    </row>
    <row r="2531">
      <c r="A2531" s="80"/>
      <c r="B2531" s="80"/>
      <c r="C2531" s="80"/>
      <c r="D2531" s="59"/>
      <c r="E2531" s="59"/>
      <c r="F2531" s="83"/>
      <c r="G2531" s="76"/>
      <c r="H2531" s="76"/>
      <c r="I2531" s="76"/>
      <c r="J2531" s="93"/>
      <c r="K2531" s="93"/>
      <c r="L2531" s="82"/>
      <c r="M2531" s="54"/>
      <c r="N2531" s="54"/>
      <c r="O2531" s="54"/>
      <c r="P2531" s="54"/>
      <c r="Q2531" s="54"/>
      <c r="R2531" s="54"/>
      <c r="S2531" s="54"/>
      <c r="T2531" s="54"/>
      <c r="U2531" s="54"/>
      <c r="V2531" s="54"/>
      <c r="W2531" s="54"/>
      <c r="X2531" s="54"/>
      <c r="Y2531" s="54"/>
      <c r="Z2531" s="54"/>
      <c r="AA2531" s="54"/>
      <c r="AB2531" s="54"/>
      <c r="AC2531" s="54"/>
      <c r="AD2531" s="54"/>
      <c r="AE2531" s="54"/>
    </row>
    <row r="2532">
      <c r="A2532" s="80"/>
      <c r="B2532" s="80"/>
      <c r="C2532" s="80"/>
      <c r="D2532" s="59"/>
      <c r="E2532" s="59"/>
      <c r="F2532" s="83"/>
      <c r="G2532" s="76"/>
      <c r="H2532" s="76"/>
      <c r="I2532" s="76"/>
      <c r="J2532" s="93"/>
      <c r="K2532" s="93"/>
      <c r="L2532" s="82"/>
      <c r="M2532" s="54"/>
      <c r="N2532" s="54"/>
      <c r="O2532" s="54"/>
      <c r="P2532" s="54"/>
      <c r="Q2532" s="54"/>
      <c r="R2532" s="54"/>
      <c r="S2532" s="54"/>
      <c r="T2532" s="54"/>
      <c r="U2532" s="54"/>
      <c r="V2532" s="54"/>
      <c r="W2532" s="54"/>
      <c r="X2532" s="54"/>
      <c r="Y2532" s="54"/>
      <c r="Z2532" s="54"/>
      <c r="AA2532" s="54"/>
      <c r="AB2532" s="54"/>
      <c r="AC2532" s="54"/>
      <c r="AD2532" s="54"/>
      <c r="AE2532" s="54"/>
    </row>
    <row r="2533">
      <c r="A2533" s="80"/>
      <c r="B2533" s="80"/>
      <c r="C2533" s="80"/>
      <c r="D2533" s="59"/>
      <c r="E2533" s="59"/>
      <c r="F2533" s="83"/>
      <c r="G2533" s="76"/>
      <c r="H2533" s="76"/>
      <c r="I2533" s="76"/>
      <c r="J2533" s="93"/>
      <c r="K2533" s="93"/>
      <c r="L2533" s="82"/>
      <c r="M2533" s="54"/>
      <c r="N2533" s="54"/>
      <c r="O2533" s="54"/>
      <c r="P2533" s="54"/>
      <c r="Q2533" s="54"/>
      <c r="R2533" s="54"/>
      <c r="S2533" s="54"/>
      <c r="T2533" s="54"/>
      <c r="U2533" s="54"/>
      <c r="V2533" s="54"/>
      <c r="W2533" s="54"/>
      <c r="X2533" s="54"/>
      <c r="Y2533" s="54"/>
      <c r="Z2533" s="54"/>
      <c r="AA2533" s="54"/>
      <c r="AB2533" s="54"/>
      <c r="AC2533" s="54"/>
      <c r="AD2533" s="54"/>
      <c r="AE2533" s="54"/>
    </row>
    <row r="2534">
      <c r="A2534" s="80"/>
      <c r="B2534" s="80"/>
      <c r="C2534" s="80"/>
      <c r="D2534" s="59"/>
      <c r="E2534" s="59"/>
      <c r="F2534" s="83"/>
      <c r="G2534" s="76"/>
      <c r="H2534" s="76"/>
      <c r="I2534" s="76"/>
      <c r="J2534" s="93"/>
      <c r="K2534" s="93"/>
      <c r="L2534" s="82"/>
      <c r="M2534" s="54"/>
      <c r="N2534" s="54"/>
      <c r="O2534" s="54"/>
      <c r="P2534" s="54"/>
      <c r="Q2534" s="54"/>
      <c r="R2534" s="54"/>
      <c r="S2534" s="54"/>
      <c r="T2534" s="54"/>
      <c r="U2534" s="54"/>
      <c r="V2534" s="54"/>
      <c r="W2534" s="54"/>
      <c r="X2534" s="54"/>
      <c r="Y2534" s="54"/>
      <c r="Z2534" s="54"/>
      <c r="AA2534" s="54"/>
      <c r="AB2534" s="54"/>
      <c r="AC2534" s="54"/>
      <c r="AD2534" s="54"/>
      <c r="AE2534" s="54"/>
    </row>
    <row r="2535">
      <c r="A2535" s="80"/>
      <c r="B2535" s="80"/>
      <c r="C2535" s="80"/>
      <c r="D2535" s="59"/>
      <c r="E2535" s="59"/>
      <c r="F2535" s="83"/>
      <c r="G2535" s="76"/>
      <c r="H2535" s="76"/>
      <c r="I2535" s="76"/>
      <c r="J2535" s="93"/>
      <c r="K2535" s="93"/>
      <c r="L2535" s="82"/>
      <c r="M2535" s="54"/>
      <c r="N2535" s="54"/>
      <c r="O2535" s="54"/>
      <c r="P2535" s="54"/>
      <c r="Q2535" s="54"/>
      <c r="R2535" s="54"/>
      <c r="S2535" s="54"/>
      <c r="T2535" s="54"/>
      <c r="U2535" s="54"/>
      <c r="V2535" s="54"/>
      <c r="W2535" s="54"/>
      <c r="X2535" s="54"/>
      <c r="Y2535" s="54"/>
      <c r="Z2535" s="54"/>
      <c r="AA2535" s="54"/>
      <c r="AB2535" s="54"/>
      <c r="AC2535" s="54"/>
      <c r="AD2535" s="54"/>
      <c r="AE2535" s="54"/>
    </row>
    <row r="2536">
      <c r="A2536" s="80"/>
      <c r="B2536" s="80"/>
      <c r="C2536" s="80"/>
      <c r="D2536" s="59"/>
      <c r="E2536" s="59"/>
      <c r="F2536" s="83"/>
      <c r="G2536" s="76"/>
      <c r="H2536" s="76"/>
      <c r="I2536" s="76"/>
      <c r="J2536" s="93"/>
      <c r="K2536" s="93"/>
      <c r="L2536" s="82"/>
      <c r="M2536" s="54"/>
      <c r="N2536" s="54"/>
      <c r="O2536" s="54"/>
      <c r="P2536" s="54"/>
      <c r="Q2536" s="54"/>
      <c r="R2536" s="54"/>
      <c r="S2536" s="54"/>
      <c r="T2536" s="54"/>
      <c r="U2536" s="54"/>
      <c r="V2536" s="54"/>
      <c r="W2536" s="54"/>
      <c r="X2536" s="54"/>
      <c r="Y2536" s="54"/>
      <c r="Z2536" s="54"/>
      <c r="AA2536" s="54"/>
      <c r="AB2536" s="54"/>
      <c r="AC2536" s="54"/>
      <c r="AD2536" s="54"/>
      <c r="AE2536" s="54"/>
    </row>
    <row r="2537">
      <c r="A2537" s="80"/>
      <c r="B2537" s="80"/>
      <c r="C2537" s="80"/>
      <c r="D2537" s="59"/>
      <c r="E2537" s="59"/>
      <c r="F2537" s="83"/>
      <c r="G2537" s="76"/>
      <c r="H2537" s="76"/>
      <c r="I2537" s="76"/>
      <c r="J2537" s="93"/>
      <c r="K2537" s="93"/>
      <c r="L2537" s="82"/>
      <c r="M2537" s="54"/>
      <c r="N2537" s="54"/>
      <c r="O2537" s="54"/>
      <c r="P2537" s="54"/>
      <c r="Q2537" s="54"/>
      <c r="R2537" s="54"/>
      <c r="S2537" s="54"/>
      <c r="T2537" s="54"/>
      <c r="U2537" s="54"/>
      <c r="V2537" s="54"/>
      <c r="W2537" s="54"/>
      <c r="X2537" s="54"/>
      <c r="Y2537" s="54"/>
      <c r="Z2537" s="54"/>
      <c r="AA2537" s="54"/>
      <c r="AB2537" s="54"/>
      <c r="AC2537" s="54"/>
      <c r="AD2537" s="54"/>
      <c r="AE2537" s="54"/>
    </row>
    <row r="2538">
      <c r="A2538" s="80"/>
      <c r="B2538" s="80"/>
      <c r="C2538" s="80"/>
      <c r="D2538" s="59"/>
      <c r="E2538" s="59"/>
      <c r="F2538" s="83"/>
      <c r="G2538" s="76"/>
      <c r="H2538" s="76"/>
      <c r="I2538" s="76"/>
      <c r="J2538" s="93"/>
      <c r="K2538" s="93"/>
      <c r="L2538" s="82"/>
      <c r="M2538" s="54"/>
      <c r="N2538" s="54"/>
      <c r="O2538" s="54"/>
      <c r="P2538" s="54"/>
      <c r="Q2538" s="54"/>
      <c r="R2538" s="54"/>
      <c r="S2538" s="54"/>
      <c r="T2538" s="54"/>
      <c r="U2538" s="54"/>
      <c r="V2538" s="54"/>
      <c r="W2538" s="54"/>
      <c r="X2538" s="54"/>
      <c r="Y2538" s="54"/>
      <c r="Z2538" s="54"/>
      <c r="AA2538" s="54"/>
      <c r="AB2538" s="54"/>
      <c r="AC2538" s="54"/>
      <c r="AD2538" s="54"/>
      <c r="AE2538" s="54"/>
    </row>
    <row r="2539">
      <c r="A2539" s="80"/>
      <c r="B2539" s="80"/>
      <c r="C2539" s="80"/>
      <c r="D2539" s="59"/>
      <c r="E2539" s="59"/>
      <c r="F2539" s="83"/>
      <c r="G2539" s="76"/>
      <c r="H2539" s="76"/>
      <c r="I2539" s="76"/>
      <c r="J2539" s="93"/>
      <c r="K2539" s="93"/>
      <c r="L2539" s="82"/>
      <c r="M2539" s="54"/>
      <c r="N2539" s="54"/>
      <c r="O2539" s="54"/>
      <c r="P2539" s="54"/>
      <c r="Q2539" s="54"/>
      <c r="R2539" s="54"/>
      <c r="S2539" s="54"/>
      <c r="T2539" s="54"/>
      <c r="U2539" s="54"/>
      <c r="V2539" s="54"/>
      <c r="W2539" s="54"/>
      <c r="X2539" s="54"/>
      <c r="Y2539" s="54"/>
      <c r="Z2539" s="54"/>
      <c r="AA2539" s="54"/>
      <c r="AB2539" s="54"/>
      <c r="AC2539" s="54"/>
      <c r="AD2539" s="54"/>
      <c r="AE2539" s="54"/>
    </row>
    <row r="2540">
      <c r="A2540" s="80"/>
      <c r="B2540" s="80"/>
      <c r="C2540" s="80"/>
      <c r="D2540" s="59"/>
      <c r="E2540" s="59"/>
      <c r="F2540" s="83"/>
      <c r="G2540" s="76"/>
      <c r="H2540" s="76"/>
      <c r="I2540" s="76"/>
      <c r="J2540" s="93"/>
      <c r="K2540" s="93"/>
      <c r="L2540" s="82"/>
      <c r="M2540" s="54"/>
      <c r="N2540" s="54"/>
      <c r="O2540" s="54"/>
      <c r="P2540" s="54"/>
      <c r="Q2540" s="54"/>
      <c r="R2540" s="54"/>
      <c r="S2540" s="54"/>
      <c r="T2540" s="54"/>
      <c r="U2540" s="54"/>
      <c r="V2540" s="54"/>
      <c r="W2540" s="54"/>
      <c r="X2540" s="54"/>
      <c r="Y2540" s="54"/>
      <c r="Z2540" s="54"/>
      <c r="AA2540" s="54"/>
      <c r="AB2540" s="54"/>
      <c r="AC2540" s="54"/>
      <c r="AD2540" s="54"/>
      <c r="AE2540" s="54"/>
    </row>
    <row r="2541">
      <c r="A2541" s="80"/>
      <c r="B2541" s="80"/>
      <c r="C2541" s="80"/>
      <c r="D2541" s="59"/>
      <c r="E2541" s="59"/>
      <c r="F2541" s="83"/>
      <c r="G2541" s="76"/>
      <c r="H2541" s="76"/>
      <c r="I2541" s="76"/>
      <c r="J2541" s="93"/>
      <c r="K2541" s="93"/>
      <c r="L2541" s="82"/>
      <c r="M2541" s="54"/>
      <c r="N2541" s="54"/>
      <c r="O2541" s="54"/>
      <c r="P2541" s="54"/>
      <c r="Q2541" s="54"/>
      <c r="R2541" s="54"/>
      <c r="S2541" s="54"/>
      <c r="T2541" s="54"/>
      <c r="U2541" s="54"/>
      <c r="V2541" s="54"/>
      <c r="W2541" s="54"/>
      <c r="X2541" s="54"/>
      <c r="Y2541" s="54"/>
      <c r="Z2541" s="54"/>
      <c r="AA2541" s="54"/>
      <c r="AB2541" s="54"/>
      <c r="AC2541" s="54"/>
      <c r="AD2541" s="54"/>
      <c r="AE2541" s="54"/>
    </row>
    <row r="2542">
      <c r="A2542" s="80"/>
      <c r="B2542" s="80"/>
      <c r="C2542" s="80"/>
      <c r="D2542" s="59"/>
      <c r="E2542" s="59"/>
      <c r="F2542" s="83"/>
      <c r="G2542" s="76"/>
      <c r="H2542" s="76"/>
      <c r="I2542" s="76"/>
      <c r="J2542" s="93"/>
      <c r="K2542" s="93"/>
      <c r="L2542" s="82"/>
      <c r="M2542" s="54"/>
      <c r="N2542" s="54"/>
      <c r="O2542" s="54"/>
      <c r="P2542" s="54"/>
      <c r="Q2542" s="54"/>
      <c r="R2542" s="54"/>
      <c r="S2542" s="54"/>
      <c r="T2542" s="54"/>
      <c r="U2542" s="54"/>
      <c r="V2542" s="54"/>
      <c r="W2542" s="54"/>
      <c r="X2542" s="54"/>
      <c r="Y2542" s="54"/>
      <c r="Z2542" s="54"/>
      <c r="AA2542" s="54"/>
      <c r="AB2542" s="54"/>
      <c r="AC2542" s="54"/>
      <c r="AD2542" s="54"/>
      <c r="AE2542" s="54"/>
    </row>
    <row r="2543">
      <c r="A2543" s="80"/>
      <c r="B2543" s="80"/>
      <c r="C2543" s="80"/>
      <c r="D2543" s="59"/>
      <c r="E2543" s="59"/>
      <c r="F2543" s="83"/>
      <c r="G2543" s="76"/>
      <c r="H2543" s="76"/>
      <c r="I2543" s="76"/>
      <c r="J2543" s="93"/>
      <c r="K2543" s="93"/>
      <c r="L2543" s="82"/>
      <c r="M2543" s="54"/>
      <c r="N2543" s="54"/>
      <c r="O2543" s="54"/>
      <c r="P2543" s="54"/>
      <c r="Q2543" s="54"/>
      <c r="R2543" s="54"/>
      <c r="S2543" s="54"/>
      <c r="T2543" s="54"/>
      <c r="U2543" s="54"/>
      <c r="V2543" s="54"/>
      <c r="W2543" s="54"/>
      <c r="X2543" s="54"/>
      <c r="Y2543" s="54"/>
      <c r="Z2543" s="54"/>
      <c r="AA2543" s="54"/>
      <c r="AB2543" s="54"/>
      <c r="AC2543" s="54"/>
      <c r="AD2543" s="54"/>
      <c r="AE2543" s="54"/>
    </row>
    <row r="2544">
      <c r="A2544" s="80"/>
      <c r="B2544" s="80"/>
      <c r="C2544" s="80"/>
      <c r="D2544" s="59"/>
      <c r="E2544" s="59"/>
      <c r="F2544" s="83"/>
      <c r="G2544" s="76"/>
      <c r="H2544" s="76"/>
      <c r="I2544" s="76"/>
      <c r="J2544" s="93"/>
      <c r="K2544" s="93"/>
      <c r="L2544" s="82"/>
      <c r="M2544" s="54"/>
      <c r="N2544" s="54"/>
      <c r="O2544" s="54"/>
      <c r="P2544" s="54"/>
      <c r="Q2544" s="54"/>
      <c r="R2544" s="54"/>
      <c r="S2544" s="54"/>
      <c r="T2544" s="54"/>
      <c r="U2544" s="54"/>
      <c r="V2544" s="54"/>
      <c r="W2544" s="54"/>
      <c r="X2544" s="54"/>
      <c r="Y2544" s="54"/>
      <c r="Z2544" s="54"/>
      <c r="AA2544" s="54"/>
      <c r="AB2544" s="54"/>
      <c r="AC2544" s="54"/>
      <c r="AD2544" s="54"/>
      <c r="AE2544" s="54"/>
    </row>
    <row r="2545">
      <c r="A2545" s="80"/>
      <c r="B2545" s="80"/>
      <c r="C2545" s="80"/>
      <c r="D2545" s="59"/>
      <c r="E2545" s="59"/>
      <c r="F2545" s="83"/>
      <c r="G2545" s="76"/>
      <c r="H2545" s="76"/>
      <c r="I2545" s="76"/>
      <c r="J2545" s="93"/>
      <c r="K2545" s="93"/>
      <c r="L2545" s="82"/>
      <c r="M2545" s="54"/>
      <c r="N2545" s="54"/>
      <c r="O2545" s="54"/>
      <c r="P2545" s="54"/>
      <c r="Q2545" s="54"/>
      <c r="R2545" s="54"/>
      <c r="S2545" s="54"/>
      <c r="T2545" s="54"/>
      <c r="U2545" s="54"/>
      <c r="V2545" s="54"/>
      <c r="W2545" s="54"/>
      <c r="X2545" s="54"/>
      <c r="Y2545" s="54"/>
      <c r="Z2545" s="54"/>
      <c r="AA2545" s="54"/>
      <c r="AB2545" s="54"/>
      <c r="AC2545" s="54"/>
      <c r="AD2545" s="54"/>
      <c r="AE2545" s="54"/>
    </row>
    <row r="2546">
      <c r="A2546" s="80"/>
      <c r="B2546" s="80"/>
      <c r="C2546" s="80"/>
      <c r="D2546" s="59"/>
      <c r="E2546" s="59"/>
      <c r="F2546" s="83"/>
      <c r="G2546" s="76"/>
      <c r="H2546" s="76"/>
      <c r="I2546" s="76"/>
      <c r="J2546" s="93"/>
      <c r="K2546" s="93"/>
      <c r="L2546" s="82"/>
      <c r="M2546" s="54"/>
      <c r="N2546" s="54"/>
      <c r="O2546" s="54"/>
      <c r="P2546" s="54"/>
      <c r="Q2546" s="54"/>
      <c r="R2546" s="54"/>
      <c r="S2546" s="54"/>
      <c r="T2546" s="54"/>
      <c r="U2546" s="54"/>
      <c r="V2546" s="54"/>
      <c r="W2546" s="54"/>
      <c r="X2546" s="54"/>
      <c r="Y2546" s="54"/>
      <c r="Z2546" s="54"/>
      <c r="AA2546" s="54"/>
      <c r="AB2546" s="54"/>
      <c r="AC2546" s="54"/>
      <c r="AD2546" s="54"/>
      <c r="AE2546" s="54"/>
    </row>
    <row r="2547">
      <c r="A2547" s="80"/>
      <c r="B2547" s="80"/>
      <c r="C2547" s="80"/>
      <c r="D2547" s="59"/>
      <c r="E2547" s="59"/>
      <c r="F2547" s="83"/>
      <c r="G2547" s="76"/>
      <c r="H2547" s="76"/>
      <c r="I2547" s="76"/>
      <c r="J2547" s="93"/>
      <c r="K2547" s="93"/>
      <c r="L2547" s="82"/>
      <c r="M2547" s="54"/>
      <c r="N2547" s="54"/>
      <c r="O2547" s="54"/>
      <c r="P2547" s="54"/>
      <c r="Q2547" s="54"/>
      <c r="R2547" s="54"/>
      <c r="S2547" s="54"/>
      <c r="T2547" s="54"/>
      <c r="U2547" s="54"/>
      <c r="V2547" s="54"/>
      <c r="W2547" s="54"/>
      <c r="X2547" s="54"/>
      <c r="Y2547" s="54"/>
      <c r="Z2547" s="54"/>
      <c r="AA2547" s="54"/>
      <c r="AB2547" s="54"/>
      <c r="AC2547" s="54"/>
      <c r="AD2547" s="54"/>
      <c r="AE2547" s="54"/>
    </row>
    <row r="2548">
      <c r="A2548" s="80"/>
      <c r="B2548" s="80"/>
      <c r="C2548" s="80"/>
      <c r="D2548" s="59"/>
      <c r="E2548" s="59"/>
      <c r="F2548" s="83"/>
      <c r="G2548" s="76"/>
      <c r="H2548" s="76"/>
      <c r="I2548" s="76"/>
      <c r="J2548" s="93"/>
      <c r="K2548" s="93"/>
      <c r="L2548" s="82"/>
      <c r="M2548" s="54"/>
      <c r="N2548" s="54"/>
      <c r="O2548" s="54"/>
      <c r="P2548" s="54"/>
      <c r="Q2548" s="54"/>
      <c r="R2548" s="54"/>
      <c r="S2548" s="54"/>
      <c r="T2548" s="54"/>
      <c r="U2548" s="54"/>
      <c r="V2548" s="54"/>
      <c r="W2548" s="54"/>
      <c r="X2548" s="54"/>
      <c r="Y2548" s="54"/>
      <c r="Z2548" s="54"/>
      <c r="AA2548" s="54"/>
      <c r="AB2548" s="54"/>
      <c r="AC2548" s="54"/>
      <c r="AD2548" s="54"/>
      <c r="AE2548" s="54"/>
    </row>
    <row r="2549">
      <c r="A2549" s="80"/>
      <c r="B2549" s="80"/>
      <c r="C2549" s="80"/>
      <c r="D2549" s="59"/>
      <c r="E2549" s="59"/>
      <c r="F2549" s="83"/>
      <c r="G2549" s="76"/>
      <c r="H2549" s="76"/>
      <c r="I2549" s="76"/>
      <c r="J2549" s="93"/>
      <c r="K2549" s="93"/>
      <c r="L2549" s="82"/>
      <c r="M2549" s="54"/>
      <c r="N2549" s="54"/>
      <c r="O2549" s="54"/>
      <c r="P2549" s="54"/>
      <c r="Q2549" s="54"/>
      <c r="R2549" s="54"/>
      <c r="S2549" s="54"/>
      <c r="T2549" s="54"/>
      <c r="U2549" s="54"/>
      <c r="V2549" s="54"/>
      <c r="W2549" s="54"/>
      <c r="X2549" s="54"/>
      <c r="Y2549" s="54"/>
      <c r="Z2549" s="54"/>
      <c r="AA2549" s="54"/>
      <c r="AB2549" s="54"/>
      <c r="AC2549" s="54"/>
      <c r="AD2549" s="54"/>
      <c r="AE2549" s="54"/>
    </row>
    <row r="2550">
      <c r="A2550" s="80"/>
      <c r="B2550" s="80"/>
      <c r="C2550" s="80"/>
      <c r="D2550" s="59"/>
      <c r="E2550" s="59"/>
      <c r="F2550" s="83"/>
      <c r="G2550" s="76"/>
      <c r="H2550" s="76"/>
      <c r="I2550" s="76"/>
      <c r="J2550" s="93"/>
      <c r="K2550" s="93"/>
      <c r="L2550" s="82"/>
      <c r="M2550" s="54"/>
      <c r="N2550" s="54"/>
      <c r="O2550" s="54"/>
      <c r="P2550" s="54"/>
      <c r="Q2550" s="54"/>
      <c r="R2550" s="54"/>
      <c r="S2550" s="54"/>
      <c r="T2550" s="54"/>
      <c r="U2550" s="54"/>
      <c r="V2550" s="54"/>
      <c r="W2550" s="54"/>
      <c r="X2550" s="54"/>
      <c r="Y2550" s="54"/>
      <c r="Z2550" s="54"/>
      <c r="AA2550" s="54"/>
      <c r="AB2550" s="54"/>
      <c r="AC2550" s="54"/>
      <c r="AD2550" s="54"/>
      <c r="AE2550" s="54"/>
    </row>
    <row r="2551">
      <c r="A2551" s="80"/>
      <c r="B2551" s="80"/>
      <c r="C2551" s="80"/>
      <c r="D2551" s="59"/>
      <c r="E2551" s="59"/>
      <c r="F2551" s="83"/>
      <c r="G2551" s="76"/>
      <c r="H2551" s="76"/>
      <c r="I2551" s="76"/>
      <c r="J2551" s="93"/>
      <c r="K2551" s="93"/>
      <c r="L2551" s="82"/>
      <c r="M2551" s="54"/>
      <c r="N2551" s="54"/>
      <c r="O2551" s="54"/>
      <c r="P2551" s="54"/>
      <c r="Q2551" s="54"/>
      <c r="R2551" s="54"/>
      <c r="S2551" s="54"/>
      <c r="T2551" s="54"/>
      <c r="U2551" s="54"/>
      <c r="V2551" s="54"/>
      <c r="W2551" s="54"/>
      <c r="X2551" s="54"/>
      <c r="Y2551" s="54"/>
      <c r="Z2551" s="54"/>
      <c r="AA2551" s="54"/>
      <c r="AB2551" s="54"/>
      <c r="AC2551" s="54"/>
      <c r="AD2551" s="54"/>
      <c r="AE2551" s="54"/>
    </row>
    <row r="2552">
      <c r="A2552" s="80"/>
      <c r="B2552" s="80"/>
      <c r="C2552" s="80"/>
      <c r="D2552" s="59"/>
      <c r="E2552" s="59"/>
      <c r="F2552" s="83"/>
      <c r="G2552" s="76"/>
      <c r="H2552" s="76"/>
      <c r="I2552" s="76"/>
      <c r="J2552" s="93"/>
      <c r="K2552" s="93"/>
      <c r="L2552" s="82"/>
      <c r="M2552" s="54"/>
      <c r="N2552" s="54"/>
      <c r="O2552" s="54"/>
      <c r="P2552" s="54"/>
      <c r="Q2552" s="54"/>
      <c r="R2552" s="54"/>
      <c r="S2552" s="54"/>
      <c r="T2552" s="54"/>
      <c r="U2552" s="54"/>
      <c r="V2552" s="54"/>
      <c r="W2552" s="54"/>
      <c r="X2552" s="54"/>
      <c r="Y2552" s="54"/>
      <c r="Z2552" s="54"/>
      <c r="AA2552" s="54"/>
      <c r="AB2552" s="54"/>
      <c r="AC2552" s="54"/>
      <c r="AD2552" s="54"/>
      <c r="AE2552" s="54"/>
    </row>
    <row r="2553">
      <c r="A2553" s="80"/>
      <c r="B2553" s="80"/>
      <c r="C2553" s="80"/>
      <c r="D2553" s="59"/>
      <c r="E2553" s="59"/>
      <c r="F2553" s="83"/>
      <c r="G2553" s="76"/>
      <c r="H2553" s="76"/>
      <c r="I2553" s="76"/>
      <c r="J2553" s="93"/>
      <c r="K2553" s="93"/>
      <c r="L2553" s="82"/>
      <c r="M2553" s="54"/>
      <c r="N2553" s="54"/>
      <c r="O2553" s="54"/>
      <c r="P2553" s="54"/>
      <c r="Q2553" s="54"/>
      <c r="R2553" s="54"/>
      <c r="S2553" s="54"/>
      <c r="T2553" s="54"/>
      <c r="U2553" s="54"/>
      <c r="V2553" s="54"/>
      <c r="W2553" s="54"/>
      <c r="X2553" s="54"/>
      <c r="Y2553" s="54"/>
      <c r="Z2553" s="54"/>
      <c r="AA2553" s="54"/>
      <c r="AB2553" s="54"/>
      <c r="AC2553" s="54"/>
      <c r="AD2553" s="54"/>
      <c r="AE2553" s="54"/>
    </row>
    <row r="2554">
      <c r="A2554" s="80"/>
      <c r="B2554" s="80"/>
      <c r="C2554" s="80"/>
      <c r="D2554" s="59"/>
      <c r="E2554" s="59"/>
      <c r="F2554" s="83"/>
      <c r="G2554" s="76"/>
      <c r="H2554" s="76"/>
      <c r="I2554" s="76"/>
      <c r="J2554" s="93"/>
      <c r="K2554" s="93"/>
      <c r="L2554" s="82"/>
      <c r="M2554" s="54"/>
      <c r="N2554" s="54"/>
      <c r="O2554" s="54"/>
      <c r="P2554" s="54"/>
      <c r="Q2554" s="54"/>
      <c r="R2554" s="54"/>
      <c r="S2554" s="54"/>
      <c r="T2554" s="54"/>
      <c r="U2554" s="54"/>
      <c r="V2554" s="54"/>
      <c r="W2554" s="54"/>
      <c r="X2554" s="54"/>
      <c r="Y2554" s="54"/>
      <c r="Z2554" s="54"/>
      <c r="AA2554" s="54"/>
      <c r="AB2554" s="54"/>
      <c r="AC2554" s="54"/>
      <c r="AD2554" s="54"/>
      <c r="AE2554" s="54"/>
    </row>
    <row r="2555">
      <c r="A2555" s="80"/>
      <c r="B2555" s="80"/>
      <c r="C2555" s="80"/>
      <c r="D2555" s="59"/>
      <c r="E2555" s="59"/>
      <c r="F2555" s="83"/>
      <c r="G2555" s="76"/>
      <c r="H2555" s="76"/>
      <c r="I2555" s="76"/>
      <c r="J2555" s="93"/>
      <c r="K2555" s="93"/>
      <c r="L2555" s="82"/>
      <c r="M2555" s="54"/>
      <c r="N2555" s="54"/>
      <c r="O2555" s="54"/>
      <c r="P2555" s="54"/>
      <c r="Q2555" s="54"/>
      <c r="R2555" s="54"/>
      <c r="S2555" s="54"/>
      <c r="T2555" s="54"/>
      <c r="U2555" s="54"/>
      <c r="V2555" s="54"/>
      <c r="W2555" s="54"/>
      <c r="X2555" s="54"/>
      <c r="Y2555" s="54"/>
      <c r="Z2555" s="54"/>
      <c r="AA2555" s="54"/>
      <c r="AB2555" s="54"/>
      <c r="AC2555" s="54"/>
      <c r="AD2555" s="54"/>
      <c r="AE2555" s="54"/>
    </row>
    <row r="2556">
      <c r="A2556" s="80"/>
      <c r="B2556" s="80"/>
      <c r="C2556" s="80"/>
      <c r="D2556" s="59"/>
      <c r="E2556" s="59"/>
      <c r="F2556" s="83"/>
      <c r="G2556" s="76"/>
      <c r="H2556" s="76"/>
      <c r="I2556" s="76"/>
      <c r="J2556" s="93"/>
      <c r="K2556" s="93"/>
      <c r="L2556" s="82"/>
      <c r="M2556" s="54"/>
      <c r="N2556" s="54"/>
      <c r="O2556" s="54"/>
      <c r="P2556" s="54"/>
      <c r="Q2556" s="54"/>
      <c r="R2556" s="54"/>
      <c r="S2556" s="54"/>
      <c r="T2556" s="54"/>
      <c r="U2556" s="54"/>
      <c r="V2556" s="54"/>
      <c r="W2556" s="54"/>
      <c r="X2556" s="54"/>
      <c r="Y2556" s="54"/>
      <c r="Z2556" s="54"/>
      <c r="AA2556" s="54"/>
      <c r="AB2556" s="54"/>
      <c r="AC2556" s="54"/>
      <c r="AD2556" s="54"/>
      <c r="AE2556" s="54"/>
    </row>
    <row r="2557">
      <c r="A2557" s="80"/>
      <c r="B2557" s="80"/>
      <c r="C2557" s="80"/>
      <c r="D2557" s="59"/>
      <c r="E2557" s="59"/>
      <c r="F2557" s="83"/>
      <c r="G2557" s="76"/>
      <c r="H2557" s="76"/>
      <c r="I2557" s="76"/>
      <c r="J2557" s="93"/>
      <c r="K2557" s="93"/>
      <c r="L2557" s="82"/>
      <c r="M2557" s="54"/>
      <c r="N2557" s="54"/>
      <c r="O2557" s="54"/>
      <c r="P2557" s="54"/>
      <c r="Q2557" s="54"/>
      <c r="R2557" s="54"/>
      <c r="S2557" s="54"/>
      <c r="T2557" s="54"/>
      <c r="U2557" s="54"/>
      <c r="V2557" s="54"/>
      <c r="W2557" s="54"/>
      <c r="X2557" s="54"/>
      <c r="Y2557" s="54"/>
      <c r="Z2557" s="54"/>
      <c r="AA2557" s="54"/>
      <c r="AB2557" s="54"/>
      <c r="AC2557" s="54"/>
      <c r="AD2557" s="54"/>
      <c r="AE2557" s="54"/>
    </row>
    <row r="2558">
      <c r="A2558" s="80"/>
      <c r="B2558" s="80"/>
      <c r="C2558" s="80"/>
      <c r="D2558" s="59"/>
      <c r="E2558" s="59"/>
      <c r="F2558" s="83"/>
      <c r="G2558" s="76"/>
      <c r="H2558" s="76"/>
      <c r="I2558" s="76"/>
      <c r="J2558" s="93"/>
      <c r="K2558" s="93"/>
      <c r="L2558" s="82"/>
      <c r="M2558" s="54"/>
      <c r="N2558" s="54"/>
      <c r="O2558" s="54"/>
      <c r="P2558" s="54"/>
      <c r="Q2558" s="54"/>
      <c r="R2558" s="54"/>
      <c r="S2558" s="54"/>
      <c r="T2558" s="54"/>
      <c r="U2558" s="54"/>
      <c r="V2558" s="54"/>
      <c r="W2558" s="54"/>
      <c r="X2558" s="54"/>
      <c r="Y2558" s="54"/>
      <c r="Z2558" s="54"/>
      <c r="AA2558" s="54"/>
      <c r="AB2558" s="54"/>
      <c r="AC2558" s="54"/>
      <c r="AD2558" s="54"/>
      <c r="AE2558" s="54"/>
    </row>
    <row r="2559">
      <c r="A2559" s="80"/>
      <c r="B2559" s="80"/>
      <c r="C2559" s="80"/>
      <c r="D2559" s="59"/>
      <c r="E2559" s="59"/>
      <c r="F2559" s="83"/>
      <c r="G2559" s="76"/>
      <c r="H2559" s="76"/>
      <c r="I2559" s="76"/>
      <c r="J2559" s="93"/>
      <c r="K2559" s="93"/>
      <c r="L2559" s="82"/>
      <c r="M2559" s="54"/>
      <c r="N2559" s="54"/>
      <c r="O2559" s="54"/>
      <c r="P2559" s="54"/>
      <c r="Q2559" s="54"/>
      <c r="R2559" s="54"/>
      <c r="S2559" s="54"/>
      <c r="T2559" s="54"/>
      <c r="U2559" s="54"/>
      <c r="V2559" s="54"/>
      <c r="W2559" s="54"/>
      <c r="X2559" s="54"/>
      <c r="Y2559" s="54"/>
      <c r="Z2559" s="54"/>
      <c r="AA2559" s="54"/>
      <c r="AB2559" s="54"/>
      <c r="AC2559" s="54"/>
      <c r="AD2559" s="54"/>
      <c r="AE2559" s="54"/>
    </row>
    <row r="2560">
      <c r="A2560" s="80"/>
      <c r="B2560" s="80"/>
      <c r="C2560" s="80"/>
      <c r="D2560" s="59"/>
      <c r="E2560" s="59"/>
      <c r="F2560" s="83"/>
      <c r="G2560" s="76"/>
      <c r="H2560" s="76"/>
      <c r="I2560" s="76"/>
      <c r="J2560" s="93"/>
      <c r="K2560" s="93"/>
      <c r="L2560" s="82"/>
      <c r="M2560" s="54"/>
      <c r="N2560" s="54"/>
      <c r="O2560" s="54"/>
      <c r="P2560" s="54"/>
      <c r="Q2560" s="54"/>
      <c r="R2560" s="54"/>
      <c r="S2560" s="54"/>
      <c r="T2560" s="54"/>
      <c r="U2560" s="54"/>
      <c r="V2560" s="54"/>
      <c r="W2560" s="54"/>
      <c r="X2560" s="54"/>
      <c r="Y2560" s="54"/>
      <c r="Z2560" s="54"/>
      <c r="AA2560" s="54"/>
      <c r="AB2560" s="54"/>
      <c r="AC2560" s="54"/>
      <c r="AD2560" s="54"/>
      <c r="AE2560" s="54"/>
    </row>
    <row r="2561">
      <c r="A2561" s="80"/>
      <c r="B2561" s="80"/>
      <c r="C2561" s="80"/>
      <c r="D2561" s="59"/>
      <c r="E2561" s="59"/>
      <c r="F2561" s="83"/>
      <c r="G2561" s="76"/>
      <c r="H2561" s="76"/>
      <c r="I2561" s="76"/>
      <c r="J2561" s="93"/>
      <c r="K2561" s="93"/>
      <c r="L2561" s="82"/>
      <c r="M2561" s="54"/>
      <c r="N2561" s="54"/>
      <c r="O2561" s="54"/>
      <c r="P2561" s="54"/>
      <c r="Q2561" s="54"/>
      <c r="R2561" s="54"/>
      <c r="S2561" s="54"/>
      <c r="T2561" s="54"/>
      <c r="U2561" s="54"/>
      <c r="V2561" s="54"/>
      <c r="W2561" s="54"/>
      <c r="X2561" s="54"/>
      <c r="Y2561" s="54"/>
      <c r="Z2561" s="54"/>
      <c r="AA2561" s="54"/>
      <c r="AB2561" s="54"/>
      <c r="AC2561" s="54"/>
      <c r="AD2561" s="54"/>
      <c r="AE2561" s="54"/>
    </row>
    <row r="2562">
      <c r="A2562" s="80"/>
      <c r="B2562" s="80"/>
      <c r="C2562" s="80"/>
      <c r="D2562" s="59"/>
      <c r="E2562" s="59"/>
      <c r="F2562" s="83"/>
      <c r="G2562" s="76"/>
      <c r="H2562" s="76"/>
      <c r="I2562" s="76"/>
      <c r="J2562" s="93"/>
      <c r="K2562" s="93"/>
      <c r="L2562" s="82"/>
      <c r="M2562" s="54"/>
      <c r="N2562" s="54"/>
      <c r="O2562" s="54"/>
      <c r="P2562" s="54"/>
      <c r="Q2562" s="54"/>
      <c r="R2562" s="54"/>
      <c r="S2562" s="54"/>
      <c r="T2562" s="54"/>
      <c r="U2562" s="54"/>
      <c r="V2562" s="54"/>
      <c r="W2562" s="54"/>
      <c r="X2562" s="54"/>
      <c r="Y2562" s="54"/>
      <c r="Z2562" s="54"/>
      <c r="AA2562" s="54"/>
      <c r="AB2562" s="54"/>
      <c r="AC2562" s="54"/>
      <c r="AD2562" s="54"/>
      <c r="AE2562" s="54"/>
    </row>
    <row r="2563">
      <c r="A2563" s="80"/>
      <c r="B2563" s="80"/>
      <c r="C2563" s="80"/>
      <c r="D2563" s="59"/>
      <c r="E2563" s="59"/>
      <c r="F2563" s="83"/>
      <c r="G2563" s="76"/>
      <c r="H2563" s="76"/>
      <c r="I2563" s="76"/>
      <c r="J2563" s="93"/>
      <c r="K2563" s="93"/>
      <c r="L2563" s="82"/>
      <c r="M2563" s="54"/>
      <c r="N2563" s="54"/>
      <c r="O2563" s="54"/>
      <c r="P2563" s="54"/>
      <c r="Q2563" s="54"/>
      <c r="R2563" s="54"/>
      <c r="S2563" s="54"/>
      <c r="T2563" s="54"/>
      <c r="U2563" s="54"/>
      <c r="V2563" s="54"/>
      <c r="W2563" s="54"/>
      <c r="X2563" s="54"/>
      <c r="Y2563" s="54"/>
      <c r="Z2563" s="54"/>
      <c r="AA2563" s="54"/>
      <c r="AB2563" s="54"/>
      <c r="AC2563" s="54"/>
      <c r="AD2563" s="54"/>
      <c r="AE2563" s="54"/>
    </row>
    <row r="2564">
      <c r="A2564" s="80"/>
      <c r="B2564" s="80"/>
      <c r="C2564" s="80"/>
      <c r="D2564" s="59"/>
      <c r="E2564" s="59"/>
      <c r="F2564" s="83"/>
      <c r="G2564" s="76"/>
      <c r="H2564" s="76"/>
      <c r="I2564" s="76"/>
      <c r="J2564" s="93"/>
      <c r="K2564" s="93"/>
      <c r="L2564" s="82"/>
      <c r="M2564" s="54"/>
      <c r="N2564" s="54"/>
      <c r="O2564" s="54"/>
      <c r="P2564" s="54"/>
      <c r="Q2564" s="54"/>
      <c r="R2564" s="54"/>
      <c r="S2564" s="54"/>
      <c r="T2564" s="54"/>
      <c r="U2564" s="54"/>
      <c r="V2564" s="54"/>
      <c r="W2564" s="54"/>
      <c r="X2564" s="54"/>
      <c r="Y2564" s="54"/>
      <c r="Z2564" s="54"/>
      <c r="AA2564" s="54"/>
      <c r="AB2564" s="54"/>
      <c r="AC2564" s="54"/>
      <c r="AD2564" s="54"/>
      <c r="AE2564" s="54"/>
    </row>
    <row r="2565">
      <c r="A2565" s="80"/>
      <c r="B2565" s="80"/>
      <c r="C2565" s="80"/>
      <c r="D2565" s="59"/>
      <c r="E2565" s="59"/>
      <c r="F2565" s="83"/>
      <c r="G2565" s="76"/>
      <c r="H2565" s="76"/>
      <c r="I2565" s="76"/>
      <c r="J2565" s="93"/>
      <c r="K2565" s="93"/>
      <c r="L2565" s="82"/>
      <c r="M2565" s="54"/>
      <c r="N2565" s="54"/>
      <c r="O2565" s="54"/>
      <c r="P2565" s="54"/>
      <c r="Q2565" s="54"/>
      <c r="R2565" s="54"/>
      <c r="S2565" s="54"/>
      <c r="T2565" s="54"/>
      <c r="U2565" s="54"/>
      <c r="V2565" s="54"/>
      <c r="W2565" s="54"/>
      <c r="X2565" s="54"/>
      <c r="Y2565" s="54"/>
      <c r="Z2565" s="54"/>
      <c r="AA2565" s="54"/>
      <c r="AB2565" s="54"/>
      <c r="AC2565" s="54"/>
      <c r="AD2565" s="54"/>
      <c r="AE2565" s="54"/>
    </row>
    <row r="2566">
      <c r="A2566" s="80"/>
      <c r="B2566" s="80"/>
      <c r="C2566" s="80"/>
      <c r="D2566" s="59"/>
      <c r="E2566" s="59"/>
      <c r="F2566" s="83"/>
      <c r="G2566" s="76"/>
      <c r="H2566" s="76"/>
      <c r="I2566" s="76"/>
      <c r="J2566" s="93"/>
      <c r="K2566" s="93"/>
      <c r="L2566" s="82"/>
      <c r="M2566" s="54"/>
      <c r="N2566" s="54"/>
      <c r="O2566" s="54"/>
      <c r="P2566" s="54"/>
      <c r="Q2566" s="54"/>
      <c r="R2566" s="54"/>
      <c r="S2566" s="54"/>
      <c r="T2566" s="54"/>
      <c r="U2566" s="54"/>
      <c r="V2566" s="54"/>
      <c r="W2566" s="54"/>
      <c r="X2566" s="54"/>
      <c r="Y2566" s="54"/>
      <c r="Z2566" s="54"/>
      <c r="AA2566" s="54"/>
      <c r="AB2566" s="54"/>
      <c r="AC2566" s="54"/>
      <c r="AD2566" s="54"/>
      <c r="AE2566" s="54"/>
    </row>
    <row r="2567">
      <c r="A2567" s="80"/>
      <c r="B2567" s="80"/>
      <c r="C2567" s="80"/>
      <c r="D2567" s="59"/>
      <c r="E2567" s="59"/>
      <c r="F2567" s="83"/>
      <c r="G2567" s="76"/>
      <c r="H2567" s="76"/>
      <c r="I2567" s="76"/>
      <c r="J2567" s="93"/>
      <c r="K2567" s="93"/>
      <c r="L2567" s="82"/>
      <c r="M2567" s="54"/>
      <c r="N2567" s="54"/>
      <c r="O2567" s="54"/>
      <c r="P2567" s="54"/>
      <c r="Q2567" s="54"/>
      <c r="R2567" s="54"/>
      <c r="S2567" s="54"/>
      <c r="T2567" s="54"/>
      <c r="U2567" s="54"/>
      <c r="V2567" s="54"/>
      <c r="W2567" s="54"/>
      <c r="X2567" s="54"/>
      <c r="Y2567" s="54"/>
      <c r="Z2567" s="54"/>
      <c r="AA2567" s="54"/>
      <c r="AB2567" s="54"/>
      <c r="AC2567" s="54"/>
      <c r="AD2567" s="54"/>
      <c r="AE2567" s="54"/>
    </row>
    <row r="2568">
      <c r="A2568" s="80"/>
      <c r="B2568" s="80"/>
      <c r="C2568" s="80"/>
      <c r="D2568" s="59"/>
      <c r="E2568" s="59"/>
      <c r="F2568" s="83"/>
      <c r="G2568" s="76"/>
      <c r="H2568" s="76"/>
      <c r="I2568" s="76"/>
      <c r="J2568" s="93"/>
      <c r="K2568" s="93"/>
      <c r="L2568" s="82"/>
      <c r="M2568" s="54"/>
      <c r="N2568" s="54"/>
      <c r="O2568" s="54"/>
      <c r="P2568" s="54"/>
      <c r="Q2568" s="54"/>
      <c r="R2568" s="54"/>
      <c r="S2568" s="54"/>
      <c r="T2568" s="54"/>
      <c r="U2568" s="54"/>
      <c r="V2568" s="54"/>
      <c r="W2568" s="54"/>
      <c r="X2568" s="54"/>
      <c r="Y2568" s="54"/>
      <c r="Z2568" s="54"/>
      <c r="AA2568" s="54"/>
      <c r="AB2568" s="54"/>
      <c r="AC2568" s="54"/>
      <c r="AD2568" s="54"/>
      <c r="AE2568" s="54"/>
    </row>
    <row r="2569">
      <c r="A2569" s="80"/>
      <c r="B2569" s="80"/>
      <c r="C2569" s="80"/>
      <c r="D2569" s="59"/>
      <c r="E2569" s="59"/>
      <c r="F2569" s="83"/>
      <c r="G2569" s="76"/>
      <c r="H2569" s="76"/>
      <c r="I2569" s="76"/>
      <c r="J2569" s="93"/>
      <c r="K2569" s="93"/>
      <c r="L2569" s="82"/>
      <c r="M2569" s="54"/>
      <c r="N2569" s="54"/>
      <c r="O2569" s="54"/>
      <c r="P2569" s="54"/>
      <c r="Q2569" s="54"/>
      <c r="R2569" s="54"/>
      <c r="S2569" s="54"/>
      <c r="T2569" s="54"/>
      <c r="U2569" s="54"/>
      <c r="V2569" s="54"/>
      <c r="W2569" s="54"/>
      <c r="X2569" s="54"/>
      <c r="Y2569" s="54"/>
      <c r="Z2569" s="54"/>
      <c r="AA2569" s="54"/>
      <c r="AB2569" s="54"/>
      <c r="AC2569" s="54"/>
      <c r="AD2569" s="54"/>
      <c r="AE2569" s="54"/>
    </row>
    <row r="2570">
      <c r="A2570" s="80"/>
      <c r="B2570" s="80"/>
      <c r="C2570" s="80"/>
      <c r="D2570" s="59"/>
      <c r="E2570" s="59"/>
      <c r="F2570" s="83"/>
      <c r="G2570" s="76"/>
      <c r="H2570" s="76"/>
      <c r="I2570" s="76"/>
      <c r="J2570" s="93"/>
      <c r="K2570" s="93"/>
      <c r="L2570" s="82"/>
      <c r="M2570" s="54"/>
      <c r="N2570" s="54"/>
      <c r="O2570" s="54"/>
      <c r="P2570" s="54"/>
      <c r="Q2570" s="54"/>
      <c r="R2570" s="54"/>
      <c r="S2570" s="54"/>
      <c r="T2570" s="54"/>
      <c r="U2570" s="54"/>
      <c r="V2570" s="54"/>
      <c r="W2570" s="54"/>
      <c r="X2570" s="54"/>
      <c r="Y2570" s="54"/>
      <c r="Z2570" s="54"/>
      <c r="AA2570" s="54"/>
      <c r="AB2570" s="54"/>
      <c r="AC2570" s="54"/>
      <c r="AD2570" s="54"/>
      <c r="AE2570" s="54"/>
    </row>
    <row r="2571">
      <c r="A2571" s="80"/>
      <c r="B2571" s="80"/>
      <c r="C2571" s="80"/>
      <c r="D2571" s="59"/>
      <c r="E2571" s="59"/>
      <c r="F2571" s="83"/>
      <c r="G2571" s="76"/>
      <c r="H2571" s="76"/>
      <c r="I2571" s="76"/>
      <c r="J2571" s="93"/>
      <c r="K2571" s="93"/>
      <c r="L2571" s="82"/>
      <c r="M2571" s="54"/>
      <c r="N2571" s="54"/>
      <c r="O2571" s="54"/>
      <c r="P2571" s="54"/>
      <c r="Q2571" s="54"/>
      <c r="R2571" s="54"/>
      <c r="S2571" s="54"/>
      <c r="T2571" s="54"/>
      <c r="U2571" s="54"/>
      <c r="V2571" s="54"/>
      <c r="W2571" s="54"/>
      <c r="X2571" s="54"/>
      <c r="Y2571" s="54"/>
      <c r="Z2571" s="54"/>
      <c r="AA2571" s="54"/>
      <c r="AB2571" s="54"/>
      <c r="AC2571" s="54"/>
      <c r="AD2571" s="54"/>
      <c r="AE2571" s="54"/>
    </row>
    <row r="2572">
      <c r="A2572" s="80"/>
      <c r="B2572" s="80"/>
      <c r="C2572" s="80"/>
      <c r="D2572" s="59"/>
      <c r="E2572" s="59"/>
      <c r="F2572" s="83"/>
      <c r="G2572" s="76"/>
      <c r="H2572" s="76"/>
      <c r="I2572" s="76"/>
      <c r="J2572" s="93"/>
      <c r="K2572" s="93"/>
      <c r="L2572" s="82"/>
      <c r="M2572" s="54"/>
      <c r="N2572" s="54"/>
      <c r="O2572" s="54"/>
      <c r="P2572" s="54"/>
      <c r="Q2572" s="54"/>
      <c r="R2572" s="54"/>
      <c r="S2572" s="54"/>
      <c r="T2572" s="54"/>
      <c r="U2572" s="54"/>
      <c r="V2572" s="54"/>
      <c r="W2572" s="54"/>
      <c r="X2572" s="54"/>
      <c r="Y2572" s="54"/>
      <c r="Z2572" s="54"/>
      <c r="AA2572" s="54"/>
      <c r="AB2572" s="54"/>
      <c r="AC2572" s="54"/>
      <c r="AD2572" s="54"/>
      <c r="AE2572" s="54"/>
    </row>
    <row r="2573">
      <c r="A2573" s="80"/>
      <c r="B2573" s="80"/>
      <c r="C2573" s="80"/>
      <c r="D2573" s="59"/>
      <c r="E2573" s="59"/>
      <c r="F2573" s="83"/>
      <c r="G2573" s="76"/>
      <c r="H2573" s="76"/>
      <c r="I2573" s="76"/>
      <c r="J2573" s="93"/>
      <c r="K2573" s="93"/>
      <c r="L2573" s="82"/>
      <c r="M2573" s="54"/>
      <c r="N2573" s="54"/>
      <c r="O2573" s="54"/>
      <c r="P2573" s="54"/>
      <c r="Q2573" s="54"/>
      <c r="R2573" s="54"/>
      <c r="S2573" s="54"/>
      <c r="T2573" s="54"/>
      <c r="U2573" s="54"/>
      <c r="V2573" s="54"/>
      <c r="W2573" s="54"/>
      <c r="X2573" s="54"/>
      <c r="Y2573" s="54"/>
      <c r="Z2573" s="54"/>
      <c r="AA2573" s="54"/>
      <c r="AB2573" s="54"/>
      <c r="AC2573" s="54"/>
      <c r="AD2573" s="54"/>
      <c r="AE2573" s="54"/>
    </row>
    <row r="2574">
      <c r="A2574" s="80"/>
      <c r="B2574" s="80"/>
      <c r="C2574" s="80"/>
      <c r="D2574" s="59"/>
      <c r="E2574" s="59"/>
      <c r="F2574" s="83"/>
      <c r="G2574" s="76"/>
      <c r="H2574" s="76"/>
      <c r="I2574" s="76"/>
      <c r="J2574" s="93"/>
      <c r="K2574" s="93"/>
      <c r="L2574" s="82"/>
      <c r="M2574" s="54"/>
      <c r="N2574" s="54"/>
      <c r="O2574" s="54"/>
      <c r="P2574" s="54"/>
      <c r="Q2574" s="54"/>
      <c r="R2574" s="54"/>
      <c r="S2574" s="54"/>
      <c r="T2574" s="54"/>
      <c r="U2574" s="54"/>
      <c r="V2574" s="54"/>
      <c r="W2574" s="54"/>
      <c r="X2574" s="54"/>
      <c r="Y2574" s="54"/>
      <c r="Z2574" s="54"/>
      <c r="AA2574" s="54"/>
      <c r="AB2574" s="54"/>
      <c r="AC2574" s="54"/>
      <c r="AD2574" s="54"/>
      <c r="AE2574" s="54"/>
    </row>
    <row r="2575">
      <c r="A2575" s="80"/>
      <c r="B2575" s="80"/>
      <c r="C2575" s="80"/>
      <c r="D2575" s="59"/>
      <c r="E2575" s="59"/>
      <c r="F2575" s="83"/>
      <c r="G2575" s="76"/>
      <c r="H2575" s="76"/>
      <c r="I2575" s="76"/>
      <c r="J2575" s="93"/>
      <c r="K2575" s="93"/>
      <c r="L2575" s="82"/>
      <c r="M2575" s="54"/>
      <c r="N2575" s="54"/>
      <c r="O2575" s="54"/>
      <c r="P2575" s="54"/>
      <c r="Q2575" s="54"/>
      <c r="R2575" s="54"/>
      <c r="S2575" s="54"/>
      <c r="T2575" s="54"/>
      <c r="U2575" s="54"/>
      <c r="V2575" s="54"/>
      <c r="W2575" s="54"/>
      <c r="X2575" s="54"/>
      <c r="Y2575" s="54"/>
      <c r="Z2575" s="54"/>
      <c r="AA2575" s="54"/>
      <c r="AB2575" s="54"/>
      <c r="AC2575" s="54"/>
      <c r="AD2575" s="54"/>
      <c r="AE2575" s="54"/>
    </row>
    <row r="2576">
      <c r="A2576" s="80"/>
      <c r="B2576" s="80"/>
      <c r="C2576" s="80"/>
      <c r="D2576" s="59"/>
      <c r="E2576" s="59"/>
      <c r="F2576" s="83"/>
      <c r="G2576" s="76"/>
      <c r="H2576" s="76"/>
      <c r="I2576" s="76"/>
      <c r="J2576" s="93"/>
      <c r="K2576" s="93"/>
      <c r="L2576" s="82"/>
      <c r="M2576" s="54"/>
      <c r="N2576" s="54"/>
      <c r="O2576" s="54"/>
      <c r="P2576" s="54"/>
      <c r="Q2576" s="54"/>
      <c r="R2576" s="54"/>
      <c r="S2576" s="54"/>
      <c r="T2576" s="54"/>
      <c r="U2576" s="54"/>
      <c r="V2576" s="54"/>
      <c r="W2576" s="54"/>
      <c r="X2576" s="54"/>
      <c r="Y2576" s="54"/>
      <c r="Z2576" s="54"/>
      <c r="AA2576" s="54"/>
      <c r="AB2576" s="54"/>
      <c r="AC2576" s="54"/>
      <c r="AD2576" s="54"/>
      <c r="AE2576" s="54"/>
    </row>
    <row r="2577">
      <c r="A2577" s="80"/>
      <c r="B2577" s="80"/>
      <c r="C2577" s="80"/>
      <c r="D2577" s="59"/>
      <c r="E2577" s="59"/>
      <c r="F2577" s="83"/>
      <c r="G2577" s="76"/>
      <c r="H2577" s="76"/>
      <c r="I2577" s="76"/>
      <c r="J2577" s="93"/>
      <c r="K2577" s="93"/>
      <c r="L2577" s="82"/>
      <c r="M2577" s="54"/>
      <c r="N2577" s="54"/>
      <c r="O2577" s="54"/>
      <c r="P2577" s="54"/>
      <c r="Q2577" s="54"/>
      <c r="R2577" s="54"/>
      <c r="S2577" s="54"/>
      <c r="T2577" s="54"/>
      <c r="U2577" s="54"/>
      <c r="V2577" s="54"/>
      <c r="W2577" s="54"/>
      <c r="X2577" s="54"/>
      <c r="Y2577" s="54"/>
      <c r="Z2577" s="54"/>
      <c r="AA2577" s="54"/>
      <c r="AB2577" s="54"/>
      <c r="AC2577" s="54"/>
      <c r="AD2577" s="54"/>
      <c r="AE2577" s="54"/>
    </row>
    <row r="2578">
      <c r="A2578" s="80"/>
      <c r="B2578" s="80"/>
      <c r="C2578" s="80"/>
      <c r="D2578" s="59"/>
      <c r="E2578" s="59"/>
      <c r="F2578" s="83"/>
      <c r="G2578" s="76"/>
      <c r="H2578" s="76"/>
      <c r="I2578" s="76"/>
      <c r="J2578" s="93"/>
      <c r="K2578" s="93"/>
      <c r="L2578" s="82"/>
      <c r="M2578" s="54"/>
      <c r="N2578" s="54"/>
      <c r="O2578" s="54"/>
      <c r="P2578" s="54"/>
      <c r="Q2578" s="54"/>
      <c r="R2578" s="54"/>
      <c r="S2578" s="54"/>
      <c r="T2578" s="54"/>
      <c r="U2578" s="54"/>
      <c r="V2578" s="54"/>
      <c r="W2578" s="54"/>
      <c r="X2578" s="54"/>
      <c r="Y2578" s="54"/>
      <c r="Z2578" s="54"/>
      <c r="AA2578" s="54"/>
      <c r="AB2578" s="54"/>
      <c r="AC2578" s="54"/>
      <c r="AD2578" s="54"/>
      <c r="AE2578" s="54"/>
    </row>
    <row r="2579">
      <c r="A2579" s="80"/>
      <c r="B2579" s="80"/>
      <c r="C2579" s="80"/>
      <c r="D2579" s="59"/>
      <c r="E2579" s="59"/>
      <c r="F2579" s="83"/>
      <c r="G2579" s="76"/>
      <c r="H2579" s="76"/>
      <c r="I2579" s="76"/>
      <c r="J2579" s="93"/>
      <c r="K2579" s="93"/>
      <c r="L2579" s="82"/>
      <c r="M2579" s="54"/>
      <c r="N2579" s="54"/>
      <c r="O2579" s="54"/>
      <c r="P2579" s="54"/>
      <c r="Q2579" s="54"/>
      <c r="R2579" s="54"/>
      <c r="S2579" s="54"/>
      <c r="T2579" s="54"/>
      <c r="U2579" s="54"/>
      <c r="V2579" s="54"/>
      <c r="W2579" s="54"/>
      <c r="X2579" s="54"/>
      <c r="Y2579" s="54"/>
      <c r="Z2579" s="54"/>
      <c r="AA2579" s="54"/>
      <c r="AB2579" s="54"/>
      <c r="AC2579" s="54"/>
      <c r="AD2579" s="54"/>
      <c r="AE2579" s="54"/>
    </row>
    <row r="2580">
      <c r="A2580" s="80"/>
      <c r="B2580" s="80"/>
      <c r="C2580" s="80"/>
      <c r="D2580" s="59"/>
      <c r="E2580" s="59"/>
      <c r="F2580" s="83"/>
      <c r="G2580" s="76"/>
      <c r="H2580" s="76"/>
      <c r="I2580" s="76"/>
      <c r="J2580" s="93"/>
      <c r="K2580" s="93"/>
      <c r="L2580" s="82"/>
      <c r="M2580" s="54"/>
      <c r="N2580" s="54"/>
      <c r="O2580" s="54"/>
      <c r="P2580" s="54"/>
      <c r="Q2580" s="54"/>
      <c r="R2580" s="54"/>
      <c r="S2580" s="54"/>
      <c r="T2580" s="54"/>
      <c r="U2580" s="54"/>
      <c r="V2580" s="54"/>
      <c r="W2580" s="54"/>
      <c r="X2580" s="54"/>
      <c r="Y2580" s="54"/>
      <c r="Z2580" s="54"/>
      <c r="AA2580" s="54"/>
      <c r="AB2580" s="54"/>
      <c r="AC2580" s="54"/>
      <c r="AD2580" s="54"/>
      <c r="AE2580" s="54"/>
    </row>
    <row r="2581">
      <c r="A2581" s="80"/>
      <c r="B2581" s="80"/>
      <c r="C2581" s="80"/>
      <c r="D2581" s="59"/>
      <c r="E2581" s="59"/>
      <c r="F2581" s="83"/>
      <c r="G2581" s="76"/>
      <c r="H2581" s="76"/>
      <c r="I2581" s="76"/>
      <c r="J2581" s="93"/>
      <c r="K2581" s="93"/>
      <c r="L2581" s="82"/>
      <c r="M2581" s="54"/>
      <c r="N2581" s="54"/>
      <c r="O2581" s="54"/>
      <c r="P2581" s="54"/>
      <c r="Q2581" s="54"/>
      <c r="R2581" s="54"/>
      <c r="S2581" s="54"/>
      <c r="T2581" s="54"/>
      <c r="U2581" s="54"/>
      <c r="V2581" s="54"/>
      <c r="W2581" s="54"/>
      <c r="X2581" s="54"/>
      <c r="Y2581" s="54"/>
      <c r="Z2581" s="54"/>
      <c r="AA2581" s="54"/>
      <c r="AB2581" s="54"/>
      <c r="AC2581" s="54"/>
      <c r="AD2581" s="54"/>
      <c r="AE2581" s="54"/>
    </row>
    <row r="2582">
      <c r="A2582" s="80"/>
      <c r="B2582" s="80"/>
      <c r="C2582" s="80"/>
      <c r="D2582" s="59"/>
      <c r="E2582" s="59"/>
      <c r="F2582" s="83"/>
      <c r="G2582" s="76"/>
      <c r="H2582" s="76"/>
      <c r="I2582" s="76"/>
      <c r="J2582" s="93"/>
      <c r="K2582" s="93"/>
      <c r="L2582" s="82"/>
      <c r="M2582" s="54"/>
      <c r="N2582" s="54"/>
      <c r="O2582" s="54"/>
      <c r="P2582" s="54"/>
      <c r="Q2582" s="54"/>
      <c r="R2582" s="54"/>
      <c r="S2582" s="54"/>
      <c r="T2582" s="54"/>
      <c r="U2582" s="54"/>
      <c r="V2582" s="54"/>
      <c r="W2582" s="54"/>
      <c r="X2582" s="54"/>
      <c r="Y2582" s="54"/>
      <c r="Z2582" s="54"/>
      <c r="AA2582" s="54"/>
      <c r="AB2582" s="54"/>
      <c r="AC2582" s="54"/>
      <c r="AD2582" s="54"/>
      <c r="AE2582" s="54"/>
    </row>
    <row r="2583">
      <c r="A2583" s="80"/>
      <c r="B2583" s="80"/>
      <c r="C2583" s="80"/>
      <c r="D2583" s="59"/>
      <c r="E2583" s="59"/>
      <c r="F2583" s="83"/>
      <c r="G2583" s="76"/>
      <c r="H2583" s="76"/>
      <c r="I2583" s="76"/>
      <c r="J2583" s="93"/>
      <c r="K2583" s="93"/>
      <c r="L2583" s="82"/>
      <c r="M2583" s="54"/>
      <c r="N2583" s="54"/>
      <c r="O2583" s="54"/>
      <c r="P2583" s="54"/>
      <c r="Q2583" s="54"/>
      <c r="R2583" s="54"/>
      <c r="S2583" s="54"/>
      <c r="T2583" s="54"/>
      <c r="U2583" s="54"/>
      <c r="V2583" s="54"/>
      <c r="W2583" s="54"/>
      <c r="X2583" s="54"/>
      <c r="Y2583" s="54"/>
      <c r="Z2583" s="54"/>
      <c r="AA2583" s="54"/>
      <c r="AB2583" s="54"/>
      <c r="AC2583" s="54"/>
      <c r="AD2583" s="54"/>
      <c r="AE2583" s="54"/>
    </row>
    <row r="2584">
      <c r="A2584" s="80"/>
      <c r="B2584" s="80"/>
      <c r="C2584" s="80"/>
      <c r="D2584" s="59"/>
      <c r="E2584" s="59"/>
      <c r="F2584" s="83"/>
      <c r="G2584" s="76"/>
      <c r="H2584" s="76"/>
      <c r="I2584" s="76"/>
      <c r="J2584" s="93"/>
      <c r="K2584" s="93"/>
      <c r="L2584" s="82"/>
      <c r="M2584" s="54"/>
      <c r="N2584" s="54"/>
      <c r="O2584" s="54"/>
      <c r="P2584" s="54"/>
      <c r="Q2584" s="54"/>
      <c r="R2584" s="54"/>
      <c r="S2584" s="54"/>
      <c r="T2584" s="54"/>
      <c r="U2584" s="54"/>
      <c r="V2584" s="54"/>
      <c r="W2584" s="54"/>
      <c r="X2584" s="54"/>
      <c r="Y2584" s="54"/>
      <c r="Z2584" s="54"/>
      <c r="AA2584" s="54"/>
      <c r="AB2584" s="54"/>
      <c r="AC2584" s="54"/>
      <c r="AD2584" s="54"/>
      <c r="AE2584" s="54"/>
    </row>
    <row r="2585">
      <c r="A2585" s="80"/>
      <c r="B2585" s="80"/>
      <c r="C2585" s="80"/>
      <c r="D2585" s="59"/>
      <c r="E2585" s="59"/>
      <c r="F2585" s="83"/>
      <c r="G2585" s="76"/>
      <c r="H2585" s="76"/>
      <c r="I2585" s="76"/>
      <c r="J2585" s="93"/>
      <c r="K2585" s="93"/>
      <c r="L2585" s="82"/>
      <c r="M2585" s="54"/>
      <c r="N2585" s="54"/>
      <c r="O2585" s="54"/>
      <c r="P2585" s="54"/>
      <c r="Q2585" s="54"/>
      <c r="R2585" s="54"/>
      <c r="S2585" s="54"/>
      <c r="T2585" s="54"/>
      <c r="U2585" s="54"/>
      <c r="V2585" s="54"/>
      <c r="W2585" s="54"/>
      <c r="X2585" s="54"/>
      <c r="Y2585" s="54"/>
      <c r="Z2585" s="54"/>
      <c r="AA2585" s="54"/>
      <c r="AB2585" s="54"/>
      <c r="AC2585" s="54"/>
      <c r="AD2585" s="54"/>
      <c r="AE2585" s="54"/>
    </row>
    <row r="2586">
      <c r="A2586" s="80"/>
      <c r="B2586" s="80"/>
      <c r="C2586" s="80"/>
      <c r="D2586" s="59"/>
      <c r="E2586" s="59"/>
      <c r="F2586" s="83"/>
      <c r="G2586" s="76"/>
      <c r="H2586" s="76"/>
      <c r="I2586" s="76"/>
      <c r="J2586" s="93"/>
      <c r="K2586" s="93"/>
      <c r="L2586" s="82"/>
      <c r="M2586" s="54"/>
      <c r="N2586" s="54"/>
      <c r="O2586" s="54"/>
      <c r="P2586" s="54"/>
      <c r="Q2586" s="54"/>
      <c r="R2586" s="54"/>
      <c r="S2586" s="54"/>
      <c r="T2586" s="54"/>
      <c r="U2586" s="54"/>
      <c r="V2586" s="54"/>
      <c r="W2586" s="54"/>
      <c r="X2586" s="54"/>
      <c r="Y2586" s="54"/>
      <c r="Z2586" s="54"/>
      <c r="AA2586" s="54"/>
      <c r="AB2586" s="54"/>
      <c r="AC2586" s="54"/>
      <c r="AD2586" s="54"/>
      <c r="AE2586" s="54"/>
    </row>
    <row r="2587">
      <c r="A2587" s="80"/>
      <c r="B2587" s="80"/>
      <c r="C2587" s="80"/>
      <c r="D2587" s="59"/>
      <c r="E2587" s="59"/>
      <c r="F2587" s="83"/>
      <c r="G2587" s="76"/>
      <c r="H2587" s="76"/>
      <c r="I2587" s="76"/>
      <c r="J2587" s="93"/>
      <c r="K2587" s="93"/>
      <c r="L2587" s="82"/>
      <c r="M2587" s="54"/>
      <c r="N2587" s="54"/>
      <c r="O2587" s="54"/>
      <c r="P2587" s="54"/>
      <c r="Q2587" s="54"/>
      <c r="R2587" s="54"/>
      <c r="S2587" s="54"/>
      <c r="T2587" s="54"/>
      <c r="U2587" s="54"/>
      <c r="V2587" s="54"/>
      <c r="W2587" s="54"/>
      <c r="X2587" s="54"/>
      <c r="Y2587" s="54"/>
      <c r="Z2587" s="54"/>
      <c r="AA2587" s="54"/>
      <c r="AB2587" s="54"/>
      <c r="AC2587" s="54"/>
      <c r="AD2587" s="54"/>
      <c r="AE2587" s="54"/>
    </row>
    <row r="2588">
      <c r="A2588" s="80"/>
      <c r="B2588" s="80"/>
      <c r="C2588" s="80"/>
      <c r="D2588" s="59"/>
      <c r="E2588" s="59"/>
      <c r="F2588" s="83"/>
      <c r="G2588" s="76"/>
      <c r="H2588" s="76"/>
      <c r="I2588" s="76"/>
      <c r="J2588" s="93"/>
      <c r="K2588" s="93"/>
      <c r="L2588" s="82"/>
      <c r="M2588" s="54"/>
      <c r="N2588" s="54"/>
      <c r="O2588" s="54"/>
      <c r="P2588" s="54"/>
      <c r="Q2588" s="54"/>
      <c r="R2588" s="54"/>
      <c r="S2588" s="54"/>
      <c r="T2588" s="54"/>
      <c r="U2588" s="54"/>
      <c r="V2588" s="54"/>
      <c r="W2588" s="54"/>
      <c r="X2588" s="54"/>
      <c r="Y2588" s="54"/>
      <c r="Z2588" s="54"/>
      <c r="AA2588" s="54"/>
      <c r="AB2588" s="54"/>
      <c r="AC2588" s="54"/>
      <c r="AD2588" s="54"/>
      <c r="AE2588" s="54"/>
    </row>
    <row r="2589">
      <c r="A2589" s="80"/>
      <c r="B2589" s="80"/>
      <c r="C2589" s="80"/>
      <c r="D2589" s="59"/>
      <c r="E2589" s="59"/>
      <c r="F2589" s="83"/>
      <c r="G2589" s="76"/>
      <c r="H2589" s="76"/>
      <c r="I2589" s="76"/>
      <c r="J2589" s="93"/>
      <c r="K2589" s="93"/>
      <c r="L2589" s="82"/>
      <c r="M2589" s="54"/>
      <c r="N2589" s="54"/>
      <c r="O2589" s="54"/>
      <c r="P2589" s="54"/>
      <c r="Q2589" s="54"/>
      <c r="R2589" s="54"/>
      <c r="S2589" s="54"/>
      <c r="T2589" s="54"/>
      <c r="U2589" s="54"/>
      <c r="V2589" s="54"/>
      <c r="W2589" s="54"/>
      <c r="X2589" s="54"/>
      <c r="Y2589" s="54"/>
      <c r="Z2589" s="54"/>
      <c r="AA2589" s="54"/>
      <c r="AB2589" s="54"/>
      <c r="AC2589" s="54"/>
      <c r="AD2589" s="54"/>
      <c r="AE2589" s="54"/>
    </row>
    <row r="2590">
      <c r="A2590" s="80"/>
      <c r="B2590" s="80"/>
      <c r="C2590" s="80"/>
      <c r="D2590" s="59"/>
      <c r="E2590" s="59"/>
      <c r="F2590" s="83"/>
      <c r="G2590" s="76"/>
      <c r="H2590" s="76"/>
      <c r="I2590" s="76"/>
      <c r="J2590" s="93"/>
      <c r="K2590" s="93"/>
      <c r="L2590" s="82"/>
      <c r="M2590" s="54"/>
      <c r="N2590" s="54"/>
      <c r="O2590" s="54"/>
      <c r="P2590" s="54"/>
      <c r="Q2590" s="54"/>
      <c r="R2590" s="54"/>
      <c r="S2590" s="54"/>
      <c r="T2590" s="54"/>
      <c r="U2590" s="54"/>
      <c r="V2590" s="54"/>
      <c r="W2590" s="54"/>
      <c r="X2590" s="54"/>
      <c r="Y2590" s="54"/>
      <c r="Z2590" s="54"/>
      <c r="AA2590" s="54"/>
      <c r="AB2590" s="54"/>
      <c r="AC2590" s="54"/>
      <c r="AD2590" s="54"/>
      <c r="AE2590" s="54"/>
    </row>
    <row r="2591">
      <c r="A2591" s="80"/>
      <c r="B2591" s="80"/>
      <c r="C2591" s="80"/>
      <c r="D2591" s="59"/>
      <c r="E2591" s="59"/>
      <c r="F2591" s="83"/>
      <c r="G2591" s="76"/>
      <c r="H2591" s="76"/>
      <c r="I2591" s="76"/>
      <c r="J2591" s="93"/>
      <c r="K2591" s="93"/>
      <c r="L2591" s="82"/>
      <c r="M2591" s="54"/>
      <c r="N2591" s="54"/>
      <c r="O2591" s="54"/>
      <c r="P2591" s="54"/>
      <c r="Q2591" s="54"/>
      <c r="R2591" s="54"/>
      <c r="S2591" s="54"/>
      <c r="T2591" s="54"/>
      <c r="U2591" s="54"/>
      <c r="V2591" s="54"/>
      <c r="W2591" s="54"/>
      <c r="X2591" s="54"/>
      <c r="Y2591" s="54"/>
      <c r="Z2591" s="54"/>
      <c r="AA2591" s="54"/>
      <c r="AB2591" s="54"/>
      <c r="AC2591" s="54"/>
      <c r="AD2591" s="54"/>
      <c r="AE2591" s="54"/>
    </row>
    <row r="2592">
      <c r="A2592" s="80"/>
      <c r="B2592" s="80"/>
      <c r="C2592" s="80"/>
      <c r="D2592" s="59"/>
      <c r="E2592" s="59"/>
      <c r="F2592" s="83"/>
      <c r="G2592" s="76"/>
      <c r="H2592" s="76"/>
      <c r="I2592" s="76"/>
      <c r="J2592" s="93"/>
      <c r="K2592" s="93"/>
      <c r="L2592" s="82"/>
      <c r="M2592" s="54"/>
      <c r="N2592" s="54"/>
      <c r="O2592" s="54"/>
      <c r="P2592" s="54"/>
      <c r="Q2592" s="54"/>
      <c r="R2592" s="54"/>
      <c r="S2592" s="54"/>
      <c r="T2592" s="54"/>
      <c r="U2592" s="54"/>
      <c r="V2592" s="54"/>
      <c r="W2592" s="54"/>
      <c r="X2592" s="54"/>
      <c r="Y2592" s="54"/>
      <c r="Z2592" s="54"/>
      <c r="AA2592" s="54"/>
      <c r="AB2592" s="54"/>
      <c r="AC2592" s="54"/>
      <c r="AD2592" s="54"/>
      <c r="AE2592" s="54"/>
    </row>
    <row r="2593">
      <c r="A2593" s="80"/>
      <c r="B2593" s="80"/>
      <c r="C2593" s="80"/>
      <c r="D2593" s="59"/>
      <c r="E2593" s="59"/>
      <c r="F2593" s="83"/>
      <c r="G2593" s="76"/>
      <c r="H2593" s="76"/>
      <c r="I2593" s="76"/>
      <c r="J2593" s="93"/>
      <c r="K2593" s="93"/>
      <c r="L2593" s="82"/>
      <c r="M2593" s="54"/>
      <c r="N2593" s="54"/>
      <c r="O2593" s="54"/>
      <c r="P2593" s="54"/>
      <c r="Q2593" s="54"/>
      <c r="R2593" s="54"/>
      <c r="S2593" s="54"/>
      <c r="T2593" s="54"/>
      <c r="U2593" s="54"/>
      <c r="V2593" s="54"/>
      <c r="W2593" s="54"/>
      <c r="X2593" s="54"/>
      <c r="Y2593" s="54"/>
      <c r="Z2593" s="54"/>
      <c r="AA2593" s="54"/>
      <c r="AB2593" s="54"/>
      <c r="AC2593" s="54"/>
      <c r="AD2593" s="54"/>
      <c r="AE2593" s="54"/>
    </row>
    <row r="2594">
      <c r="A2594" s="80"/>
      <c r="B2594" s="80"/>
      <c r="C2594" s="80"/>
      <c r="D2594" s="59"/>
      <c r="E2594" s="59"/>
      <c r="F2594" s="83"/>
      <c r="G2594" s="76"/>
      <c r="H2594" s="76"/>
      <c r="I2594" s="76"/>
      <c r="J2594" s="93"/>
      <c r="K2594" s="93"/>
      <c r="L2594" s="82"/>
      <c r="M2594" s="54"/>
      <c r="N2594" s="54"/>
      <c r="O2594" s="54"/>
      <c r="P2594" s="54"/>
      <c r="Q2594" s="54"/>
      <c r="R2594" s="54"/>
      <c r="S2594" s="54"/>
      <c r="T2594" s="54"/>
      <c r="U2594" s="54"/>
      <c r="V2594" s="54"/>
      <c r="W2594" s="54"/>
      <c r="X2594" s="54"/>
      <c r="Y2594" s="54"/>
      <c r="Z2594" s="54"/>
      <c r="AA2594" s="54"/>
      <c r="AB2594" s="54"/>
      <c r="AC2594" s="54"/>
      <c r="AD2594" s="54"/>
      <c r="AE2594" s="54"/>
    </row>
    <row r="2595">
      <c r="A2595" s="80"/>
      <c r="B2595" s="80"/>
      <c r="C2595" s="80"/>
      <c r="D2595" s="59"/>
      <c r="E2595" s="59"/>
      <c r="F2595" s="83"/>
      <c r="G2595" s="76"/>
      <c r="H2595" s="76"/>
      <c r="I2595" s="76"/>
      <c r="J2595" s="93"/>
      <c r="K2595" s="93"/>
      <c r="L2595" s="82"/>
      <c r="M2595" s="54"/>
      <c r="N2595" s="54"/>
      <c r="O2595" s="54"/>
      <c r="P2595" s="54"/>
      <c r="Q2595" s="54"/>
      <c r="R2595" s="54"/>
      <c r="S2595" s="54"/>
      <c r="T2595" s="54"/>
      <c r="U2595" s="54"/>
      <c r="V2595" s="54"/>
      <c r="W2595" s="54"/>
      <c r="X2595" s="54"/>
      <c r="Y2595" s="54"/>
      <c r="Z2595" s="54"/>
      <c r="AA2595" s="54"/>
      <c r="AB2595" s="54"/>
      <c r="AC2595" s="54"/>
      <c r="AD2595" s="54"/>
      <c r="AE2595" s="54"/>
    </row>
    <row r="2596">
      <c r="A2596" s="80"/>
      <c r="B2596" s="80"/>
      <c r="C2596" s="80"/>
      <c r="D2596" s="59"/>
      <c r="E2596" s="59"/>
      <c r="F2596" s="83"/>
      <c r="G2596" s="76"/>
      <c r="H2596" s="76"/>
      <c r="I2596" s="76"/>
      <c r="J2596" s="93"/>
      <c r="K2596" s="93"/>
      <c r="L2596" s="82"/>
      <c r="M2596" s="54"/>
      <c r="N2596" s="54"/>
      <c r="O2596" s="54"/>
      <c r="P2596" s="54"/>
      <c r="Q2596" s="54"/>
      <c r="R2596" s="54"/>
      <c r="S2596" s="54"/>
      <c r="T2596" s="54"/>
      <c r="U2596" s="54"/>
      <c r="V2596" s="54"/>
      <c r="W2596" s="54"/>
      <c r="X2596" s="54"/>
      <c r="Y2596" s="54"/>
      <c r="Z2596" s="54"/>
      <c r="AA2596" s="54"/>
      <c r="AB2596" s="54"/>
      <c r="AC2596" s="54"/>
      <c r="AD2596" s="54"/>
      <c r="AE2596" s="54"/>
    </row>
    <row r="2597">
      <c r="A2597" s="80"/>
      <c r="B2597" s="80"/>
      <c r="C2597" s="80"/>
      <c r="D2597" s="59"/>
      <c r="E2597" s="59"/>
      <c r="F2597" s="83"/>
      <c r="G2597" s="76"/>
      <c r="H2597" s="76"/>
      <c r="I2597" s="76"/>
      <c r="J2597" s="93"/>
      <c r="K2597" s="93"/>
      <c r="L2597" s="82"/>
      <c r="M2597" s="54"/>
      <c r="N2597" s="54"/>
      <c r="O2597" s="54"/>
      <c r="P2597" s="54"/>
      <c r="Q2597" s="54"/>
      <c r="R2597" s="54"/>
      <c r="S2597" s="54"/>
      <c r="T2597" s="54"/>
      <c r="U2597" s="54"/>
      <c r="V2597" s="54"/>
      <c r="W2597" s="54"/>
      <c r="X2597" s="54"/>
      <c r="Y2597" s="54"/>
      <c r="Z2597" s="54"/>
      <c r="AA2597" s="54"/>
      <c r="AB2597" s="54"/>
      <c r="AC2597" s="54"/>
      <c r="AD2597" s="54"/>
      <c r="AE2597" s="54"/>
    </row>
    <row r="2598">
      <c r="A2598" s="80"/>
      <c r="B2598" s="80"/>
      <c r="C2598" s="80"/>
      <c r="D2598" s="59"/>
      <c r="E2598" s="59"/>
      <c r="F2598" s="83"/>
      <c r="G2598" s="76"/>
      <c r="H2598" s="76"/>
      <c r="I2598" s="76"/>
      <c r="J2598" s="93"/>
      <c r="K2598" s="93"/>
      <c r="L2598" s="82"/>
      <c r="M2598" s="54"/>
      <c r="N2598" s="54"/>
      <c r="O2598" s="54"/>
      <c r="P2598" s="54"/>
      <c r="Q2598" s="54"/>
      <c r="R2598" s="54"/>
      <c r="S2598" s="54"/>
      <c r="T2598" s="54"/>
      <c r="U2598" s="54"/>
      <c r="V2598" s="54"/>
      <c r="W2598" s="54"/>
      <c r="X2598" s="54"/>
      <c r="Y2598" s="54"/>
      <c r="Z2598" s="54"/>
      <c r="AA2598" s="54"/>
      <c r="AB2598" s="54"/>
      <c r="AC2598" s="54"/>
      <c r="AD2598" s="54"/>
      <c r="AE2598" s="54"/>
    </row>
    <row r="2599">
      <c r="A2599" s="80"/>
      <c r="B2599" s="80"/>
      <c r="C2599" s="80"/>
      <c r="D2599" s="59"/>
      <c r="E2599" s="59"/>
      <c r="F2599" s="83"/>
      <c r="G2599" s="76"/>
      <c r="H2599" s="76"/>
      <c r="I2599" s="76"/>
      <c r="J2599" s="93"/>
      <c r="K2599" s="93"/>
      <c r="L2599" s="82"/>
      <c r="M2599" s="54"/>
      <c r="N2599" s="54"/>
      <c r="O2599" s="54"/>
      <c r="P2599" s="54"/>
      <c r="Q2599" s="54"/>
      <c r="R2599" s="54"/>
      <c r="S2599" s="54"/>
      <c r="T2599" s="54"/>
      <c r="U2599" s="54"/>
      <c r="V2599" s="54"/>
      <c r="W2599" s="54"/>
      <c r="X2599" s="54"/>
      <c r="Y2599" s="54"/>
      <c r="Z2599" s="54"/>
      <c r="AA2599" s="54"/>
      <c r="AB2599" s="54"/>
      <c r="AC2599" s="54"/>
      <c r="AD2599" s="54"/>
      <c r="AE2599" s="54"/>
    </row>
    <row r="2600">
      <c r="A2600" s="80"/>
      <c r="B2600" s="80"/>
      <c r="C2600" s="80"/>
      <c r="D2600" s="59"/>
      <c r="E2600" s="59"/>
      <c r="F2600" s="83"/>
      <c r="G2600" s="76"/>
      <c r="H2600" s="76"/>
      <c r="I2600" s="76"/>
      <c r="J2600" s="93"/>
      <c r="K2600" s="93"/>
      <c r="L2600" s="82"/>
      <c r="M2600" s="54"/>
      <c r="N2600" s="54"/>
      <c r="O2600" s="54"/>
      <c r="P2600" s="54"/>
      <c r="Q2600" s="54"/>
      <c r="R2600" s="54"/>
      <c r="S2600" s="54"/>
      <c r="T2600" s="54"/>
      <c r="U2600" s="54"/>
      <c r="V2600" s="54"/>
      <c r="W2600" s="54"/>
      <c r="X2600" s="54"/>
      <c r="Y2600" s="54"/>
      <c r="Z2600" s="54"/>
      <c r="AA2600" s="54"/>
      <c r="AB2600" s="54"/>
      <c r="AC2600" s="54"/>
      <c r="AD2600" s="54"/>
      <c r="AE2600" s="54"/>
    </row>
    <row r="2601">
      <c r="A2601" s="80"/>
      <c r="B2601" s="80"/>
      <c r="C2601" s="80"/>
      <c r="D2601" s="59"/>
      <c r="E2601" s="59"/>
      <c r="F2601" s="83"/>
      <c r="G2601" s="76"/>
      <c r="H2601" s="76"/>
      <c r="I2601" s="76"/>
      <c r="J2601" s="93"/>
      <c r="K2601" s="93"/>
      <c r="L2601" s="82"/>
      <c r="M2601" s="54"/>
      <c r="N2601" s="54"/>
      <c r="O2601" s="54"/>
      <c r="P2601" s="54"/>
      <c r="Q2601" s="54"/>
      <c r="R2601" s="54"/>
      <c r="S2601" s="54"/>
      <c r="T2601" s="54"/>
      <c r="U2601" s="54"/>
      <c r="V2601" s="54"/>
      <c r="W2601" s="54"/>
      <c r="X2601" s="54"/>
      <c r="Y2601" s="54"/>
      <c r="Z2601" s="54"/>
      <c r="AA2601" s="54"/>
      <c r="AB2601" s="54"/>
      <c r="AC2601" s="54"/>
      <c r="AD2601" s="54"/>
      <c r="AE2601" s="54"/>
    </row>
    <row r="2602">
      <c r="A2602" s="80"/>
      <c r="B2602" s="80"/>
      <c r="C2602" s="80"/>
      <c r="D2602" s="59"/>
      <c r="E2602" s="59"/>
      <c r="F2602" s="83"/>
      <c r="G2602" s="76"/>
      <c r="H2602" s="76"/>
      <c r="I2602" s="76"/>
      <c r="J2602" s="93"/>
      <c r="K2602" s="93"/>
      <c r="L2602" s="82"/>
      <c r="M2602" s="54"/>
      <c r="N2602" s="54"/>
      <c r="O2602" s="54"/>
      <c r="P2602" s="54"/>
      <c r="Q2602" s="54"/>
      <c r="R2602" s="54"/>
      <c r="S2602" s="54"/>
      <c r="T2602" s="54"/>
      <c r="U2602" s="54"/>
      <c r="V2602" s="54"/>
      <c r="W2602" s="54"/>
      <c r="X2602" s="54"/>
      <c r="Y2602" s="54"/>
      <c r="Z2602" s="54"/>
      <c r="AA2602" s="54"/>
      <c r="AB2602" s="54"/>
      <c r="AC2602" s="54"/>
      <c r="AD2602" s="54"/>
      <c r="AE2602" s="54"/>
    </row>
    <row r="2603">
      <c r="A2603" s="80"/>
      <c r="B2603" s="80"/>
      <c r="C2603" s="80"/>
      <c r="D2603" s="59"/>
      <c r="E2603" s="59"/>
      <c r="F2603" s="83"/>
      <c r="G2603" s="76"/>
      <c r="H2603" s="76"/>
      <c r="I2603" s="76"/>
      <c r="J2603" s="93"/>
      <c r="K2603" s="93"/>
      <c r="L2603" s="82"/>
      <c r="M2603" s="54"/>
      <c r="N2603" s="54"/>
      <c r="O2603" s="54"/>
      <c r="P2603" s="54"/>
      <c r="Q2603" s="54"/>
      <c r="R2603" s="54"/>
      <c r="S2603" s="54"/>
      <c r="T2603" s="54"/>
      <c r="U2603" s="54"/>
      <c r="V2603" s="54"/>
      <c r="W2603" s="54"/>
      <c r="X2603" s="54"/>
      <c r="Y2603" s="54"/>
      <c r="Z2603" s="54"/>
      <c r="AA2603" s="54"/>
      <c r="AB2603" s="54"/>
      <c r="AC2603" s="54"/>
      <c r="AD2603" s="54"/>
      <c r="AE2603" s="54"/>
    </row>
    <row r="2604">
      <c r="A2604" s="80"/>
      <c r="B2604" s="80"/>
      <c r="C2604" s="80"/>
      <c r="D2604" s="59"/>
      <c r="E2604" s="59"/>
      <c r="F2604" s="83"/>
      <c r="G2604" s="76"/>
      <c r="H2604" s="76"/>
      <c r="I2604" s="76"/>
      <c r="J2604" s="93"/>
      <c r="K2604" s="93"/>
      <c r="L2604" s="82"/>
      <c r="M2604" s="54"/>
      <c r="N2604" s="54"/>
      <c r="O2604" s="54"/>
      <c r="P2604" s="54"/>
      <c r="Q2604" s="54"/>
      <c r="R2604" s="54"/>
      <c r="S2604" s="54"/>
      <c r="T2604" s="54"/>
      <c r="U2604" s="54"/>
      <c r="V2604" s="54"/>
      <c r="W2604" s="54"/>
      <c r="X2604" s="54"/>
      <c r="Y2604" s="54"/>
      <c r="Z2604" s="54"/>
      <c r="AA2604" s="54"/>
      <c r="AB2604" s="54"/>
      <c r="AC2604" s="54"/>
      <c r="AD2604" s="54"/>
      <c r="AE2604" s="54"/>
    </row>
    <row r="2605">
      <c r="A2605" s="80"/>
      <c r="B2605" s="80"/>
      <c r="C2605" s="80"/>
      <c r="D2605" s="59"/>
      <c r="E2605" s="59"/>
      <c r="F2605" s="83"/>
      <c r="G2605" s="76"/>
      <c r="H2605" s="76"/>
      <c r="I2605" s="76"/>
      <c r="J2605" s="93"/>
      <c r="K2605" s="93"/>
      <c r="L2605" s="82"/>
      <c r="M2605" s="54"/>
      <c r="N2605" s="54"/>
      <c r="O2605" s="54"/>
      <c r="P2605" s="54"/>
      <c r="Q2605" s="54"/>
      <c r="R2605" s="54"/>
      <c r="S2605" s="54"/>
      <c r="T2605" s="54"/>
      <c r="U2605" s="54"/>
      <c r="V2605" s="54"/>
      <c r="W2605" s="54"/>
      <c r="X2605" s="54"/>
      <c r="Y2605" s="54"/>
      <c r="Z2605" s="54"/>
      <c r="AA2605" s="54"/>
      <c r="AB2605" s="54"/>
      <c r="AC2605" s="54"/>
      <c r="AD2605" s="54"/>
      <c r="AE2605" s="54"/>
    </row>
    <row r="2606">
      <c r="A2606" s="80"/>
      <c r="B2606" s="80"/>
      <c r="C2606" s="80"/>
      <c r="D2606" s="59"/>
      <c r="E2606" s="59"/>
      <c r="F2606" s="83"/>
      <c r="G2606" s="76"/>
      <c r="H2606" s="76"/>
      <c r="I2606" s="76"/>
      <c r="J2606" s="93"/>
      <c r="K2606" s="93"/>
      <c r="L2606" s="82"/>
      <c r="M2606" s="54"/>
      <c r="N2606" s="54"/>
      <c r="O2606" s="54"/>
      <c r="P2606" s="54"/>
      <c r="Q2606" s="54"/>
      <c r="R2606" s="54"/>
      <c r="S2606" s="54"/>
      <c r="T2606" s="54"/>
      <c r="U2606" s="54"/>
      <c r="V2606" s="54"/>
      <c r="W2606" s="54"/>
      <c r="X2606" s="54"/>
      <c r="Y2606" s="54"/>
      <c r="Z2606" s="54"/>
      <c r="AA2606" s="54"/>
      <c r="AB2606" s="54"/>
      <c r="AC2606" s="54"/>
      <c r="AD2606" s="54"/>
      <c r="AE2606" s="54"/>
    </row>
    <row r="2607">
      <c r="A2607" s="80"/>
      <c r="B2607" s="80"/>
      <c r="C2607" s="80"/>
      <c r="D2607" s="59"/>
      <c r="E2607" s="59"/>
      <c r="F2607" s="83"/>
      <c r="G2607" s="76"/>
      <c r="H2607" s="76"/>
      <c r="I2607" s="76"/>
      <c r="J2607" s="93"/>
      <c r="K2607" s="93"/>
      <c r="L2607" s="82"/>
      <c r="M2607" s="54"/>
      <c r="N2607" s="54"/>
      <c r="O2607" s="54"/>
      <c r="P2607" s="54"/>
      <c r="Q2607" s="54"/>
      <c r="R2607" s="54"/>
      <c r="S2607" s="54"/>
      <c r="T2607" s="54"/>
      <c r="U2607" s="54"/>
      <c r="V2607" s="54"/>
      <c r="W2607" s="54"/>
      <c r="X2607" s="54"/>
      <c r="Y2607" s="54"/>
      <c r="Z2607" s="54"/>
      <c r="AA2607" s="54"/>
      <c r="AB2607" s="54"/>
      <c r="AC2607" s="54"/>
      <c r="AD2607" s="54"/>
      <c r="AE2607" s="54"/>
    </row>
    <row r="2608">
      <c r="A2608" s="80"/>
      <c r="B2608" s="80"/>
      <c r="C2608" s="80"/>
      <c r="D2608" s="59"/>
      <c r="E2608" s="59"/>
      <c r="F2608" s="83"/>
      <c r="G2608" s="76"/>
      <c r="H2608" s="76"/>
      <c r="I2608" s="76"/>
      <c r="J2608" s="93"/>
      <c r="K2608" s="93"/>
      <c r="L2608" s="82"/>
      <c r="M2608" s="54"/>
      <c r="N2608" s="54"/>
      <c r="O2608" s="54"/>
      <c r="P2608" s="54"/>
      <c r="Q2608" s="54"/>
      <c r="R2608" s="54"/>
      <c r="S2608" s="54"/>
      <c r="T2608" s="54"/>
      <c r="U2608" s="54"/>
      <c r="V2608" s="54"/>
      <c r="W2608" s="54"/>
      <c r="X2608" s="54"/>
      <c r="Y2608" s="54"/>
      <c r="Z2608" s="54"/>
      <c r="AA2608" s="54"/>
      <c r="AB2608" s="54"/>
      <c r="AC2608" s="54"/>
      <c r="AD2608" s="54"/>
      <c r="AE2608" s="54"/>
    </row>
    <row r="2609">
      <c r="A2609" s="80"/>
      <c r="B2609" s="80"/>
      <c r="C2609" s="80"/>
      <c r="D2609" s="59"/>
      <c r="E2609" s="59"/>
      <c r="F2609" s="83"/>
      <c r="G2609" s="76"/>
      <c r="H2609" s="76"/>
      <c r="I2609" s="76"/>
      <c r="J2609" s="93"/>
      <c r="K2609" s="93"/>
      <c r="L2609" s="82"/>
      <c r="M2609" s="54"/>
      <c r="N2609" s="54"/>
      <c r="O2609" s="54"/>
      <c r="P2609" s="54"/>
      <c r="Q2609" s="54"/>
      <c r="R2609" s="54"/>
      <c r="S2609" s="54"/>
      <c r="T2609" s="54"/>
      <c r="U2609" s="54"/>
      <c r="V2609" s="54"/>
      <c r="W2609" s="54"/>
      <c r="X2609" s="54"/>
      <c r="Y2609" s="54"/>
      <c r="Z2609" s="54"/>
      <c r="AA2609" s="54"/>
      <c r="AB2609" s="54"/>
      <c r="AC2609" s="54"/>
      <c r="AD2609" s="54"/>
      <c r="AE2609" s="54"/>
    </row>
    <row r="2610">
      <c r="A2610" s="80"/>
      <c r="B2610" s="80"/>
      <c r="C2610" s="80"/>
      <c r="D2610" s="59"/>
      <c r="E2610" s="59"/>
      <c r="F2610" s="83"/>
      <c r="G2610" s="76"/>
      <c r="H2610" s="76"/>
      <c r="I2610" s="76"/>
      <c r="J2610" s="93"/>
      <c r="K2610" s="93"/>
      <c r="L2610" s="82"/>
      <c r="M2610" s="54"/>
      <c r="N2610" s="54"/>
      <c r="O2610" s="54"/>
      <c r="P2610" s="54"/>
      <c r="Q2610" s="54"/>
      <c r="R2610" s="54"/>
      <c r="S2610" s="54"/>
      <c r="T2610" s="54"/>
      <c r="U2610" s="54"/>
      <c r="V2610" s="54"/>
      <c r="W2610" s="54"/>
      <c r="X2610" s="54"/>
      <c r="Y2610" s="54"/>
      <c r="Z2610" s="54"/>
      <c r="AA2610" s="54"/>
      <c r="AB2610" s="54"/>
      <c r="AC2610" s="54"/>
      <c r="AD2610" s="54"/>
      <c r="AE2610" s="54"/>
    </row>
    <row r="2611">
      <c r="A2611" s="80"/>
      <c r="B2611" s="80"/>
      <c r="C2611" s="80"/>
      <c r="D2611" s="59"/>
      <c r="E2611" s="59"/>
      <c r="F2611" s="83"/>
      <c r="G2611" s="76"/>
      <c r="H2611" s="76"/>
      <c r="I2611" s="76"/>
      <c r="J2611" s="93"/>
      <c r="K2611" s="93"/>
      <c r="L2611" s="82"/>
      <c r="M2611" s="54"/>
      <c r="N2611" s="54"/>
      <c r="O2611" s="54"/>
      <c r="P2611" s="54"/>
      <c r="Q2611" s="54"/>
      <c r="R2611" s="54"/>
      <c r="S2611" s="54"/>
      <c r="T2611" s="54"/>
      <c r="U2611" s="54"/>
      <c r="V2611" s="54"/>
      <c r="W2611" s="54"/>
      <c r="X2611" s="54"/>
      <c r="Y2611" s="54"/>
      <c r="Z2611" s="54"/>
      <c r="AA2611" s="54"/>
      <c r="AB2611" s="54"/>
      <c r="AC2611" s="54"/>
      <c r="AD2611" s="54"/>
      <c r="AE2611" s="54"/>
    </row>
    <row r="2612">
      <c r="A2612" s="80"/>
      <c r="B2612" s="80"/>
      <c r="C2612" s="80"/>
      <c r="D2612" s="59"/>
      <c r="E2612" s="59"/>
      <c r="F2612" s="83"/>
      <c r="G2612" s="76"/>
      <c r="H2612" s="76"/>
      <c r="I2612" s="76"/>
      <c r="J2612" s="93"/>
      <c r="K2612" s="93"/>
      <c r="L2612" s="82"/>
      <c r="M2612" s="54"/>
      <c r="N2612" s="54"/>
      <c r="O2612" s="54"/>
      <c r="P2612" s="54"/>
      <c r="Q2612" s="54"/>
      <c r="R2612" s="54"/>
      <c r="S2612" s="54"/>
      <c r="T2612" s="54"/>
      <c r="U2612" s="54"/>
      <c r="V2612" s="54"/>
      <c r="W2612" s="54"/>
      <c r="X2612" s="54"/>
      <c r="Y2612" s="54"/>
      <c r="Z2612" s="54"/>
      <c r="AA2612" s="54"/>
      <c r="AB2612" s="54"/>
      <c r="AC2612" s="54"/>
      <c r="AD2612" s="54"/>
      <c r="AE2612" s="54"/>
    </row>
    <row r="2613">
      <c r="A2613" s="80"/>
      <c r="B2613" s="80"/>
      <c r="C2613" s="80"/>
      <c r="D2613" s="59"/>
      <c r="E2613" s="59"/>
      <c r="F2613" s="83"/>
      <c r="G2613" s="76"/>
      <c r="H2613" s="76"/>
      <c r="I2613" s="76"/>
      <c r="J2613" s="93"/>
      <c r="K2613" s="93"/>
      <c r="L2613" s="82"/>
      <c r="M2613" s="54"/>
      <c r="N2613" s="54"/>
      <c r="O2613" s="54"/>
      <c r="P2613" s="54"/>
      <c r="Q2613" s="54"/>
      <c r="R2613" s="54"/>
      <c r="S2613" s="54"/>
      <c r="T2613" s="54"/>
      <c r="U2613" s="54"/>
      <c r="V2613" s="54"/>
      <c r="W2613" s="54"/>
      <c r="X2613" s="54"/>
      <c r="Y2613" s="54"/>
      <c r="Z2613" s="54"/>
      <c r="AA2613" s="54"/>
      <c r="AB2613" s="54"/>
      <c r="AC2613" s="54"/>
      <c r="AD2613" s="54"/>
      <c r="AE2613" s="54"/>
    </row>
    <row r="2614">
      <c r="A2614" s="80"/>
      <c r="B2614" s="80"/>
      <c r="C2614" s="80"/>
      <c r="D2614" s="59"/>
      <c r="E2614" s="59"/>
      <c r="F2614" s="83"/>
      <c r="G2614" s="76"/>
      <c r="H2614" s="76"/>
      <c r="I2614" s="76"/>
      <c r="J2614" s="93"/>
      <c r="K2614" s="93"/>
      <c r="L2614" s="82"/>
      <c r="M2614" s="54"/>
      <c r="N2614" s="54"/>
      <c r="O2614" s="54"/>
      <c r="P2614" s="54"/>
      <c r="Q2614" s="54"/>
      <c r="R2614" s="54"/>
      <c r="S2614" s="54"/>
      <c r="T2614" s="54"/>
      <c r="U2614" s="54"/>
      <c r="V2614" s="54"/>
      <c r="W2614" s="54"/>
      <c r="X2614" s="54"/>
      <c r="Y2614" s="54"/>
      <c r="Z2614" s="54"/>
      <c r="AA2614" s="54"/>
      <c r="AB2614" s="54"/>
      <c r="AC2614" s="54"/>
      <c r="AD2614" s="54"/>
      <c r="AE2614" s="54"/>
    </row>
    <row r="2615">
      <c r="A2615" s="80"/>
      <c r="B2615" s="80"/>
      <c r="C2615" s="80"/>
      <c r="D2615" s="59"/>
      <c r="E2615" s="59"/>
      <c r="F2615" s="83"/>
      <c r="G2615" s="76"/>
      <c r="H2615" s="76"/>
      <c r="I2615" s="76"/>
      <c r="J2615" s="93"/>
      <c r="K2615" s="93"/>
      <c r="L2615" s="82"/>
      <c r="M2615" s="54"/>
      <c r="N2615" s="54"/>
      <c r="O2615" s="54"/>
      <c r="P2615" s="54"/>
      <c r="Q2615" s="54"/>
      <c r="R2615" s="54"/>
      <c r="S2615" s="54"/>
      <c r="T2615" s="54"/>
      <c r="U2615" s="54"/>
      <c r="V2615" s="54"/>
      <c r="W2615" s="54"/>
      <c r="X2615" s="54"/>
      <c r="Y2615" s="54"/>
      <c r="Z2615" s="54"/>
      <c r="AA2615" s="54"/>
      <c r="AB2615" s="54"/>
      <c r="AC2615" s="54"/>
      <c r="AD2615" s="54"/>
      <c r="AE2615" s="54"/>
    </row>
    <row r="2616">
      <c r="A2616" s="80"/>
      <c r="B2616" s="80"/>
      <c r="C2616" s="80"/>
      <c r="D2616" s="59"/>
      <c r="E2616" s="59"/>
      <c r="F2616" s="83"/>
      <c r="G2616" s="76"/>
      <c r="H2616" s="76"/>
      <c r="I2616" s="76"/>
      <c r="J2616" s="93"/>
      <c r="K2616" s="93"/>
      <c r="L2616" s="82"/>
      <c r="M2616" s="54"/>
      <c r="N2616" s="54"/>
      <c r="O2616" s="54"/>
      <c r="P2616" s="54"/>
      <c r="Q2616" s="54"/>
      <c r="R2616" s="54"/>
      <c r="S2616" s="54"/>
      <c r="T2616" s="54"/>
      <c r="U2616" s="54"/>
      <c r="V2616" s="54"/>
      <c r="W2616" s="54"/>
      <c r="X2616" s="54"/>
      <c r="Y2616" s="54"/>
      <c r="Z2616" s="54"/>
      <c r="AA2616" s="54"/>
      <c r="AB2616" s="54"/>
      <c r="AC2616" s="54"/>
      <c r="AD2616" s="54"/>
      <c r="AE2616" s="54"/>
    </row>
    <row r="2617">
      <c r="A2617" s="80"/>
      <c r="B2617" s="80"/>
      <c r="C2617" s="80"/>
      <c r="D2617" s="59"/>
      <c r="E2617" s="59"/>
      <c r="F2617" s="83"/>
      <c r="G2617" s="76"/>
      <c r="H2617" s="76"/>
      <c r="I2617" s="76"/>
      <c r="J2617" s="93"/>
      <c r="K2617" s="93"/>
      <c r="L2617" s="82"/>
      <c r="M2617" s="54"/>
      <c r="N2617" s="54"/>
      <c r="O2617" s="54"/>
      <c r="P2617" s="54"/>
      <c r="Q2617" s="54"/>
      <c r="R2617" s="54"/>
      <c r="S2617" s="54"/>
      <c r="T2617" s="54"/>
      <c r="U2617" s="54"/>
      <c r="V2617" s="54"/>
      <c r="W2617" s="54"/>
      <c r="X2617" s="54"/>
      <c r="Y2617" s="54"/>
      <c r="Z2617" s="54"/>
      <c r="AA2617" s="54"/>
      <c r="AB2617" s="54"/>
      <c r="AC2617" s="54"/>
      <c r="AD2617" s="54"/>
      <c r="AE2617" s="54"/>
    </row>
    <row r="2618">
      <c r="A2618" s="80"/>
      <c r="B2618" s="80"/>
      <c r="C2618" s="80"/>
      <c r="D2618" s="59"/>
      <c r="E2618" s="59"/>
      <c r="F2618" s="83"/>
      <c r="G2618" s="76"/>
      <c r="H2618" s="76"/>
      <c r="I2618" s="76"/>
      <c r="J2618" s="93"/>
      <c r="K2618" s="93"/>
      <c r="L2618" s="82"/>
      <c r="M2618" s="54"/>
      <c r="N2618" s="54"/>
      <c r="O2618" s="54"/>
      <c r="P2618" s="54"/>
      <c r="Q2618" s="54"/>
      <c r="R2618" s="54"/>
      <c r="S2618" s="54"/>
      <c r="T2618" s="54"/>
      <c r="U2618" s="54"/>
      <c r="V2618" s="54"/>
      <c r="W2618" s="54"/>
      <c r="X2618" s="54"/>
      <c r="Y2618" s="54"/>
      <c r="Z2618" s="54"/>
      <c r="AA2618" s="54"/>
      <c r="AB2618" s="54"/>
      <c r="AC2618" s="54"/>
      <c r="AD2618" s="54"/>
      <c r="AE2618" s="54"/>
    </row>
    <row r="2619">
      <c r="A2619" s="80"/>
      <c r="B2619" s="80"/>
      <c r="C2619" s="80"/>
      <c r="D2619" s="59"/>
      <c r="E2619" s="59"/>
      <c r="F2619" s="83"/>
      <c r="G2619" s="76"/>
      <c r="H2619" s="76"/>
      <c r="I2619" s="76"/>
      <c r="J2619" s="93"/>
      <c r="K2619" s="93"/>
      <c r="L2619" s="82"/>
      <c r="M2619" s="54"/>
      <c r="N2619" s="54"/>
      <c r="O2619" s="54"/>
      <c r="P2619" s="54"/>
      <c r="Q2619" s="54"/>
      <c r="R2619" s="54"/>
      <c r="S2619" s="54"/>
      <c r="T2619" s="54"/>
      <c r="U2619" s="54"/>
      <c r="V2619" s="54"/>
      <c r="W2619" s="54"/>
      <c r="X2619" s="54"/>
      <c r="Y2619" s="54"/>
      <c r="Z2619" s="54"/>
      <c r="AA2619" s="54"/>
      <c r="AB2619" s="54"/>
      <c r="AC2619" s="54"/>
      <c r="AD2619" s="54"/>
      <c r="AE2619" s="54"/>
    </row>
    <row r="2620">
      <c r="A2620" s="80"/>
      <c r="B2620" s="80"/>
      <c r="C2620" s="80"/>
      <c r="D2620" s="59"/>
      <c r="E2620" s="59"/>
      <c r="F2620" s="83"/>
      <c r="G2620" s="76"/>
      <c r="H2620" s="76"/>
      <c r="I2620" s="76"/>
      <c r="J2620" s="93"/>
      <c r="K2620" s="93"/>
      <c r="L2620" s="82"/>
      <c r="M2620" s="54"/>
      <c r="N2620" s="54"/>
      <c r="O2620" s="54"/>
      <c r="P2620" s="54"/>
      <c r="Q2620" s="54"/>
      <c r="R2620" s="54"/>
      <c r="S2620" s="54"/>
      <c r="T2620" s="54"/>
      <c r="U2620" s="54"/>
      <c r="V2620" s="54"/>
      <c r="W2620" s="54"/>
      <c r="X2620" s="54"/>
      <c r="Y2620" s="54"/>
      <c r="Z2620" s="54"/>
      <c r="AA2620" s="54"/>
      <c r="AB2620" s="54"/>
      <c r="AC2620" s="54"/>
      <c r="AD2620" s="54"/>
      <c r="AE2620" s="54"/>
    </row>
    <row r="2621">
      <c r="A2621" s="80"/>
      <c r="B2621" s="80"/>
      <c r="C2621" s="80"/>
      <c r="D2621" s="59"/>
      <c r="E2621" s="59"/>
      <c r="F2621" s="83"/>
      <c r="G2621" s="76"/>
      <c r="H2621" s="76"/>
      <c r="I2621" s="76"/>
      <c r="J2621" s="93"/>
      <c r="K2621" s="93"/>
      <c r="L2621" s="82"/>
      <c r="M2621" s="54"/>
      <c r="N2621" s="54"/>
      <c r="O2621" s="54"/>
      <c r="P2621" s="54"/>
      <c r="Q2621" s="54"/>
      <c r="R2621" s="54"/>
      <c r="S2621" s="54"/>
      <c r="T2621" s="54"/>
      <c r="U2621" s="54"/>
      <c r="V2621" s="54"/>
      <c r="W2621" s="54"/>
      <c r="X2621" s="54"/>
      <c r="Y2621" s="54"/>
      <c r="Z2621" s="54"/>
      <c r="AA2621" s="54"/>
      <c r="AB2621" s="54"/>
      <c r="AC2621" s="54"/>
      <c r="AD2621" s="54"/>
      <c r="AE2621" s="54"/>
    </row>
    <row r="2622">
      <c r="A2622" s="80"/>
      <c r="B2622" s="80"/>
      <c r="C2622" s="80"/>
      <c r="D2622" s="59"/>
      <c r="E2622" s="59"/>
      <c r="F2622" s="83"/>
      <c r="G2622" s="76"/>
      <c r="H2622" s="76"/>
      <c r="I2622" s="76"/>
      <c r="J2622" s="93"/>
      <c r="K2622" s="93"/>
      <c r="L2622" s="82"/>
      <c r="M2622" s="54"/>
      <c r="N2622" s="54"/>
      <c r="O2622" s="54"/>
      <c r="P2622" s="54"/>
      <c r="Q2622" s="54"/>
      <c r="R2622" s="54"/>
      <c r="S2622" s="54"/>
      <c r="T2622" s="54"/>
      <c r="U2622" s="54"/>
      <c r="V2622" s="54"/>
      <c r="W2622" s="54"/>
      <c r="X2622" s="54"/>
      <c r="Y2622" s="54"/>
      <c r="Z2622" s="54"/>
      <c r="AA2622" s="54"/>
      <c r="AB2622" s="54"/>
      <c r="AC2622" s="54"/>
      <c r="AD2622" s="54"/>
      <c r="AE2622" s="54"/>
    </row>
    <row r="2623">
      <c r="A2623" s="80"/>
      <c r="B2623" s="80"/>
      <c r="C2623" s="80"/>
      <c r="D2623" s="59"/>
      <c r="E2623" s="59"/>
      <c r="F2623" s="83"/>
      <c r="G2623" s="76"/>
      <c r="H2623" s="76"/>
      <c r="I2623" s="76"/>
      <c r="J2623" s="93"/>
      <c r="K2623" s="93"/>
      <c r="L2623" s="82"/>
      <c r="M2623" s="54"/>
      <c r="N2623" s="54"/>
      <c r="O2623" s="54"/>
      <c r="P2623" s="54"/>
      <c r="Q2623" s="54"/>
      <c r="R2623" s="54"/>
      <c r="S2623" s="54"/>
      <c r="T2623" s="54"/>
      <c r="U2623" s="54"/>
      <c r="V2623" s="54"/>
      <c r="W2623" s="54"/>
      <c r="X2623" s="54"/>
      <c r="Y2623" s="54"/>
      <c r="Z2623" s="54"/>
      <c r="AA2623" s="54"/>
      <c r="AB2623" s="54"/>
      <c r="AC2623" s="54"/>
      <c r="AD2623" s="54"/>
      <c r="AE2623" s="54"/>
    </row>
    <row r="2624">
      <c r="A2624" s="80"/>
      <c r="B2624" s="80"/>
      <c r="C2624" s="80"/>
      <c r="D2624" s="59"/>
      <c r="E2624" s="59"/>
      <c r="F2624" s="83"/>
      <c r="G2624" s="76"/>
      <c r="H2624" s="76"/>
      <c r="I2624" s="76"/>
      <c r="J2624" s="93"/>
      <c r="K2624" s="93"/>
      <c r="L2624" s="82"/>
      <c r="M2624" s="54"/>
      <c r="N2624" s="54"/>
      <c r="O2624" s="54"/>
      <c r="P2624" s="54"/>
      <c r="Q2624" s="54"/>
      <c r="R2624" s="54"/>
      <c r="S2624" s="54"/>
      <c r="T2624" s="54"/>
      <c r="U2624" s="54"/>
      <c r="V2624" s="54"/>
      <c r="W2624" s="54"/>
      <c r="X2624" s="54"/>
      <c r="Y2624" s="54"/>
      <c r="Z2624" s="54"/>
      <c r="AA2624" s="54"/>
      <c r="AB2624" s="54"/>
      <c r="AC2624" s="54"/>
      <c r="AD2624" s="54"/>
      <c r="AE2624" s="54"/>
    </row>
    <row r="2625">
      <c r="A2625" s="80"/>
      <c r="B2625" s="80"/>
      <c r="C2625" s="80"/>
      <c r="D2625" s="59"/>
      <c r="E2625" s="59"/>
      <c r="F2625" s="83"/>
      <c r="G2625" s="76"/>
      <c r="H2625" s="76"/>
      <c r="I2625" s="76"/>
      <c r="J2625" s="93"/>
      <c r="K2625" s="93"/>
      <c r="L2625" s="82"/>
      <c r="M2625" s="54"/>
      <c r="N2625" s="54"/>
      <c r="O2625" s="54"/>
      <c r="P2625" s="54"/>
      <c r="Q2625" s="54"/>
      <c r="R2625" s="54"/>
      <c r="S2625" s="54"/>
      <c r="T2625" s="54"/>
      <c r="U2625" s="54"/>
      <c r="V2625" s="54"/>
      <c r="W2625" s="54"/>
      <c r="X2625" s="54"/>
      <c r="Y2625" s="54"/>
      <c r="Z2625" s="54"/>
      <c r="AA2625" s="54"/>
      <c r="AB2625" s="54"/>
      <c r="AC2625" s="54"/>
      <c r="AD2625" s="54"/>
      <c r="AE2625" s="54"/>
    </row>
    <row r="2626">
      <c r="A2626" s="80"/>
      <c r="B2626" s="80"/>
      <c r="C2626" s="80"/>
      <c r="D2626" s="59"/>
      <c r="E2626" s="59"/>
      <c r="F2626" s="83"/>
      <c r="G2626" s="76"/>
      <c r="H2626" s="76"/>
      <c r="I2626" s="76"/>
      <c r="J2626" s="93"/>
      <c r="K2626" s="93"/>
      <c r="L2626" s="82"/>
      <c r="M2626" s="54"/>
      <c r="N2626" s="54"/>
      <c r="O2626" s="54"/>
      <c r="P2626" s="54"/>
      <c r="Q2626" s="54"/>
      <c r="R2626" s="54"/>
      <c r="S2626" s="54"/>
      <c r="T2626" s="54"/>
      <c r="U2626" s="54"/>
      <c r="V2626" s="54"/>
      <c r="W2626" s="54"/>
      <c r="X2626" s="54"/>
      <c r="Y2626" s="54"/>
      <c r="Z2626" s="54"/>
      <c r="AA2626" s="54"/>
      <c r="AB2626" s="54"/>
      <c r="AC2626" s="54"/>
      <c r="AD2626" s="54"/>
      <c r="AE2626" s="54"/>
    </row>
    <row r="2627">
      <c r="A2627" s="80"/>
      <c r="B2627" s="80"/>
      <c r="C2627" s="80"/>
      <c r="D2627" s="59"/>
      <c r="E2627" s="59"/>
      <c r="F2627" s="83"/>
      <c r="G2627" s="76"/>
      <c r="H2627" s="76"/>
      <c r="I2627" s="76"/>
      <c r="J2627" s="93"/>
      <c r="K2627" s="93"/>
      <c r="L2627" s="82"/>
      <c r="M2627" s="54"/>
      <c r="N2627" s="54"/>
      <c r="O2627" s="54"/>
      <c r="P2627" s="54"/>
      <c r="Q2627" s="54"/>
      <c r="R2627" s="54"/>
      <c r="S2627" s="54"/>
      <c r="T2627" s="54"/>
      <c r="U2627" s="54"/>
      <c r="V2627" s="54"/>
      <c r="W2627" s="54"/>
      <c r="X2627" s="54"/>
      <c r="Y2627" s="54"/>
      <c r="Z2627" s="54"/>
      <c r="AA2627" s="54"/>
      <c r="AB2627" s="54"/>
      <c r="AC2627" s="54"/>
      <c r="AD2627" s="54"/>
      <c r="AE2627" s="54"/>
    </row>
    <row r="2628">
      <c r="A2628" s="80"/>
      <c r="B2628" s="80"/>
      <c r="C2628" s="80"/>
      <c r="D2628" s="59"/>
      <c r="E2628" s="59"/>
      <c r="F2628" s="83"/>
      <c r="G2628" s="76"/>
      <c r="H2628" s="76"/>
      <c r="I2628" s="76"/>
      <c r="J2628" s="93"/>
      <c r="K2628" s="93"/>
      <c r="L2628" s="82"/>
      <c r="M2628" s="54"/>
      <c r="N2628" s="54"/>
      <c r="O2628" s="54"/>
      <c r="P2628" s="54"/>
      <c r="Q2628" s="54"/>
      <c r="R2628" s="54"/>
      <c r="S2628" s="54"/>
      <c r="T2628" s="54"/>
      <c r="U2628" s="54"/>
      <c r="V2628" s="54"/>
      <c r="W2628" s="54"/>
      <c r="X2628" s="54"/>
      <c r="Y2628" s="54"/>
      <c r="Z2628" s="54"/>
      <c r="AA2628" s="54"/>
      <c r="AB2628" s="54"/>
      <c r="AC2628" s="54"/>
      <c r="AD2628" s="54"/>
      <c r="AE2628" s="54"/>
    </row>
    <row r="2629">
      <c r="A2629" s="80"/>
      <c r="B2629" s="80"/>
      <c r="C2629" s="80"/>
      <c r="D2629" s="59"/>
      <c r="E2629" s="59"/>
      <c r="F2629" s="83"/>
      <c r="G2629" s="76"/>
      <c r="H2629" s="76"/>
      <c r="I2629" s="76"/>
      <c r="J2629" s="93"/>
      <c r="K2629" s="93"/>
      <c r="L2629" s="82"/>
      <c r="M2629" s="54"/>
      <c r="N2629" s="54"/>
      <c r="O2629" s="54"/>
      <c r="P2629" s="54"/>
      <c r="Q2629" s="54"/>
      <c r="R2629" s="54"/>
      <c r="S2629" s="54"/>
      <c r="T2629" s="54"/>
      <c r="U2629" s="54"/>
      <c r="V2629" s="54"/>
      <c r="W2629" s="54"/>
      <c r="X2629" s="54"/>
      <c r="Y2629" s="54"/>
      <c r="Z2629" s="54"/>
      <c r="AA2629" s="54"/>
      <c r="AB2629" s="54"/>
      <c r="AC2629" s="54"/>
      <c r="AD2629" s="54"/>
      <c r="AE2629" s="54"/>
    </row>
    <row r="2630">
      <c r="A2630" s="80"/>
      <c r="B2630" s="80"/>
      <c r="C2630" s="80"/>
      <c r="D2630" s="59"/>
      <c r="E2630" s="59"/>
      <c r="F2630" s="83"/>
      <c r="G2630" s="76"/>
      <c r="H2630" s="76"/>
      <c r="I2630" s="76"/>
      <c r="J2630" s="93"/>
      <c r="K2630" s="93"/>
      <c r="L2630" s="82"/>
      <c r="M2630" s="54"/>
      <c r="N2630" s="54"/>
      <c r="O2630" s="54"/>
      <c r="P2630" s="54"/>
      <c r="Q2630" s="54"/>
      <c r="R2630" s="54"/>
      <c r="S2630" s="54"/>
      <c r="T2630" s="54"/>
      <c r="U2630" s="54"/>
      <c r="V2630" s="54"/>
      <c r="W2630" s="54"/>
      <c r="X2630" s="54"/>
      <c r="Y2630" s="54"/>
      <c r="Z2630" s="54"/>
      <c r="AA2630" s="54"/>
      <c r="AB2630" s="54"/>
      <c r="AC2630" s="54"/>
      <c r="AD2630" s="54"/>
      <c r="AE2630" s="54"/>
    </row>
    <row r="2631">
      <c r="A2631" s="80"/>
      <c r="B2631" s="80"/>
      <c r="C2631" s="80"/>
      <c r="D2631" s="59"/>
      <c r="E2631" s="59"/>
      <c r="F2631" s="83"/>
      <c r="G2631" s="76"/>
      <c r="H2631" s="76"/>
      <c r="I2631" s="76"/>
      <c r="J2631" s="93"/>
      <c r="K2631" s="93"/>
      <c r="L2631" s="82"/>
      <c r="M2631" s="54"/>
      <c r="N2631" s="54"/>
      <c r="O2631" s="54"/>
      <c r="P2631" s="54"/>
      <c r="Q2631" s="54"/>
      <c r="R2631" s="54"/>
      <c r="S2631" s="54"/>
      <c r="T2631" s="54"/>
      <c r="U2631" s="54"/>
      <c r="V2631" s="54"/>
      <c r="W2631" s="54"/>
      <c r="X2631" s="54"/>
      <c r="Y2631" s="54"/>
      <c r="Z2631" s="54"/>
      <c r="AA2631" s="54"/>
      <c r="AB2631" s="54"/>
      <c r="AC2631" s="54"/>
      <c r="AD2631" s="54"/>
      <c r="AE2631" s="54"/>
    </row>
    <row r="2632">
      <c r="A2632" s="80"/>
      <c r="B2632" s="80"/>
      <c r="C2632" s="80"/>
      <c r="D2632" s="59"/>
      <c r="E2632" s="59"/>
      <c r="F2632" s="83"/>
      <c r="G2632" s="76"/>
      <c r="H2632" s="76"/>
      <c r="I2632" s="76"/>
      <c r="J2632" s="93"/>
      <c r="K2632" s="93"/>
      <c r="L2632" s="82"/>
      <c r="M2632" s="54"/>
      <c r="N2632" s="54"/>
      <c r="O2632" s="54"/>
      <c r="P2632" s="54"/>
      <c r="Q2632" s="54"/>
      <c r="R2632" s="54"/>
      <c r="S2632" s="54"/>
      <c r="T2632" s="54"/>
      <c r="U2632" s="54"/>
      <c r="V2632" s="54"/>
      <c r="W2632" s="54"/>
      <c r="X2632" s="54"/>
      <c r="Y2632" s="54"/>
      <c r="Z2632" s="54"/>
      <c r="AA2632" s="54"/>
      <c r="AB2632" s="54"/>
      <c r="AC2632" s="54"/>
      <c r="AD2632" s="54"/>
      <c r="AE2632" s="54"/>
    </row>
    <row r="2633">
      <c r="A2633" s="80"/>
      <c r="B2633" s="80"/>
      <c r="C2633" s="80"/>
      <c r="D2633" s="59"/>
      <c r="E2633" s="59"/>
      <c r="F2633" s="83"/>
      <c r="G2633" s="76"/>
      <c r="H2633" s="76"/>
      <c r="I2633" s="76"/>
      <c r="J2633" s="93"/>
      <c r="K2633" s="93"/>
      <c r="L2633" s="82"/>
      <c r="M2633" s="54"/>
      <c r="N2633" s="54"/>
      <c r="O2633" s="54"/>
      <c r="P2633" s="54"/>
      <c r="Q2633" s="54"/>
      <c r="R2633" s="54"/>
      <c r="S2633" s="54"/>
      <c r="T2633" s="54"/>
      <c r="U2633" s="54"/>
      <c r="V2633" s="54"/>
      <c r="W2633" s="54"/>
      <c r="X2633" s="54"/>
      <c r="Y2633" s="54"/>
      <c r="Z2633" s="54"/>
      <c r="AA2633" s="54"/>
      <c r="AB2633" s="54"/>
      <c r="AC2633" s="54"/>
      <c r="AD2633" s="54"/>
      <c r="AE2633" s="54"/>
    </row>
    <row r="2634">
      <c r="A2634" s="80"/>
      <c r="B2634" s="80"/>
      <c r="C2634" s="80"/>
      <c r="D2634" s="59"/>
      <c r="E2634" s="59"/>
      <c r="F2634" s="83"/>
      <c r="G2634" s="76"/>
      <c r="H2634" s="76"/>
      <c r="I2634" s="76"/>
      <c r="J2634" s="93"/>
      <c r="K2634" s="93"/>
      <c r="L2634" s="82"/>
      <c r="M2634" s="54"/>
      <c r="N2634" s="54"/>
      <c r="O2634" s="54"/>
      <c r="P2634" s="54"/>
      <c r="Q2634" s="54"/>
      <c r="R2634" s="54"/>
      <c r="S2634" s="54"/>
      <c r="T2634" s="54"/>
      <c r="U2634" s="54"/>
      <c r="V2634" s="54"/>
      <c r="W2634" s="54"/>
      <c r="X2634" s="54"/>
      <c r="Y2634" s="54"/>
      <c r="Z2634" s="54"/>
      <c r="AA2634" s="54"/>
      <c r="AB2634" s="54"/>
      <c r="AC2634" s="54"/>
      <c r="AD2634" s="54"/>
      <c r="AE2634" s="54"/>
    </row>
    <row r="2635">
      <c r="A2635" s="80"/>
      <c r="B2635" s="80"/>
      <c r="C2635" s="80"/>
      <c r="D2635" s="59"/>
      <c r="E2635" s="59"/>
      <c r="F2635" s="83"/>
      <c r="G2635" s="76"/>
      <c r="H2635" s="76"/>
      <c r="I2635" s="76"/>
      <c r="J2635" s="93"/>
      <c r="K2635" s="93"/>
      <c r="L2635" s="82"/>
      <c r="M2635" s="54"/>
      <c r="N2635" s="54"/>
      <c r="O2635" s="54"/>
      <c r="P2635" s="54"/>
      <c r="Q2635" s="54"/>
      <c r="R2635" s="54"/>
      <c r="S2635" s="54"/>
      <c r="T2635" s="54"/>
      <c r="U2635" s="54"/>
      <c r="V2635" s="54"/>
      <c r="W2635" s="54"/>
      <c r="X2635" s="54"/>
      <c r="Y2635" s="54"/>
      <c r="Z2635" s="54"/>
      <c r="AA2635" s="54"/>
      <c r="AB2635" s="54"/>
      <c r="AC2635" s="54"/>
      <c r="AD2635" s="54"/>
      <c r="AE2635" s="54"/>
    </row>
    <row r="2636">
      <c r="A2636" s="80"/>
      <c r="B2636" s="80"/>
      <c r="C2636" s="80"/>
      <c r="D2636" s="59"/>
      <c r="E2636" s="59"/>
      <c r="F2636" s="83"/>
      <c r="G2636" s="76"/>
      <c r="H2636" s="76"/>
      <c r="I2636" s="76"/>
      <c r="J2636" s="93"/>
      <c r="K2636" s="93"/>
      <c r="L2636" s="82"/>
      <c r="M2636" s="54"/>
      <c r="N2636" s="54"/>
      <c r="O2636" s="54"/>
      <c r="P2636" s="54"/>
      <c r="Q2636" s="54"/>
      <c r="R2636" s="54"/>
      <c r="S2636" s="54"/>
      <c r="T2636" s="54"/>
      <c r="U2636" s="54"/>
      <c r="V2636" s="54"/>
      <c r="W2636" s="54"/>
      <c r="X2636" s="54"/>
      <c r="Y2636" s="54"/>
      <c r="Z2636" s="54"/>
      <c r="AA2636" s="54"/>
      <c r="AB2636" s="54"/>
      <c r="AC2636" s="54"/>
      <c r="AD2636" s="54"/>
      <c r="AE2636" s="54"/>
    </row>
    <row r="2637">
      <c r="A2637" s="80"/>
      <c r="B2637" s="80"/>
      <c r="C2637" s="80"/>
      <c r="D2637" s="59"/>
      <c r="E2637" s="59"/>
      <c r="F2637" s="83"/>
      <c r="G2637" s="76"/>
      <c r="H2637" s="76"/>
      <c r="I2637" s="76"/>
      <c r="J2637" s="93"/>
      <c r="K2637" s="93"/>
      <c r="L2637" s="82"/>
      <c r="M2637" s="54"/>
      <c r="N2637" s="54"/>
      <c r="O2637" s="54"/>
      <c r="P2637" s="54"/>
      <c r="Q2637" s="54"/>
      <c r="R2637" s="54"/>
      <c r="S2637" s="54"/>
      <c r="T2637" s="54"/>
      <c r="U2637" s="54"/>
      <c r="V2637" s="54"/>
      <c r="W2637" s="54"/>
      <c r="X2637" s="54"/>
      <c r="Y2637" s="54"/>
      <c r="Z2637" s="54"/>
      <c r="AA2637" s="54"/>
      <c r="AB2637" s="54"/>
      <c r="AC2637" s="54"/>
      <c r="AD2637" s="54"/>
      <c r="AE2637" s="54"/>
    </row>
    <row r="2638">
      <c r="A2638" s="80"/>
      <c r="B2638" s="80"/>
      <c r="C2638" s="80"/>
      <c r="D2638" s="59"/>
      <c r="E2638" s="59"/>
      <c r="F2638" s="83"/>
      <c r="G2638" s="76"/>
      <c r="H2638" s="76"/>
      <c r="I2638" s="76"/>
      <c r="J2638" s="93"/>
      <c r="K2638" s="93"/>
      <c r="L2638" s="82"/>
      <c r="M2638" s="54"/>
      <c r="N2638" s="54"/>
      <c r="O2638" s="54"/>
      <c r="P2638" s="54"/>
      <c r="Q2638" s="54"/>
      <c r="R2638" s="54"/>
      <c r="S2638" s="54"/>
      <c r="T2638" s="54"/>
      <c r="U2638" s="54"/>
      <c r="V2638" s="54"/>
      <c r="W2638" s="54"/>
      <c r="X2638" s="54"/>
      <c r="Y2638" s="54"/>
      <c r="Z2638" s="54"/>
      <c r="AA2638" s="54"/>
      <c r="AB2638" s="54"/>
      <c r="AC2638" s="54"/>
      <c r="AD2638" s="54"/>
      <c r="AE2638" s="54"/>
    </row>
    <row r="2639">
      <c r="A2639" s="80"/>
      <c r="B2639" s="80"/>
      <c r="C2639" s="80"/>
      <c r="D2639" s="59"/>
      <c r="E2639" s="59"/>
      <c r="F2639" s="83"/>
      <c r="G2639" s="76"/>
      <c r="H2639" s="76"/>
      <c r="I2639" s="76"/>
      <c r="J2639" s="93"/>
      <c r="K2639" s="93"/>
      <c r="L2639" s="82"/>
      <c r="M2639" s="54"/>
      <c r="N2639" s="54"/>
      <c r="O2639" s="54"/>
      <c r="P2639" s="54"/>
      <c r="Q2639" s="54"/>
      <c r="R2639" s="54"/>
      <c r="S2639" s="54"/>
      <c r="T2639" s="54"/>
      <c r="U2639" s="54"/>
      <c r="V2639" s="54"/>
      <c r="W2639" s="54"/>
      <c r="X2639" s="54"/>
      <c r="Y2639" s="54"/>
      <c r="Z2639" s="54"/>
      <c r="AA2639" s="54"/>
      <c r="AB2639" s="54"/>
      <c r="AC2639" s="54"/>
      <c r="AD2639" s="54"/>
      <c r="AE2639" s="54"/>
    </row>
    <row r="2640">
      <c r="A2640" s="80"/>
      <c r="B2640" s="80"/>
      <c r="C2640" s="80"/>
      <c r="D2640" s="59"/>
      <c r="E2640" s="59"/>
      <c r="F2640" s="83"/>
      <c r="G2640" s="76"/>
      <c r="H2640" s="76"/>
      <c r="I2640" s="76"/>
      <c r="J2640" s="93"/>
      <c r="K2640" s="93"/>
      <c r="L2640" s="82"/>
      <c r="M2640" s="54"/>
      <c r="N2640" s="54"/>
      <c r="O2640" s="54"/>
      <c r="P2640" s="54"/>
      <c r="Q2640" s="54"/>
      <c r="R2640" s="54"/>
      <c r="S2640" s="54"/>
      <c r="T2640" s="54"/>
      <c r="U2640" s="54"/>
      <c r="V2640" s="54"/>
      <c r="W2640" s="54"/>
      <c r="X2640" s="54"/>
      <c r="Y2640" s="54"/>
      <c r="Z2640" s="54"/>
      <c r="AA2640" s="54"/>
      <c r="AB2640" s="54"/>
      <c r="AC2640" s="54"/>
      <c r="AD2640" s="54"/>
      <c r="AE2640" s="54"/>
    </row>
    <row r="2641">
      <c r="A2641" s="80"/>
      <c r="B2641" s="80"/>
      <c r="C2641" s="80"/>
      <c r="D2641" s="59"/>
      <c r="E2641" s="59"/>
      <c r="F2641" s="83"/>
      <c r="G2641" s="76"/>
      <c r="H2641" s="76"/>
      <c r="I2641" s="76"/>
      <c r="J2641" s="93"/>
      <c r="K2641" s="93"/>
      <c r="L2641" s="82"/>
      <c r="M2641" s="54"/>
      <c r="N2641" s="54"/>
      <c r="O2641" s="54"/>
      <c r="P2641" s="54"/>
      <c r="Q2641" s="54"/>
      <c r="R2641" s="54"/>
      <c r="S2641" s="54"/>
      <c r="T2641" s="54"/>
      <c r="U2641" s="54"/>
      <c r="V2641" s="54"/>
      <c r="W2641" s="54"/>
      <c r="X2641" s="54"/>
      <c r="Y2641" s="54"/>
      <c r="Z2641" s="54"/>
      <c r="AA2641" s="54"/>
      <c r="AB2641" s="54"/>
      <c r="AC2641" s="54"/>
      <c r="AD2641" s="54"/>
      <c r="AE2641" s="54"/>
    </row>
    <row r="2642">
      <c r="A2642" s="80"/>
      <c r="B2642" s="80"/>
      <c r="C2642" s="80"/>
      <c r="D2642" s="59"/>
      <c r="E2642" s="59"/>
      <c r="F2642" s="83"/>
      <c r="G2642" s="76"/>
      <c r="H2642" s="76"/>
      <c r="I2642" s="76"/>
      <c r="J2642" s="93"/>
      <c r="K2642" s="93"/>
      <c r="L2642" s="82"/>
      <c r="M2642" s="54"/>
      <c r="N2642" s="54"/>
      <c r="O2642" s="54"/>
      <c r="P2642" s="54"/>
      <c r="Q2642" s="54"/>
      <c r="R2642" s="54"/>
      <c r="S2642" s="54"/>
      <c r="T2642" s="54"/>
      <c r="U2642" s="54"/>
      <c r="V2642" s="54"/>
      <c r="W2642" s="54"/>
      <c r="X2642" s="54"/>
      <c r="Y2642" s="54"/>
      <c r="Z2642" s="54"/>
      <c r="AA2642" s="54"/>
      <c r="AB2642" s="54"/>
      <c r="AC2642" s="54"/>
      <c r="AD2642" s="54"/>
      <c r="AE2642" s="54"/>
    </row>
    <row r="2643">
      <c r="A2643" s="80"/>
      <c r="B2643" s="80"/>
      <c r="C2643" s="80"/>
      <c r="D2643" s="59"/>
      <c r="E2643" s="59"/>
      <c r="F2643" s="83"/>
      <c r="G2643" s="76"/>
      <c r="H2643" s="76"/>
      <c r="I2643" s="76"/>
      <c r="J2643" s="93"/>
      <c r="K2643" s="93"/>
      <c r="L2643" s="82"/>
      <c r="M2643" s="54"/>
      <c r="N2643" s="54"/>
      <c r="O2643" s="54"/>
      <c r="P2643" s="54"/>
      <c r="Q2643" s="54"/>
      <c r="R2643" s="54"/>
      <c r="S2643" s="54"/>
      <c r="T2643" s="54"/>
      <c r="U2643" s="54"/>
      <c r="V2643" s="54"/>
      <c r="W2643" s="54"/>
      <c r="X2643" s="54"/>
      <c r="Y2643" s="54"/>
      <c r="Z2643" s="54"/>
      <c r="AA2643" s="54"/>
      <c r="AB2643" s="54"/>
      <c r="AC2643" s="54"/>
      <c r="AD2643" s="54"/>
      <c r="AE2643" s="54"/>
    </row>
    <row r="2644">
      <c r="A2644" s="80"/>
      <c r="B2644" s="80"/>
      <c r="C2644" s="80"/>
      <c r="D2644" s="59"/>
      <c r="E2644" s="59"/>
      <c r="F2644" s="83"/>
      <c r="G2644" s="76"/>
      <c r="H2644" s="76"/>
      <c r="I2644" s="76"/>
      <c r="J2644" s="93"/>
      <c r="K2644" s="93"/>
      <c r="L2644" s="82"/>
      <c r="M2644" s="54"/>
      <c r="N2644" s="54"/>
      <c r="O2644" s="54"/>
      <c r="P2644" s="54"/>
      <c r="Q2644" s="54"/>
      <c r="R2644" s="54"/>
      <c r="S2644" s="54"/>
      <c r="T2644" s="54"/>
      <c r="U2644" s="54"/>
      <c r="V2644" s="54"/>
      <c r="W2644" s="54"/>
      <c r="X2644" s="54"/>
      <c r="Y2644" s="54"/>
      <c r="Z2644" s="54"/>
      <c r="AA2644" s="54"/>
      <c r="AB2644" s="54"/>
      <c r="AC2644" s="54"/>
      <c r="AD2644" s="54"/>
      <c r="AE2644" s="54"/>
    </row>
    <row r="2645">
      <c r="A2645" s="80"/>
      <c r="B2645" s="80"/>
      <c r="C2645" s="80"/>
      <c r="D2645" s="59"/>
      <c r="E2645" s="59"/>
      <c r="F2645" s="83"/>
      <c r="G2645" s="76"/>
      <c r="H2645" s="76"/>
      <c r="I2645" s="76"/>
      <c r="J2645" s="93"/>
      <c r="K2645" s="93"/>
      <c r="L2645" s="82"/>
      <c r="M2645" s="54"/>
      <c r="N2645" s="54"/>
      <c r="O2645" s="54"/>
      <c r="P2645" s="54"/>
      <c r="Q2645" s="54"/>
      <c r="R2645" s="54"/>
      <c r="S2645" s="54"/>
      <c r="T2645" s="54"/>
      <c r="U2645" s="54"/>
      <c r="V2645" s="54"/>
      <c r="W2645" s="54"/>
      <c r="X2645" s="54"/>
      <c r="Y2645" s="54"/>
      <c r="Z2645" s="54"/>
      <c r="AA2645" s="54"/>
      <c r="AB2645" s="54"/>
      <c r="AC2645" s="54"/>
      <c r="AD2645" s="54"/>
      <c r="AE2645" s="54"/>
    </row>
    <row r="2646">
      <c r="A2646" s="80"/>
      <c r="B2646" s="80"/>
      <c r="C2646" s="80"/>
      <c r="D2646" s="59"/>
      <c r="E2646" s="59"/>
      <c r="F2646" s="83"/>
      <c r="G2646" s="76"/>
      <c r="H2646" s="76"/>
      <c r="I2646" s="76"/>
      <c r="J2646" s="93"/>
      <c r="K2646" s="93"/>
      <c r="L2646" s="82"/>
      <c r="M2646" s="54"/>
      <c r="N2646" s="54"/>
      <c r="O2646" s="54"/>
      <c r="P2646" s="54"/>
      <c r="Q2646" s="54"/>
      <c r="R2646" s="54"/>
      <c r="S2646" s="54"/>
      <c r="T2646" s="54"/>
      <c r="U2646" s="54"/>
      <c r="V2646" s="54"/>
      <c r="W2646" s="54"/>
      <c r="X2646" s="54"/>
      <c r="Y2646" s="54"/>
      <c r="Z2646" s="54"/>
      <c r="AA2646" s="54"/>
      <c r="AB2646" s="54"/>
      <c r="AC2646" s="54"/>
      <c r="AD2646" s="54"/>
      <c r="AE2646" s="54"/>
    </row>
    <row r="2647">
      <c r="A2647" s="80"/>
      <c r="B2647" s="80"/>
      <c r="C2647" s="80"/>
      <c r="D2647" s="59"/>
      <c r="E2647" s="59"/>
      <c r="F2647" s="83"/>
      <c r="G2647" s="76"/>
      <c r="H2647" s="76"/>
      <c r="I2647" s="76"/>
      <c r="J2647" s="93"/>
      <c r="K2647" s="93"/>
      <c r="L2647" s="82"/>
      <c r="M2647" s="54"/>
      <c r="N2647" s="54"/>
      <c r="O2647" s="54"/>
      <c r="P2647" s="54"/>
      <c r="Q2647" s="54"/>
      <c r="R2647" s="54"/>
      <c r="S2647" s="54"/>
      <c r="T2647" s="54"/>
      <c r="U2647" s="54"/>
      <c r="V2647" s="54"/>
      <c r="W2647" s="54"/>
      <c r="X2647" s="54"/>
      <c r="Y2647" s="54"/>
      <c r="Z2647" s="54"/>
      <c r="AA2647" s="54"/>
      <c r="AB2647" s="54"/>
      <c r="AC2647" s="54"/>
      <c r="AD2647" s="54"/>
      <c r="AE2647" s="54"/>
    </row>
    <row r="2648">
      <c r="A2648" s="80"/>
      <c r="B2648" s="80"/>
      <c r="C2648" s="80"/>
      <c r="D2648" s="59"/>
      <c r="E2648" s="59"/>
      <c r="F2648" s="83"/>
      <c r="G2648" s="76"/>
      <c r="H2648" s="76"/>
      <c r="I2648" s="76"/>
      <c r="J2648" s="93"/>
      <c r="K2648" s="93"/>
      <c r="L2648" s="82"/>
      <c r="M2648" s="54"/>
      <c r="N2648" s="54"/>
      <c r="O2648" s="54"/>
      <c r="P2648" s="54"/>
      <c r="Q2648" s="54"/>
      <c r="R2648" s="54"/>
      <c r="S2648" s="54"/>
      <c r="T2648" s="54"/>
      <c r="U2648" s="54"/>
      <c r="V2648" s="54"/>
      <c r="W2648" s="54"/>
      <c r="X2648" s="54"/>
      <c r="Y2648" s="54"/>
      <c r="Z2648" s="54"/>
      <c r="AA2648" s="54"/>
      <c r="AB2648" s="54"/>
      <c r="AC2648" s="54"/>
      <c r="AD2648" s="54"/>
      <c r="AE2648" s="54"/>
    </row>
    <row r="2649">
      <c r="A2649" s="80"/>
      <c r="B2649" s="80"/>
      <c r="C2649" s="80"/>
      <c r="D2649" s="59"/>
      <c r="E2649" s="59"/>
      <c r="F2649" s="83"/>
      <c r="G2649" s="76"/>
      <c r="H2649" s="76"/>
      <c r="I2649" s="76"/>
      <c r="J2649" s="93"/>
      <c r="K2649" s="93"/>
      <c r="L2649" s="82"/>
      <c r="M2649" s="54"/>
      <c r="N2649" s="54"/>
      <c r="O2649" s="54"/>
      <c r="P2649" s="54"/>
      <c r="Q2649" s="54"/>
      <c r="R2649" s="54"/>
      <c r="S2649" s="54"/>
      <c r="T2649" s="54"/>
      <c r="U2649" s="54"/>
      <c r="V2649" s="54"/>
      <c r="W2649" s="54"/>
      <c r="X2649" s="54"/>
      <c r="Y2649" s="54"/>
      <c r="Z2649" s="54"/>
      <c r="AA2649" s="54"/>
      <c r="AB2649" s="54"/>
      <c r="AC2649" s="54"/>
      <c r="AD2649" s="54"/>
      <c r="AE2649" s="54"/>
    </row>
    <row r="2650">
      <c r="A2650" s="80"/>
      <c r="B2650" s="80"/>
      <c r="C2650" s="80"/>
      <c r="D2650" s="59"/>
      <c r="E2650" s="59"/>
      <c r="F2650" s="83"/>
      <c r="G2650" s="76"/>
      <c r="H2650" s="76"/>
      <c r="I2650" s="76"/>
      <c r="J2650" s="93"/>
      <c r="K2650" s="93"/>
      <c r="L2650" s="82"/>
      <c r="M2650" s="54"/>
      <c r="N2650" s="54"/>
      <c r="O2650" s="54"/>
      <c r="P2650" s="54"/>
      <c r="Q2650" s="54"/>
      <c r="R2650" s="54"/>
      <c r="S2650" s="54"/>
      <c r="T2650" s="54"/>
      <c r="U2650" s="54"/>
      <c r="V2650" s="54"/>
      <c r="W2650" s="54"/>
      <c r="X2650" s="54"/>
      <c r="Y2650" s="54"/>
      <c r="Z2650" s="54"/>
      <c r="AA2650" s="54"/>
      <c r="AB2650" s="54"/>
      <c r="AC2650" s="54"/>
      <c r="AD2650" s="54"/>
      <c r="AE2650" s="54"/>
    </row>
    <row r="2651">
      <c r="A2651" s="80"/>
      <c r="B2651" s="80"/>
      <c r="C2651" s="80"/>
      <c r="D2651" s="59"/>
      <c r="E2651" s="59"/>
      <c r="F2651" s="83"/>
      <c r="G2651" s="76"/>
      <c r="H2651" s="76"/>
      <c r="I2651" s="76"/>
      <c r="J2651" s="93"/>
      <c r="K2651" s="93"/>
      <c r="L2651" s="82"/>
      <c r="M2651" s="54"/>
      <c r="N2651" s="54"/>
      <c r="O2651" s="54"/>
      <c r="P2651" s="54"/>
      <c r="Q2651" s="54"/>
      <c r="R2651" s="54"/>
      <c r="S2651" s="54"/>
      <c r="T2651" s="54"/>
      <c r="U2651" s="54"/>
      <c r="V2651" s="54"/>
      <c r="W2651" s="54"/>
      <c r="X2651" s="54"/>
      <c r="Y2651" s="54"/>
      <c r="Z2651" s="54"/>
      <c r="AA2651" s="54"/>
      <c r="AB2651" s="54"/>
      <c r="AC2651" s="54"/>
      <c r="AD2651" s="54"/>
      <c r="AE2651" s="54"/>
    </row>
    <row r="2652">
      <c r="A2652" s="80"/>
      <c r="B2652" s="80"/>
      <c r="C2652" s="80"/>
      <c r="D2652" s="59"/>
      <c r="E2652" s="59"/>
      <c r="F2652" s="83"/>
      <c r="G2652" s="76"/>
      <c r="H2652" s="76"/>
      <c r="I2652" s="76"/>
      <c r="J2652" s="93"/>
      <c r="K2652" s="93"/>
      <c r="L2652" s="82"/>
      <c r="M2652" s="54"/>
      <c r="N2652" s="54"/>
      <c r="O2652" s="54"/>
      <c r="P2652" s="54"/>
      <c r="Q2652" s="54"/>
      <c r="R2652" s="54"/>
      <c r="S2652" s="54"/>
      <c r="T2652" s="54"/>
      <c r="U2652" s="54"/>
      <c r="V2652" s="54"/>
      <c r="W2652" s="54"/>
      <c r="X2652" s="54"/>
      <c r="Y2652" s="54"/>
      <c r="Z2652" s="54"/>
      <c r="AA2652" s="54"/>
      <c r="AB2652" s="54"/>
      <c r="AC2652" s="54"/>
      <c r="AD2652" s="54"/>
      <c r="AE2652" s="54"/>
    </row>
    <row r="2653">
      <c r="A2653" s="80"/>
      <c r="B2653" s="80"/>
      <c r="C2653" s="80"/>
      <c r="D2653" s="59"/>
      <c r="E2653" s="59"/>
      <c r="F2653" s="83"/>
      <c r="G2653" s="76"/>
      <c r="H2653" s="76"/>
      <c r="I2653" s="76"/>
      <c r="J2653" s="93"/>
      <c r="K2653" s="93"/>
      <c r="L2653" s="82"/>
      <c r="M2653" s="54"/>
      <c r="N2653" s="54"/>
      <c r="O2653" s="54"/>
      <c r="P2653" s="54"/>
      <c r="Q2653" s="54"/>
      <c r="R2653" s="54"/>
      <c r="S2653" s="54"/>
      <c r="T2653" s="54"/>
      <c r="U2653" s="54"/>
      <c r="V2653" s="54"/>
      <c r="W2653" s="54"/>
      <c r="X2653" s="54"/>
      <c r="Y2653" s="54"/>
      <c r="Z2653" s="54"/>
      <c r="AA2653" s="54"/>
      <c r="AB2653" s="54"/>
      <c r="AC2653" s="54"/>
      <c r="AD2653" s="54"/>
      <c r="AE2653" s="54"/>
    </row>
    <row r="2654">
      <c r="A2654" s="80"/>
      <c r="B2654" s="80"/>
      <c r="C2654" s="80"/>
      <c r="D2654" s="59"/>
      <c r="E2654" s="59"/>
      <c r="F2654" s="83"/>
      <c r="G2654" s="76"/>
      <c r="H2654" s="76"/>
      <c r="I2654" s="76"/>
      <c r="J2654" s="93"/>
      <c r="K2654" s="93"/>
      <c r="L2654" s="82"/>
      <c r="M2654" s="54"/>
      <c r="N2654" s="54"/>
      <c r="O2654" s="54"/>
      <c r="P2654" s="54"/>
      <c r="Q2654" s="54"/>
      <c r="R2654" s="54"/>
      <c r="S2654" s="54"/>
      <c r="T2654" s="54"/>
      <c r="U2654" s="54"/>
      <c r="V2654" s="54"/>
      <c r="W2654" s="54"/>
      <c r="X2654" s="54"/>
      <c r="Y2654" s="54"/>
      <c r="Z2654" s="54"/>
      <c r="AA2654" s="54"/>
      <c r="AB2654" s="54"/>
      <c r="AC2654" s="54"/>
      <c r="AD2654" s="54"/>
      <c r="AE2654" s="54"/>
    </row>
    <row r="2655">
      <c r="A2655" s="80"/>
      <c r="B2655" s="80"/>
      <c r="C2655" s="80"/>
      <c r="D2655" s="59"/>
      <c r="E2655" s="59"/>
      <c r="F2655" s="83"/>
      <c r="G2655" s="76"/>
      <c r="H2655" s="76"/>
      <c r="I2655" s="76"/>
      <c r="J2655" s="93"/>
      <c r="K2655" s="93"/>
      <c r="L2655" s="82"/>
      <c r="M2655" s="54"/>
      <c r="N2655" s="54"/>
      <c r="O2655" s="54"/>
      <c r="P2655" s="54"/>
      <c r="Q2655" s="54"/>
      <c r="R2655" s="54"/>
      <c r="S2655" s="54"/>
      <c r="T2655" s="54"/>
      <c r="U2655" s="54"/>
      <c r="V2655" s="54"/>
      <c r="W2655" s="54"/>
      <c r="X2655" s="54"/>
      <c r="Y2655" s="54"/>
      <c r="Z2655" s="54"/>
      <c r="AA2655" s="54"/>
      <c r="AB2655" s="54"/>
      <c r="AC2655" s="54"/>
      <c r="AD2655" s="54"/>
      <c r="AE2655" s="54"/>
    </row>
    <row r="2656">
      <c r="A2656" s="80"/>
      <c r="B2656" s="80"/>
      <c r="C2656" s="80"/>
      <c r="D2656" s="59"/>
      <c r="E2656" s="59"/>
      <c r="F2656" s="83"/>
      <c r="G2656" s="76"/>
      <c r="H2656" s="76"/>
      <c r="I2656" s="76"/>
      <c r="J2656" s="93"/>
      <c r="K2656" s="93"/>
      <c r="L2656" s="82"/>
      <c r="M2656" s="54"/>
      <c r="N2656" s="54"/>
      <c r="O2656" s="54"/>
      <c r="P2656" s="54"/>
      <c r="Q2656" s="54"/>
      <c r="R2656" s="54"/>
      <c r="S2656" s="54"/>
      <c r="T2656" s="54"/>
      <c r="U2656" s="54"/>
      <c r="V2656" s="54"/>
      <c r="W2656" s="54"/>
      <c r="X2656" s="54"/>
      <c r="Y2656" s="54"/>
      <c r="Z2656" s="54"/>
      <c r="AA2656" s="54"/>
      <c r="AB2656" s="54"/>
      <c r="AC2656" s="54"/>
      <c r="AD2656" s="54"/>
      <c r="AE2656" s="54"/>
    </row>
    <row r="2657">
      <c r="A2657" s="80"/>
      <c r="B2657" s="80"/>
      <c r="C2657" s="80"/>
      <c r="D2657" s="59"/>
      <c r="E2657" s="59"/>
      <c r="F2657" s="83"/>
      <c r="G2657" s="76"/>
      <c r="H2657" s="76"/>
      <c r="I2657" s="76"/>
      <c r="J2657" s="93"/>
      <c r="K2657" s="93"/>
      <c r="L2657" s="82"/>
      <c r="M2657" s="54"/>
      <c r="N2657" s="54"/>
      <c r="O2657" s="54"/>
      <c r="P2657" s="54"/>
      <c r="Q2657" s="54"/>
      <c r="R2657" s="54"/>
      <c r="S2657" s="54"/>
      <c r="T2657" s="54"/>
      <c r="U2657" s="54"/>
      <c r="V2657" s="54"/>
      <c r="W2657" s="54"/>
      <c r="X2657" s="54"/>
      <c r="Y2657" s="54"/>
      <c r="Z2657" s="54"/>
      <c r="AA2657" s="54"/>
      <c r="AB2657" s="54"/>
      <c r="AC2657" s="54"/>
      <c r="AD2657" s="54"/>
      <c r="AE2657" s="54"/>
    </row>
    <row r="2658">
      <c r="A2658" s="80"/>
      <c r="B2658" s="80"/>
      <c r="C2658" s="80"/>
      <c r="D2658" s="59"/>
      <c r="E2658" s="59"/>
      <c r="F2658" s="83"/>
      <c r="G2658" s="76"/>
      <c r="H2658" s="76"/>
      <c r="I2658" s="76"/>
      <c r="J2658" s="93"/>
      <c r="K2658" s="93"/>
      <c r="L2658" s="82"/>
      <c r="M2658" s="54"/>
      <c r="N2658" s="54"/>
      <c r="O2658" s="54"/>
      <c r="P2658" s="54"/>
      <c r="Q2658" s="54"/>
      <c r="R2658" s="54"/>
      <c r="S2658" s="54"/>
      <c r="T2658" s="54"/>
      <c r="U2658" s="54"/>
      <c r="V2658" s="54"/>
      <c r="W2658" s="54"/>
      <c r="X2658" s="54"/>
      <c r="Y2658" s="54"/>
      <c r="Z2658" s="54"/>
      <c r="AA2658" s="54"/>
      <c r="AB2658" s="54"/>
      <c r="AC2658" s="54"/>
      <c r="AD2658" s="54"/>
      <c r="AE2658" s="54"/>
    </row>
    <row r="2659">
      <c r="A2659" s="80"/>
      <c r="B2659" s="80"/>
      <c r="C2659" s="80"/>
      <c r="D2659" s="59"/>
      <c r="E2659" s="59"/>
      <c r="F2659" s="83"/>
      <c r="G2659" s="76"/>
      <c r="H2659" s="76"/>
      <c r="I2659" s="76"/>
      <c r="J2659" s="93"/>
      <c r="K2659" s="93"/>
      <c r="L2659" s="82"/>
      <c r="M2659" s="54"/>
      <c r="N2659" s="54"/>
      <c r="O2659" s="54"/>
      <c r="P2659" s="54"/>
      <c r="Q2659" s="54"/>
      <c r="R2659" s="54"/>
      <c r="S2659" s="54"/>
      <c r="T2659" s="54"/>
      <c r="U2659" s="54"/>
      <c r="V2659" s="54"/>
      <c r="W2659" s="54"/>
      <c r="X2659" s="54"/>
      <c r="Y2659" s="54"/>
      <c r="Z2659" s="54"/>
      <c r="AA2659" s="54"/>
      <c r="AB2659" s="54"/>
      <c r="AC2659" s="54"/>
      <c r="AD2659" s="54"/>
      <c r="AE2659" s="54"/>
    </row>
    <row r="2660">
      <c r="A2660" s="80"/>
      <c r="B2660" s="80"/>
      <c r="C2660" s="80"/>
      <c r="D2660" s="59"/>
      <c r="E2660" s="59"/>
      <c r="F2660" s="83"/>
      <c r="G2660" s="76"/>
      <c r="H2660" s="76"/>
      <c r="I2660" s="76"/>
      <c r="J2660" s="93"/>
      <c r="K2660" s="93"/>
      <c r="L2660" s="82"/>
      <c r="M2660" s="54"/>
      <c r="N2660" s="54"/>
      <c r="O2660" s="54"/>
      <c r="P2660" s="54"/>
      <c r="Q2660" s="54"/>
      <c r="R2660" s="54"/>
      <c r="S2660" s="54"/>
      <c r="T2660" s="54"/>
      <c r="U2660" s="54"/>
      <c r="V2660" s="54"/>
      <c r="W2660" s="54"/>
      <c r="X2660" s="54"/>
      <c r="Y2660" s="54"/>
      <c r="Z2660" s="54"/>
      <c r="AA2660" s="54"/>
      <c r="AB2660" s="54"/>
      <c r="AC2660" s="54"/>
      <c r="AD2660" s="54"/>
      <c r="AE2660" s="54"/>
    </row>
    <row r="2661">
      <c r="A2661" s="80"/>
      <c r="B2661" s="80"/>
      <c r="C2661" s="80"/>
      <c r="D2661" s="59"/>
      <c r="E2661" s="59"/>
      <c r="F2661" s="83"/>
      <c r="G2661" s="76"/>
      <c r="H2661" s="76"/>
      <c r="I2661" s="76"/>
      <c r="J2661" s="93"/>
      <c r="K2661" s="93"/>
      <c r="L2661" s="82"/>
      <c r="M2661" s="54"/>
      <c r="N2661" s="54"/>
      <c r="O2661" s="54"/>
      <c r="P2661" s="54"/>
      <c r="Q2661" s="54"/>
      <c r="R2661" s="54"/>
      <c r="S2661" s="54"/>
      <c r="T2661" s="54"/>
      <c r="U2661" s="54"/>
      <c r="V2661" s="54"/>
      <c r="W2661" s="54"/>
      <c r="X2661" s="54"/>
      <c r="Y2661" s="54"/>
      <c r="Z2661" s="54"/>
      <c r="AA2661" s="54"/>
      <c r="AB2661" s="54"/>
      <c r="AC2661" s="54"/>
      <c r="AD2661" s="54"/>
      <c r="AE2661" s="54"/>
    </row>
    <row r="2662">
      <c r="A2662" s="80"/>
      <c r="B2662" s="80"/>
      <c r="C2662" s="80"/>
      <c r="D2662" s="59"/>
      <c r="E2662" s="59"/>
      <c r="F2662" s="83"/>
      <c r="G2662" s="76"/>
      <c r="H2662" s="76"/>
      <c r="I2662" s="76"/>
      <c r="J2662" s="93"/>
      <c r="K2662" s="93"/>
      <c r="L2662" s="82"/>
      <c r="M2662" s="54"/>
      <c r="N2662" s="54"/>
      <c r="O2662" s="54"/>
      <c r="P2662" s="54"/>
      <c r="Q2662" s="54"/>
      <c r="R2662" s="54"/>
      <c r="S2662" s="54"/>
      <c r="T2662" s="54"/>
      <c r="U2662" s="54"/>
      <c r="V2662" s="54"/>
      <c r="W2662" s="54"/>
      <c r="X2662" s="54"/>
      <c r="Y2662" s="54"/>
      <c r="Z2662" s="54"/>
      <c r="AA2662" s="54"/>
      <c r="AB2662" s="54"/>
      <c r="AC2662" s="54"/>
      <c r="AD2662" s="54"/>
      <c r="AE2662" s="54"/>
    </row>
    <row r="2663">
      <c r="A2663" s="80"/>
      <c r="B2663" s="80"/>
      <c r="C2663" s="80"/>
      <c r="D2663" s="59"/>
      <c r="E2663" s="59"/>
      <c r="F2663" s="83"/>
      <c r="G2663" s="76"/>
      <c r="H2663" s="76"/>
      <c r="I2663" s="76"/>
      <c r="J2663" s="93"/>
      <c r="K2663" s="93"/>
      <c r="L2663" s="82"/>
      <c r="M2663" s="54"/>
      <c r="N2663" s="54"/>
      <c r="O2663" s="54"/>
      <c r="P2663" s="54"/>
      <c r="Q2663" s="54"/>
      <c r="R2663" s="54"/>
      <c r="S2663" s="54"/>
      <c r="T2663" s="54"/>
      <c r="U2663" s="54"/>
      <c r="V2663" s="54"/>
      <c r="W2663" s="54"/>
      <c r="X2663" s="54"/>
      <c r="Y2663" s="54"/>
      <c r="Z2663" s="54"/>
      <c r="AA2663" s="54"/>
      <c r="AB2663" s="54"/>
      <c r="AC2663" s="54"/>
      <c r="AD2663" s="54"/>
      <c r="AE2663" s="54"/>
    </row>
    <row r="2664">
      <c r="A2664" s="80"/>
      <c r="B2664" s="80"/>
      <c r="C2664" s="80"/>
      <c r="D2664" s="59"/>
      <c r="E2664" s="59"/>
      <c r="F2664" s="83"/>
      <c r="G2664" s="76"/>
      <c r="H2664" s="76"/>
      <c r="I2664" s="76"/>
      <c r="J2664" s="93"/>
      <c r="K2664" s="93"/>
      <c r="L2664" s="82"/>
      <c r="M2664" s="54"/>
      <c r="N2664" s="54"/>
      <c r="O2664" s="54"/>
      <c r="P2664" s="54"/>
      <c r="Q2664" s="54"/>
      <c r="R2664" s="54"/>
      <c r="S2664" s="54"/>
      <c r="T2664" s="54"/>
      <c r="U2664" s="54"/>
      <c r="V2664" s="54"/>
      <c r="W2664" s="54"/>
      <c r="X2664" s="54"/>
      <c r="Y2664" s="54"/>
      <c r="Z2664" s="54"/>
      <c r="AA2664" s="54"/>
      <c r="AB2664" s="54"/>
      <c r="AC2664" s="54"/>
      <c r="AD2664" s="54"/>
      <c r="AE2664" s="54"/>
    </row>
    <row r="2665">
      <c r="A2665" s="80"/>
      <c r="B2665" s="80"/>
      <c r="C2665" s="80"/>
      <c r="D2665" s="59"/>
      <c r="E2665" s="59"/>
      <c r="F2665" s="83"/>
      <c r="G2665" s="76"/>
      <c r="H2665" s="76"/>
      <c r="I2665" s="76"/>
      <c r="J2665" s="93"/>
      <c r="K2665" s="93"/>
      <c r="L2665" s="82"/>
      <c r="M2665" s="54"/>
      <c r="N2665" s="54"/>
      <c r="O2665" s="54"/>
      <c r="P2665" s="54"/>
      <c r="Q2665" s="54"/>
      <c r="R2665" s="54"/>
      <c r="S2665" s="54"/>
      <c r="T2665" s="54"/>
      <c r="U2665" s="54"/>
      <c r="V2665" s="54"/>
      <c r="W2665" s="54"/>
      <c r="X2665" s="54"/>
      <c r="Y2665" s="54"/>
      <c r="Z2665" s="54"/>
      <c r="AA2665" s="54"/>
      <c r="AB2665" s="54"/>
      <c r="AC2665" s="54"/>
      <c r="AD2665" s="54"/>
      <c r="AE2665" s="54"/>
    </row>
    <row r="2666">
      <c r="A2666" s="80"/>
      <c r="B2666" s="80"/>
      <c r="C2666" s="80"/>
      <c r="D2666" s="59"/>
      <c r="E2666" s="59"/>
      <c r="F2666" s="83"/>
      <c r="G2666" s="76"/>
      <c r="H2666" s="76"/>
      <c r="I2666" s="76"/>
      <c r="J2666" s="93"/>
      <c r="K2666" s="93"/>
      <c r="L2666" s="82"/>
      <c r="M2666" s="54"/>
      <c r="N2666" s="54"/>
      <c r="O2666" s="54"/>
      <c r="P2666" s="54"/>
      <c r="Q2666" s="54"/>
      <c r="R2666" s="54"/>
      <c r="S2666" s="54"/>
      <c r="T2666" s="54"/>
      <c r="U2666" s="54"/>
      <c r="V2666" s="54"/>
      <c r="W2666" s="54"/>
      <c r="X2666" s="54"/>
      <c r="Y2666" s="54"/>
      <c r="Z2666" s="54"/>
      <c r="AA2666" s="54"/>
      <c r="AB2666" s="54"/>
      <c r="AC2666" s="54"/>
      <c r="AD2666" s="54"/>
      <c r="AE2666" s="54"/>
    </row>
    <row r="2667">
      <c r="A2667" s="80"/>
      <c r="B2667" s="80"/>
      <c r="C2667" s="80"/>
      <c r="D2667" s="59"/>
      <c r="E2667" s="59"/>
      <c r="F2667" s="83"/>
      <c r="G2667" s="76"/>
      <c r="H2667" s="76"/>
      <c r="I2667" s="76"/>
      <c r="J2667" s="93"/>
      <c r="K2667" s="93"/>
      <c r="L2667" s="82"/>
      <c r="M2667" s="54"/>
      <c r="N2667" s="54"/>
      <c r="O2667" s="54"/>
      <c r="P2667" s="54"/>
      <c r="Q2667" s="54"/>
      <c r="R2667" s="54"/>
      <c r="S2667" s="54"/>
      <c r="T2667" s="54"/>
      <c r="U2667" s="54"/>
      <c r="V2667" s="54"/>
      <c r="W2667" s="54"/>
      <c r="X2667" s="54"/>
      <c r="Y2667" s="54"/>
      <c r="Z2667" s="54"/>
      <c r="AA2667" s="54"/>
      <c r="AB2667" s="54"/>
      <c r="AC2667" s="54"/>
      <c r="AD2667" s="54"/>
      <c r="AE2667" s="54"/>
    </row>
    <row r="2668">
      <c r="A2668" s="80"/>
      <c r="B2668" s="80"/>
      <c r="C2668" s="80"/>
      <c r="D2668" s="59"/>
      <c r="E2668" s="59"/>
      <c r="F2668" s="83"/>
      <c r="G2668" s="76"/>
      <c r="H2668" s="76"/>
      <c r="I2668" s="76"/>
      <c r="J2668" s="93"/>
      <c r="K2668" s="93"/>
      <c r="L2668" s="82"/>
      <c r="M2668" s="54"/>
      <c r="N2668" s="54"/>
      <c r="O2668" s="54"/>
      <c r="P2668" s="54"/>
      <c r="Q2668" s="54"/>
      <c r="R2668" s="54"/>
      <c r="S2668" s="54"/>
      <c r="T2668" s="54"/>
      <c r="U2668" s="54"/>
      <c r="V2668" s="54"/>
      <c r="W2668" s="54"/>
      <c r="X2668" s="54"/>
      <c r="Y2668" s="54"/>
      <c r="Z2668" s="54"/>
      <c r="AA2668" s="54"/>
      <c r="AB2668" s="54"/>
      <c r="AC2668" s="54"/>
      <c r="AD2668" s="54"/>
      <c r="AE2668" s="54"/>
    </row>
    <row r="2669">
      <c r="A2669" s="80"/>
      <c r="B2669" s="80"/>
      <c r="C2669" s="80"/>
      <c r="D2669" s="59"/>
      <c r="E2669" s="59"/>
      <c r="F2669" s="83"/>
      <c r="G2669" s="76"/>
      <c r="H2669" s="76"/>
      <c r="I2669" s="76"/>
      <c r="J2669" s="93"/>
      <c r="K2669" s="93"/>
      <c r="L2669" s="82"/>
      <c r="M2669" s="54"/>
      <c r="N2669" s="54"/>
      <c r="O2669" s="54"/>
      <c r="P2669" s="54"/>
      <c r="Q2669" s="54"/>
      <c r="R2669" s="54"/>
      <c r="S2669" s="54"/>
      <c r="T2669" s="54"/>
      <c r="U2669" s="54"/>
      <c r="V2669" s="54"/>
      <c r="W2669" s="54"/>
      <c r="X2669" s="54"/>
      <c r="Y2669" s="54"/>
      <c r="Z2669" s="54"/>
      <c r="AA2669" s="54"/>
      <c r="AB2669" s="54"/>
      <c r="AC2669" s="54"/>
      <c r="AD2669" s="54"/>
      <c r="AE2669" s="54"/>
    </row>
    <row r="2670">
      <c r="A2670" s="80"/>
      <c r="B2670" s="80"/>
      <c r="C2670" s="80"/>
      <c r="D2670" s="59"/>
      <c r="E2670" s="59"/>
      <c r="F2670" s="83"/>
      <c r="G2670" s="76"/>
      <c r="H2670" s="76"/>
      <c r="I2670" s="76"/>
      <c r="J2670" s="93"/>
      <c r="K2670" s="93"/>
      <c r="L2670" s="82"/>
      <c r="M2670" s="54"/>
      <c r="N2670" s="54"/>
      <c r="O2670" s="54"/>
      <c r="P2670" s="54"/>
      <c r="Q2670" s="54"/>
      <c r="R2670" s="54"/>
      <c r="S2670" s="54"/>
      <c r="T2670" s="54"/>
      <c r="U2670" s="54"/>
      <c r="V2670" s="54"/>
      <c r="W2670" s="54"/>
      <c r="X2670" s="54"/>
      <c r="Y2670" s="54"/>
      <c r="Z2670" s="54"/>
      <c r="AA2670" s="54"/>
      <c r="AB2670" s="54"/>
      <c r="AC2670" s="54"/>
      <c r="AD2670" s="54"/>
      <c r="AE2670" s="54"/>
    </row>
    <row r="2671">
      <c r="A2671" s="80"/>
      <c r="B2671" s="80"/>
      <c r="C2671" s="80"/>
      <c r="D2671" s="59"/>
      <c r="E2671" s="59"/>
      <c r="F2671" s="83"/>
      <c r="G2671" s="76"/>
      <c r="H2671" s="76"/>
      <c r="I2671" s="76"/>
      <c r="J2671" s="93"/>
      <c r="K2671" s="93"/>
      <c r="L2671" s="82"/>
      <c r="M2671" s="54"/>
      <c r="N2671" s="54"/>
      <c r="O2671" s="54"/>
      <c r="P2671" s="54"/>
      <c r="Q2671" s="54"/>
      <c r="R2671" s="54"/>
      <c r="S2671" s="54"/>
      <c r="T2671" s="54"/>
      <c r="U2671" s="54"/>
      <c r="V2671" s="54"/>
      <c r="W2671" s="54"/>
      <c r="X2671" s="54"/>
      <c r="Y2671" s="54"/>
      <c r="Z2671" s="54"/>
      <c r="AA2671" s="54"/>
      <c r="AB2671" s="54"/>
      <c r="AC2671" s="54"/>
      <c r="AD2671" s="54"/>
      <c r="AE2671" s="54"/>
    </row>
    <row r="2672">
      <c r="A2672" s="80"/>
      <c r="B2672" s="80"/>
      <c r="C2672" s="80"/>
      <c r="D2672" s="59"/>
      <c r="E2672" s="59"/>
      <c r="F2672" s="83"/>
      <c r="G2672" s="76"/>
      <c r="H2672" s="76"/>
      <c r="I2672" s="76"/>
      <c r="J2672" s="93"/>
      <c r="K2672" s="93"/>
      <c r="L2672" s="82"/>
      <c r="M2672" s="54"/>
      <c r="N2672" s="54"/>
      <c r="O2672" s="54"/>
      <c r="P2672" s="54"/>
      <c r="Q2672" s="54"/>
      <c r="R2672" s="54"/>
      <c r="S2672" s="54"/>
      <c r="T2672" s="54"/>
      <c r="U2672" s="54"/>
      <c r="V2672" s="54"/>
      <c r="W2672" s="54"/>
      <c r="X2672" s="54"/>
      <c r="Y2672" s="54"/>
      <c r="Z2672" s="54"/>
      <c r="AA2672" s="54"/>
      <c r="AB2672" s="54"/>
      <c r="AC2672" s="54"/>
      <c r="AD2672" s="54"/>
      <c r="AE2672" s="54"/>
    </row>
    <row r="2673">
      <c r="A2673" s="80"/>
      <c r="B2673" s="80"/>
      <c r="C2673" s="80"/>
      <c r="D2673" s="59"/>
      <c r="E2673" s="59"/>
      <c r="F2673" s="83"/>
      <c r="G2673" s="76"/>
      <c r="H2673" s="76"/>
      <c r="I2673" s="76"/>
      <c r="J2673" s="93"/>
      <c r="K2673" s="93"/>
      <c r="L2673" s="82"/>
      <c r="M2673" s="54"/>
      <c r="N2673" s="54"/>
      <c r="O2673" s="54"/>
      <c r="P2673" s="54"/>
      <c r="Q2673" s="54"/>
      <c r="R2673" s="54"/>
      <c r="S2673" s="54"/>
      <c r="T2673" s="54"/>
      <c r="U2673" s="54"/>
      <c r="V2673" s="54"/>
      <c r="W2673" s="54"/>
      <c r="X2673" s="54"/>
      <c r="Y2673" s="54"/>
      <c r="Z2673" s="54"/>
      <c r="AA2673" s="54"/>
      <c r="AB2673" s="54"/>
      <c r="AC2673" s="54"/>
      <c r="AD2673" s="54"/>
      <c r="AE2673" s="54"/>
    </row>
    <row r="2674">
      <c r="A2674" s="80"/>
      <c r="B2674" s="80"/>
      <c r="C2674" s="80"/>
      <c r="D2674" s="59"/>
      <c r="E2674" s="59"/>
      <c r="F2674" s="83"/>
      <c r="G2674" s="76"/>
      <c r="H2674" s="76"/>
      <c r="I2674" s="76"/>
      <c r="J2674" s="93"/>
      <c r="K2674" s="93"/>
      <c r="L2674" s="82"/>
      <c r="M2674" s="54"/>
      <c r="N2674" s="54"/>
      <c r="O2674" s="54"/>
      <c r="P2674" s="54"/>
      <c r="Q2674" s="54"/>
      <c r="R2674" s="54"/>
      <c r="S2674" s="54"/>
      <c r="T2674" s="54"/>
      <c r="U2674" s="54"/>
      <c r="V2674" s="54"/>
      <c r="W2674" s="54"/>
      <c r="X2674" s="54"/>
      <c r="Y2674" s="54"/>
      <c r="Z2674" s="54"/>
      <c r="AA2674" s="54"/>
      <c r="AB2674" s="54"/>
      <c r="AC2674" s="54"/>
      <c r="AD2674" s="54"/>
      <c r="AE2674" s="54"/>
    </row>
    <row r="2675">
      <c r="A2675" s="80"/>
      <c r="B2675" s="80"/>
      <c r="C2675" s="80"/>
      <c r="D2675" s="59"/>
      <c r="E2675" s="59"/>
      <c r="F2675" s="83"/>
      <c r="G2675" s="76"/>
      <c r="H2675" s="76"/>
      <c r="I2675" s="76"/>
      <c r="J2675" s="93"/>
      <c r="K2675" s="93"/>
      <c r="L2675" s="82"/>
      <c r="M2675" s="54"/>
      <c r="N2675" s="54"/>
      <c r="O2675" s="54"/>
      <c r="P2675" s="54"/>
      <c r="Q2675" s="54"/>
      <c r="R2675" s="54"/>
      <c r="S2675" s="54"/>
      <c r="T2675" s="54"/>
      <c r="U2675" s="54"/>
      <c r="V2675" s="54"/>
      <c r="W2675" s="54"/>
      <c r="X2675" s="54"/>
      <c r="Y2675" s="54"/>
      <c r="Z2675" s="54"/>
      <c r="AA2675" s="54"/>
      <c r="AB2675" s="54"/>
      <c r="AC2675" s="54"/>
      <c r="AD2675" s="54"/>
      <c r="AE2675" s="54"/>
    </row>
    <row r="2676">
      <c r="A2676" s="80"/>
      <c r="B2676" s="80"/>
      <c r="C2676" s="80"/>
      <c r="D2676" s="59"/>
      <c r="E2676" s="59"/>
      <c r="F2676" s="83"/>
      <c r="G2676" s="76"/>
      <c r="H2676" s="76"/>
      <c r="I2676" s="76"/>
      <c r="J2676" s="93"/>
      <c r="K2676" s="93"/>
      <c r="L2676" s="82"/>
      <c r="M2676" s="54"/>
      <c r="N2676" s="54"/>
      <c r="O2676" s="54"/>
      <c r="P2676" s="54"/>
      <c r="Q2676" s="54"/>
      <c r="R2676" s="54"/>
      <c r="S2676" s="54"/>
      <c r="T2676" s="54"/>
      <c r="U2676" s="54"/>
      <c r="V2676" s="54"/>
      <c r="W2676" s="54"/>
      <c r="X2676" s="54"/>
      <c r="Y2676" s="54"/>
      <c r="Z2676" s="54"/>
      <c r="AA2676" s="54"/>
      <c r="AB2676" s="54"/>
      <c r="AC2676" s="54"/>
      <c r="AD2676" s="54"/>
      <c r="AE2676" s="54"/>
    </row>
    <row r="2677">
      <c r="A2677" s="80"/>
      <c r="B2677" s="80"/>
      <c r="C2677" s="80"/>
      <c r="D2677" s="59"/>
      <c r="E2677" s="59"/>
      <c r="F2677" s="83"/>
      <c r="G2677" s="76"/>
      <c r="H2677" s="76"/>
      <c r="I2677" s="76"/>
      <c r="J2677" s="93"/>
      <c r="K2677" s="93"/>
      <c r="L2677" s="82"/>
      <c r="M2677" s="54"/>
      <c r="N2677" s="54"/>
      <c r="O2677" s="54"/>
      <c r="P2677" s="54"/>
      <c r="Q2677" s="54"/>
      <c r="R2677" s="54"/>
      <c r="S2677" s="54"/>
      <c r="T2677" s="54"/>
      <c r="U2677" s="54"/>
      <c r="V2677" s="54"/>
      <c r="W2677" s="54"/>
      <c r="X2677" s="54"/>
      <c r="Y2677" s="54"/>
      <c r="Z2677" s="54"/>
      <c r="AA2677" s="54"/>
      <c r="AB2677" s="54"/>
      <c r="AC2677" s="54"/>
      <c r="AD2677" s="54"/>
      <c r="AE2677" s="54"/>
    </row>
    <row r="2678">
      <c r="A2678" s="80"/>
      <c r="B2678" s="80"/>
      <c r="C2678" s="80"/>
      <c r="D2678" s="59"/>
      <c r="E2678" s="59"/>
      <c r="F2678" s="83"/>
      <c r="G2678" s="76"/>
      <c r="H2678" s="76"/>
      <c r="I2678" s="76"/>
      <c r="J2678" s="93"/>
      <c r="K2678" s="93"/>
      <c r="L2678" s="82"/>
      <c r="M2678" s="54"/>
      <c r="N2678" s="54"/>
      <c r="O2678" s="54"/>
      <c r="P2678" s="54"/>
      <c r="Q2678" s="54"/>
      <c r="R2678" s="54"/>
      <c r="S2678" s="54"/>
      <c r="T2678" s="54"/>
      <c r="U2678" s="54"/>
      <c r="V2678" s="54"/>
      <c r="W2678" s="54"/>
      <c r="X2678" s="54"/>
      <c r="Y2678" s="54"/>
      <c r="Z2678" s="54"/>
      <c r="AA2678" s="54"/>
      <c r="AB2678" s="54"/>
      <c r="AC2678" s="54"/>
      <c r="AD2678" s="54"/>
      <c r="AE2678" s="54"/>
    </row>
    <row r="2679">
      <c r="A2679" s="80"/>
      <c r="B2679" s="80"/>
      <c r="C2679" s="80"/>
      <c r="D2679" s="59"/>
      <c r="E2679" s="59"/>
      <c r="F2679" s="83"/>
      <c r="G2679" s="76"/>
      <c r="H2679" s="76"/>
      <c r="I2679" s="76"/>
      <c r="J2679" s="93"/>
      <c r="K2679" s="93"/>
      <c r="L2679" s="82"/>
      <c r="M2679" s="54"/>
      <c r="N2679" s="54"/>
      <c r="O2679" s="54"/>
      <c r="P2679" s="54"/>
      <c r="Q2679" s="54"/>
      <c r="R2679" s="54"/>
      <c r="S2679" s="54"/>
      <c r="T2679" s="54"/>
      <c r="U2679" s="54"/>
      <c r="V2679" s="54"/>
      <c r="W2679" s="54"/>
      <c r="X2679" s="54"/>
      <c r="Y2679" s="54"/>
      <c r="Z2679" s="54"/>
      <c r="AA2679" s="54"/>
      <c r="AB2679" s="54"/>
      <c r="AC2679" s="54"/>
      <c r="AD2679" s="54"/>
      <c r="AE2679" s="54"/>
    </row>
    <row r="2680">
      <c r="A2680" s="80"/>
      <c r="B2680" s="80"/>
      <c r="C2680" s="80"/>
      <c r="D2680" s="59"/>
      <c r="E2680" s="59"/>
      <c r="F2680" s="83"/>
      <c r="G2680" s="76"/>
      <c r="H2680" s="76"/>
      <c r="I2680" s="76"/>
      <c r="J2680" s="93"/>
      <c r="K2680" s="93"/>
      <c r="L2680" s="82"/>
      <c r="M2680" s="54"/>
      <c r="N2680" s="54"/>
      <c r="O2680" s="54"/>
      <c r="P2680" s="54"/>
      <c r="Q2680" s="54"/>
      <c r="R2680" s="54"/>
      <c r="S2680" s="54"/>
      <c r="T2680" s="54"/>
      <c r="U2680" s="54"/>
      <c r="V2680" s="54"/>
      <c r="W2680" s="54"/>
      <c r="X2680" s="54"/>
      <c r="Y2680" s="54"/>
      <c r="Z2680" s="54"/>
      <c r="AA2680" s="54"/>
      <c r="AB2680" s="54"/>
      <c r="AC2680" s="54"/>
      <c r="AD2680" s="54"/>
      <c r="AE2680" s="54"/>
    </row>
    <row r="2681">
      <c r="A2681" s="80"/>
      <c r="B2681" s="80"/>
      <c r="C2681" s="80"/>
      <c r="D2681" s="59"/>
      <c r="E2681" s="59"/>
      <c r="F2681" s="83"/>
      <c r="G2681" s="76"/>
      <c r="H2681" s="76"/>
      <c r="I2681" s="76"/>
      <c r="J2681" s="93"/>
      <c r="K2681" s="93"/>
      <c r="L2681" s="82"/>
      <c r="M2681" s="54"/>
      <c r="N2681" s="54"/>
      <c r="O2681" s="54"/>
      <c r="P2681" s="54"/>
      <c r="Q2681" s="54"/>
      <c r="R2681" s="54"/>
      <c r="S2681" s="54"/>
      <c r="T2681" s="54"/>
      <c r="U2681" s="54"/>
      <c r="V2681" s="54"/>
      <c r="W2681" s="54"/>
      <c r="X2681" s="54"/>
      <c r="Y2681" s="54"/>
      <c r="Z2681" s="54"/>
      <c r="AA2681" s="54"/>
      <c r="AB2681" s="54"/>
      <c r="AC2681" s="54"/>
      <c r="AD2681" s="54"/>
      <c r="AE2681" s="54"/>
    </row>
    <row r="2682">
      <c r="A2682" s="80"/>
      <c r="B2682" s="80"/>
      <c r="C2682" s="80"/>
      <c r="D2682" s="59"/>
      <c r="E2682" s="59"/>
      <c r="F2682" s="83"/>
      <c r="G2682" s="76"/>
      <c r="H2682" s="76"/>
      <c r="I2682" s="76"/>
      <c r="J2682" s="93"/>
      <c r="K2682" s="93"/>
      <c r="L2682" s="82"/>
      <c r="M2682" s="54"/>
      <c r="N2682" s="54"/>
      <c r="O2682" s="54"/>
      <c r="P2682" s="54"/>
      <c r="Q2682" s="54"/>
      <c r="R2682" s="54"/>
      <c r="S2682" s="54"/>
      <c r="T2682" s="54"/>
      <c r="U2682" s="54"/>
      <c r="V2682" s="54"/>
      <c r="W2682" s="54"/>
      <c r="X2682" s="54"/>
      <c r="Y2682" s="54"/>
      <c r="Z2682" s="54"/>
      <c r="AA2682" s="54"/>
      <c r="AB2682" s="54"/>
      <c r="AC2682" s="54"/>
      <c r="AD2682" s="54"/>
      <c r="AE2682" s="54"/>
    </row>
    <row r="2683">
      <c r="A2683" s="80"/>
      <c r="B2683" s="80"/>
      <c r="C2683" s="80"/>
      <c r="D2683" s="59"/>
      <c r="E2683" s="59"/>
      <c r="F2683" s="83"/>
      <c r="G2683" s="76"/>
      <c r="H2683" s="76"/>
      <c r="I2683" s="76"/>
      <c r="J2683" s="93"/>
      <c r="K2683" s="93"/>
      <c r="L2683" s="82"/>
      <c r="M2683" s="54"/>
      <c r="N2683" s="54"/>
      <c r="O2683" s="54"/>
      <c r="P2683" s="54"/>
      <c r="Q2683" s="54"/>
      <c r="R2683" s="54"/>
      <c r="S2683" s="54"/>
      <c r="T2683" s="54"/>
      <c r="U2683" s="54"/>
      <c r="V2683" s="54"/>
      <c r="W2683" s="54"/>
      <c r="X2683" s="54"/>
      <c r="Y2683" s="54"/>
      <c r="Z2683" s="54"/>
      <c r="AA2683" s="54"/>
      <c r="AB2683" s="54"/>
      <c r="AC2683" s="54"/>
      <c r="AD2683" s="54"/>
      <c r="AE2683" s="54"/>
    </row>
    <row r="2684">
      <c r="A2684" s="80"/>
      <c r="B2684" s="80"/>
      <c r="C2684" s="80"/>
      <c r="D2684" s="59"/>
      <c r="E2684" s="59"/>
      <c r="F2684" s="83"/>
      <c r="G2684" s="76"/>
      <c r="H2684" s="76"/>
      <c r="I2684" s="76"/>
      <c r="J2684" s="93"/>
      <c r="K2684" s="93"/>
      <c r="L2684" s="82"/>
      <c r="M2684" s="54"/>
      <c r="N2684" s="54"/>
      <c r="O2684" s="54"/>
      <c r="P2684" s="54"/>
      <c r="Q2684" s="54"/>
      <c r="R2684" s="54"/>
      <c r="S2684" s="54"/>
      <c r="T2684" s="54"/>
      <c r="U2684" s="54"/>
      <c r="V2684" s="54"/>
      <c r="W2684" s="54"/>
      <c r="X2684" s="54"/>
      <c r="Y2684" s="54"/>
      <c r="Z2684" s="54"/>
      <c r="AA2684" s="54"/>
      <c r="AB2684" s="54"/>
      <c r="AC2684" s="54"/>
      <c r="AD2684" s="54"/>
      <c r="AE2684" s="54"/>
    </row>
    <row r="2685">
      <c r="A2685" s="80"/>
      <c r="B2685" s="80"/>
      <c r="C2685" s="80"/>
      <c r="D2685" s="59"/>
      <c r="E2685" s="59"/>
      <c r="F2685" s="83"/>
      <c r="G2685" s="76"/>
      <c r="H2685" s="76"/>
      <c r="I2685" s="76"/>
      <c r="J2685" s="93"/>
      <c r="K2685" s="93"/>
      <c r="L2685" s="82"/>
      <c r="M2685" s="54"/>
      <c r="N2685" s="54"/>
      <c r="O2685" s="54"/>
      <c r="P2685" s="54"/>
      <c r="Q2685" s="54"/>
      <c r="R2685" s="54"/>
      <c r="S2685" s="54"/>
      <c r="T2685" s="54"/>
      <c r="U2685" s="54"/>
      <c r="V2685" s="54"/>
      <c r="W2685" s="54"/>
      <c r="X2685" s="54"/>
      <c r="Y2685" s="54"/>
      <c r="Z2685" s="54"/>
      <c r="AA2685" s="54"/>
      <c r="AB2685" s="54"/>
      <c r="AC2685" s="54"/>
      <c r="AD2685" s="54"/>
      <c r="AE2685" s="54"/>
    </row>
    <row r="2686">
      <c r="A2686" s="80"/>
      <c r="B2686" s="80"/>
      <c r="C2686" s="80"/>
      <c r="D2686" s="59"/>
      <c r="E2686" s="59"/>
      <c r="F2686" s="83"/>
      <c r="G2686" s="76"/>
      <c r="H2686" s="76"/>
      <c r="I2686" s="76"/>
      <c r="J2686" s="93"/>
      <c r="K2686" s="93"/>
      <c r="L2686" s="82"/>
      <c r="M2686" s="54"/>
      <c r="N2686" s="54"/>
      <c r="O2686" s="54"/>
      <c r="P2686" s="54"/>
      <c r="Q2686" s="54"/>
      <c r="R2686" s="54"/>
      <c r="S2686" s="54"/>
      <c r="T2686" s="54"/>
      <c r="U2686" s="54"/>
      <c r="V2686" s="54"/>
      <c r="W2686" s="54"/>
      <c r="X2686" s="54"/>
      <c r="Y2686" s="54"/>
      <c r="Z2686" s="54"/>
      <c r="AA2686" s="54"/>
      <c r="AB2686" s="54"/>
      <c r="AC2686" s="54"/>
      <c r="AD2686" s="54"/>
      <c r="AE2686" s="54"/>
    </row>
    <row r="2687">
      <c r="A2687" s="80"/>
      <c r="B2687" s="80"/>
      <c r="C2687" s="80"/>
      <c r="D2687" s="59"/>
      <c r="E2687" s="59"/>
      <c r="F2687" s="83"/>
      <c r="G2687" s="76"/>
      <c r="H2687" s="76"/>
      <c r="I2687" s="76"/>
      <c r="J2687" s="93"/>
      <c r="K2687" s="93"/>
      <c r="L2687" s="82"/>
      <c r="M2687" s="54"/>
      <c r="N2687" s="54"/>
      <c r="O2687" s="54"/>
      <c r="P2687" s="54"/>
      <c r="Q2687" s="54"/>
      <c r="R2687" s="54"/>
      <c r="S2687" s="54"/>
      <c r="T2687" s="54"/>
      <c r="U2687" s="54"/>
      <c r="V2687" s="54"/>
      <c r="W2687" s="54"/>
      <c r="X2687" s="54"/>
      <c r="Y2687" s="54"/>
      <c r="Z2687" s="54"/>
      <c r="AA2687" s="54"/>
      <c r="AB2687" s="54"/>
      <c r="AC2687" s="54"/>
      <c r="AD2687" s="54"/>
      <c r="AE2687" s="54"/>
    </row>
    <row r="2688">
      <c r="A2688" s="80"/>
      <c r="B2688" s="80"/>
      <c r="C2688" s="80"/>
      <c r="D2688" s="59"/>
      <c r="E2688" s="59"/>
      <c r="F2688" s="83"/>
      <c r="G2688" s="76"/>
      <c r="H2688" s="76"/>
      <c r="I2688" s="76"/>
      <c r="J2688" s="93"/>
      <c r="K2688" s="93"/>
      <c r="L2688" s="82"/>
      <c r="M2688" s="54"/>
      <c r="N2688" s="54"/>
      <c r="O2688" s="54"/>
      <c r="P2688" s="54"/>
      <c r="Q2688" s="54"/>
      <c r="R2688" s="54"/>
      <c r="S2688" s="54"/>
      <c r="T2688" s="54"/>
      <c r="U2688" s="54"/>
      <c r="V2688" s="54"/>
      <c r="W2688" s="54"/>
      <c r="X2688" s="54"/>
      <c r="Y2688" s="54"/>
      <c r="Z2688" s="54"/>
      <c r="AA2688" s="54"/>
      <c r="AB2688" s="54"/>
      <c r="AC2688" s="54"/>
      <c r="AD2688" s="54"/>
      <c r="AE2688" s="54"/>
    </row>
    <row r="2689">
      <c r="A2689" s="80"/>
      <c r="B2689" s="80"/>
      <c r="C2689" s="80"/>
      <c r="D2689" s="59"/>
      <c r="E2689" s="59"/>
      <c r="F2689" s="83"/>
      <c r="G2689" s="76"/>
      <c r="H2689" s="76"/>
      <c r="I2689" s="76"/>
      <c r="J2689" s="93"/>
      <c r="K2689" s="93"/>
      <c r="L2689" s="82"/>
      <c r="M2689" s="54"/>
      <c r="N2689" s="54"/>
      <c r="O2689" s="54"/>
      <c r="P2689" s="54"/>
      <c r="Q2689" s="54"/>
      <c r="R2689" s="54"/>
      <c r="S2689" s="54"/>
      <c r="T2689" s="54"/>
      <c r="U2689" s="54"/>
      <c r="V2689" s="54"/>
      <c r="W2689" s="54"/>
      <c r="X2689" s="54"/>
      <c r="Y2689" s="54"/>
      <c r="Z2689" s="54"/>
      <c r="AA2689" s="54"/>
      <c r="AB2689" s="54"/>
      <c r="AC2689" s="54"/>
      <c r="AD2689" s="54"/>
      <c r="AE2689" s="54"/>
    </row>
    <row r="2690">
      <c r="A2690" s="80"/>
      <c r="B2690" s="80"/>
      <c r="C2690" s="80"/>
      <c r="D2690" s="59"/>
      <c r="E2690" s="59"/>
      <c r="F2690" s="83"/>
      <c r="G2690" s="76"/>
      <c r="H2690" s="76"/>
      <c r="I2690" s="76"/>
      <c r="J2690" s="93"/>
      <c r="K2690" s="93"/>
      <c r="L2690" s="82"/>
      <c r="M2690" s="54"/>
      <c r="N2690" s="54"/>
      <c r="O2690" s="54"/>
      <c r="P2690" s="54"/>
      <c r="Q2690" s="54"/>
      <c r="R2690" s="54"/>
      <c r="S2690" s="54"/>
      <c r="T2690" s="54"/>
      <c r="U2690" s="54"/>
      <c r="V2690" s="54"/>
      <c r="W2690" s="54"/>
      <c r="X2690" s="54"/>
      <c r="Y2690" s="54"/>
      <c r="Z2690" s="54"/>
      <c r="AA2690" s="54"/>
      <c r="AB2690" s="54"/>
      <c r="AC2690" s="54"/>
      <c r="AD2690" s="54"/>
      <c r="AE2690" s="54"/>
    </row>
    <row r="2691">
      <c r="A2691" s="80"/>
      <c r="B2691" s="80"/>
      <c r="C2691" s="80"/>
      <c r="D2691" s="59"/>
      <c r="E2691" s="59"/>
      <c r="F2691" s="83"/>
      <c r="G2691" s="76"/>
      <c r="H2691" s="76"/>
      <c r="I2691" s="76"/>
      <c r="J2691" s="93"/>
      <c r="K2691" s="93"/>
      <c r="L2691" s="82"/>
      <c r="M2691" s="54"/>
      <c r="N2691" s="54"/>
      <c r="O2691" s="54"/>
      <c r="P2691" s="54"/>
      <c r="Q2691" s="54"/>
      <c r="R2691" s="54"/>
      <c r="S2691" s="54"/>
      <c r="T2691" s="54"/>
      <c r="U2691" s="54"/>
      <c r="V2691" s="54"/>
      <c r="W2691" s="54"/>
      <c r="X2691" s="54"/>
      <c r="Y2691" s="54"/>
      <c r="Z2691" s="54"/>
      <c r="AA2691" s="54"/>
      <c r="AB2691" s="54"/>
      <c r="AC2691" s="54"/>
      <c r="AD2691" s="54"/>
      <c r="AE2691" s="54"/>
    </row>
    <row r="2692">
      <c r="A2692" s="80"/>
      <c r="B2692" s="80"/>
      <c r="C2692" s="80"/>
      <c r="D2692" s="59"/>
      <c r="E2692" s="59"/>
      <c r="F2692" s="83"/>
      <c r="G2692" s="76"/>
      <c r="H2692" s="76"/>
      <c r="I2692" s="76"/>
      <c r="J2692" s="93"/>
      <c r="K2692" s="93"/>
      <c r="L2692" s="82"/>
      <c r="M2692" s="54"/>
      <c r="N2692" s="54"/>
      <c r="O2692" s="54"/>
      <c r="P2692" s="54"/>
      <c r="Q2692" s="54"/>
      <c r="R2692" s="54"/>
      <c r="S2692" s="54"/>
      <c r="T2692" s="54"/>
      <c r="U2692" s="54"/>
      <c r="V2692" s="54"/>
      <c r="W2692" s="54"/>
      <c r="X2692" s="54"/>
      <c r="Y2692" s="54"/>
      <c r="Z2692" s="54"/>
      <c r="AA2692" s="54"/>
      <c r="AB2692" s="54"/>
      <c r="AC2692" s="54"/>
      <c r="AD2692" s="54"/>
      <c r="AE2692" s="54"/>
    </row>
    <row r="2693">
      <c r="A2693" s="80"/>
      <c r="B2693" s="80"/>
      <c r="C2693" s="80"/>
      <c r="D2693" s="59"/>
      <c r="E2693" s="59"/>
      <c r="F2693" s="83"/>
      <c r="G2693" s="76"/>
      <c r="H2693" s="76"/>
      <c r="I2693" s="76"/>
      <c r="J2693" s="93"/>
      <c r="K2693" s="93"/>
      <c r="L2693" s="82"/>
      <c r="M2693" s="54"/>
      <c r="N2693" s="54"/>
      <c r="O2693" s="54"/>
      <c r="P2693" s="54"/>
      <c r="Q2693" s="54"/>
      <c r="R2693" s="54"/>
      <c r="S2693" s="54"/>
      <c r="T2693" s="54"/>
      <c r="U2693" s="54"/>
      <c r="V2693" s="54"/>
      <c r="W2693" s="54"/>
      <c r="X2693" s="54"/>
      <c r="Y2693" s="54"/>
      <c r="Z2693" s="54"/>
      <c r="AA2693" s="54"/>
      <c r="AB2693" s="54"/>
      <c r="AC2693" s="54"/>
      <c r="AD2693" s="54"/>
      <c r="AE2693" s="54"/>
    </row>
    <row r="2694">
      <c r="A2694" s="80"/>
      <c r="B2694" s="80"/>
      <c r="C2694" s="80"/>
      <c r="D2694" s="59"/>
      <c r="E2694" s="59"/>
      <c r="F2694" s="83"/>
      <c r="G2694" s="76"/>
      <c r="H2694" s="76"/>
      <c r="I2694" s="76"/>
      <c r="J2694" s="93"/>
      <c r="K2694" s="93"/>
      <c r="L2694" s="82"/>
      <c r="M2694" s="54"/>
      <c r="N2694" s="54"/>
      <c r="O2694" s="54"/>
      <c r="P2694" s="54"/>
      <c r="Q2694" s="54"/>
      <c r="R2694" s="54"/>
      <c r="S2694" s="54"/>
      <c r="T2694" s="54"/>
      <c r="U2694" s="54"/>
      <c r="V2694" s="54"/>
      <c r="W2694" s="54"/>
      <c r="X2694" s="54"/>
      <c r="Y2694" s="54"/>
      <c r="Z2694" s="54"/>
      <c r="AA2694" s="54"/>
      <c r="AB2694" s="54"/>
      <c r="AC2694" s="54"/>
      <c r="AD2694" s="54"/>
      <c r="AE2694" s="54"/>
    </row>
    <row r="2695">
      <c r="A2695" s="80"/>
      <c r="B2695" s="80"/>
      <c r="C2695" s="80"/>
      <c r="D2695" s="59"/>
      <c r="E2695" s="59"/>
      <c r="F2695" s="83"/>
      <c r="G2695" s="76"/>
      <c r="H2695" s="76"/>
      <c r="I2695" s="76"/>
      <c r="J2695" s="93"/>
      <c r="K2695" s="93"/>
      <c r="L2695" s="82"/>
      <c r="M2695" s="54"/>
      <c r="N2695" s="54"/>
      <c r="O2695" s="54"/>
      <c r="P2695" s="54"/>
      <c r="Q2695" s="54"/>
      <c r="R2695" s="54"/>
      <c r="S2695" s="54"/>
      <c r="T2695" s="54"/>
      <c r="U2695" s="54"/>
      <c r="V2695" s="54"/>
      <c r="W2695" s="54"/>
      <c r="X2695" s="54"/>
      <c r="Y2695" s="54"/>
      <c r="Z2695" s="54"/>
      <c r="AA2695" s="54"/>
      <c r="AB2695" s="54"/>
      <c r="AC2695" s="54"/>
      <c r="AD2695" s="54"/>
      <c r="AE2695" s="54"/>
    </row>
    <row r="2696">
      <c r="A2696" s="80"/>
      <c r="B2696" s="80"/>
      <c r="C2696" s="80"/>
      <c r="D2696" s="59"/>
      <c r="E2696" s="59"/>
      <c r="F2696" s="83"/>
      <c r="G2696" s="76"/>
      <c r="H2696" s="76"/>
      <c r="I2696" s="76"/>
      <c r="J2696" s="93"/>
      <c r="K2696" s="93"/>
      <c r="L2696" s="82"/>
      <c r="M2696" s="54"/>
      <c r="N2696" s="54"/>
      <c r="O2696" s="54"/>
      <c r="P2696" s="54"/>
      <c r="Q2696" s="54"/>
      <c r="R2696" s="54"/>
      <c r="S2696" s="54"/>
      <c r="T2696" s="54"/>
      <c r="U2696" s="54"/>
      <c r="V2696" s="54"/>
      <c r="W2696" s="54"/>
      <c r="X2696" s="54"/>
      <c r="Y2696" s="54"/>
      <c r="Z2696" s="54"/>
      <c r="AA2696" s="54"/>
      <c r="AB2696" s="54"/>
      <c r="AC2696" s="54"/>
      <c r="AD2696" s="54"/>
      <c r="AE2696" s="54"/>
    </row>
    <row r="2697">
      <c r="A2697" s="80"/>
      <c r="B2697" s="80"/>
      <c r="C2697" s="80"/>
      <c r="D2697" s="59"/>
      <c r="E2697" s="59"/>
      <c r="F2697" s="83"/>
      <c r="G2697" s="76"/>
      <c r="H2697" s="76"/>
      <c r="I2697" s="76"/>
      <c r="J2697" s="93"/>
      <c r="K2697" s="93"/>
      <c r="L2697" s="82"/>
      <c r="M2697" s="54"/>
      <c r="N2697" s="54"/>
      <c r="O2697" s="54"/>
      <c r="P2697" s="54"/>
      <c r="Q2697" s="54"/>
      <c r="R2697" s="54"/>
      <c r="S2697" s="54"/>
      <c r="T2697" s="54"/>
      <c r="U2697" s="54"/>
      <c r="V2697" s="54"/>
      <c r="W2697" s="54"/>
      <c r="X2697" s="54"/>
      <c r="Y2697" s="54"/>
      <c r="Z2697" s="54"/>
      <c r="AA2697" s="54"/>
      <c r="AB2697" s="54"/>
      <c r="AC2697" s="54"/>
      <c r="AD2697" s="54"/>
      <c r="AE2697" s="54"/>
    </row>
    <row r="2698">
      <c r="A2698" s="80"/>
      <c r="B2698" s="80"/>
      <c r="C2698" s="80"/>
      <c r="D2698" s="59"/>
      <c r="E2698" s="59"/>
      <c r="F2698" s="83"/>
      <c r="G2698" s="76"/>
      <c r="H2698" s="76"/>
      <c r="I2698" s="76"/>
      <c r="J2698" s="93"/>
      <c r="K2698" s="93"/>
      <c r="L2698" s="82"/>
      <c r="M2698" s="54"/>
      <c r="N2698" s="54"/>
      <c r="O2698" s="54"/>
      <c r="P2698" s="54"/>
      <c r="Q2698" s="54"/>
      <c r="R2698" s="54"/>
      <c r="S2698" s="54"/>
      <c r="T2698" s="54"/>
      <c r="U2698" s="54"/>
      <c r="V2698" s="54"/>
      <c r="W2698" s="54"/>
      <c r="X2698" s="54"/>
      <c r="Y2698" s="54"/>
      <c r="Z2698" s="54"/>
      <c r="AA2698" s="54"/>
      <c r="AB2698" s="54"/>
      <c r="AC2698" s="54"/>
      <c r="AD2698" s="54"/>
      <c r="AE2698" s="54"/>
    </row>
    <row r="2699">
      <c r="A2699" s="80"/>
      <c r="B2699" s="80"/>
      <c r="C2699" s="80"/>
      <c r="D2699" s="59"/>
      <c r="E2699" s="59"/>
      <c r="F2699" s="83"/>
      <c r="G2699" s="76"/>
      <c r="H2699" s="76"/>
      <c r="I2699" s="76"/>
      <c r="J2699" s="93"/>
      <c r="K2699" s="93"/>
      <c r="L2699" s="82"/>
      <c r="M2699" s="54"/>
      <c r="N2699" s="54"/>
      <c r="O2699" s="54"/>
      <c r="P2699" s="54"/>
      <c r="Q2699" s="54"/>
      <c r="R2699" s="54"/>
      <c r="S2699" s="54"/>
      <c r="T2699" s="54"/>
      <c r="U2699" s="54"/>
      <c r="V2699" s="54"/>
      <c r="W2699" s="54"/>
      <c r="X2699" s="54"/>
      <c r="Y2699" s="54"/>
      <c r="Z2699" s="54"/>
      <c r="AA2699" s="54"/>
      <c r="AB2699" s="54"/>
      <c r="AC2699" s="54"/>
      <c r="AD2699" s="54"/>
      <c r="AE2699" s="54"/>
    </row>
    <row r="2700">
      <c r="A2700" s="80"/>
      <c r="B2700" s="80"/>
      <c r="C2700" s="80"/>
      <c r="D2700" s="59"/>
      <c r="E2700" s="59"/>
      <c r="F2700" s="83"/>
      <c r="G2700" s="76"/>
      <c r="H2700" s="76"/>
      <c r="I2700" s="76"/>
      <c r="J2700" s="93"/>
      <c r="K2700" s="93"/>
      <c r="L2700" s="82"/>
      <c r="M2700" s="54"/>
      <c r="N2700" s="54"/>
      <c r="O2700" s="54"/>
      <c r="P2700" s="54"/>
      <c r="Q2700" s="54"/>
      <c r="R2700" s="54"/>
      <c r="S2700" s="54"/>
      <c r="T2700" s="54"/>
      <c r="U2700" s="54"/>
      <c r="V2700" s="54"/>
      <c r="W2700" s="54"/>
      <c r="X2700" s="54"/>
      <c r="Y2700" s="54"/>
      <c r="Z2700" s="54"/>
      <c r="AA2700" s="54"/>
      <c r="AB2700" s="54"/>
      <c r="AC2700" s="54"/>
      <c r="AD2700" s="54"/>
      <c r="AE2700" s="54"/>
    </row>
    <row r="2701">
      <c r="A2701" s="80"/>
      <c r="B2701" s="80"/>
      <c r="C2701" s="80"/>
      <c r="D2701" s="59"/>
      <c r="E2701" s="59"/>
      <c r="F2701" s="83"/>
      <c r="G2701" s="76"/>
      <c r="H2701" s="76"/>
      <c r="I2701" s="76"/>
      <c r="J2701" s="93"/>
      <c r="K2701" s="93"/>
      <c r="L2701" s="82"/>
      <c r="M2701" s="54"/>
      <c r="N2701" s="54"/>
      <c r="O2701" s="54"/>
      <c r="P2701" s="54"/>
      <c r="Q2701" s="54"/>
      <c r="R2701" s="54"/>
      <c r="S2701" s="54"/>
      <c r="T2701" s="54"/>
      <c r="U2701" s="54"/>
      <c r="V2701" s="54"/>
      <c r="W2701" s="54"/>
      <c r="X2701" s="54"/>
      <c r="Y2701" s="54"/>
      <c r="Z2701" s="54"/>
      <c r="AA2701" s="54"/>
      <c r="AB2701" s="54"/>
      <c r="AC2701" s="54"/>
      <c r="AD2701" s="54"/>
      <c r="AE2701" s="54"/>
    </row>
    <row r="2702">
      <c r="A2702" s="80"/>
      <c r="B2702" s="80"/>
      <c r="C2702" s="80"/>
      <c r="D2702" s="59"/>
      <c r="E2702" s="59"/>
      <c r="F2702" s="83"/>
      <c r="G2702" s="76"/>
      <c r="H2702" s="76"/>
      <c r="I2702" s="76"/>
      <c r="J2702" s="93"/>
      <c r="K2702" s="93"/>
      <c r="L2702" s="82"/>
      <c r="M2702" s="54"/>
      <c r="N2702" s="54"/>
      <c r="O2702" s="54"/>
      <c r="P2702" s="54"/>
      <c r="Q2702" s="54"/>
      <c r="R2702" s="54"/>
      <c r="S2702" s="54"/>
      <c r="T2702" s="54"/>
      <c r="U2702" s="54"/>
      <c r="V2702" s="54"/>
      <c r="W2702" s="54"/>
      <c r="X2702" s="54"/>
      <c r="Y2702" s="54"/>
      <c r="Z2702" s="54"/>
      <c r="AA2702" s="54"/>
      <c r="AB2702" s="54"/>
      <c r="AC2702" s="54"/>
      <c r="AD2702" s="54"/>
      <c r="AE2702" s="54"/>
    </row>
    <row r="2703">
      <c r="A2703" s="80"/>
      <c r="B2703" s="80"/>
      <c r="C2703" s="80"/>
      <c r="D2703" s="59"/>
      <c r="E2703" s="59"/>
      <c r="F2703" s="83"/>
      <c r="G2703" s="76"/>
      <c r="H2703" s="76"/>
      <c r="I2703" s="76"/>
      <c r="J2703" s="93"/>
      <c r="K2703" s="93"/>
      <c r="L2703" s="82"/>
      <c r="M2703" s="54"/>
      <c r="N2703" s="54"/>
      <c r="O2703" s="54"/>
      <c r="P2703" s="54"/>
      <c r="Q2703" s="54"/>
      <c r="R2703" s="54"/>
      <c r="S2703" s="54"/>
      <c r="T2703" s="54"/>
      <c r="U2703" s="54"/>
      <c r="V2703" s="54"/>
      <c r="W2703" s="54"/>
      <c r="X2703" s="54"/>
      <c r="Y2703" s="54"/>
      <c r="Z2703" s="54"/>
      <c r="AA2703" s="54"/>
      <c r="AB2703" s="54"/>
      <c r="AC2703" s="54"/>
      <c r="AD2703" s="54"/>
      <c r="AE2703" s="54"/>
    </row>
    <row r="2704">
      <c r="A2704" s="80"/>
      <c r="B2704" s="80"/>
      <c r="C2704" s="80"/>
      <c r="D2704" s="59"/>
      <c r="E2704" s="59"/>
      <c r="F2704" s="83"/>
      <c r="G2704" s="76"/>
      <c r="H2704" s="76"/>
      <c r="I2704" s="76"/>
      <c r="J2704" s="93"/>
      <c r="K2704" s="93"/>
      <c r="L2704" s="82"/>
      <c r="M2704" s="54"/>
      <c r="N2704" s="54"/>
      <c r="O2704" s="54"/>
      <c r="P2704" s="54"/>
      <c r="Q2704" s="54"/>
      <c r="R2704" s="54"/>
      <c r="S2704" s="54"/>
      <c r="T2704" s="54"/>
      <c r="U2704" s="54"/>
      <c r="V2704" s="54"/>
      <c r="W2704" s="54"/>
      <c r="X2704" s="54"/>
      <c r="Y2704" s="54"/>
      <c r="Z2704" s="54"/>
      <c r="AA2704" s="54"/>
      <c r="AB2704" s="54"/>
      <c r="AC2704" s="54"/>
      <c r="AD2704" s="54"/>
      <c r="AE2704" s="54"/>
    </row>
    <row r="2705">
      <c r="A2705" s="80"/>
      <c r="B2705" s="80"/>
      <c r="C2705" s="80"/>
      <c r="D2705" s="59"/>
      <c r="E2705" s="59"/>
      <c r="F2705" s="83"/>
      <c r="G2705" s="76"/>
      <c r="H2705" s="76"/>
      <c r="I2705" s="76"/>
      <c r="J2705" s="93"/>
      <c r="K2705" s="93"/>
      <c r="L2705" s="82"/>
      <c r="M2705" s="54"/>
      <c r="N2705" s="54"/>
      <c r="O2705" s="54"/>
      <c r="P2705" s="54"/>
      <c r="Q2705" s="54"/>
      <c r="R2705" s="54"/>
      <c r="S2705" s="54"/>
      <c r="T2705" s="54"/>
      <c r="U2705" s="54"/>
      <c r="V2705" s="54"/>
      <c r="W2705" s="54"/>
      <c r="X2705" s="54"/>
      <c r="Y2705" s="54"/>
      <c r="Z2705" s="54"/>
      <c r="AA2705" s="54"/>
      <c r="AB2705" s="54"/>
      <c r="AC2705" s="54"/>
      <c r="AD2705" s="54"/>
      <c r="AE2705" s="54"/>
    </row>
    <row r="2706">
      <c r="A2706" s="80"/>
      <c r="B2706" s="80"/>
      <c r="C2706" s="80"/>
      <c r="D2706" s="59"/>
      <c r="E2706" s="59"/>
      <c r="F2706" s="83"/>
      <c r="G2706" s="76"/>
      <c r="H2706" s="76"/>
      <c r="I2706" s="76"/>
      <c r="J2706" s="93"/>
      <c r="K2706" s="93"/>
      <c r="L2706" s="82"/>
      <c r="M2706" s="54"/>
      <c r="N2706" s="54"/>
      <c r="O2706" s="54"/>
      <c r="P2706" s="54"/>
      <c r="Q2706" s="54"/>
      <c r="R2706" s="54"/>
      <c r="S2706" s="54"/>
      <c r="T2706" s="54"/>
      <c r="U2706" s="54"/>
      <c r="V2706" s="54"/>
      <c r="W2706" s="54"/>
      <c r="X2706" s="54"/>
      <c r="Y2706" s="54"/>
      <c r="Z2706" s="54"/>
      <c r="AA2706" s="54"/>
      <c r="AB2706" s="54"/>
      <c r="AC2706" s="54"/>
      <c r="AD2706" s="54"/>
      <c r="AE2706" s="54"/>
    </row>
    <row r="2707">
      <c r="A2707" s="80"/>
      <c r="B2707" s="80"/>
      <c r="C2707" s="80"/>
      <c r="D2707" s="59"/>
      <c r="E2707" s="59"/>
      <c r="F2707" s="83"/>
      <c r="G2707" s="76"/>
      <c r="H2707" s="76"/>
      <c r="I2707" s="76"/>
      <c r="J2707" s="93"/>
      <c r="K2707" s="93"/>
      <c r="L2707" s="82"/>
      <c r="M2707" s="54"/>
      <c r="N2707" s="54"/>
      <c r="O2707" s="54"/>
      <c r="P2707" s="54"/>
      <c r="Q2707" s="54"/>
      <c r="R2707" s="54"/>
      <c r="S2707" s="54"/>
      <c r="T2707" s="54"/>
      <c r="U2707" s="54"/>
      <c r="V2707" s="54"/>
      <c r="W2707" s="54"/>
      <c r="X2707" s="54"/>
      <c r="Y2707" s="54"/>
      <c r="Z2707" s="54"/>
      <c r="AA2707" s="54"/>
      <c r="AB2707" s="54"/>
      <c r="AC2707" s="54"/>
      <c r="AD2707" s="54"/>
      <c r="AE2707" s="54"/>
    </row>
    <row r="2708">
      <c r="A2708" s="80"/>
      <c r="B2708" s="80"/>
      <c r="C2708" s="80"/>
      <c r="D2708" s="59"/>
      <c r="E2708" s="59"/>
      <c r="F2708" s="83"/>
      <c r="G2708" s="76"/>
      <c r="H2708" s="76"/>
      <c r="I2708" s="76"/>
      <c r="J2708" s="93"/>
      <c r="K2708" s="93"/>
      <c r="L2708" s="82"/>
      <c r="M2708" s="54"/>
      <c r="N2708" s="54"/>
      <c r="O2708" s="54"/>
      <c r="P2708" s="54"/>
      <c r="Q2708" s="54"/>
      <c r="R2708" s="54"/>
      <c r="S2708" s="54"/>
      <c r="T2708" s="54"/>
      <c r="U2708" s="54"/>
      <c r="V2708" s="54"/>
      <c r="W2708" s="54"/>
      <c r="X2708" s="54"/>
      <c r="Y2708" s="54"/>
      <c r="Z2708" s="54"/>
      <c r="AA2708" s="54"/>
      <c r="AB2708" s="54"/>
      <c r="AC2708" s="54"/>
      <c r="AD2708" s="54"/>
      <c r="AE2708" s="54"/>
    </row>
    <row r="2709">
      <c r="A2709" s="80"/>
      <c r="B2709" s="80"/>
      <c r="C2709" s="80"/>
      <c r="D2709" s="59"/>
      <c r="E2709" s="59"/>
      <c r="F2709" s="83"/>
      <c r="G2709" s="76"/>
      <c r="H2709" s="76"/>
      <c r="I2709" s="76"/>
      <c r="J2709" s="93"/>
      <c r="K2709" s="93"/>
      <c r="L2709" s="82"/>
      <c r="M2709" s="54"/>
      <c r="N2709" s="54"/>
      <c r="O2709" s="54"/>
      <c r="P2709" s="54"/>
      <c r="Q2709" s="54"/>
      <c r="R2709" s="54"/>
      <c r="S2709" s="54"/>
      <c r="T2709" s="54"/>
      <c r="U2709" s="54"/>
      <c r="V2709" s="54"/>
      <c r="W2709" s="54"/>
      <c r="X2709" s="54"/>
      <c r="Y2709" s="54"/>
      <c r="Z2709" s="54"/>
      <c r="AA2709" s="54"/>
      <c r="AB2709" s="54"/>
      <c r="AC2709" s="54"/>
      <c r="AD2709" s="54"/>
      <c r="AE2709" s="54"/>
    </row>
    <row r="2710">
      <c r="A2710" s="80"/>
      <c r="B2710" s="80"/>
      <c r="C2710" s="80"/>
      <c r="D2710" s="59"/>
      <c r="E2710" s="59"/>
      <c r="F2710" s="83"/>
      <c r="G2710" s="76"/>
      <c r="H2710" s="76"/>
      <c r="I2710" s="76"/>
      <c r="J2710" s="93"/>
      <c r="K2710" s="93"/>
      <c r="L2710" s="82"/>
      <c r="M2710" s="54"/>
      <c r="N2710" s="54"/>
      <c r="O2710" s="54"/>
      <c r="P2710" s="54"/>
      <c r="Q2710" s="54"/>
      <c r="R2710" s="54"/>
      <c r="S2710" s="54"/>
      <c r="T2710" s="54"/>
      <c r="U2710" s="54"/>
      <c r="V2710" s="54"/>
      <c r="W2710" s="54"/>
      <c r="X2710" s="54"/>
      <c r="Y2710" s="54"/>
      <c r="Z2710" s="54"/>
      <c r="AA2710" s="54"/>
      <c r="AB2710" s="54"/>
      <c r="AC2710" s="54"/>
      <c r="AD2710" s="54"/>
      <c r="AE2710" s="54"/>
    </row>
    <row r="2711">
      <c r="A2711" s="80"/>
      <c r="B2711" s="80"/>
      <c r="C2711" s="80"/>
      <c r="D2711" s="59"/>
      <c r="E2711" s="59"/>
      <c r="F2711" s="83"/>
      <c r="G2711" s="76"/>
      <c r="H2711" s="76"/>
      <c r="I2711" s="76"/>
      <c r="J2711" s="93"/>
      <c r="K2711" s="93"/>
      <c r="L2711" s="82"/>
      <c r="M2711" s="54"/>
      <c r="N2711" s="54"/>
      <c r="O2711" s="54"/>
      <c r="P2711" s="54"/>
      <c r="Q2711" s="54"/>
      <c r="R2711" s="54"/>
      <c r="S2711" s="54"/>
      <c r="T2711" s="54"/>
      <c r="U2711" s="54"/>
      <c r="V2711" s="54"/>
      <c r="W2711" s="54"/>
      <c r="X2711" s="54"/>
      <c r="Y2711" s="54"/>
      <c r="Z2711" s="54"/>
      <c r="AA2711" s="54"/>
      <c r="AB2711" s="54"/>
      <c r="AC2711" s="54"/>
      <c r="AD2711" s="54"/>
      <c r="AE2711" s="54"/>
    </row>
    <row r="2712">
      <c r="A2712" s="80"/>
      <c r="B2712" s="80"/>
      <c r="C2712" s="80"/>
      <c r="D2712" s="59"/>
      <c r="E2712" s="59"/>
      <c r="F2712" s="83"/>
      <c r="G2712" s="76"/>
      <c r="H2712" s="76"/>
      <c r="I2712" s="76"/>
      <c r="J2712" s="93"/>
      <c r="K2712" s="93"/>
      <c r="L2712" s="82"/>
      <c r="M2712" s="54"/>
      <c r="N2712" s="54"/>
      <c r="O2712" s="54"/>
      <c r="P2712" s="54"/>
      <c r="Q2712" s="54"/>
      <c r="R2712" s="54"/>
      <c r="S2712" s="54"/>
      <c r="T2712" s="54"/>
      <c r="U2712" s="54"/>
      <c r="V2712" s="54"/>
      <c r="W2712" s="54"/>
      <c r="X2712" s="54"/>
      <c r="Y2712" s="54"/>
      <c r="Z2712" s="54"/>
      <c r="AA2712" s="54"/>
      <c r="AB2712" s="54"/>
      <c r="AC2712" s="54"/>
      <c r="AD2712" s="54"/>
      <c r="AE2712" s="54"/>
    </row>
    <row r="2713">
      <c r="A2713" s="80"/>
      <c r="B2713" s="80"/>
      <c r="C2713" s="80"/>
      <c r="D2713" s="59"/>
      <c r="E2713" s="59"/>
      <c r="F2713" s="83"/>
      <c r="G2713" s="76"/>
      <c r="H2713" s="76"/>
      <c r="I2713" s="76"/>
      <c r="J2713" s="93"/>
      <c r="K2713" s="93"/>
      <c r="L2713" s="82"/>
      <c r="M2713" s="54"/>
      <c r="N2713" s="54"/>
      <c r="O2713" s="54"/>
      <c r="P2713" s="54"/>
      <c r="Q2713" s="54"/>
      <c r="R2713" s="54"/>
      <c r="S2713" s="54"/>
      <c r="T2713" s="54"/>
      <c r="U2713" s="54"/>
      <c r="V2713" s="54"/>
      <c r="W2713" s="54"/>
      <c r="X2713" s="54"/>
      <c r="Y2713" s="54"/>
      <c r="Z2713" s="54"/>
      <c r="AA2713" s="54"/>
      <c r="AB2713" s="54"/>
      <c r="AC2713" s="54"/>
      <c r="AD2713" s="54"/>
      <c r="AE2713" s="54"/>
    </row>
    <row r="2714">
      <c r="A2714" s="80"/>
      <c r="B2714" s="80"/>
      <c r="C2714" s="80"/>
      <c r="D2714" s="59"/>
      <c r="E2714" s="59"/>
      <c r="F2714" s="83"/>
      <c r="G2714" s="76"/>
      <c r="H2714" s="76"/>
      <c r="I2714" s="76"/>
      <c r="J2714" s="93"/>
      <c r="K2714" s="93"/>
      <c r="L2714" s="82"/>
      <c r="M2714" s="54"/>
      <c r="N2714" s="54"/>
      <c r="O2714" s="54"/>
      <c r="P2714" s="54"/>
      <c r="Q2714" s="54"/>
      <c r="R2714" s="54"/>
      <c r="S2714" s="54"/>
      <c r="T2714" s="54"/>
      <c r="U2714" s="54"/>
      <c r="V2714" s="54"/>
      <c r="W2714" s="54"/>
      <c r="X2714" s="54"/>
      <c r="Y2714" s="54"/>
      <c r="Z2714" s="54"/>
      <c r="AA2714" s="54"/>
      <c r="AB2714" s="54"/>
      <c r="AC2714" s="54"/>
      <c r="AD2714" s="54"/>
      <c r="AE2714" s="54"/>
    </row>
    <row r="2715">
      <c r="A2715" s="80"/>
      <c r="B2715" s="80"/>
      <c r="C2715" s="80"/>
      <c r="D2715" s="59"/>
      <c r="E2715" s="59"/>
      <c r="F2715" s="83"/>
      <c r="G2715" s="76"/>
      <c r="H2715" s="76"/>
      <c r="I2715" s="76"/>
      <c r="J2715" s="93"/>
      <c r="K2715" s="93"/>
      <c r="L2715" s="82"/>
      <c r="M2715" s="54"/>
      <c r="N2715" s="54"/>
      <c r="O2715" s="54"/>
      <c r="P2715" s="54"/>
      <c r="Q2715" s="54"/>
      <c r="R2715" s="54"/>
      <c r="S2715" s="54"/>
      <c r="T2715" s="54"/>
      <c r="U2715" s="54"/>
      <c r="V2715" s="54"/>
      <c r="W2715" s="54"/>
      <c r="X2715" s="54"/>
      <c r="Y2715" s="54"/>
      <c r="Z2715" s="54"/>
      <c r="AA2715" s="54"/>
      <c r="AB2715" s="54"/>
      <c r="AC2715" s="54"/>
      <c r="AD2715" s="54"/>
      <c r="AE2715" s="54"/>
    </row>
    <row r="2716">
      <c r="A2716" s="80"/>
      <c r="B2716" s="80"/>
      <c r="C2716" s="80"/>
      <c r="D2716" s="59"/>
      <c r="E2716" s="59"/>
      <c r="F2716" s="83"/>
      <c r="G2716" s="76"/>
      <c r="H2716" s="76"/>
      <c r="I2716" s="76"/>
      <c r="J2716" s="93"/>
      <c r="K2716" s="93"/>
      <c r="L2716" s="82"/>
      <c r="M2716" s="54"/>
      <c r="N2716" s="54"/>
      <c r="O2716" s="54"/>
      <c r="P2716" s="54"/>
      <c r="Q2716" s="54"/>
      <c r="R2716" s="54"/>
      <c r="S2716" s="54"/>
      <c r="T2716" s="54"/>
      <c r="U2716" s="54"/>
      <c r="V2716" s="54"/>
      <c r="W2716" s="54"/>
      <c r="X2716" s="54"/>
      <c r="Y2716" s="54"/>
      <c r="Z2716" s="54"/>
      <c r="AA2716" s="54"/>
      <c r="AB2716" s="54"/>
      <c r="AC2716" s="54"/>
      <c r="AD2716" s="54"/>
      <c r="AE2716" s="54"/>
    </row>
    <row r="2717">
      <c r="A2717" s="80"/>
      <c r="B2717" s="80"/>
      <c r="C2717" s="80"/>
      <c r="D2717" s="59"/>
      <c r="E2717" s="59"/>
      <c r="F2717" s="83"/>
      <c r="G2717" s="76"/>
      <c r="H2717" s="76"/>
      <c r="I2717" s="76"/>
      <c r="J2717" s="93"/>
      <c r="K2717" s="93"/>
      <c r="L2717" s="82"/>
      <c r="M2717" s="54"/>
      <c r="N2717" s="54"/>
      <c r="O2717" s="54"/>
      <c r="P2717" s="54"/>
      <c r="Q2717" s="54"/>
      <c r="R2717" s="54"/>
      <c r="S2717" s="54"/>
      <c r="T2717" s="54"/>
      <c r="U2717" s="54"/>
      <c r="V2717" s="54"/>
      <c r="W2717" s="54"/>
      <c r="X2717" s="54"/>
      <c r="Y2717" s="54"/>
      <c r="Z2717" s="54"/>
      <c r="AA2717" s="54"/>
      <c r="AB2717" s="54"/>
      <c r="AC2717" s="54"/>
      <c r="AD2717" s="54"/>
      <c r="AE2717" s="54"/>
    </row>
    <row r="2718">
      <c r="A2718" s="80"/>
      <c r="B2718" s="80"/>
      <c r="C2718" s="80"/>
      <c r="D2718" s="59"/>
      <c r="E2718" s="59"/>
      <c r="F2718" s="83"/>
      <c r="G2718" s="76"/>
      <c r="H2718" s="76"/>
      <c r="I2718" s="76"/>
      <c r="J2718" s="93"/>
      <c r="K2718" s="93"/>
      <c r="L2718" s="82"/>
      <c r="M2718" s="54"/>
      <c r="N2718" s="54"/>
      <c r="O2718" s="54"/>
      <c r="P2718" s="54"/>
      <c r="Q2718" s="54"/>
      <c r="R2718" s="54"/>
      <c r="S2718" s="54"/>
      <c r="T2718" s="54"/>
      <c r="U2718" s="54"/>
      <c r="V2718" s="54"/>
      <c r="W2718" s="54"/>
      <c r="X2718" s="54"/>
      <c r="Y2718" s="54"/>
      <c r="Z2718" s="54"/>
      <c r="AA2718" s="54"/>
      <c r="AB2718" s="54"/>
      <c r="AC2718" s="54"/>
      <c r="AD2718" s="54"/>
      <c r="AE2718" s="54"/>
    </row>
    <row r="2719">
      <c r="A2719" s="80"/>
      <c r="B2719" s="80"/>
      <c r="C2719" s="80"/>
      <c r="D2719" s="59"/>
      <c r="E2719" s="59"/>
      <c r="F2719" s="83"/>
      <c r="G2719" s="76"/>
      <c r="H2719" s="76"/>
      <c r="I2719" s="76"/>
      <c r="J2719" s="93"/>
      <c r="K2719" s="93"/>
      <c r="L2719" s="82"/>
      <c r="M2719" s="54"/>
      <c r="N2719" s="54"/>
      <c r="O2719" s="54"/>
      <c r="P2719" s="54"/>
      <c r="Q2719" s="54"/>
      <c r="R2719" s="54"/>
      <c r="S2719" s="54"/>
      <c r="T2719" s="54"/>
      <c r="U2719" s="54"/>
      <c r="V2719" s="54"/>
      <c r="W2719" s="54"/>
      <c r="X2719" s="54"/>
      <c r="Y2719" s="54"/>
      <c r="Z2719" s="54"/>
      <c r="AA2719" s="54"/>
      <c r="AB2719" s="54"/>
      <c r="AC2719" s="54"/>
      <c r="AD2719" s="54"/>
      <c r="AE2719" s="54"/>
    </row>
    <row r="2720">
      <c r="A2720" s="80"/>
      <c r="B2720" s="80"/>
      <c r="C2720" s="80"/>
      <c r="D2720" s="59"/>
      <c r="E2720" s="59"/>
      <c r="F2720" s="83"/>
      <c r="G2720" s="76"/>
      <c r="H2720" s="76"/>
      <c r="I2720" s="76"/>
      <c r="J2720" s="93"/>
      <c r="K2720" s="93"/>
      <c r="L2720" s="82"/>
      <c r="M2720" s="54"/>
      <c r="N2720" s="54"/>
      <c r="O2720" s="54"/>
      <c r="P2720" s="54"/>
      <c r="Q2720" s="54"/>
      <c r="R2720" s="54"/>
      <c r="S2720" s="54"/>
      <c r="T2720" s="54"/>
      <c r="U2720" s="54"/>
      <c r="V2720" s="54"/>
      <c r="W2720" s="54"/>
      <c r="X2720" s="54"/>
      <c r="Y2720" s="54"/>
      <c r="Z2720" s="54"/>
      <c r="AA2720" s="54"/>
      <c r="AB2720" s="54"/>
      <c r="AC2720" s="54"/>
      <c r="AD2720" s="54"/>
      <c r="AE2720" s="54"/>
    </row>
    <row r="2721">
      <c r="A2721" s="80"/>
      <c r="B2721" s="80"/>
      <c r="C2721" s="80"/>
      <c r="D2721" s="59"/>
      <c r="E2721" s="59"/>
      <c r="F2721" s="83"/>
      <c r="G2721" s="76"/>
      <c r="H2721" s="76"/>
      <c r="I2721" s="76"/>
      <c r="J2721" s="93"/>
      <c r="K2721" s="93"/>
      <c r="L2721" s="82"/>
      <c r="M2721" s="54"/>
      <c r="N2721" s="54"/>
      <c r="O2721" s="54"/>
      <c r="P2721" s="54"/>
      <c r="Q2721" s="54"/>
      <c r="R2721" s="54"/>
      <c r="S2721" s="54"/>
      <c r="T2721" s="54"/>
      <c r="U2721" s="54"/>
      <c r="V2721" s="54"/>
      <c r="W2721" s="54"/>
      <c r="X2721" s="54"/>
      <c r="Y2721" s="54"/>
      <c r="Z2721" s="54"/>
      <c r="AA2721" s="54"/>
      <c r="AB2721" s="54"/>
      <c r="AC2721" s="54"/>
      <c r="AD2721" s="54"/>
      <c r="AE2721" s="54"/>
    </row>
    <row r="2722">
      <c r="A2722" s="80"/>
      <c r="B2722" s="80"/>
      <c r="C2722" s="80"/>
      <c r="D2722" s="59"/>
      <c r="E2722" s="59"/>
      <c r="F2722" s="83"/>
      <c r="G2722" s="76"/>
      <c r="H2722" s="76"/>
      <c r="I2722" s="76"/>
      <c r="J2722" s="93"/>
      <c r="K2722" s="93"/>
      <c r="L2722" s="82"/>
      <c r="M2722" s="54"/>
      <c r="N2722" s="54"/>
      <c r="O2722" s="54"/>
      <c r="P2722" s="54"/>
      <c r="Q2722" s="54"/>
      <c r="R2722" s="54"/>
      <c r="S2722" s="54"/>
      <c r="T2722" s="54"/>
      <c r="U2722" s="54"/>
      <c r="V2722" s="54"/>
      <c r="W2722" s="54"/>
      <c r="X2722" s="54"/>
      <c r="Y2722" s="54"/>
      <c r="Z2722" s="54"/>
      <c r="AA2722" s="54"/>
      <c r="AB2722" s="54"/>
      <c r="AC2722" s="54"/>
      <c r="AD2722" s="54"/>
      <c r="AE2722" s="5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20.75"/>
    <col customWidth="1" min="3" max="3" width="22.5"/>
    <col customWidth="1" min="4" max="4" width="22.25"/>
    <col customWidth="1" min="11" max="11" width="14.38"/>
  </cols>
  <sheetData>
    <row r="1">
      <c r="A1" s="1" t="s">
        <v>6</v>
      </c>
      <c r="B1" s="1" t="s">
        <v>728</v>
      </c>
      <c r="C1" s="1" t="s">
        <v>729</v>
      </c>
      <c r="D1" s="1" t="s">
        <v>730</v>
      </c>
      <c r="E1" s="1" t="s">
        <v>39</v>
      </c>
      <c r="F1" s="1" t="s">
        <v>40</v>
      </c>
      <c r="G1" s="1" t="s">
        <v>731</v>
      </c>
      <c r="H1" s="1" t="s">
        <v>733</v>
      </c>
      <c r="I1" s="1" t="s">
        <v>48</v>
      </c>
      <c r="J1" s="1" t="s">
        <v>734</v>
      </c>
      <c r="K1" s="1" t="s">
        <v>1</v>
      </c>
      <c r="L1" s="1" t="s">
        <v>13</v>
      </c>
      <c r="M1" s="6"/>
      <c r="N1" s="6"/>
      <c r="O1" s="6"/>
      <c r="P1" s="6"/>
      <c r="Q1" s="6"/>
      <c r="R1" s="6"/>
      <c r="S1" s="6"/>
      <c r="T1" s="6"/>
      <c r="U1" s="6"/>
      <c r="V1" s="6"/>
      <c r="W1" s="6"/>
      <c r="X1" s="6"/>
      <c r="Y1" s="6"/>
      <c r="Z1" s="6"/>
      <c r="AA1" s="6"/>
      <c r="AB1" s="6"/>
      <c r="AC1" s="6"/>
    </row>
    <row r="2">
      <c r="A2" s="11" t="s">
        <v>154</v>
      </c>
      <c r="B2" s="11" t="s">
        <v>735</v>
      </c>
      <c r="C2" s="11" t="s">
        <v>736</v>
      </c>
      <c r="D2" s="11" t="s">
        <v>737</v>
      </c>
      <c r="E2" s="81">
        <v>1984.0</v>
      </c>
      <c r="F2" s="81">
        <v>955.0</v>
      </c>
      <c r="G2" s="11" t="s">
        <v>188</v>
      </c>
      <c r="H2" s="11" t="s">
        <v>188</v>
      </c>
      <c r="I2" s="11" t="s">
        <v>260</v>
      </c>
      <c r="J2" s="11" t="s">
        <v>74</v>
      </c>
      <c r="K2" s="39" t="s">
        <v>738</v>
      </c>
      <c r="L2" s="11" t="s">
        <v>740</v>
      </c>
    </row>
    <row r="3">
      <c r="A3" s="11" t="s">
        <v>154</v>
      </c>
      <c r="B3" s="11" t="s">
        <v>735</v>
      </c>
      <c r="C3" s="11" t="s">
        <v>736</v>
      </c>
      <c r="D3" s="11" t="s">
        <v>737</v>
      </c>
      <c r="E3" s="81">
        <v>1986.0</v>
      </c>
      <c r="F3" s="81">
        <v>1382.0</v>
      </c>
      <c r="G3" s="11" t="s">
        <v>188</v>
      </c>
      <c r="H3" s="11" t="s">
        <v>188</v>
      </c>
      <c r="I3" s="11" t="s">
        <v>260</v>
      </c>
      <c r="J3" s="11" t="s">
        <v>74</v>
      </c>
      <c r="K3" s="67" t="s">
        <v>742</v>
      </c>
      <c r="L3" s="11" t="s">
        <v>740</v>
      </c>
    </row>
    <row r="4">
      <c r="A4" s="11" t="s">
        <v>154</v>
      </c>
      <c r="B4" s="11" t="s">
        <v>735</v>
      </c>
      <c r="C4" s="11" t="s">
        <v>736</v>
      </c>
      <c r="D4" s="11" t="s">
        <v>737</v>
      </c>
      <c r="E4" s="81">
        <v>1988.0</v>
      </c>
      <c r="F4" s="81">
        <v>1665.0</v>
      </c>
      <c r="G4" s="11" t="s">
        <v>188</v>
      </c>
      <c r="H4" s="11" t="s">
        <v>188</v>
      </c>
      <c r="I4" s="11" t="s">
        <v>260</v>
      </c>
      <c r="J4" s="11" t="s">
        <v>74</v>
      </c>
      <c r="K4" s="67" t="s">
        <v>743</v>
      </c>
      <c r="L4" s="11" t="s">
        <v>740</v>
      </c>
    </row>
    <row r="5" ht="16.5" customHeight="1">
      <c r="A5" s="11" t="s">
        <v>154</v>
      </c>
      <c r="B5" s="11" t="s">
        <v>735</v>
      </c>
      <c r="C5" s="11" t="s">
        <v>736</v>
      </c>
      <c r="D5" s="11" t="s">
        <v>737</v>
      </c>
      <c r="E5" s="81">
        <v>1991.0</v>
      </c>
      <c r="F5" s="81">
        <v>2234.0</v>
      </c>
      <c r="G5" s="11" t="s">
        <v>188</v>
      </c>
      <c r="H5" s="11" t="s">
        <v>188</v>
      </c>
      <c r="I5" s="11" t="s">
        <v>260</v>
      </c>
      <c r="J5" s="11" t="s">
        <v>74</v>
      </c>
      <c r="K5" s="67" t="s">
        <v>744</v>
      </c>
      <c r="L5" s="11" t="s">
        <v>740</v>
      </c>
    </row>
    <row r="6">
      <c r="A6" s="11" t="s">
        <v>154</v>
      </c>
      <c r="B6" s="11" t="s">
        <v>735</v>
      </c>
      <c r="C6" s="11" t="s">
        <v>736</v>
      </c>
      <c r="D6" s="11" t="s">
        <v>737</v>
      </c>
      <c r="E6" s="81">
        <v>1993.0</v>
      </c>
      <c r="F6" s="81">
        <v>2946.0</v>
      </c>
      <c r="G6" s="11" t="s">
        <v>188</v>
      </c>
      <c r="H6" s="11" t="s">
        <v>188</v>
      </c>
      <c r="I6" s="11" t="s">
        <v>260</v>
      </c>
      <c r="J6" s="11" t="s">
        <v>74</v>
      </c>
      <c r="K6" s="67" t="s">
        <v>746</v>
      </c>
      <c r="L6" s="11" t="s">
        <v>740</v>
      </c>
    </row>
    <row r="7">
      <c r="A7" s="11" t="s">
        <v>154</v>
      </c>
      <c r="B7" s="11" t="s">
        <v>735</v>
      </c>
      <c r="C7" s="11" t="s">
        <v>736</v>
      </c>
      <c r="D7" s="11" t="s">
        <v>737</v>
      </c>
      <c r="E7" s="81">
        <v>1995.0</v>
      </c>
      <c r="F7" s="81">
        <v>3515.0</v>
      </c>
      <c r="G7" s="11" t="s">
        <v>188</v>
      </c>
      <c r="H7" s="11" t="s">
        <v>188</v>
      </c>
      <c r="I7" s="11" t="s">
        <v>260</v>
      </c>
      <c r="J7" s="11" t="s">
        <v>74</v>
      </c>
      <c r="K7" s="67" t="s">
        <v>747</v>
      </c>
      <c r="L7" s="11" t="s">
        <v>740</v>
      </c>
    </row>
    <row r="8">
      <c r="A8" s="11" t="s">
        <v>154</v>
      </c>
      <c r="B8" s="11" t="s">
        <v>735</v>
      </c>
      <c r="C8" s="11" t="s">
        <v>736</v>
      </c>
      <c r="D8" s="11" t="s">
        <v>737</v>
      </c>
      <c r="E8" s="81">
        <v>1998.0</v>
      </c>
      <c r="F8" s="81">
        <v>4513.0</v>
      </c>
      <c r="G8" s="11" t="s">
        <v>188</v>
      </c>
      <c r="H8" s="11" t="s">
        <v>188</v>
      </c>
      <c r="I8" s="11" t="s">
        <v>260</v>
      </c>
      <c r="J8" s="11" t="s">
        <v>74</v>
      </c>
      <c r="K8" s="67" t="s">
        <v>748</v>
      </c>
      <c r="L8" s="11" t="s">
        <v>740</v>
      </c>
    </row>
    <row r="9">
      <c r="A9" s="11" t="s">
        <v>154</v>
      </c>
      <c r="B9" s="11" t="s">
        <v>735</v>
      </c>
      <c r="C9" s="11" t="s">
        <v>736</v>
      </c>
      <c r="D9" s="11" t="s">
        <v>737</v>
      </c>
      <c r="E9" s="81">
        <v>2001.0</v>
      </c>
      <c r="F9" s="81">
        <v>5795.0</v>
      </c>
      <c r="G9" s="11" t="s">
        <v>188</v>
      </c>
      <c r="H9" s="11" t="s">
        <v>188</v>
      </c>
      <c r="I9" s="11" t="s">
        <v>260</v>
      </c>
      <c r="J9" s="11" t="s">
        <v>74</v>
      </c>
      <c r="K9" s="67" t="s">
        <v>749</v>
      </c>
      <c r="L9" s="11" t="s">
        <v>740</v>
      </c>
    </row>
    <row r="10">
      <c r="A10" s="11" t="s">
        <v>154</v>
      </c>
      <c r="B10" s="11" t="s">
        <v>735</v>
      </c>
      <c r="C10" s="11" t="s">
        <v>736</v>
      </c>
      <c r="D10" s="11" t="s">
        <v>737</v>
      </c>
      <c r="E10" s="81">
        <v>2004.0</v>
      </c>
      <c r="F10" s="81">
        <v>7935.0</v>
      </c>
      <c r="G10" s="11" t="s">
        <v>188</v>
      </c>
      <c r="H10" s="11" t="s">
        <v>188</v>
      </c>
      <c r="I10" s="11" t="s">
        <v>260</v>
      </c>
      <c r="J10" s="11" t="s">
        <v>74</v>
      </c>
      <c r="K10" s="67" t="s">
        <v>750</v>
      </c>
      <c r="L10" s="11" t="s">
        <v>740</v>
      </c>
    </row>
    <row r="11">
      <c r="A11" s="11" t="s">
        <v>154</v>
      </c>
      <c r="B11" s="11" t="s">
        <v>735</v>
      </c>
      <c r="C11" s="11" t="s">
        <v>736</v>
      </c>
      <c r="D11" s="11" t="s">
        <v>737</v>
      </c>
      <c r="E11" s="81">
        <v>2007.0</v>
      </c>
      <c r="F11" s="81">
        <v>10646.0</v>
      </c>
      <c r="G11" s="11" t="s">
        <v>188</v>
      </c>
      <c r="H11" s="11" t="s">
        <v>188</v>
      </c>
      <c r="I11" s="11" t="s">
        <v>260</v>
      </c>
      <c r="J11" s="11" t="s">
        <v>74</v>
      </c>
      <c r="K11" s="67" t="s">
        <v>752</v>
      </c>
      <c r="L11" s="11" t="s">
        <v>740</v>
      </c>
    </row>
    <row r="12">
      <c r="A12" s="11" t="s">
        <v>154</v>
      </c>
      <c r="B12" s="11" t="s">
        <v>735</v>
      </c>
      <c r="C12" s="11" t="s">
        <v>736</v>
      </c>
      <c r="D12" s="11" t="s">
        <v>737</v>
      </c>
      <c r="E12" s="81">
        <v>2010.0</v>
      </c>
      <c r="F12" s="81">
        <v>14500.0</v>
      </c>
      <c r="G12" s="11" t="s">
        <v>188</v>
      </c>
      <c r="H12" s="11" t="s">
        <v>188</v>
      </c>
      <c r="I12" s="11" t="s">
        <v>260</v>
      </c>
      <c r="J12" s="11" t="s">
        <v>74</v>
      </c>
      <c r="K12" s="67" t="s">
        <v>754</v>
      </c>
      <c r="L12" s="11" t="s">
        <v>740</v>
      </c>
    </row>
    <row r="13">
      <c r="A13" s="11" t="s">
        <v>154</v>
      </c>
      <c r="B13" s="11" t="s">
        <v>735</v>
      </c>
      <c r="C13" s="11" t="s">
        <v>736</v>
      </c>
      <c r="D13" s="11" t="s">
        <v>737</v>
      </c>
      <c r="E13" s="81">
        <v>2015.0</v>
      </c>
      <c r="F13" s="81">
        <v>24495.0</v>
      </c>
      <c r="G13" s="11" t="s">
        <v>188</v>
      </c>
      <c r="H13" s="11" t="s">
        <v>188</v>
      </c>
      <c r="I13" s="11" t="s">
        <v>260</v>
      </c>
      <c r="J13" s="11" t="s">
        <v>74</v>
      </c>
      <c r="K13" s="67" t="s">
        <v>755</v>
      </c>
      <c r="L13" s="11" t="s">
        <v>740</v>
      </c>
    </row>
    <row r="14">
      <c r="A14" s="11" t="s">
        <v>505</v>
      </c>
      <c r="B14" s="11" t="s">
        <v>756</v>
      </c>
      <c r="C14" s="11" t="s">
        <v>757</v>
      </c>
      <c r="D14" s="11" t="s">
        <v>758</v>
      </c>
      <c r="E14" s="11">
        <v>1985.0</v>
      </c>
      <c r="F14" s="11">
        <v>2.0</v>
      </c>
      <c r="G14" s="11" t="s">
        <v>188</v>
      </c>
      <c r="H14" s="11">
        <v>10.0</v>
      </c>
      <c r="I14" s="11" t="s">
        <v>260</v>
      </c>
      <c r="J14" s="11" t="s">
        <v>759</v>
      </c>
      <c r="K14" s="11" t="s">
        <v>511</v>
      </c>
    </row>
    <row r="15">
      <c r="A15" s="11" t="s">
        <v>505</v>
      </c>
      <c r="B15" s="11" t="s">
        <v>756</v>
      </c>
      <c r="C15" s="11" t="s">
        <v>757</v>
      </c>
      <c r="D15" s="11" t="s">
        <v>758</v>
      </c>
      <c r="E15" s="11">
        <v>1986.0</v>
      </c>
      <c r="F15" s="11">
        <v>4.0</v>
      </c>
      <c r="G15" s="11">
        <v>1.0</v>
      </c>
      <c r="H15" s="11">
        <v>14.0</v>
      </c>
      <c r="I15" s="11" t="s">
        <v>260</v>
      </c>
      <c r="J15" s="11" t="s">
        <v>759</v>
      </c>
      <c r="K15" s="11" t="s">
        <v>760</v>
      </c>
    </row>
    <row r="16">
      <c r="A16" s="11" t="s">
        <v>505</v>
      </c>
      <c r="B16" s="11" t="s">
        <v>756</v>
      </c>
      <c r="C16" s="11" t="s">
        <v>757</v>
      </c>
      <c r="D16" s="11" t="s">
        <v>758</v>
      </c>
      <c r="E16" s="11">
        <v>1987.0</v>
      </c>
      <c r="F16" s="11">
        <v>5.0</v>
      </c>
      <c r="G16" s="11">
        <v>1.0</v>
      </c>
      <c r="H16" s="11">
        <v>17.0</v>
      </c>
      <c r="I16" s="11" t="s">
        <v>260</v>
      </c>
      <c r="J16" s="11" t="s">
        <v>759</v>
      </c>
      <c r="K16" s="11" t="s">
        <v>761</v>
      </c>
    </row>
    <row r="17">
      <c r="A17" s="11" t="s">
        <v>505</v>
      </c>
      <c r="B17" s="11" t="s">
        <v>756</v>
      </c>
      <c r="C17" s="11" t="s">
        <v>757</v>
      </c>
      <c r="D17" s="11" t="s">
        <v>758</v>
      </c>
      <c r="E17" s="11">
        <v>1988.0</v>
      </c>
      <c r="F17" s="11">
        <v>6.0</v>
      </c>
      <c r="G17" s="11">
        <v>2.0</v>
      </c>
      <c r="H17" s="11">
        <v>21.0</v>
      </c>
      <c r="I17" s="11" t="s">
        <v>260</v>
      </c>
      <c r="J17" s="11" t="s">
        <v>759</v>
      </c>
      <c r="K17" s="11" t="s">
        <v>762</v>
      </c>
    </row>
    <row r="18">
      <c r="A18" s="11" t="s">
        <v>505</v>
      </c>
      <c r="B18" s="11" t="s">
        <v>756</v>
      </c>
      <c r="C18" s="11" t="s">
        <v>757</v>
      </c>
      <c r="D18" s="11" t="s">
        <v>758</v>
      </c>
      <c r="E18" s="11">
        <v>1989.0</v>
      </c>
      <c r="F18" s="11">
        <v>8.0</v>
      </c>
      <c r="G18" s="11">
        <v>3.0</v>
      </c>
      <c r="H18" s="11">
        <v>25.0</v>
      </c>
      <c r="I18" s="11" t="s">
        <v>260</v>
      </c>
      <c r="J18" s="11" t="s">
        <v>759</v>
      </c>
      <c r="K18" s="11" t="s">
        <v>763</v>
      </c>
    </row>
    <row r="19">
      <c r="A19" s="11" t="s">
        <v>505</v>
      </c>
      <c r="B19" s="11" t="s">
        <v>756</v>
      </c>
      <c r="C19" s="11" t="s">
        <v>757</v>
      </c>
      <c r="D19" s="11" t="s">
        <v>758</v>
      </c>
      <c r="E19" s="11">
        <v>1990.0</v>
      </c>
      <c r="F19" s="11">
        <v>10.0</v>
      </c>
      <c r="G19" s="11">
        <v>4.0</v>
      </c>
      <c r="H19" s="11">
        <v>29.0</v>
      </c>
      <c r="I19" s="11" t="s">
        <v>260</v>
      </c>
      <c r="J19" s="11" t="s">
        <v>759</v>
      </c>
      <c r="K19" s="11" t="s">
        <v>765</v>
      </c>
    </row>
    <row r="20">
      <c r="A20" s="11" t="s">
        <v>505</v>
      </c>
      <c r="B20" s="11" t="s">
        <v>756</v>
      </c>
      <c r="C20" s="11" t="s">
        <v>757</v>
      </c>
      <c r="D20" s="11" t="s">
        <v>758</v>
      </c>
      <c r="E20" s="11">
        <v>1991.0</v>
      </c>
      <c r="F20" s="11">
        <v>11.0</v>
      </c>
      <c r="G20" s="11">
        <v>4.0</v>
      </c>
      <c r="H20" s="11">
        <v>33.0</v>
      </c>
      <c r="I20" s="11" t="s">
        <v>260</v>
      </c>
      <c r="J20" s="11" t="s">
        <v>759</v>
      </c>
      <c r="K20" s="11" t="s">
        <v>766</v>
      </c>
    </row>
    <row r="21">
      <c r="A21" s="11" t="s">
        <v>505</v>
      </c>
      <c r="B21" s="11" t="s">
        <v>756</v>
      </c>
      <c r="C21" s="11" t="s">
        <v>757</v>
      </c>
      <c r="D21" s="11" t="s">
        <v>758</v>
      </c>
      <c r="E21" s="11">
        <v>1992.0</v>
      </c>
      <c r="F21" s="11">
        <v>13.0</v>
      </c>
      <c r="G21" s="11">
        <v>5.0</v>
      </c>
      <c r="H21" s="11">
        <v>40.0</v>
      </c>
      <c r="I21" s="11" t="s">
        <v>260</v>
      </c>
      <c r="J21" s="11" t="s">
        <v>759</v>
      </c>
      <c r="K21" s="11" t="s">
        <v>767</v>
      </c>
    </row>
    <row r="22">
      <c r="A22" s="11" t="s">
        <v>505</v>
      </c>
      <c r="B22" s="11" t="s">
        <v>756</v>
      </c>
      <c r="C22" s="11" t="s">
        <v>757</v>
      </c>
      <c r="D22" s="11" t="s">
        <v>758</v>
      </c>
      <c r="E22" s="11">
        <v>1993.0</v>
      </c>
      <c r="F22" s="11">
        <v>17.0</v>
      </c>
      <c r="G22" s="11">
        <v>8.0</v>
      </c>
      <c r="H22" s="11">
        <v>46.0</v>
      </c>
      <c r="I22" s="11" t="s">
        <v>260</v>
      </c>
      <c r="J22" s="11" t="s">
        <v>759</v>
      </c>
      <c r="K22" s="11" t="s">
        <v>768</v>
      </c>
    </row>
    <row r="23">
      <c r="A23" s="11" t="s">
        <v>505</v>
      </c>
      <c r="B23" s="11" t="s">
        <v>756</v>
      </c>
      <c r="C23" s="11" t="s">
        <v>757</v>
      </c>
      <c r="D23" s="11" t="s">
        <v>758</v>
      </c>
      <c r="E23" s="11">
        <v>1994.0</v>
      </c>
      <c r="F23" s="11">
        <v>19.0</v>
      </c>
      <c r="G23" s="11">
        <v>9.0</v>
      </c>
      <c r="H23" s="11">
        <v>51.0</v>
      </c>
      <c r="I23" s="11" t="s">
        <v>260</v>
      </c>
      <c r="J23" s="11" t="s">
        <v>759</v>
      </c>
      <c r="K23" s="11" t="s">
        <v>769</v>
      </c>
    </row>
    <row r="24">
      <c r="A24" s="11" t="s">
        <v>505</v>
      </c>
      <c r="B24" s="11" t="s">
        <v>756</v>
      </c>
      <c r="C24" s="11" t="s">
        <v>757</v>
      </c>
      <c r="D24" s="11" t="s">
        <v>758</v>
      </c>
      <c r="E24" s="11">
        <v>1995.0</v>
      </c>
      <c r="F24" s="11">
        <v>22.0</v>
      </c>
      <c r="G24" s="11">
        <v>12.0</v>
      </c>
      <c r="H24" s="11">
        <v>57.0</v>
      </c>
      <c r="I24" s="11" t="s">
        <v>260</v>
      </c>
      <c r="J24" s="11" t="s">
        <v>759</v>
      </c>
      <c r="K24" s="11" t="s">
        <v>770</v>
      </c>
    </row>
    <row r="25">
      <c r="A25" s="11" t="s">
        <v>505</v>
      </c>
      <c r="B25" s="11" t="s">
        <v>756</v>
      </c>
      <c r="C25" s="11" t="s">
        <v>757</v>
      </c>
      <c r="D25" s="11" t="s">
        <v>758</v>
      </c>
      <c r="E25" s="11">
        <v>1996.0</v>
      </c>
      <c r="F25" s="11">
        <v>22.0</v>
      </c>
      <c r="G25" s="11">
        <v>12.0</v>
      </c>
      <c r="H25" s="11">
        <v>59.0</v>
      </c>
      <c r="I25" s="11" t="s">
        <v>260</v>
      </c>
      <c r="J25" s="11" t="s">
        <v>759</v>
      </c>
      <c r="K25" s="11" t="s">
        <v>771</v>
      </c>
    </row>
    <row r="26">
      <c r="A26" s="11" t="s">
        <v>505</v>
      </c>
      <c r="B26" s="11" t="s">
        <v>756</v>
      </c>
      <c r="C26" s="11" t="s">
        <v>757</v>
      </c>
      <c r="D26" s="11" t="s">
        <v>758</v>
      </c>
      <c r="E26" s="11">
        <v>1997.0</v>
      </c>
      <c r="F26" s="11">
        <v>23.0</v>
      </c>
      <c r="G26" s="11">
        <v>12.0</v>
      </c>
      <c r="H26" s="11">
        <v>62.0</v>
      </c>
      <c r="I26" s="11" t="s">
        <v>260</v>
      </c>
      <c r="J26" s="11" t="s">
        <v>759</v>
      </c>
      <c r="K26" s="11" t="s">
        <v>772</v>
      </c>
    </row>
    <row r="27">
      <c r="A27" s="11" t="s">
        <v>505</v>
      </c>
      <c r="B27" s="11" t="s">
        <v>756</v>
      </c>
      <c r="C27" s="11" t="s">
        <v>757</v>
      </c>
      <c r="D27" s="11" t="s">
        <v>758</v>
      </c>
      <c r="E27" s="11">
        <v>1998.0</v>
      </c>
      <c r="F27" s="11">
        <v>24.0</v>
      </c>
      <c r="G27" s="11">
        <v>12.0</v>
      </c>
      <c r="H27" s="11">
        <v>64.0</v>
      </c>
      <c r="I27" s="11" t="s">
        <v>260</v>
      </c>
      <c r="J27" s="11" t="s">
        <v>759</v>
      </c>
      <c r="K27" s="11" t="s">
        <v>773</v>
      </c>
    </row>
    <row r="28">
      <c r="A28" s="11" t="s">
        <v>505</v>
      </c>
      <c r="B28" s="11" t="s">
        <v>756</v>
      </c>
      <c r="C28" s="11" t="s">
        <v>757</v>
      </c>
      <c r="D28" s="11" t="s">
        <v>758</v>
      </c>
      <c r="E28" s="11">
        <v>1999.0</v>
      </c>
      <c r="F28" s="11">
        <v>25.0</v>
      </c>
      <c r="G28" s="11">
        <v>13.0</v>
      </c>
      <c r="H28" s="11">
        <v>70.0</v>
      </c>
      <c r="I28" s="11" t="s">
        <v>260</v>
      </c>
      <c r="J28" s="11" t="s">
        <v>759</v>
      </c>
      <c r="K28" s="11" t="s">
        <v>774</v>
      </c>
    </row>
    <row r="29">
      <c r="A29" s="11" t="s">
        <v>505</v>
      </c>
      <c r="B29" s="11" t="s">
        <v>756</v>
      </c>
      <c r="C29" s="11" t="s">
        <v>757</v>
      </c>
      <c r="D29" s="11" t="s">
        <v>758</v>
      </c>
      <c r="E29" s="11">
        <v>2000.0</v>
      </c>
      <c r="F29" s="11">
        <v>28.0</v>
      </c>
      <c r="G29" s="11">
        <v>14.0</v>
      </c>
      <c r="H29" s="11">
        <v>76.0</v>
      </c>
      <c r="I29" s="11" t="s">
        <v>260</v>
      </c>
      <c r="J29" s="11" t="s">
        <v>759</v>
      </c>
      <c r="K29" s="11" t="s">
        <v>776</v>
      </c>
    </row>
    <row r="30">
      <c r="A30" s="11" t="s">
        <v>505</v>
      </c>
      <c r="B30" s="11" t="s">
        <v>756</v>
      </c>
      <c r="C30" s="11" t="s">
        <v>757</v>
      </c>
      <c r="D30" s="11" t="s">
        <v>758</v>
      </c>
      <c r="E30" s="11">
        <v>2001.0</v>
      </c>
      <c r="F30" s="11">
        <v>30.0</v>
      </c>
      <c r="G30" s="11">
        <v>16.0</v>
      </c>
      <c r="H30" s="11">
        <v>82.0</v>
      </c>
      <c r="I30" s="11" t="s">
        <v>260</v>
      </c>
      <c r="J30" s="11" t="s">
        <v>759</v>
      </c>
      <c r="K30" s="11" t="s">
        <v>777</v>
      </c>
    </row>
    <row r="31">
      <c r="A31" s="11" t="s">
        <v>505</v>
      </c>
      <c r="B31" s="11" t="s">
        <v>756</v>
      </c>
      <c r="C31" s="11" t="s">
        <v>757</v>
      </c>
      <c r="D31" s="11" t="s">
        <v>758</v>
      </c>
      <c r="E31" s="11">
        <v>2002.0</v>
      </c>
      <c r="F31" s="11">
        <v>32.0</v>
      </c>
      <c r="G31" s="11">
        <v>17.0</v>
      </c>
      <c r="H31" s="11">
        <v>85.0</v>
      </c>
      <c r="I31" s="11" t="s">
        <v>260</v>
      </c>
      <c r="J31" s="11" t="s">
        <v>759</v>
      </c>
      <c r="K31" s="11" t="s">
        <v>778</v>
      </c>
    </row>
    <row r="32">
      <c r="A32" s="11" t="s">
        <v>505</v>
      </c>
      <c r="B32" s="11" t="s">
        <v>756</v>
      </c>
      <c r="C32" s="11" t="s">
        <v>757</v>
      </c>
      <c r="D32" s="11" t="s">
        <v>758</v>
      </c>
      <c r="E32" s="11">
        <v>2003.0</v>
      </c>
      <c r="F32" s="11">
        <v>33.0</v>
      </c>
      <c r="G32" s="11">
        <v>18.0</v>
      </c>
      <c r="H32" s="11">
        <v>87.0</v>
      </c>
      <c r="I32" s="11" t="s">
        <v>260</v>
      </c>
      <c r="J32" s="11" t="s">
        <v>759</v>
      </c>
      <c r="K32" s="11" t="s">
        <v>779</v>
      </c>
    </row>
    <row r="33">
      <c r="A33" s="11" t="s">
        <v>505</v>
      </c>
      <c r="B33" s="11" t="s">
        <v>756</v>
      </c>
      <c r="C33" s="11" t="s">
        <v>757</v>
      </c>
      <c r="D33" s="11" t="s">
        <v>758</v>
      </c>
      <c r="E33" s="11">
        <v>2004.0</v>
      </c>
      <c r="F33" s="11">
        <v>34.0</v>
      </c>
      <c r="G33" s="11">
        <v>18.0</v>
      </c>
      <c r="H33" s="11">
        <v>90.0</v>
      </c>
      <c r="I33" s="11" t="s">
        <v>260</v>
      </c>
      <c r="J33" s="11" t="s">
        <v>759</v>
      </c>
      <c r="K33" s="11" t="s">
        <v>780</v>
      </c>
    </row>
    <row r="34">
      <c r="A34" s="11" t="s">
        <v>505</v>
      </c>
      <c r="B34" s="11" t="s">
        <v>756</v>
      </c>
      <c r="C34" s="11" t="s">
        <v>757</v>
      </c>
      <c r="D34" s="11" t="s">
        <v>758</v>
      </c>
      <c r="E34" s="11">
        <v>2005.0</v>
      </c>
      <c r="F34" s="11">
        <v>36.0</v>
      </c>
      <c r="G34" s="11">
        <v>19.0</v>
      </c>
      <c r="H34" s="11">
        <v>95.0</v>
      </c>
      <c r="I34" s="11" t="s">
        <v>260</v>
      </c>
      <c r="J34" s="11" t="s">
        <v>759</v>
      </c>
      <c r="K34" s="11" t="s">
        <v>781</v>
      </c>
    </row>
    <row r="35">
      <c r="A35" s="11" t="s">
        <v>505</v>
      </c>
      <c r="B35" s="11" t="s">
        <v>756</v>
      </c>
      <c r="C35" s="11" t="s">
        <v>757</v>
      </c>
      <c r="D35" s="11" t="s">
        <v>758</v>
      </c>
      <c r="E35" s="11">
        <v>2006.0</v>
      </c>
      <c r="F35" s="11">
        <v>38.0</v>
      </c>
      <c r="G35" s="11">
        <v>19.0</v>
      </c>
      <c r="H35" s="11">
        <v>99.0</v>
      </c>
      <c r="I35" s="11" t="s">
        <v>260</v>
      </c>
      <c r="J35" s="11" t="s">
        <v>759</v>
      </c>
      <c r="K35" s="11" t="s">
        <v>782</v>
      </c>
    </row>
    <row r="36">
      <c r="A36" s="11" t="s">
        <v>505</v>
      </c>
      <c r="B36" s="11" t="s">
        <v>756</v>
      </c>
      <c r="C36" s="11" t="s">
        <v>757</v>
      </c>
      <c r="D36" s="11" t="s">
        <v>758</v>
      </c>
      <c r="E36" s="11">
        <v>2007.0</v>
      </c>
      <c r="F36" s="11">
        <v>41.0</v>
      </c>
      <c r="G36" s="11">
        <v>22.0</v>
      </c>
      <c r="H36" s="11">
        <v>106.0</v>
      </c>
      <c r="I36" s="11" t="s">
        <v>260</v>
      </c>
      <c r="J36" s="11" t="s">
        <v>759</v>
      </c>
      <c r="K36" s="11" t="s">
        <v>783</v>
      </c>
    </row>
    <row r="37">
      <c r="A37" s="11" t="s">
        <v>505</v>
      </c>
      <c r="B37" s="11" t="s">
        <v>756</v>
      </c>
      <c r="C37" s="11" t="s">
        <v>757</v>
      </c>
      <c r="D37" s="11" t="s">
        <v>758</v>
      </c>
      <c r="E37" s="11">
        <v>2008.0</v>
      </c>
      <c r="F37" s="11">
        <v>45.0</v>
      </c>
      <c r="G37" s="11">
        <v>24.0</v>
      </c>
      <c r="H37" s="11">
        <v>114.0</v>
      </c>
      <c r="I37" s="11" t="s">
        <v>260</v>
      </c>
      <c r="J37" s="11" t="s">
        <v>759</v>
      </c>
      <c r="K37" s="11" t="s">
        <v>786</v>
      </c>
    </row>
    <row r="38">
      <c r="A38" s="11" t="s">
        <v>505</v>
      </c>
      <c r="B38" s="11" t="s">
        <v>756</v>
      </c>
      <c r="C38" s="11" t="s">
        <v>757</v>
      </c>
      <c r="D38" s="11" t="s">
        <v>758</v>
      </c>
      <c r="E38" s="11">
        <v>2009.0</v>
      </c>
      <c r="F38" s="11">
        <v>51.0</v>
      </c>
      <c r="G38" s="11">
        <v>29.0</v>
      </c>
      <c r="H38" s="11">
        <v>125.0</v>
      </c>
      <c r="I38" s="11" t="s">
        <v>260</v>
      </c>
      <c r="J38" s="11" t="s">
        <v>759</v>
      </c>
      <c r="K38" s="11" t="s">
        <v>787</v>
      </c>
    </row>
    <row r="39">
      <c r="A39" s="11" t="s">
        <v>505</v>
      </c>
      <c r="B39" s="11" t="s">
        <v>756</v>
      </c>
      <c r="C39" s="11" t="s">
        <v>757</v>
      </c>
      <c r="D39" s="11" t="s">
        <v>758</v>
      </c>
      <c r="E39" s="11">
        <v>2010.0</v>
      </c>
      <c r="F39" s="11">
        <v>52.0</v>
      </c>
      <c r="G39" s="11">
        <v>30.0</v>
      </c>
      <c r="H39" s="11">
        <v>128.0</v>
      </c>
      <c r="I39" s="11" t="s">
        <v>260</v>
      </c>
      <c r="J39" s="11" t="s">
        <v>759</v>
      </c>
      <c r="K39" s="11" t="s">
        <v>788</v>
      </c>
    </row>
    <row r="40">
      <c r="A40" s="11" t="s">
        <v>505</v>
      </c>
      <c r="B40" s="11" t="s">
        <v>756</v>
      </c>
      <c r="C40" s="11" t="s">
        <v>757</v>
      </c>
      <c r="D40" s="11" t="s">
        <v>758</v>
      </c>
      <c r="E40" s="11">
        <v>2011.0</v>
      </c>
      <c r="F40" s="11">
        <v>54.0</v>
      </c>
      <c r="G40" s="11">
        <v>30.0</v>
      </c>
      <c r="H40" s="11">
        <v>133.0</v>
      </c>
      <c r="I40" s="11" t="s">
        <v>260</v>
      </c>
      <c r="J40" s="11" t="s">
        <v>759</v>
      </c>
      <c r="K40" s="11" t="s">
        <v>789</v>
      </c>
    </row>
    <row r="41">
      <c r="A41" s="11" t="s">
        <v>505</v>
      </c>
      <c r="B41" s="11" t="s">
        <v>756</v>
      </c>
      <c r="C41" s="11" t="s">
        <v>757</v>
      </c>
      <c r="D41" s="11" t="s">
        <v>758</v>
      </c>
      <c r="E41" s="11">
        <v>2012.0</v>
      </c>
      <c r="F41" s="11">
        <v>56.0</v>
      </c>
      <c r="G41" s="11">
        <v>31.0</v>
      </c>
      <c r="H41" s="11">
        <v>139.0</v>
      </c>
      <c r="I41" s="11" t="s">
        <v>260</v>
      </c>
      <c r="J41" s="11" t="s">
        <v>759</v>
      </c>
      <c r="K41" s="11" t="s">
        <v>790</v>
      </c>
    </row>
    <row r="42">
      <c r="A42" s="11" t="s">
        <v>505</v>
      </c>
      <c r="B42" s="11" t="s">
        <v>756</v>
      </c>
      <c r="C42" s="11" t="s">
        <v>757</v>
      </c>
      <c r="D42" s="11" t="s">
        <v>758</v>
      </c>
      <c r="E42" s="11">
        <v>2013.0</v>
      </c>
      <c r="F42" s="11">
        <v>62.0</v>
      </c>
      <c r="G42" s="11">
        <v>37.0</v>
      </c>
      <c r="H42" s="11">
        <v>149.0</v>
      </c>
      <c r="I42" s="11" t="s">
        <v>260</v>
      </c>
      <c r="J42" s="11" t="s">
        <v>759</v>
      </c>
      <c r="K42" s="11" t="s">
        <v>791</v>
      </c>
    </row>
    <row r="43">
      <c r="A43" s="11" t="s">
        <v>505</v>
      </c>
      <c r="B43" s="11" t="s">
        <v>756</v>
      </c>
      <c r="C43" s="11" t="s">
        <v>757</v>
      </c>
      <c r="D43" s="11" t="s">
        <v>758</v>
      </c>
      <c r="E43" s="11">
        <v>2014.0</v>
      </c>
      <c r="F43" s="11">
        <v>63.0</v>
      </c>
      <c r="G43" s="11">
        <v>38.0</v>
      </c>
      <c r="H43" s="11">
        <v>153.0</v>
      </c>
      <c r="I43" s="11" t="s">
        <v>260</v>
      </c>
      <c r="J43" s="11" t="s">
        <v>759</v>
      </c>
      <c r="K43" s="11" t="s">
        <v>792</v>
      </c>
    </row>
    <row r="44">
      <c r="A44" s="11" t="s">
        <v>505</v>
      </c>
      <c r="B44" s="11" t="s">
        <v>756</v>
      </c>
      <c r="C44" s="11" t="s">
        <v>757</v>
      </c>
      <c r="D44" s="11" t="s">
        <v>758</v>
      </c>
      <c r="E44" s="11">
        <v>2015.0</v>
      </c>
      <c r="F44" s="11">
        <v>63.0</v>
      </c>
      <c r="G44" s="11">
        <v>37.0</v>
      </c>
      <c r="H44" s="11">
        <v>154.0</v>
      </c>
      <c r="I44" s="11" t="s">
        <v>260</v>
      </c>
      <c r="J44" s="11" t="s">
        <v>759</v>
      </c>
      <c r="K44" s="11" t="s">
        <v>793</v>
      </c>
    </row>
    <row r="45">
      <c r="A45" s="11" t="s">
        <v>505</v>
      </c>
      <c r="B45" s="11" t="s">
        <v>756</v>
      </c>
      <c r="C45" s="11" t="s">
        <v>757</v>
      </c>
      <c r="D45" s="11" t="s">
        <v>758</v>
      </c>
      <c r="E45" s="11">
        <v>2016.0</v>
      </c>
      <c r="F45" s="11">
        <v>63.0</v>
      </c>
      <c r="G45" s="11">
        <v>36.0</v>
      </c>
      <c r="H45" s="11">
        <v>157.0</v>
      </c>
      <c r="I45" s="11" t="s">
        <v>260</v>
      </c>
      <c r="J45" s="11" t="s">
        <v>759</v>
      </c>
      <c r="K45" s="11" t="s">
        <v>794</v>
      </c>
    </row>
    <row r="46">
      <c r="A46" s="11" t="s">
        <v>505</v>
      </c>
      <c r="B46" s="11" t="s">
        <v>756</v>
      </c>
      <c r="C46" s="11" t="s">
        <v>757</v>
      </c>
      <c r="D46" s="11" t="s">
        <v>758</v>
      </c>
      <c r="E46" s="11">
        <v>2017.0</v>
      </c>
      <c r="F46" s="11">
        <v>65.0</v>
      </c>
      <c r="G46" s="11">
        <v>36.0</v>
      </c>
      <c r="H46" s="11">
        <v>161.0</v>
      </c>
      <c r="I46" s="11" t="s">
        <v>260</v>
      </c>
      <c r="J46" s="11" t="s">
        <v>759</v>
      </c>
      <c r="K46" s="11" t="s">
        <v>796</v>
      </c>
    </row>
    <row r="47">
      <c r="A47" s="11" t="s">
        <v>154</v>
      </c>
      <c r="B47" s="11" t="s">
        <v>797</v>
      </c>
      <c r="C47" s="11" t="s">
        <v>798</v>
      </c>
      <c r="D47" s="11" t="s">
        <v>799</v>
      </c>
      <c r="E47" s="11">
        <v>2000.0</v>
      </c>
      <c r="F47" s="11">
        <v>1793.0</v>
      </c>
      <c r="G47" s="11" t="s">
        <v>188</v>
      </c>
      <c r="H47" s="11" t="s">
        <v>188</v>
      </c>
      <c r="I47" s="11" t="s">
        <v>260</v>
      </c>
      <c r="J47" s="11" t="s">
        <v>74</v>
      </c>
      <c r="K47" s="11" t="s">
        <v>521</v>
      </c>
      <c r="L47" s="11" t="s">
        <v>800</v>
      </c>
    </row>
    <row r="48">
      <c r="A48" s="11" t="s">
        <v>154</v>
      </c>
      <c r="B48" s="11" t="s">
        <v>797</v>
      </c>
      <c r="C48" s="11" t="s">
        <v>798</v>
      </c>
      <c r="D48" s="11" t="s">
        <v>799</v>
      </c>
      <c r="E48" s="11">
        <v>2000.0</v>
      </c>
      <c r="F48" s="11">
        <v>2439.0</v>
      </c>
      <c r="G48" s="11" t="s">
        <v>188</v>
      </c>
      <c r="H48" s="11" t="s">
        <v>188</v>
      </c>
      <c r="I48" s="11" t="s">
        <v>260</v>
      </c>
      <c r="J48" s="11" t="s">
        <v>74</v>
      </c>
      <c r="K48" s="11" t="s">
        <v>801</v>
      </c>
    </row>
    <row r="49">
      <c r="A49" s="11" t="s">
        <v>154</v>
      </c>
      <c r="B49" s="11" t="s">
        <v>797</v>
      </c>
      <c r="C49" s="11" t="s">
        <v>798</v>
      </c>
      <c r="D49" s="11" t="s">
        <v>799</v>
      </c>
      <c r="E49" s="11">
        <v>2001.0</v>
      </c>
      <c r="F49" s="11">
        <v>2294.0</v>
      </c>
      <c r="G49" s="11" t="s">
        <v>188</v>
      </c>
      <c r="H49" s="11" t="s">
        <v>188</v>
      </c>
      <c r="I49" s="11" t="s">
        <v>260</v>
      </c>
      <c r="J49" s="11" t="s">
        <v>74</v>
      </c>
      <c r="K49" s="11" t="s">
        <v>802</v>
      </c>
    </row>
    <row r="50">
      <c r="A50" s="11" t="s">
        <v>154</v>
      </c>
      <c r="B50" s="11" t="s">
        <v>797</v>
      </c>
      <c r="C50" s="11" t="s">
        <v>798</v>
      </c>
      <c r="D50" s="11" t="s">
        <v>799</v>
      </c>
      <c r="E50" s="11">
        <v>2002.0</v>
      </c>
      <c r="F50" s="11">
        <v>2296.0</v>
      </c>
      <c r="G50" s="11" t="s">
        <v>188</v>
      </c>
      <c r="H50" s="11" t="s">
        <v>188</v>
      </c>
      <c r="I50" s="11" t="s">
        <v>260</v>
      </c>
      <c r="J50" s="11" t="s">
        <v>74</v>
      </c>
      <c r="K50" s="11" t="s">
        <v>803</v>
      </c>
    </row>
    <row r="51">
      <c r="A51" s="11" t="s">
        <v>154</v>
      </c>
      <c r="B51" s="11" t="s">
        <v>797</v>
      </c>
      <c r="C51" s="11" t="s">
        <v>798</v>
      </c>
      <c r="D51" s="11" t="s">
        <v>799</v>
      </c>
      <c r="E51" s="11">
        <v>2003.0</v>
      </c>
      <c r="F51" s="11">
        <v>2722.0</v>
      </c>
      <c r="G51" s="11" t="s">
        <v>188</v>
      </c>
      <c r="H51" s="11" t="s">
        <v>188</v>
      </c>
      <c r="I51" s="11" t="s">
        <v>260</v>
      </c>
      <c r="J51" s="11" t="s">
        <v>74</v>
      </c>
      <c r="K51" s="11" t="s">
        <v>804</v>
      </c>
    </row>
    <row r="52">
      <c r="A52" s="11" t="s">
        <v>154</v>
      </c>
      <c r="B52" s="11" t="s">
        <v>797</v>
      </c>
      <c r="C52" s="11" t="s">
        <v>736</v>
      </c>
      <c r="D52" s="11" t="s">
        <v>805</v>
      </c>
      <c r="E52" s="11">
        <v>1999.0</v>
      </c>
      <c r="F52" s="11">
        <v>1785.0</v>
      </c>
      <c r="G52" s="11">
        <v>1231.0</v>
      </c>
      <c r="H52" s="11">
        <v>2779.0</v>
      </c>
      <c r="I52" s="11" t="s">
        <v>260</v>
      </c>
      <c r="J52" s="11" t="s">
        <v>74</v>
      </c>
      <c r="K52" s="11" t="s">
        <v>806</v>
      </c>
    </row>
    <row r="53">
      <c r="A53" s="11" t="s">
        <v>154</v>
      </c>
      <c r="B53" s="11" t="s">
        <v>797</v>
      </c>
      <c r="C53" s="11" t="s">
        <v>736</v>
      </c>
      <c r="D53" s="11" t="s">
        <v>805</v>
      </c>
      <c r="E53" s="11">
        <v>2000.0</v>
      </c>
      <c r="F53" s="11">
        <v>2447.0</v>
      </c>
      <c r="G53" s="11">
        <v>1975.0</v>
      </c>
      <c r="H53" s="11">
        <v>2928.0</v>
      </c>
      <c r="I53" s="11" t="s">
        <v>260</v>
      </c>
      <c r="J53" s="11" t="s">
        <v>74</v>
      </c>
      <c r="K53" s="11" t="s">
        <v>549</v>
      </c>
    </row>
    <row r="54">
      <c r="A54" s="11" t="s">
        <v>154</v>
      </c>
      <c r="B54" s="11" t="s">
        <v>797</v>
      </c>
      <c r="C54" s="11" t="s">
        <v>736</v>
      </c>
      <c r="D54" s="11" t="s">
        <v>805</v>
      </c>
      <c r="E54" s="11">
        <v>2001.0</v>
      </c>
      <c r="F54" s="11">
        <v>2286.0</v>
      </c>
      <c r="G54" s="11">
        <v>1781.0</v>
      </c>
      <c r="H54" s="11">
        <v>2791.0</v>
      </c>
      <c r="I54" s="11" t="s">
        <v>260</v>
      </c>
      <c r="J54" s="11" t="s">
        <v>74</v>
      </c>
      <c r="K54" s="11" t="s">
        <v>808</v>
      </c>
    </row>
    <row r="55">
      <c r="A55" s="11" t="s">
        <v>154</v>
      </c>
      <c r="B55" s="11" t="s">
        <v>797</v>
      </c>
      <c r="C55" s="11" t="s">
        <v>736</v>
      </c>
      <c r="D55" s="11" t="s">
        <v>805</v>
      </c>
      <c r="E55" s="11">
        <v>2002.0</v>
      </c>
      <c r="F55" s="11">
        <v>2402.0</v>
      </c>
      <c r="G55" s="11">
        <v>1905.0</v>
      </c>
      <c r="H55" s="11">
        <v>2907.0</v>
      </c>
      <c r="I55" s="11" t="s">
        <v>260</v>
      </c>
      <c r="J55" s="11" t="s">
        <v>74</v>
      </c>
      <c r="K55" s="11" t="s">
        <v>809</v>
      </c>
    </row>
    <row r="56">
      <c r="A56" s="11" t="s">
        <v>154</v>
      </c>
      <c r="B56" s="11" t="s">
        <v>797</v>
      </c>
      <c r="C56" s="11" t="s">
        <v>736</v>
      </c>
      <c r="D56" s="11" t="s">
        <v>805</v>
      </c>
      <c r="E56" s="11">
        <v>2003.0</v>
      </c>
      <c r="F56" s="11">
        <v>2803.0</v>
      </c>
      <c r="G56" s="11">
        <v>2258.0</v>
      </c>
      <c r="H56" s="11">
        <v>3349.0</v>
      </c>
      <c r="I56" s="11" t="s">
        <v>260</v>
      </c>
      <c r="J56" s="11" t="s">
        <v>74</v>
      </c>
      <c r="K56" s="11" t="s">
        <v>810</v>
      </c>
    </row>
    <row r="57">
      <c r="A57" s="11" t="s">
        <v>154</v>
      </c>
      <c r="B57" s="11" t="s">
        <v>797</v>
      </c>
      <c r="C57" s="11" t="s">
        <v>736</v>
      </c>
      <c r="D57" s="11" t="s">
        <v>811</v>
      </c>
      <c r="E57" s="11">
        <v>1999.0</v>
      </c>
      <c r="F57" s="11">
        <v>946.0</v>
      </c>
      <c r="G57" s="11">
        <v>710.0</v>
      </c>
      <c r="H57" s="11">
        <v>1239.0</v>
      </c>
      <c r="I57" s="11" t="s">
        <v>260</v>
      </c>
      <c r="J57" s="11" t="s">
        <v>812</v>
      </c>
      <c r="K57" s="11" t="s">
        <v>813</v>
      </c>
    </row>
    <row r="58">
      <c r="A58" s="11" t="s">
        <v>154</v>
      </c>
      <c r="B58" s="11" t="s">
        <v>797</v>
      </c>
      <c r="C58" s="11" t="s">
        <v>736</v>
      </c>
      <c r="D58" s="11" t="s">
        <v>811</v>
      </c>
      <c r="E58" s="11">
        <v>2000.0</v>
      </c>
      <c r="F58" s="11">
        <v>1241.0</v>
      </c>
      <c r="G58" s="11">
        <v>981.0</v>
      </c>
      <c r="H58" s="11">
        <v>1535.0</v>
      </c>
      <c r="I58" s="11" t="s">
        <v>260</v>
      </c>
      <c r="J58" s="11" t="s">
        <v>812</v>
      </c>
      <c r="K58" s="11" t="s">
        <v>814</v>
      </c>
    </row>
    <row r="59">
      <c r="A59" s="11" t="s">
        <v>154</v>
      </c>
      <c r="B59" s="11" t="s">
        <v>797</v>
      </c>
      <c r="C59" s="11" t="s">
        <v>736</v>
      </c>
      <c r="D59" s="11" t="s">
        <v>811</v>
      </c>
      <c r="E59" s="11">
        <v>2001.0</v>
      </c>
      <c r="F59" s="11">
        <v>1423.0</v>
      </c>
      <c r="G59" s="11">
        <v>1186.0</v>
      </c>
      <c r="H59" s="11">
        <v>1716.0</v>
      </c>
      <c r="I59" s="11" t="s">
        <v>260</v>
      </c>
      <c r="J59" s="11" t="s">
        <v>812</v>
      </c>
      <c r="K59" s="11" t="s">
        <v>815</v>
      </c>
    </row>
    <row r="60">
      <c r="A60" s="11" t="s">
        <v>154</v>
      </c>
      <c r="B60" s="11" t="s">
        <v>797</v>
      </c>
      <c r="C60" s="11" t="s">
        <v>736</v>
      </c>
      <c r="D60" s="11" t="s">
        <v>811</v>
      </c>
      <c r="E60" s="11">
        <v>2002.0</v>
      </c>
      <c r="F60" s="11">
        <v>1628.0</v>
      </c>
      <c r="G60" s="11">
        <v>1335.0</v>
      </c>
      <c r="H60" s="11">
        <v>1946.0</v>
      </c>
      <c r="I60" s="11" t="s">
        <v>260</v>
      </c>
      <c r="J60" s="11" t="s">
        <v>812</v>
      </c>
      <c r="K60" s="11" t="s">
        <v>816</v>
      </c>
    </row>
    <row r="61">
      <c r="A61" s="11" t="s">
        <v>154</v>
      </c>
      <c r="B61" s="11" t="s">
        <v>797</v>
      </c>
      <c r="C61" s="11" t="s">
        <v>736</v>
      </c>
      <c r="D61" s="11" t="s">
        <v>811</v>
      </c>
      <c r="E61" s="11">
        <v>2003.0</v>
      </c>
      <c r="F61" s="11">
        <v>1850.0</v>
      </c>
      <c r="G61" s="11">
        <v>1492.0</v>
      </c>
      <c r="H61" s="11">
        <v>2233.0</v>
      </c>
      <c r="I61" s="11" t="s">
        <v>260</v>
      </c>
      <c r="J61" s="11" t="s">
        <v>812</v>
      </c>
      <c r="K61" s="11" t="s">
        <v>818</v>
      </c>
    </row>
    <row r="62">
      <c r="A62" s="11" t="s">
        <v>154</v>
      </c>
      <c r="B62" s="11" t="s">
        <v>797</v>
      </c>
      <c r="C62" s="11" t="s">
        <v>798</v>
      </c>
      <c r="D62" s="11" t="s">
        <v>819</v>
      </c>
      <c r="E62" s="11">
        <v>1999.0</v>
      </c>
      <c r="F62" s="11">
        <v>962.0</v>
      </c>
      <c r="G62" s="11" t="s">
        <v>188</v>
      </c>
      <c r="H62" s="11" t="s">
        <v>188</v>
      </c>
      <c r="I62" s="11" t="s">
        <v>260</v>
      </c>
      <c r="J62" s="11" t="s">
        <v>812</v>
      </c>
      <c r="K62" s="11" t="s">
        <v>820</v>
      </c>
    </row>
    <row r="63">
      <c r="A63" s="11" t="s">
        <v>154</v>
      </c>
      <c r="B63" s="11" t="s">
        <v>797</v>
      </c>
      <c r="C63" s="11" t="s">
        <v>798</v>
      </c>
      <c r="D63" s="11" t="s">
        <v>819</v>
      </c>
      <c r="E63" s="11">
        <v>2000.0</v>
      </c>
      <c r="F63" s="11">
        <v>1201.0</v>
      </c>
      <c r="G63" s="11" t="s">
        <v>188</v>
      </c>
      <c r="H63" s="11" t="s">
        <v>188</v>
      </c>
      <c r="I63" s="11" t="s">
        <v>260</v>
      </c>
      <c r="J63" s="11" t="s">
        <v>812</v>
      </c>
      <c r="K63" s="11" t="s">
        <v>822</v>
      </c>
    </row>
    <row r="64">
      <c r="A64" s="11" t="s">
        <v>154</v>
      </c>
      <c r="B64" s="11" t="s">
        <v>797</v>
      </c>
      <c r="C64" s="11" t="s">
        <v>798</v>
      </c>
      <c r="D64" s="11" t="s">
        <v>819</v>
      </c>
      <c r="E64" s="11">
        <v>2001.0</v>
      </c>
      <c r="F64" s="11">
        <v>1398.0</v>
      </c>
      <c r="G64" s="11" t="s">
        <v>188</v>
      </c>
      <c r="H64" s="11" t="s">
        <v>188</v>
      </c>
      <c r="I64" s="11" t="s">
        <v>260</v>
      </c>
      <c r="J64" s="11" t="s">
        <v>812</v>
      </c>
      <c r="K64" s="11" t="s">
        <v>823</v>
      </c>
    </row>
    <row r="65">
      <c r="A65" s="11" t="s">
        <v>154</v>
      </c>
      <c r="B65" s="11" t="s">
        <v>797</v>
      </c>
      <c r="C65" s="11" t="s">
        <v>798</v>
      </c>
      <c r="D65" s="11" t="s">
        <v>819</v>
      </c>
      <c r="E65" s="11">
        <v>2002.0</v>
      </c>
      <c r="F65" s="11">
        <v>1596.0</v>
      </c>
      <c r="G65" s="11" t="s">
        <v>188</v>
      </c>
      <c r="H65" s="11" t="s">
        <v>188</v>
      </c>
      <c r="I65" s="11" t="s">
        <v>260</v>
      </c>
      <c r="J65" s="11" t="s">
        <v>812</v>
      </c>
      <c r="K65" s="11" t="s">
        <v>824</v>
      </c>
    </row>
    <row r="66">
      <c r="A66" s="11" t="s">
        <v>154</v>
      </c>
      <c r="B66" s="11" t="s">
        <v>797</v>
      </c>
      <c r="C66" s="11" t="s">
        <v>798</v>
      </c>
      <c r="D66" s="11" t="s">
        <v>819</v>
      </c>
      <c r="E66" s="11">
        <v>2003.0</v>
      </c>
      <c r="F66" s="11">
        <v>1801.0</v>
      </c>
      <c r="G66" s="11" t="s">
        <v>188</v>
      </c>
      <c r="H66" s="11" t="s">
        <v>188</v>
      </c>
      <c r="I66" s="11" t="s">
        <v>260</v>
      </c>
      <c r="J66" s="11" t="s">
        <v>812</v>
      </c>
      <c r="K66" s="11" t="s">
        <v>825</v>
      </c>
    </row>
    <row r="67">
      <c r="A67" s="11" t="s">
        <v>154</v>
      </c>
      <c r="B67" s="11" t="s">
        <v>797</v>
      </c>
      <c r="C67" s="11" t="s">
        <v>798</v>
      </c>
      <c r="D67" s="11" t="s">
        <v>826</v>
      </c>
      <c r="E67" s="11">
        <v>1999.0</v>
      </c>
      <c r="F67" s="11">
        <v>840.0</v>
      </c>
      <c r="G67" s="11" t="s">
        <v>188</v>
      </c>
      <c r="H67" s="11" t="s">
        <v>188</v>
      </c>
      <c r="I67" s="11" t="s">
        <v>260</v>
      </c>
      <c r="J67" s="11" t="s">
        <v>827</v>
      </c>
      <c r="K67" s="11" t="s">
        <v>828</v>
      </c>
    </row>
    <row r="68">
      <c r="A68" s="11" t="s">
        <v>154</v>
      </c>
      <c r="B68" s="11" t="s">
        <v>797</v>
      </c>
      <c r="C68" s="11" t="s">
        <v>798</v>
      </c>
      <c r="D68" s="11" t="s">
        <v>826</v>
      </c>
      <c r="E68" s="11">
        <v>2000.0</v>
      </c>
      <c r="F68" s="11">
        <v>1127.0</v>
      </c>
      <c r="G68" s="11" t="s">
        <v>188</v>
      </c>
      <c r="H68" s="11" t="s">
        <v>188</v>
      </c>
      <c r="I68" s="11" t="s">
        <v>260</v>
      </c>
      <c r="J68" s="11" t="s">
        <v>827</v>
      </c>
      <c r="K68" s="11" t="s">
        <v>829</v>
      </c>
    </row>
    <row r="69">
      <c r="A69" s="11" t="s">
        <v>154</v>
      </c>
      <c r="B69" s="11" t="s">
        <v>797</v>
      </c>
      <c r="C69" s="11" t="s">
        <v>798</v>
      </c>
      <c r="D69" s="11" t="s">
        <v>826</v>
      </c>
      <c r="E69" s="11">
        <v>2001.0</v>
      </c>
      <c r="F69" s="11">
        <v>1317.0</v>
      </c>
      <c r="G69" s="11" t="s">
        <v>188</v>
      </c>
      <c r="H69" s="11" t="s">
        <v>188</v>
      </c>
      <c r="I69" s="11" t="s">
        <v>260</v>
      </c>
      <c r="J69" s="11" t="s">
        <v>827</v>
      </c>
      <c r="K69" s="11" t="s">
        <v>830</v>
      </c>
    </row>
    <row r="70">
      <c r="A70" s="11" t="s">
        <v>154</v>
      </c>
      <c r="B70" s="11" t="s">
        <v>797</v>
      </c>
      <c r="C70" s="11" t="s">
        <v>798</v>
      </c>
      <c r="D70" s="11" t="s">
        <v>826</v>
      </c>
      <c r="E70" s="11">
        <v>2002.0</v>
      </c>
      <c r="F70" s="11">
        <v>1482.0</v>
      </c>
      <c r="G70" s="11" t="s">
        <v>188</v>
      </c>
      <c r="H70" s="11" t="s">
        <v>188</v>
      </c>
      <c r="I70" s="11" t="s">
        <v>260</v>
      </c>
      <c r="J70" s="11" t="s">
        <v>827</v>
      </c>
      <c r="K70" s="11" t="s">
        <v>831</v>
      </c>
    </row>
    <row r="71">
      <c r="A71" s="11" t="s">
        <v>154</v>
      </c>
      <c r="B71" s="11" t="s">
        <v>797</v>
      </c>
      <c r="C71" s="11" t="s">
        <v>798</v>
      </c>
      <c r="D71" s="11" t="s">
        <v>832</v>
      </c>
      <c r="E71" s="11">
        <v>1999.0</v>
      </c>
      <c r="F71" s="11">
        <v>1598.0</v>
      </c>
      <c r="G71" s="11">
        <v>1296.0</v>
      </c>
      <c r="H71" s="11">
        <v>1907.0</v>
      </c>
      <c r="I71" s="11" t="s">
        <v>260</v>
      </c>
      <c r="J71" s="11" t="s">
        <v>833</v>
      </c>
      <c r="K71" s="11" t="s">
        <v>831</v>
      </c>
    </row>
    <row r="72">
      <c r="A72" s="11" t="s">
        <v>154</v>
      </c>
      <c r="B72" s="11" t="s">
        <v>797</v>
      </c>
      <c r="C72" s="11" t="s">
        <v>798</v>
      </c>
      <c r="D72" s="11" t="s">
        <v>832</v>
      </c>
      <c r="E72" s="11">
        <v>2000.0</v>
      </c>
      <c r="F72" s="11">
        <v>1567.0</v>
      </c>
      <c r="G72" s="11">
        <v>1307.0</v>
      </c>
      <c r="H72" s="11">
        <v>1877.0</v>
      </c>
      <c r="I72" s="11" t="s">
        <v>260</v>
      </c>
      <c r="J72" s="11" t="s">
        <v>833</v>
      </c>
      <c r="K72" s="11" t="s">
        <v>834</v>
      </c>
    </row>
    <row r="73">
      <c r="A73" s="11" t="s">
        <v>154</v>
      </c>
      <c r="B73" s="11" t="s">
        <v>797</v>
      </c>
      <c r="C73" s="11" t="s">
        <v>798</v>
      </c>
      <c r="D73" s="11" t="s">
        <v>832</v>
      </c>
      <c r="E73" s="11">
        <v>2001.0</v>
      </c>
      <c r="F73" s="11">
        <v>1748.0</v>
      </c>
      <c r="G73" s="11">
        <v>1496.0</v>
      </c>
      <c r="H73" s="11">
        <v>1993.0</v>
      </c>
      <c r="I73" s="11" t="s">
        <v>260</v>
      </c>
      <c r="J73" s="11" t="s">
        <v>833</v>
      </c>
      <c r="K73" s="11" t="s">
        <v>835</v>
      </c>
    </row>
    <row r="74">
      <c r="A74" s="11" t="s">
        <v>154</v>
      </c>
      <c r="B74" s="11" t="s">
        <v>797</v>
      </c>
      <c r="C74" s="11" t="s">
        <v>798</v>
      </c>
      <c r="D74" s="11" t="s">
        <v>832</v>
      </c>
      <c r="E74" s="11">
        <v>2003.0</v>
      </c>
      <c r="F74" s="11">
        <v>1718.0</v>
      </c>
      <c r="G74" s="11" t="s">
        <v>188</v>
      </c>
      <c r="H74" s="11">
        <v>1970.0</v>
      </c>
      <c r="I74" s="11" t="s">
        <v>260</v>
      </c>
      <c r="J74" s="11" t="s">
        <v>833</v>
      </c>
      <c r="K74" s="11" t="s">
        <v>836</v>
      </c>
    </row>
    <row r="75">
      <c r="A75" s="11" t="s">
        <v>525</v>
      </c>
      <c r="B75" s="11" t="s">
        <v>837</v>
      </c>
      <c r="C75" s="11" t="s">
        <v>838</v>
      </c>
      <c r="D75" s="11" t="s">
        <v>839</v>
      </c>
      <c r="E75" s="75">
        <v>2007.0</v>
      </c>
      <c r="F75" s="75">
        <v>192.0</v>
      </c>
      <c r="G75" s="54" t="s">
        <v>188</v>
      </c>
      <c r="H75" s="54" t="s">
        <v>188</v>
      </c>
      <c r="I75" s="11" t="s">
        <v>260</v>
      </c>
      <c r="J75" s="11" t="s">
        <v>555</v>
      </c>
      <c r="K75" s="67" t="s">
        <v>538</v>
      </c>
      <c r="L75" s="11" t="s">
        <v>840</v>
      </c>
    </row>
    <row r="76">
      <c r="A76" s="11" t="s">
        <v>525</v>
      </c>
      <c r="B76" s="11" t="s">
        <v>837</v>
      </c>
      <c r="C76" s="11" t="s">
        <v>838</v>
      </c>
      <c r="D76" s="11" t="s">
        <v>839</v>
      </c>
      <c r="E76" s="75">
        <v>2008.0</v>
      </c>
      <c r="F76" s="75">
        <v>159.0</v>
      </c>
      <c r="G76" s="54" t="s">
        <v>188</v>
      </c>
      <c r="H76" s="54" t="s">
        <v>188</v>
      </c>
      <c r="I76" s="11" t="s">
        <v>260</v>
      </c>
      <c r="J76" s="11" t="s">
        <v>555</v>
      </c>
      <c r="K76" s="67" t="s">
        <v>538</v>
      </c>
    </row>
    <row r="77">
      <c r="A77" s="11" t="s">
        <v>525</v>
      </c>
      <c r="B77" s="11" t="s">
        <v>837</v>
      </c>
      <c r="C77" s="11" t="s">
        <v>838</v>
      </c>
      <c r="D77" s="11" t="s">
        <v>839</v>
      </c>
      <c r="E77" s="75">
        <v>2011.0</v>
      </c>
      <c r="F77" s="75">
        <v>184.0</v>
      </c>
      <c r="G77" s="54" t="s">
        <v>188</v>
      </c>
      <c r="H77" s="54" t="s">
        <v>188</v>
      </c>
      <c r="I77" s="11" t="s">
        <v>260</v>
      </c>
      <c r="J77" s="11" t="s">
        <v>555</v>
      </c>
      <c r="K77" s="67" t="s">
        <v>538</v>
      </c>
    </row>
    <row r="78">
      <c r="A78" s="11" t="s">
        <v>525</v>
      </c>
      <c r="B78" s="11" t="s">
        <v>837</v>
      </c>
      <c r="C78" s="11" t="s">
        <v>838</v>
      </c>
      <c r="D78" s="11" t="s">
        <v>839</v>
      </c>
      <c r="E78" s="75">
        <v>2012.0</v>
      </c>
      <c r="F78" s="75">
        <v>130.0</v>
      </c>
      <c r="G78" s="54" t="s">
        <v>188</v>
      </c>
      <c r="H78" s="54" t="s">
        <v>188</v>
      </c>
      <c r="I78" s="11" t="s">
        <v>260</v>
      </c>
      <c r="J78" s="11" t="s">
        <v>555</v>
      </c>
      <c r="K78" s="67" t="s">
        <v>538</v>
      </c>
    </row>
    <row r="79">
      <c r="A79" s="11" t="s">
        <v>525</v>
      </c>
      <c r="B79" s="11" t="s">
        <v>837</v>
      </c>
      <c r="C79" s="11" t="s">
        <v>838</v>
      </c>
      <c r="D79" s="11" t="s">
        <v>839</v>
      </c>
      <c r="E79" s="75">
        <v>2014.0</v>
      </c>
      <c r="F79" s="75">
        <v>141.0</v>
      </c>
      <c r="G79" s="54" t="s">
        <v>188</v>
      </c>
      <c r="H79" s="54" t="s">
        <v>188</v>
      </c>
      <c r="I79" s="11" t="s">
        <v>260</v>
      </c>
      <c r="J79" s="11" t="s">
        <v>555</v>
      </c>
      <c r="K79" s="67" t="s">
        <v>538</v>
      </c>
    </row>
    <row r="80">
      <c r="A80" s="11" t="s">
        <v>525</v>
      </c>
      <c r="B80" s="11" t="s">
        <v>837</v>
      </c>
      <c r="C80" s="11" t="s">
        <v>838</v>
      </c>
      <c r="D80" s="11" t="s">
        <v>839</v>
      </c>
      <c r="E80" s="75">
        <v>2015.0</v>
      </c>
      <c r="F80" s="75">
        <v>133.0</v>
      </c>
      <c r="G80" s="54" t="s">
        <v>188</v>
      </c>
      <c r="H80" s="54" t="s">
        <v>188</v>
      </c>
      <c r="I80" s="11" t="s">
        <v>260</v>
      </c>
      <c r="J80" s="11" t="s">
        <v>555</v>
      </c>
      <c r="K80" s="67" t="s">
        <v>538</v>
      </c>
    </row>
    <row r="81">
      <c r="A81" s="11" t="s">
        <v>525</v>
      </c>
      <c r="B81" s="11" t="s">
        <v>837</v>
      </c>
      <c r="C81" s="11" t="s">
        <v>838</v>
      </c>
      <c r="D81" s="11" t="s">
        <v>841</v>
      </c>
      <c r="E81" s="81">
        <v>2007.0</v>
      </c>
      <c r="F81" s="81">
        <v>197.0</v>
      </c>
      <c r="G81" s="59" t="s">
        <v>188</v>
      </c>
      <c r="H81" s="59">
        <v>203.0</v>
      </c>
      <c r="I81" s="11" t="s">
        <v>260</v>
      </c>
      <c r="J81" s="11" t="s">
        <v>842</v>
      </c>
      <c r="K81" s="67" t="s">
        <v>538</v>
      </c>
      <c r="L81" s="11" t="s">
        <v>843</v>
      </c>
    </row>
    <row r="82">
      <c r="A82" s="11" t="s">
        <v>525</v>
      </c>
      <c r="B82" s="11" t="s">
        <v>837</v>
      </c>
      <c r="C82" s="11" t="s">
        <v>838</v>
      </c>
      <c r="D82" s="11" t="s">
        <v>841</v>
      </c>
      <c r="E82" s="98">
        <v>2008.0</v>
      </c>
      <c r="F82" s="98">
        <v>161.0</v>
      </c>
      <c r="G82" s="99" t="s">
        <v>188</v>
      </c>
      <c r="H82" s="99" t="s">
        <v>188</v>
      </c>
      <c r="I82" s="11" t="s">
        <v>260</v>
      </c>
      <c r="J82" s="11" t="s">
        <v>842</v>
      </c>
      <c r="K82" s="67" t="s">
        <v>538</v>
      </c>
    </row>
    <row r="83">
      <c r="A83" s="11" t="s">
        <v>525</v>
      </c>
      <c r="B83" s="11" t="s">
        <v>837</v>
      </c>
      <c r="C83" s="11" t="s">
        <v>838</v>
      </c>
      <c r="D83" s="11" t="s">
        <v>841</v>
      </c>
      <c r="E83" s="98">
        <v>2009.0</v>
      </c>
      <c r="F83" s="98">
        <v>221.0</v>
      </c>
      <c r="G83" s="98">
        <v>195.0</v>
      </c>
      <c r="H83" s="98">
        <v>247.0</v>
      </c>
      <c r="I83" s="11" t="s">
        <v>260</v>
      </c>
      <c r="J83" s="11" t="s">
        <v>842</v>
      </c>
      <c r="K83" s="67" t="s">
        <v>538</v>
      </c>
    </row>
    <row r="84">
      <c r="A84" s="11" t="s">
        <v>525</v>
      </c>
      <c r="B84" s="11" t="s">
        <v>837</v>
      </c>
      <c r="C84" s="11" t="s">
        <v>838</v>
      </c>
      <c r="D84" s="11" t="s">
        <v>841</v>
      </c>
      <c r="E84" s="98">
        <v>2011.0</v>
      </c>
      <c r="F84" s="98">
        <v>173.0</v>
      </c>
      <c r="G84" s="98">
        <v>164.0</v>
      </c>
      <c r="H84" s="98">
        <v>181.0</v>
      </c>
      <c r="I84" s="11" t="s">
        <v>260</v>
      </c>
      <c r="J84" s="11" t="s">
        <v>842</v>
      </c>
      <c r="K84" s="67" t="s">
        <v>538</v>
      </c>
    </row>
    <row r="85">
      <c r="A85" s="11" t="s">
        <v>525</v>
      </c>
      <c r="B85" s="11" t="s">
        <v>837</v>
      </c>
      <c r="C85" s="11" t="s">
        <v>838</v>
      </c>
      <c r="D85" s="11" t="s">
        <v>841</v>
      </c>
      <c r="E85" s="98">
        <v>2012.0</v>
      </c>
      <c r="F85" s="98">
        <v>127.0</v>
      </c>
      <c r="G85" s="99" t="s">
        <v>188</v>
      </c>
      <c r="H85" s="99" t="s">
        <v>188</v>
      </c>
      <c r="I85" s="11" t="s">
        <v>260</v>
      </c>
      <c r="J85" s="11" t="s">
        <v>842</v>
      </c>
      <c r="K85" s="67" t="s">
        <v>538</v>
      </c>
    </row>
    <row r="86">
      <c r="A86" s="11" t="s">
        <v>525</v>
      </c>
      <c r="B86" s="11" t="s">
        <v>837</v>
      </c>
      <c r="C86" s="11" t="s">
        <v>838</v>
      </c>
      <c r="D86" s="11" t="s">
        <v>841</v>
      </c>
      <c r="E86" s="98">
        <v>2014.0</v>
      </c>
      <c r="F86" s="98">
        <v>139.0</v>
      </c>
      <c r="G86" s="99" t="s">
        <v>188</v>
      </c>
      <c r="H86" s="99" t="s">
        <v>188</v>
      </c>
      <c r="I86" s="11" t="s">
        <v>260</v>
      </c>
      <c r="J86" s="11" t="s">
        <v>842</v>
      </c>
      <c r="K86" s="67" t="s">
        <v>538</v>
      </c>
    </row>
    <row r="87">
      <c r="A87" s="11" t="s">
        <v>525</v>
      </c>
      <c r="B87" s="11" t="s">
        <v>837</v>
      </c>
      <c r="C87" s="11" t="s">
        <v>838</v>
      </c>
      <c r="D87" s="11" t="s">
        <v>841</v>
      </c>
      <c r="E87" s="98">
        <v>2015.0</v>
      </c>
      <c r="F87" s="98">
        <v>132.0</v>
      </c>
      <c r="G87" s="99" t="s">
        <v>188</v>
      </c>
      <c r="H87" s="99" t="s">
        <v>188</v>
      </c>
      <c r="I87" s="11" t="s">
        <v>260</v>
      </c>
      <c r="J87" s="11" t="s">
        <v>842</v>
      </c>
      <c r="K87" s="67" t="s">
        <v>538</v>
      </c>
    </row>
    <row r="88">
      <c r="A88" s="11" t="s">
        <v>525</v>
      </c>
      <c r="B88" s="11" t="s">
        <v>837</v>
      </c>
      <c r="C88" s="11" t="s">
        <v>838</v>
      </c>
      <c r="D88" s="11" t="s">
        <v>841</v>
      </c>
      <c r="E88" s="98">
        <v>2017.0</v>
      </c>
      <c r="F88" s="98">
        <v>120.0</v>
      </c>
      <c r="G88" s="99" t="s">
        <v>188</v>
      </c>
      <c r="H88" s="99" t="s">
        <v>188</v>
      </c>
      <c r="I88" s="11" t="s">
        <v>260</v>
      </c>
      <c r="J88" s="11" t="s">
        <v>842</v>
      </c>
      <c r="K88" s="67" t="s">
        <v>538</v>
      </c>
    </row>
    <row r="89">
      <c r="A89" s="11" t="s">
        <v>525</v>
      </c>
      <c r="B89" s="11" t="s">
        <v>837</v>
      </c>
      <c r="C89" s="11" t="s">
        <v>838</v>
      </c>
      <c r="D89" s="11" t="s">
        <v>841</v>
      </c>
      <c r="E89" s="98">
        <v>2019.0</v>
      </c>
      <c r="F89" s="98">
        <v>110.0</v>
      </c>
      <c r="G89" s="98">
        <v>100.0</v>
      </c>
      <c r="H89" s="98">
        <v>120.0</v>
      </c>
      <c r="I89" s="11" t="s">
        <v>260</v>
      </c>
      <c r="J89" s="11" t="s">
        <v>842</v>
      </c>
      <c r="K89" s="67" t="s">
        <v>538</v>
      </c>
    </row>
    <row r="90">
      <c r="A90" s="11" t="s">
        <v>525</v>
      </c>
      <c r="B90" s="11" t="s">
        <v>837</v>
      </c>
      <c r="C90" s="11" t="s">
        <v>845</v>
      </c>
      <c r="D90" s="11" t="s">
        <v>846</v>
      </c>
      <c r="E90" s="100">
        <v>2006.0</v>
      </c>
      <c r="F90" s="100">
        <v>98.0</v>
      </c>
      <c r="G90" s="100" t="s">
        <v>188</v>
      </c>
      <c r="H90" s="100" t="s">
        <v>188</v>
      </c>
      <c r="I90" s="11" t="s">
        <v>260</v>
      </c>
      <c r="J90" s="11" t="s">
        <v>848</v>
      </c>
      <c r="K90" s="67" t="s">
        <v>538</v>
      </c>
      <c r="L90" s="11" t="s">
        <v>849</v>
      </c>
    </row>
    <row r="91">
      <c r="A91" s="11" t="s">
        <v>525</v>
      </c>
      <c r="B91" s="11" t="s">
        <v>837</v>
      </c>
      <c r="C91" s="11" t="s">
        <v>845</v>
      </c>
      <c r="D91" s="11" t="s">
        <v>846</v>
      </c>
      <c r="E91" s="11">
        <v>2008.0</v>
      </c>
      <c r="F91" s="11">
        <v>92.0</v>
      </c>
      <c r="G91" s="11" t="s">
        <v>188</v>
      </c>
      <c r="H91" s="11" t="s">
        <v>188</v>
      </c>
      <c r="I91" s="11" t="s">
        <v>260</v>
      </c>
      <c r="J91" s="11" t="s">
        <v>848</v>
      </c>
      <c r="K91" s="67" t="s">
        <v>538</v>
      </c>
    </row>
    <row r="92">
      <c r="A92" s="11" t="s">
        <v>525</v>
      </c>
      <c r="B92" s="11" t="s">
        <v>837</v>
      </c>
      <c r="C92" s="11" t="s">
        <v>845</v>
      </c>
      <c r="D92" s="11" t="s">
        <v>846</v>
      </c>
      <c r="E92" s="11">
        <v>2015.0</v>
      </c>
      <c r="F92" s="11">
        <v>63.0</v>
      </c>
      <c r="G92" s="11" t="s">
        <v>188</v>
      </c>
      <c r="H92" s="11" t="s">
        <v>188</v>
      </c>
      <c r="I92" s="11" t="s">
        <v>260</v>
      </c>
      <c r="J92" s="11" t="s">
        <v>848</v>
      </c>
      <c r="K92" s="67" t="s">
        <v>538</v>
      </c>
    </row>
    <row r="93">
      <c r="A93" s="11" t="s">
        <v>525</v>
      </c>
      <c r="B93" s="11" t="s">
        <v>837</v>
      </c>
      <c r="C93" s="11" t="s">
        <v>845</v>
      </c>
      <c r="D93" s="11" t="s">
        <v>846</v>
      </c>
      <c r="E93" s="11">
        <v>2019.0</v>
      </c>
      <c r="F93" s="11">
        <v>70.0</v>
      </c>
      <c r="G93" s="11" t="s">
        <v>188</v>
      </c>
      <c r="H93" s="11" t="s">
        <v>188</v>
      </c>
      <c r="I93" s="11" t="s">
        <v>260</v>
      </c>
      <c r="J93" s="11" t="s">
        <v>848</v>
      </c>
      <c r="K93" s="67" t="s">
        <v>538</v>
      </c>
    </row>
    <row r="94">
      <c r="A94" s="11" t="s">
        <v>525</v>
      </c>
      <c r="B94" s="11" t="s">
        <v>837</v>
      </c>
      <c r="C94" s="11" t="s">
        <v>845</v>
      </c>
      <c r="D94" s="11" t="s">
        <v>851</v>
      </c>
      <c r="E94" s="75">
        <v>2007.0</v>
      </c>
      <c r="F94" s="75">
        <v>192.0</v>
      </c>
      <c r="G94" s="54" t="s">
        <v>188</v>
      </c>
      <c r="H94" s="54" t="s">
        <v>188</v>
      </c>
      <c r="I94" s="11" t="s">
        <v>260</v>
      </c>
      <c r="J94" s="11" t="s">
        <v>848</v>
      </c>
      <c r="K94" s="67" t="s">
        <v>538</v>
      </c>
    </row>
    <row r="95">
      <c r="A95" s="11" t="s">
        <v>525</v>
      </c>
      <c r="B95" s="11" t="s">
        <v>837</v>
      </c>
      <c r="C95" s="11" t="s">
        <v>845</v>
      </c>
      <c r="D95" s="11" t="s">
        <v>851</v>
      </c>
      <c r="E95" s="75">
        <v>2008.0</v>
      </c>
      <c r="F95" s="75">
        <v>159.0</v>
      </c>
      <c r="G95" s="54" t="s">
        <v>188</v>
      </c>
      <c r="H95" s="54" t="s">
        <v>188</v>
      </c>
      <c r="I95" s="11" t="s">
        <v>260</v>
      </c>
      <c r="J95" s="11" t="s">
        <v>848</v>
      </c>
      <c r="K95" s="67" t="s">
        <v>538</v>
      </c>
    </row>
    <row r="96">
      <c r="A96" s="11" t="s">
        <v>525</v>
      </c>
      <c r="B96" s="11" t="s">
        <v>837</v>
      </c>
      <c r="C96" s="11" t="s">
        <v>845</v>
      </c>
      <c r="D96" s="11" t="s">
        <v>851</v>
      </c>
      <c r="E96" s="75">
        <v>2011.0</v>
      </c>
      <c r="F96" s="75">
        <v>184.0</v>
      </c>
      <c r="G96" s="54" t="s">
        <v>188</v>
      </c>
      <c r="H96" s="54" t="s">
        <v>188</v>
      </c>
      <c r="I96" s="11" t="s">
        <v>260</v>
      </c>
      <c r="J96" s="11" t="s">
        <v>848</v>
      </c>
      <c r="K96" s="67" t="s">
        <v>538</v>
      </c>
    </row>
    <row r="97">
      <c r="A97" s="11" t="s">
        <v>525</v>
      </c>
      <c r="B97" s="11" t="s">
        <v>837</v>
      </c>
      <c r="C97" s="11" t="s">
        <v>845</v>
      </c>
      <c r="D97" s="11" t="s">
        <v>851</v>
      </c>
      <c r="E97" s="75">
        <v>2012.0</v>
      </c>
      <c r="F97" s="75">
        <v>130.0</v>
      </c>
      <c r="G97" s="54" t="s">
        <v>188</v>
      </c>
      <c r="H97" s="54" t="s">
        <v>188</v>
      </c>
      <c r="I97" s="11" t="s">
        <v>260</v>
      </c>
      <c r="J97" s="11" t="s">
        <v>848</v>
      </c>
      <c r="K97" s="67" t="s">
        <v>538</v>
      </c>
    </row>
    <row r="98">
      <c r="A98" s="11" t="s">
        <v>525</v>
      </c>
      <c r="B98" s="11" t="s">
        <v>837</v>
      </c>
      <c r="C98" s="11" t="s">
        <v>845</v>
      </c>
      <c r="D98" s="11" t="s">
        <v>851</v>
      </c>
      <c r="E98" s="75">
        <v>2014.0</v>
      </c>
      <c r="F98" s="75">
        <v>141.0</v>
      </c>
      <c r="G98" s="54" t="s">
        <v>188</v>
      </c>
      <c r="H98" s="54" t="s">
        <v>188</v>
      </c>
      <c r="I98" s="11" t="s">
        <v>260</v>
      </c>
      <c r="J98" s="11" t="s">
        <v>848</v>
      </c>
      <c r="K98" s="67" t="s">
        <v>538</v>
      </c>
    </row>
    <row r="99">
      <c r="A99" s="11" t="s">
        <v>525</v>
      </c>
      <c r="B99" s="11" t="s">
        <v>837</v>
      </c>
      <c r="C99" s="11" t="s">
        <v>845</v>
      </c>
      <c r="D99" s="11" t="s">
        <v>851</v>
      </c>
      <c r="E99" s="75">
        <v>2015.0</v>
      </c>
      <c r="F99" s="75">
        <v>133.0</v>
      </c>
      <c r="G99" s="54" t="s">
        <v>188</v>
      </c>
      <c r="H99" s="54" t="s">
        <v>188</v>
      </c>
      <c r="I99" s="11" t="s">
        <v>260</v>
      </c>
      <c r="J99" s="11" t="s">
        <v>848</v>
      </c>
      <c r="K99" s="67" t="s">
        <v>538</v>
      </c>
    </row>
    <row r="100">
      <c r="A100" s="11" t="s">
        <v>525</v>
      </c>
      <c r="B100" s="11" t="s">
        <v>837</v>
      </c>
      <c r="C100" s="11" t="s">
        <v>852</v>
      </c>
      <c r="D100" s="11" t="s">
        <v>846</v>
      </c>
      <c r="E100" s="11">
        <v>2003.0</v>
      </c>
      <c r="F100" s="11">
        <v>157.0</v>
      </c>
      <c r="G100" s="11" t="s">
        <v>188</v>
      </c>
      <c r="H100" s="11" t="s">
        <v>188</v>
      </c>
      <c r="I100" s="11" t="s">
        <v>260</v>
      </c>
      <c r="J100" s="11" t="s">
        <v>848</v>
      </c>
      <c r="K100" s="67" t="s">
        <v>538</v>
      </c>
    </row>
    <row r="101">
      <c r="A101" s="11" t="s">
        <v>525</v>
      </c>
      <c r="B101" s="11" t="s">
        <v>837</v>
      </c>
      <c r="C101" s="11" t="s">
        <v>852</v>
      </c>
      <c r="D101" s="11" t="s">
        <v>846</v>
      </c>
      <c r="E101" s="11">
        <v>2014.0</v>
      </c>
      <c r="F101" s="11">
        <v>91.0</v>
      </c>
      <c r="G101" s="11" t="s">
        <v>188</v>
      </c>
      <c r="H101" s="11" t="s">
        <v>188</v>
      </c>
      <c r="I101" s="11" t="s">
        <v>260</v>
      </c>
      <c r="J101" s="11" t="s">
        <v>848</v>
      </c>
      <c r="K101" s="67" t="s">
        <v>538</v>
      </c>
    </row>
    <row r="102">
      <c r="A102" s="11" t="s">
        <v>525</v>
      </c>
      <c r="B102" s="11" t="s">
        <v>837</v>
      </c>
      <c r="C102" s="11" t="s">
        <v>852</v>
      </c>
      <c r="D102" s="11" t="s">
        <v>846</v>
      </c>
      <c r="E102" s="11">
        <v>2015.0</v>
      </c>
      <c r="F102" s="11">
        <v>89.0</v>
      </c>
      <c r="G102" s="11" t="s">
        <v>188</v>
      </c>
      <c r="H102" s="11" t="s">
        <v>188</v>
      </c>
      <c r="I102" s="11" t="s">
        <v>260</v>
      </c>
      <c r="J102" s="11" t="s">
        <v>848</v>
      </c>
      <c r="K102" s="67" t="s">
        <v>538</v>
      </c>
    </row>
    <row r="103">
      <c r="A103" s="11" t="s">
        <v>525</v>
      </c>
      <c r="B103" s="11" t="s">
        <v>837</v>
      </c>
      <c r="C103" s="11" t="s">
        <v>852</v>
      </c>
      <c r="D103" s="11" t="s">
        <v>851</v>
      </c>
      <c r="E103" s="11">
        <v>2002.0</v>
      </c>
      <c r="F103" s="11">
        <v>79.0</v>
      </c>
      <c r="G103" s="11" t="s">
        <v>188</v>
      </c>
      <c r="H103" s="11" t="s">
        <v>188</v>
      </c>
      <c r="I103" s="11" t="s">
        <v>260</v>
      </c>
      <c r="J103" s="11" t="s">
        <v>848</v>
      </c>
      <c r="K103" s="67" t="s">
        <v>538</v>
      </c>
    </row>
    <row r="104">
      <c r="A104" s="11" t="s">
        <v>525</v>
      </c>
      <c r="B104" s="11" t="s">
        <v>837</v>
      </c>
      <c r="C104" s="11" t="s">
        <v>852</v>
      </c>
      <c r="D104" s="11" t="s">
        <v>851</v>
      </c>
      <c r="E104" s="11">
        <v>2005.0</v>
      </c>
      <c r="F104" s="11">
        <v>104.0</v>
      </c>
      <c r="G104" s="11" t="s">
        <v>188</v>
      </c>
      <c r="H104" s="11" t="s">
        <v>188</v>
      </c>
      <c r="I104" s="11" t="s">
        <v>260</v>
      </c>
      <c r="J104" s="11" t="s">
        <v>848</v>
      </c>
      <c r="K104" s="67" t="s">
        <v>538</v>
      </c>
    </row>
    <row r="105">
      <c r="A105" s="11" t="s">
        <v>525</v>
      </c>
      <c r="B105" s="11" t="s">
        <v>837</v>
      </c>
      <c r="C105" s="11" t="s">
        <v>852</v>
      </c>
      <c r="D105" s="11" t="s">
        <v>851</v>
      </c>
      <c r="E105" s="11">
        <v>2006.0</v>
      </c>
      <c r="F105" s="11">
        <v>86.0</v>
      </c>
      <c r="G105" s="11" t="s">
        <v>188</v>
      </c>
      <c r="H105" s="11" t="s">
        <v>188</v>
      </c>
      <c r="I105" s="11" t="s">
        <v>260</v>
      </c>
      <c r="J105" s="11" t="s">
        <v>848</v>
      </c>
      <c r="K105" s="67" t="s">
        <v>538</v>
      </c>
    </row>
    <row r="106">
      <c r="A106" s="11" t="s">
        <v>525</v>
      </c>
      <c r="B106" s="11" t="s">
        <v>837</v>
      </c>
      <c r="C106" s="11" t="s">
        <v>852</v>
      </c>
      <c r="D106" s="11" t="s">
        <v>851</v>
      </c>
      <c r="E106" s="11">
        <v>2019.0</v>
      </c>
      <c r="F106" s="11">
        <v>32.0</v>
      </c>
      <c r="G106" s="11" t="s">
        <v>188</v>
      </c>
      <c r="H106" s="11" t="s">
        <v>188</v>
      </c>
      <c r="I106" s="11" t="s">
        <v>260</v>
      </c>
      <c r="J106" s="11" t="s">
        <v>848</v>
      </c>
      <c r="K106" s="67" t="s">
        <v>538</v>
      </c>
    </row>
    <row r="107">
      <c r="A107" s="11" t="s">
        <v>525</v>
      </c>
      <c r="B107" s="11" t="s">
        <v>837</v>
      </c>
      <c r="C107" s="11" t="s">
        <v>852</v>
      </c>
      <c r="D107" s="11" t="s">
        <v>854</v>
      </c>
      <c r="E107" s="11">
        <v>2012.0</v>
      </c>
      <c r="F107" s="11">
        <v>12.0</v>
      </c>
      <c r="G107" s="11" t="s">
        <v>188</v>
      </c>
      <c r="H107" s="11" t="s">
        <v>188</v>
      </c>
      <c r="I107" s="11" t="s">
        <v>260</v>
      </c>
      <c r="J107" s="11" t="s">
        <v>848</v>
      </c>
      <c r="K107" s="67" t="s">
        <v>538</v>
      </c>
    </row>
    <row r="108">
      <c r="A108" s="11" t="s">
        <v>525</v>
      </c>
      <c r="B108" s="11" t="s">
        <v>837</v>
      </c>
      <c r="C108" s="11" t="s">
        <v>852</v>
      </c>
      <c r="D108" s="11" t="s">
        <v>854</v>
      </c>
      <c r="E108" s="11">
        <v>2015.0</v>
      </c>
      <c r="F108" s="11">
        <v>11.0</v>
      </c>
      <c r="G108" s="11" t="s">
        <v>188</v>
      </c>
      <c r="H108" s="11" t="s">
        <v>188</v>
      </c>
      <c r="I108" s="11" t="s">
        <v>260</v>
      </c>
      <c r="J108" s="11" t="s">
        <v>848</v>
      </c>
      <c r="K108" s="67" t="s">
        <v>538</v>
      </c>
    </row>
    <row r="109">
      <c r="A109" s="11" t="s">
        <v>525</v>
      </c>
      <c r="B109" s="11" t="s">
        <v>837</v>
      </c>
      <c r="C109" s="11" t="s">
        <v>852</v>
      </c>
      <c r="D109" s="11" t="s">
        <v>854</v>
      </c>
      <c r="E109" s="11">
        <v>2019.0</v>
      </c>
      <c r="F109" s="11">
        <v>6.0</v>
      </c>
      <c r="G109" s="11" t="s">
        <v>188</v>
      </c>
      <c r="H109" s="11" t="s">
        <v>188</v>
      </c>
      <c r="I109" s="11" t="s">
        <v>260</v>
      </c>
      <c r="J109" s="11" t="s">
        <v>848</v>
      </c>
      <c r="K109" s="67" t="s">
        <v>538</v>
      </c>
    </row>
    <row r="110">
      <c r="A110" s="11" t="s">
        <v>525</v>
      </c>
      <c r="B110" s="11" t="s">
        <v>837</v>
      </c>
      <c r="C110" s="11" t="s">
        <v>855</v>
      </c>
      <c r="D110" s="11" t="s">
        <v>846</v>
      </c>
      <c r="E110" s="11">
        <v>2012.0</v>
      </c>
      <c r="F110" s="11">
        <v>20.0</v>
      </c>
      <c r="G110" s="11" t="s">
        <v>188</v>
      </c>
      <c r="H110" s="11" t="s">
        <v>188</v>
      </c>
      <c r="I110" s="11" t="s">
        <v>260</v>
      </c>
      <c r="J110" s="11" t="s">
        <v>848</v>
      </c>
      <c r="K110" s="67" t="s">
        <v>538</v>
      </c>
    </row>
    <row r="111">
      <c r="A111" s="11" t="s">
        <v>525</v>
      </c>
      <c r="B111" s="11" t="s">
        <v>837</v>
      </c>
      <c r="C111" s="11" t="s">
        <v>855</v>
      </c>
      <c r="D111" s="11" t="s">
        <v>846</v>
      </c>
      <c r="E111" s="11">
        <v>2015.0</v>
      </c>
      <c r="F111" s="11">
        <v>10.0</v>
      </c>
      <c r="G111" s="11" t="s">
        <v>188</v>
      </c>
      <c r="H111" s="11" t="s">
        <v>188</v>
      </c>
      <c r="I111" s="11" t="s">
        <v>260</v>
      </c>
      <c r="J111" s="11" t="s">
        <v>848</v>
      </c>
      <c r="K111" s="67" t="s">
        <v>538</v>
      </c>
    </row>
    <row r="112">
      <c r="A112" s="11" t="s">
        <v>525</v>
      </c>
      <c r="B112" s="11" t="s">
        <v>837</v>
      </c>
      <c r="C112" s="11" t="s">
        <v>855</v>
      </c>
      <c r="D112" s="11" t="s">
        <v>846</v>
      </c>
      <c r="E112" s="11">
        <v>2019.0</v>
      </c>
      <c r="F112" s="11">
        <v>10.0</v>
      </c>
      <c r="G112" s="11" t="s">
        <v>188</v>
      </c>
      <c r="H112" s="11" t="s">
        <v>188</v>
      </c>
      <c r="I112" s="11" t="s">
        <v>260</v>
      </c>
      <c r="J112" s="11" t="s">
        <v>848</v>
      </c>
      <c r="K112" s="67" t="s">
        <v>538</v>
      </c>
    </row>
    <row r="113">
      <c r="A113" s="11" t="s">
        <v>525</v>
      </c>
      <c r="B113" s="11" t="s">
        <v>837</v>
      </c>
      <c r="C113" s="11" t="s">
        <v>855</v>
      </c>
      <c r="D113" s="11" t="s">
        <v>851</v>
      </c>
      <c r="E113" s="11">
        <v>1996.0</v>
      </c>
      <c r="F113" s="11">
        <v>11.0</v>
      </c>
      <c r="G113" s="11" t="s">
        <v>188</v>
      </c>
      <c r="H113" s="11" t="s">
        <v>188</v>
      </c>
      <c r="I113" s="11" t="s">
        <v>260</v>
      </c>
      <c r="J113" s="11" t="s">
        <v>848</v>
      </c>
      <c r="K113" s="67" t="s">
        <v>538</v>
      </c>
    </row>
    <row r="114">
      <c r="A114" s="11" t="s">
        <v>525</v>
      </c>
      <c r="B114" s="11" t="s">
        <v>837</v>
      </c>
      <c r="C114" s="11" t="s">
        <v>855</v>
      </c>
      <c r="D114" s="11" t="s">
        <v>851</v>
      </c>
      <c r="E114" s="11">
        <v>2011.0</v>
      </c>
      <c r="F114" s="11">
        <v>17.0</v>
      </c>
      <c r="G114" s="11" t="s">
        <v>188</v>
      </c>
      <c r="H114" s="11" t="s">
        <v>188</v>
      </c>
      <c r="I114" s="11" t="s">
        <v>260</v>
      </c>
      <c r="J114" s="11" t="s">
        <v>848</v>
      </c>
      <c r="K114" s="67" t="s">
        <v>538</v>
      </c>
    </row>
    <row r="115">
      <c r="A115" s="11" t="s">
        <v>543</v>
      </c>
      <c r="B115" s="11" t="s">
        <v>856</v>
      </c>
      <c r="C115" s="11" t="s">
        <v>857</v>
      </c>
      <c r="D115" s="11" t="s">
        <v>858</v>
      </c>
      <c r="E115" s="11">
        <v>2004.0</v>
      </c>
      <c r="F115" s="11">
        <v>148.0</v>
      </c>
      <c r="G115" s="11">
        <v>134.0</v>
      </c>
      <c r="H115" s="11">
        <v>164.0</v>
      </c>
      <c r="I115" s="11" t="s">
        <v>160</v>
      </c>
      <c r="J115" s="11" t="s">
        <v>859</v>
      </c>
      <c r="K115" s="11" t="s">
        <v>521</v>
      </c>
      <c r="L115" s="11" t="s">
        <v>860</v>
      </c>
    </row>
    <row r="116">
      <c r="A116" s="11" t="s">
        <v>543</v>
      </c>
      <c r="B116" s="11" t="s">
        <v>856</v>
      </c>
      <c r="C116" s="11" t="s">
        <v>857</v>
      </c>
      <c r="D116" s="11" t="s">
        <v>858</v>
      </c>
      <c r="E116" s="11">
        <v>2006.0</v>
      </c>
      <c r="F116" s="11">
        <v>145.0</v>
      </c>
      <c r="G116" s="11">
        <v>133.0</v>
      </c>
      <c r="H116" s="11">
        <v>158.0</v>
      </c>
      <c r="I116" s="11" t="s">
        <v>160</v>
      </c>
      <c r="J116" s="11" t="s">
        <v>859</v>
      </c>
      <c r="K116" s="11" t="s">
        <v>801</v>
      </c>
      <c r="L116" s="11" t="s">
        <v>862</v>
      </c>
    </row>
    <row r="117">
      <c r="A117" s="11" t="s">
        <v>543</v>
      </c>
      <c r="B117" s="11" t="s">
        <v>856</v>
      </c>
      <c r="C117" s="11" t="s">
        <v>857</v>
      </c>
      <c r="D117" s="11" t="s">
        <v>858</v>
      </c>
      <c r="E117" s="11">
        <v>2006.0</v>
      </c>
      <c r="F117" s="11">
        <v>148.0</v>
      </c>
      <c r="G117" s="11">
        <v>136.0</v>
      </c>
      <c r="H117" s="11">
        <v>161.0</v>
      </c>
      <c r="I117" s="11" t="s">
        <v>160</v>
      </c>
      <c r="J117" s="11" t="s">
        <v>859</v>
      </c>
      <c r="K117" s="11" t="s">
        <v>802</v>
      </c>
    </row>
    <row r="118">
      <c r="A118" s="11" t="s">
        <v>543</v>
      </c>
      <c r="B118" s="11" t="s">
        <v>856</v>
      </c>
      <c r="C118" s="11" t="s">
        <v>857</v>
      </c>
      <c r="D118" s="11" t="s">
        <v>858</v>
      </c>
      <c r="E118" s="11">
        <v>2006.0</v>
      </c>
      <c r="F118" s="11">
        <v>144.0</v>
      </c>
      <c r="G118" s="11">
        <v>130.0</v>
      </c>
      <c r="H118" s="11">
        <v>160.0</v>
      </c>
      <c r="I118" s="11" t="s">
        <v>160</v>
      </c>
      <c r="J118" s="11" t="s">
        <v>859</v>
      </c>
      <c r="K118" s="11" t="s">
        <v>803</v>
      </c>
    </row>
    <row r="119">
      <c r="A119" s="11" t="s">
        <v>543</v>
      </c>
      <c r="B119" s="11" t="s">
        <v>856</v>
      </c>
      <c r="C119" s="11" t="s">
        <v>857</v>
      </c>
      <c r="D119" s="11" t="s">
        <v>863</v>
      </c>
      <c r="E119" s="11">
        <v>2004.0</v>
      </c>
      <c r="F119" s="11">
        <v>162.0</v>
      </c>
      <c r="G119" s="11">
        <v>157.0</v>
      </c>
      <c r="H119" s="11">
        <v>167.0</v>
      </c>
      <c r="I119" s="11" t="s">
        <v>160</v>
      </c>
      <c r="J119" s="11" t="s">
        <v>859</v>
      </c>
      <c r="K119" s="11" t="s">
        <v>804</v>
      </c>
      <c r="L119" s="11" t="s">
        <v>860</v>
      </c>
    </row>
    <row r="120">
      <c r="A120" s="11" t="s">
        <v>543</v>
      </c>
      <c r="B120" s="11" t="s">
        <v>856</v>
      </c>
      <c r="C120" s="11" t="s">
        <v>857</v>
      </c>
      <c r="D120" s="11" t="s">
        <v>863</v>
      </c>
      <c r="E120" s="11">
        <v>2006.0</v>
      </c>
      <c r="F120" s="11">
        <v>153.0</v>
      </c>
      <c r="G120" s="11">
        <v>147.0</v>
      </c>
      <c r="H120" s="11">
        <v>159.0</v>
      </c>
      <c r="I120" s="11" t="s">
        <v>160</v>
      </c>
      <c r="J120" s="11" t="s">
        <v>859</v>
      </c>
      <c r="K120" s="11" t="s">
        <v>806</v>
      </c>
    </row>
    <row r="121">
      <c r="A121" s="11" t="s">
        <v>543</v>
      </c>
      <c r="B121" s="11" t="s">
        <v>856</v>
      </c>
      <c r="C121" s="11" t="s">
        <v>857</v>
      </c>
      <c r="D121" s="11" t="s">
        <v>863</v>
      </c>
      <c r="E121" s="11">
        <v>2006.0</v>
      </c>
      <c r="F121" s="11">
        <v>151.0</v>
      </c>
      <c r="G121" s="11">
        <v>140.0</v>
      </c>
      <c r="H121" s="11">
        <v>163.0</v>
      </c>
      <c r="I121" s="11" t="s">
        <v>160</v>
      </c>
      <c r="J121" s="11" t="s">
        <v>859</v>
      </c>
      <c r="K121" s="11" t="s">
        <v>549</v>
      </c>
    </row>
    <row r="122">
      <c r="A122" s="11" t="s">
        <v>543</v>
      </c>
      <c r="B122" s="11" t="s">
        <v>856</v>
      </c>
      <c r="C122" s="11" t="s">
        <v>857</v>
      </c>
      <c r="D122" s="11" t="s">
        <v>863</v>
      </c>
      <c r="E122" s="11">
        <v>2006.0</v>
      </c>
      <c r="F122" s="11">
        <v>137.0</v>
      </c>
      <c r="G122" s="11">
        <v>121.0</v>
      </c>
      <c r="H122" s="11">
        <v>154.0</v>
      </c>
      <c r="I122" s="11" t="s">
        <v>160</v>
      </c>
      <c r="J122" s="11" t="s">
        <v>859</v>
      </c>
      <c r="K122" s="11" t="s">
        <v>808</v>
      </c>
    </row>
    <row r="123">
      <c r="A123" s="11" t="s">
        <v>552</v>
      </c>
      <c r="B123" s="11" t="s">
        <v>551</v>
      </c>
      <c r="C123" s="11" t="s">
        <v>864</v>
      </c>
      <c r="D123" s="11" t="s">
        <v>841</v>
      </c>
      <c r="E123" s="11">
        <v>2008.0</v>
      </c>
      <c r="F123" s="11">
        <v>153.0</v>
      </c>
      <c r="G123" s="11">
        <v>76.0</v>
      </c>
      <c r="H123" s="11">
        <v>310.0</v>
      </c>
      <c r="I123" s="11" t="s">
        <v>160</v>
      </c>
      <c r="J123" s="11" t="s">
        <v>74</v>
      </c>
      <c r="K123" s="11" t="s">
        <v>568</v>
      </c>
      <c r="L123" s="11" t="s">
        <v>865</v>
      </c>
    </row>
    <row r="124">
      <c r="A124" s="11" t="s">
        <v>552</v>
      </c>
      <c r="B124" s="11" t="s">
        <v>551</v>
      </c>
      <c r="C124" s="11" t="s">
        <v>864</v>
      </c>
      <c r="D124" s="11" t="s">
        <v>841</v>
      </c>
      <c r="E124" s="11">
        <v>2009.0</v>
      </c>
      <c r="F124" s="11">
        <v>167.0</v>
      </c>
      <c r="G124" s="11">
        <v>81.0</v>
      </c>
      <c r="H124" s="11">
        <v>342.0</v>
      </c>
      <c r="I124" s="11" t="s">
        <v>160</v>
      </c>
      <c r="J124" s="11" t="s">
        <v>74</v>
      </c>
      <c r="K124" s="11" t="s">
        <v>867</v>
      </c>
    </row>
    <row r="125">
      <c r="A125" s="11" t="s">
        <v>552</v>
      </c>
      <c r="B125" s="11" t="s">
        <v>551</v>
      </c>
      <c r="C125" s="11" t="s">
        <v>864</v>
      </c>
      <c r="D125" s="11" t="s">
        <v>841</v>
      </c>
      <c r="E125" s="11">
        <v>2009.0</v>
      </c>
      <c r="F125" s="11">
        <v>136.0</v>
      </c>
      <c r="G125" s="11">
        <v>58.0</v>
      </c>
      <c r="H125" s="11">
        <v>317.0</v>
      </c>
      <c r="I125" s="11" t="s">
        <v>160</v>
      </c>
      <c r="J125" s="11" t="s">
        <v>74</v>
      </c>
      <c r="K125" s="11" t="s">
        <v>868</v>
      </c>
    </row>
    <row r="126">
      <c r="A126" s="11" t="s">
        <v>552</v>
      </c>
      <c r="B126" s="11" t="s">
        <v>551</v>
      </c>
      <c r="C126" s="11" t="s">
        <v>864</v>
      </c>
      <c r="D126" s="11" t="s">
        <v>841</v>
      </c>
      <c r="E126" s="11">
        <v>2009.0</v>
      </c>
      <c r="F126" s="11">
        <v>216.0</v>
      </c>
      <c r="G126" s="11">
        <v>98.0</v>
      </c>
      <c r="H126" s="11">
        <v>475.0</v>
      </c>
      <c r="I126" s="11" t="s">
        <v>160</v>
      </c>
      <c r="J126" s="11" t="s">
        <v>74</v>
      </c>
      <c r="K126" s="11" t="s">
        <v>869</v>
      </c>
    </row>
    <row r="127">
      <c r="A127" s="11" t="s">
        <v>552</v>
      </c>
      <c r="B127" s="11" t="s">
        <v>551</v>
      </c>
      <c r="C127" s="11" t="s">
        <v>864</v>
      </c>
      <c r="D127" s="11" t="s">
        <v>841</v>
      </c>
      <c r="E127" s="11">
        <v>2010.0</v>
      </c>
      <c r="F127" s="11">
        <v>222.0</v>
      </c>
      <c r="G127" s="11">
        <v>146.0</v>
      </c>
      <c r="H127" s="11">
        <v>336.0</v>
      </c>
      <c r="I127" s="11" t="s">
        <v>160</v>
      </c>
      <c r="J127" s="11" t="s">
        <v>74</v>
      </c>
      <c r="K127" s="11" t="s">
        <v>870</v>
      </c>
    </row>
    <row r="128">
      <c r="A128" s="11" t="s">
        <v>871</v>
      </c>
      <c r="B128" s="11" t="s">
        <v>551</v>
      </c>
      <c r="C128" s="11" t="s">
        <v>864</v>
      </c>
      <c r="D128" s="11" t="s">
        <v>841</v>
      </c>
      <c r="E128" s="11">
        <v>2008.0</v>
      </c>
      <c r="F128" s="11">
        <v>48.0</v>
      </c>
      <c r="G128" s="11">
        <v>24.0</v>
      </c>
      <c r="H128" s="11">
        <v>95.0</v>
      </c>
      <c r="I128" s="11" t="s">
        <v>160</v>
      </c>
      <c r="J128" s="11" t="s">
        <v>74</v>
      </c>
      <c r="K128" s="11" t="s">
        <v>873</v>
      </c>
      <c r="L128" s="11" t="s">
        <v>865</v>
      </c>
    </row>
    <row r="129">
      <c r="A129" s="11" t="s">
        <v>871</v>
      </c>
      <c r="B129" s="11" t="s">
        <v>551</v>
      </c>
      <c r="C129" s="11" t="s">
        <v>864</v>
      </c>
      <c r="D129" s="11" t="s">
        <v>841</v>
      </c>
      <c r="E129" s="11">
        <v>2008.0</v>
      </c>
      <c r="F129" s="11">
        <v>72.0</v>
      </c>
      <c r="G129" s="11">
        <v>40.0</v>
      </c>
      <c r="H129" s="11">
        <v>131.0</v>
      </c>
      <c r="I129" s="11" t="s">
        <v>160</v>
      </c>
      <c r="J129" s="11" t="s">
        <v>74</v>
      </c>
      <c r="K129" s="11" t="s">
        <v>875</v>
      </c>
    </row>
    <row r="130">
      <c r="A130" s="11" t="s">
        <v>871</v>
      </c>
      <c r="B130" s="11" t="s">
        <v>551</v>
      </c>
      <c r="C130" s="11" t="s">
        <v>864</v>
      </c>
      <c r="D130" s="11" t="s">
        <v>841</v>
      </c>
      <c r="E130" s="11">
        <v>2008.0</v>
      </c>
      <c r="F130" s="11">
        <v>80.0</v>
      </c>
      <c r="G130" s="11">
        <v>43.0</v>
      </c>
      <c r="H130" s="11">
        <v>151.0</v>
      </c>
      <c r="I130" s="11" t="s">
        <v>160</v>
      </c>
      <c r="J130" s="11" t="s">
        <v>74</v>
      </c>
      <c r="K130" s="11" t="s">
        <v>876</v>
      </c>
    </row>
    <row r="131">
      <c r="A131" s="11" t="s">
        <v>871</v>
      </c>
      <c r="B131" s="11" t="s">
        <v>551</v>
      </c>
      <c r="C131" s="11" t="s">
        <v>864</v>
      </c>
      <c r="D131" s="11" t="s">
        <v>841</v>
      </c>
      <c r="E131" s="11">
        <v>2009.0</v>
      </c>
      <c r="F131" s="11">
        <v>58.0</v>
      </c>
      <c r="G131" s="11">
        <v>29.0</v>
      </c>
      <c r="H131" s="11">
        <v>117.0</v>
      </c>
      <c r="I131" s="11" t="s">
        <v>160</v>
      </c>
      <c r="J131" s="11" t="s">
        <v>74</v>
      </c>
      <c r="K131" s="11" t="s">
        <v>877</v>
      </c>
    </row>
    <row r="132">
      <c r="A132" s="11" t="s">
        <v>871</v>
      </c>
      <c r="B132" s="11" t="s">
        <v>551</v>
      </c>
      <c r="C132" s="11" t="s">
        <v>864</v>
      </c>
      <c r="D132" s="11" t="s">
        <v>841</v>
      </c>
      <c r="E132" s="11">
        <v>2009.0</v>
      </c>
      <c r="F132" s="11">
        <v>95.0</v>
      </c>
      <c r="G132" s="11">
        <v>52.0</v>
      </c>
      <c r="H132" s="11">
        <v>173.0</v>
      </c>
      <c r="I132" s="11" t="s">
        <v>160</v>
      </c>
      <c r="J132" s="11" t="s">
        <v>74</v>
      </c>
      <c r="K132" s="11" t="s">
        <v>879</v>
      </c>
    </row>
    <row r="133">
      <c r="A133" s="11" t="s">
        <v>871</v>
      </c>
      <c r="B133" s="11" t="s">
        <v>551</v>
      </c>
      <c r="C133" s="11" t="s">
        <v>864</v>
      </c>
      <c r="D133" s="11" t="s">
        <v>841</v>
      </c>
      <c r="E133" s="11">
        <v>2010.0</v>
      </c>
      <c r="F133" s="11">
        <v>51.0</v>
      </c>
      <c r="G133" s="11">
        <v>24.0</v>
      </c>
      <c r="H133" s="11">
        <v>106.0</v>
      </c>
      <c r="I133" s="11" t="s">
        <v>160</v>
      </c>
      <c r="J133" s="11" t="s">
        <v>74</v>
      </c>
      <c r="K133" s="11" t="s">
        <v>880</v>
      </c>
    </row>
    <row r="134">
      <c r="A134" s="11" t="s">
        <v>871</v>
      </c>
      <c r="B134" s="11" t="s">
        <v>551</v>
      </c>
      <c r="C134" s="11" t="s">
        <v>864</v>
      </c>
      <c r="D134" s="11" t="s">
        <v>841</v>
      </c>
      <c r="E134" s="11">
        <v>2010.0</v>
      </c>
      <c r="F134" s="11">
        <v>207.0</v>
      </c>
      <c r="G134" s="11">
        <v>113.0</v>
      </c>
      <c r="H134" s="11">
        <v>379.0</v>
      </c>
      <c r="I134" s="11" t="s">
        <v>160</v>
      </c>
      <c r="J134" s="11" t="s">
        <v>74</v>
      </c>
      <c r="K134" s="11" t="s">
        <v>881</v>
      </c>
    </row>
    <row r="135">
      <c r="A135" s="11" t="s">
        <v>871</v>
      </c>
      <c r="B135" s="11" t="s">
        <v>551</v>
      </c>
      <c r="C135" s="11" t="s">
        <v>864</v>
      </c>
      <c r="D135" s="11" t="s">
        <v>841</v>
      </c>
      <c r="E135" s="11">
        <v>2010.0</v>
      </c>
      <c r="F135" s="11">
        <v>145.0</v>
      </c>
      <c r="G135" s="11">
        <v>92.0</v>
      </c>
      <c r="H135" s="11">
        <v>231.0</v>
      </c>
      <c r="I135" s="11" t="s">
        <v>160</v>
      </c>
      <c r="J135" s="11" t="s">
        <v>74</v>
      </c>
      <c r="K135" s="11" t="s">
        <v>882</v>
      </c>
    </row>
    <row r="136">
      <c r="A136" s="11" t="s">
        <v>565</v>
      </c>
      <c r="B136" s="11" t="s">
        <v>551</v>
      </c>
      <c r="C136" s="11" t="s">
        <v>864</v>
      </c>
      <c r="D136" s="11" t="s">
        <v>841</v>
      </c>
      <c r="E136" s="11">
        <v>2008.0</v>
      </c>
      <c r="F136" s="11">
        <v>39.0</v>
      </c>
      <c r="G136" s="11">
        <v>20.0</v>
      </c>
      <c r="H136" s="11">
        <v>75.0</v>
      </c>
      <c r="I136" s="11" t="s">
        <v>160</v>
      </c>
      <c r="J136" s="11" t="s">
        <v>74</v>
      </c>
      <c r="K136" s="11" t="s">
        <v>883</v>
      </c>
    </row>
    <row r="137">
      <c r="A137" s="11" t="s">
        <v>565</v>
      </c>
      <c r="B137" s="11" t="s">
        <v>551</v>
      </c>
      <c r="C137" s="11" t="s">
        <v>864</v>
      </c>
      <c r="D137" s="11" t="s">
        <v>841</v>
      </c>
      <c r="E137" s="11">
        <v>2009.0</v>
      </c>
      <c r="F137" s="11">
        <v>59.0</v>
      </c>
      <c r="G137" s="11">
        <v>29.0</v>
      </c>
      <c r="H137" s="11">
        <v>118.0</v>
      </c>
      <c r="I137" s="11" t="s">
        <v>160</v>
      </c>
      <c r="J137" s="11" t="s">
        <v>74</v>
      </c>
      <c r="K137" s="11" t="s">
        <v>884</v>
      </c>
    </row>
    <row r="138">
      <c r="A138" s="11" t="s">
        <v>565</v>
      </c>
      <c r="B138" s="11" t="s">
        <v>551</v>
      </c>
      <c r="C138" s="11" t="s">
        <v>864</v>
      </c>
      <c r="D138" s="11" t="s">
        <v>841</v>
      </c>
      <c r="E138" s="11">
        <v>2009.0</v>
      </c>
      <c r="F138" s="11">
        <v>75.0</v>
      </c>
      <c r="G138" s="11">
        <v>39.0</v>
      </c>
      <c r="H138" s="11">
        <v>154.0</v>
      </c>
      <c r="I138" s="11" t="s">
        <v>160</v>
      </c>
      <c r="J138" s="11" t="s">
        <v>74</v>
      </c>
      <c r="K138" s="11" t="s">
        <v>885</v>
      </c>
    </row>
    <row r="139">
      <c r="A139" s="11" t="s">
        <v>565</v>
      </c>
      <c r="B139" s="11" t="s">
        <v>551</v>
      </c>
      <c r="C139" s="11" t="s">
        <v>864</v>
      </c>
      <c r="D139" s="11" t="s">
        <v>841</v>
      </c>
      <c r="E139" s="11">
        <v>2009.0</v>
      </c>
      <c r="F139" s="11">
        <v>34.0</v>
      </c>
      <c r="G139" s="11">
        <v>14.0</v>
      </c>
      <c r="H139" s="11">
        <v>83.0</v>
      </c>
      <c r="I139" s="11" t="s">
        <v>160</v>
      </c>
      <c r="J139" s="11" t="s">
        <v>74</v>
      </c>
      <c r="K139" s="11" t="s">
        <v>886</v>
      </c>
    </row>
    <row r="140">
      <c r="A140" s="11" t="s">
        <v>565</v>
      </c>
      <c r="B140" s="11" t="s">
        <v>551</v>
      </c>
      <c r="C140" s="11" t="s">
        <v>864</v>
      </c>
      <c r="D140" s="11" t="s">
        <v>841</v>
      </c>
      <c r="E140" s="11">
        <v>2010.0</v>
      </c>
      <c r="F140" s="11">
        <v>68.0</v>
      </c>
      <c r="G140" s="11">
        <v>29.0</v>
      </c>
      <c r="H140" s="11">
        <v>159.0</v>
      </c>
      <c r="I140" s="11" t="s">
        <v>160</v>
      </c>
      <c r="J140" s="11" t="s">
        <v>74</v>
      </c>
      <c r="K140" s="11" t="s">
        <v>888</v>
      </c>
    </row>
    <row r="141">
      <c r="A141" s="11" t="s">
        <v>565</v>
      </c>
      <c r="B141" s="11" t="s">
        <v>551</v>
      </c>
      <c r="C141" s="11" t="s">
        <v>864</v>
      </c>
      <c r="D141" s="11" t="s">
        <v>841</v>
      </c>
      <c r="E141" s="11">
        <v>2010.0</v>
      </c>
      <c r="F141" s="11">
        <v>48.0</v>
      </c>
      <c r="G141" s="11">
        <v>19.0</v>
      </c>
      <c r="H141" s="11">
        <v>123.0</v>
      </c>
      <c r="I141" s="11" t="s">
        <v>160</v>
      </c>
      <c r="J141" s="11" t="s">
        <v>74</v>
      </c>
      <c r="K141" s="11" t="s">
        <v>889</v>
      </c>
    </row>
    <row r="142">
      <c r="A142" s="11" t="s">
        <v>525</v>
      </c>
      <c r="B142" s="11" t="s">
        <v>837</v>
      </c>
      <c r="C142" s="11" t="s">
        <v>890</v>
      </c>
      <c r="D142" s="11" t="s">
        <v>891</v>
      </c>
      <c r="E142" s="11">
        <v>1990.0</v>
      </c>
      <c r="F142" s="11">
        <v>523.0</v>
      </c>
      <c r="G142" s="11" t="s">
        <v>188</v>
      </c>
      <c r="H142" s="11" t="s">
        <v>188</v>
      </c>
      <c r="I142" s="11" t="s">
        <v>260</v>
      </c>
      <c r="J142" s="11" t="s">
        <v>555</v>
      </c>
      <c r="K142" s="11" t="s">
        <v>574</v>
      </c>
    </row>
    <row r="143">
      <c r="A143" s="11" t="s">
        <v>525</v>
      </c>
      <c r="B143" s="11" t="s">
        <v>837</v>
      </c>
      <c r="C143" s="11" t="s">
        <v>890</v>
      </c>
      <c r="D143" s="11" t="s">
        <v>891</v>
      </c>
      <c r="E143" s="11">
        <v>1991.0</v>
      </c>
      <c r="F143" s="11">
        <v>432.0</v>
      </c>
      <c r="G143" s="11" t="s">
        <v>188</v>
      </c>
      <c r="H143" s="11" t="s">
        <v>188</v>
      </c>
      <c r="I143" s="11" t="s">
        <v>260</v>
      </c>
      <c r="J143" s="11" t="s">
        <v>555</v>
      </c>
      <c r="K143" s="11" t="s">
        <v>574</v>
      </c>
    </row>
    <row r="144">
      <c r="A144" s="11" t="s">
        <v>525</v>
      </c>
      <c r="B144" s="11" t="s">
        <v>837</v>
      </c>
      <c r="C144" s="11" t="s">
        <v>890</v>
      </c>
      <c r="D144" s="11" t="s">
        <v>891</v>
      </c>
      <c r="E144" s="11">
        <v>1992.0</v>
      </c>
      <c r="F144" s="11">
        <v>450.0</v>
      </c>
      <c r="G144" s="11" t="s">
        <v>188</v>
      </c>
      <c r="H144" s="11" t="s">
        <v>188</v>
      </c>
      <c r="I144" s="11" t="s">
        <v>260</v>
      </c>
      <c r="J144" s="11" t="s">
        <v>555</v>
      </c>
      <c r="K144" s="11" t="s">
        <v>574</v>
      </c>
    </row>
    <row r="145">
      <c r="A145" s="11" t="s">
        <v>525</v>
      </c>
      <c r="B145" s="11" t="s">
        <v>837</v>
      </c>
      <c r="C145" s="11" t="s">
        <v>890</v>
      </c>
      <c r="D145" s="11" t="s">
        <v>891</v>
      </c>
      <c r="E145" s="11">
        <v>1995.0</v>
      </c>
      <c r="F145" s="11">
        <v>441.0</v>
      </c>
      <c r="G145" s="11" t="s">
        <v>188</v>
      </c>
      <c r="H145" s="11" t="s">
        <v>188</v>
      </c>
      <c r="I145" s="11" t="s">
        <v>260</v>
      </c>
      <c r="J145" s="11" t="s">
        <v>555</v>
      </c>
      <c r="K145" s="11" t="s">
        <v>574</v>
      </c>
    </row>
    <row r="146">
      <c r="A146" s="11" t="s">
        <v>525</v>
      </c>
      <c r="B146" s="11" t="s">
        <v>837</v>
      </c>
      <c r="C146" s="11" t="s">
        <v>890</v>
      </c>
      <c r="D146" s="11" t="s">
        <v>891</v>
      </c>
      <c r="E146" s="11">
        <v>1997.0</v>
      </c>
      <c r="F146" s="11">
        <v>383.0</v>
      </c>
      <c r="G146" s="11" t="s">
        <v>188</v>
      </c>
      <c r="H146" s="11" t="s">
        <v>188</v>
      </c>
      <c r="I146" s="11" t="s">
        <v>260</v>
      </c>
      <c r="J146" s="11" t="s">
        <v>555</v>
      </c>
      <c r="K146" s="11" t="s">
        <v>574</v>
      </c>
    </row>
    <row r="147">
      <c r="A147" s="11" t="s">
        <v>525</v>
      </c>
      <c r="B147" s="11" t="s">
        <v>837</v>
      </c>
      <c r="C147" s="11" t="s">
        <v>890</v>
      </c>
      <c r="D147" s="11" t="s">
        <v>891</v>
      </c>
      <c r="E147" s="11">
        <v>1998.0</v>
      </c>
      <c r="F147" s="11">
        <v>447.0</v>
      </c>
      <c r="G147" s="11" t="s">
        <v>188</v>
      </c>
      <c r="H147" s="11" t="s">
        <v>188</v>
      </c>
      <c r="I147" s="11" t="s">
        <v>260</v>
      </c>
      <c r="J147" s="11" t="s">
        <v>555</v>
      </c>
      <c r="K147" s="11" t="s">
        <v>574</v>
      </c>
    </row>
    <row r="148">
      <c r="A148" s="11" t="s">
        <v>525</v>
      </c>
      <c r="B148" s="11" t="s">
        <v>837</v>
      </c>
      <c r="C148" s="11" t="s">
        <v>890</v>
      </c>
      <c r="D148" s="11" t="s">
        <v>891</v>
      </c>
      <c r="E148" s="11">
        <v>2000.0</v>
      </c>
      <c r="F148" s="11">
        <v>495.0</v>
      </c>
      <c r="G148" s="11" t="s">
        <v>188</v>
      </c>
      <c r="H148" s="11" t="s">
        <v>188</v>
      </c>
      <c r="I148" s="11" t="s">
        <v>260</v>
      </c>
      <c r="J148" s="11" t="s">
        <v>555</v>
      </c>
      <c r="K148" s="11" t="s">
        <v>574</v>
      </c>
    </row>
    <row r="149">
      <c r="A149" s="11" t="s">
        <v>525</v>
      </c>
      <c r="B149" s="11" t="s">
        <v>837</v>
      </c>
      <c r="C149" s="11" t="s">
        <v>890</v>
      </c>
      <c r="D149" s="11" t="s">
        <v>891</v>
      </c>
      <c r="E149" s="11">
        <v>2001.0</v>
      </c>
      <c r="F149" s="11">
        <v>465.0</v>
      </c>
      <c r="G149" s="11" t="s">
        <v>188</v>
      </c>
      <c r="H149" s="11" t="s">
        <v>188</v>
      </c>
      <c r="I149" s="11" t="s">
        <v>260</v>
      </c>
      <c r="J149" s="11" t="s">
        <v>555</v>
      </c>
      <c r="K149" s="11" t="s">
        <v>574</v>
      </c>
    </row>
    <row r="150">
      <c r="A150" s="11" t="s">
        <v>525</v>
      </c>
      <c r="B150" s="11" t="s">
        <v>837</v>
      </c>
      <c r="C150" s="11" t="s">
        <v>890</v>
      </c>
      <c r="D150" s="11" t="s">
        <v>891</v>
      </c>
      <c r="E150" s="11">
        <v>2002.0</v>
      </c>
      <c r="F150" s="11">
        <v>613.0</v>
      </c>
      <c r="G150" s="11" t="s">
        <v>188</v>
      </c>
      <c r="H150" s="11" t="s">
        <v>188</v>
      </c>
      <c r="I150" s="11" t="s">
        <v>260</v>
      </c>
      <c r="J150" s="11" t="s">
        <v>555</v>
      </c>
      <c r="K150" s="11" t="s">
        <v>574</v>
      </c>
    </row>
    <row r="151">
      <c r="A151" s="11" t="s">
        <v>525</v>
      </c>
      <c r="B151" s="11" t="s">
        <v>837</v>
      </c>
      <c r="C151" s="11" t="s">
        <v>890</v>
      </c>
      <c r="D151" s="11" t="s">
        <v>891</v>
      </c>
      <c r="E151" s="11">
        <v>2004.0</v>
      </c>
      <c r="F151" s="11">
        <v>494.0</v>
      </c>
      <c r="G151" s="11" t="s">
        <v>188</v>
      </c>
      <c r="H151" s="11" t="s">
        <v>188</v>
      </c>
      <c r="I151" s="11" t="s">
        <v>260</v>
      </c>
      <c r="J151" s="11" t="s">
        <v>555</v>
      </c>
      <c r="K151" s="11" t="s">
        <v>574</v>
      </c>
    </row>
    <row r="152">
      <c r="A152" s="11" t="s">
        <v>525</v>
      </c>
      <c r="B152" s="11" t="s">
        <v>837</v>
      </c>
      <c r="C152" s="11" t="s">
        <v>890</v>
      </c>
      <c r="D152" s="11" t="s">
        <v>891</v>
      </c>
      <c r="E152" s="11">
        <v>2005.0</v>
      </c>
      <c r="F152" s="11">
        <v>548.0</v>
      </c>
      <c r="G152" s="11" t="s">
        <v>188</v>
      </c>
      <c r="H152" s="11" t="s">
        <v>188</v>
      </c>
      <c r="I152" s="11" t="s">
        <v>260</v>
      </c>
      <c r="J152" s="11" t="s">
        <v>555</v>
      </c>
      <c r="K152" s="11" t="s">
        <v>574</v>
      </c>
    </row>
    <row r="153">
      <c r="A153" s="11" t="s">
        <v>525</v>
      </c>
      <c r="B153" s="11" t="s">
        <v>837</v>
      </c>
      <c r="C153" s="11" t="s">
        <v>890</v>
      </c>
      <c r="D153" s="11" t="s">
        <v>891</v>
      </c>
      <c r="E153" s="11">
        <v>2007.0</v>
      </c>
      <c r="F153" s="11">
        <v>409.0</v>
      </c>
      <c r="G153" s="11" t="s">
        <v>188</v>
      </c>
      <c r="H153" s="11" t="s">
        <v>188</v>
      </c>
      <c r="I153" s="11" t="s">
        <v>260</v>
      </c>
      <c r="J153" s="11" t="s">
        <v>555</v>
      </c>
      <c r="K153" s="11" t="s">
        <v>574</v>
      </c>
    </row>
    <row r="154">
      <c r="A154" s="11" t="s">
        <v>525</v>
      </c>
      <c r="B154" s="11" t="s">
        <v>837</v>
      </c>
      <c r="C154" s="11" t="s">
        <v>890</v>
      </c>
      <c r="D154" s="11" t="s">
        <v>891</v>
      </c>
      <c r="E154" s="11">
        <v>2008.0</v>
      </c>
      <c r="F154" s="11">
        <v>485.0</v>
      </c>
      <c r="G154" s="11" t="s">
        <v>188</v>
      </c>
      <c r="H154" s="11" t="s">
        <v>188</v>
      </c>
      <c r="I154" s="11" t="s">
        <v>260</v>
      </c>
      <c r="J154" s="11" t="s">
        <v>555</v>
      </c>
      <c r="K154" s="11" t="s">
        <v>574</v>
      </c>
    </row>
    <row r="155">
      <c r="A155" s="11" t="s">
        <v>525</v>
      </c>
      <c r="B155" s="11" t="s">
        <v>837</v>
      </c>
      <c r="C155" s="11" t="s">
        <v>890</v>
      </c>
      <c r="D155" s="11" t="s">
        <v>891</v>
      </c>
      <c r="E155" s="11">
        <v>2009.0</v>
      </c>
      <c r="F155" s="11">
        <v>486.0</v>
      </c>
      <c r="G155" s="11" t="s">
        <v>188</v>
      </c>
      <c r="H155" s="11" t="s">
        <v>188</v>
      </c>
      <c r="I155" s="11" t="s">
        <v>260</v>
      </c>
      <c r="J155" s="11" t="s">
        <v>555</v>
      </c>
      <c r="K155" s="11" t="s">
        <v>574</v>
      </c>
    </row>
    <row r="156">
      <c r="A156" s="11" t="s">
        <v>525</v>
      </c>
      <c r="B156" s="11" t="s">
        <v>837</v>
      </c>
      <c r="C156" s="11" t="s">
        <v>894</v>
      </c>
      <c r="D156" s="11" t="s">
        <v>841</v>
      </c>
      <c r="E156" s="11">
        <v>1999.0</v>
      </c>
      <c r="F156" s="11">
        <v>425.0</v>
      </c>
      <c r="G156" s="11">
        <v>407.0</v>
      </c>
      <c r="H156" s="11">
        <v>442.0</v>
      </c>
      <c r="I156" s="11" t="s">
        <v>260</v>
      </c>
      <c r="J156" s="11" t="s">
        <v>555</v>
      </c>
      <c r="K156" s="11" t="s">
        <v>574</v>
      </c>
      <c r="L156" s="11" t="s">
        <v>895</v>
      </c>
    </row>
    <row r="157">
      <c r="A157" s="11" t="s">
        <v>525</v>
      </c>
      <c r="B157" s="11" t="s">
        <v>837</v>
      </c>
      <c r="C157" s="11" t="s">
        <v>894</v>
      </c>
      <c r="D157" s="11" t="s">
        <v>841</v>
      </c>
      <c r="E157" s="11">
        <v>2004.0</v>
      </c>
      <c r="F157" s="11">
        <v>507.0</v>
      </c>
      <c r="G157" s="11">
        <v>487.0</v>
      </c>
      <c r="H157" s="11">
        <v>529.0</v>
      </c>
      <c r="I157" s="11" t="s">
        <v>260</v>
      </c>
      <c r="J157" s="11" t="s">
        <v>555</v>
      </c>
      <c r="K157" s="11" t="s">
        <v>574</v>
      </c>
    </row>
    <row r="158">
      <c r="A158" s="11" t="s">
        <v>525</v>
      </c>
      <c r="B158" s="11" t="s">
        <v>837</v>
      </c>
      <c r="C158" s="11" t="s">
        <v>894</v>
      </c>
      <c r="D158" s="11" t="s">
        <v>841</v>
      </c>
      <c r="E158" s="11">
        <v>2005.0</v>
      </c>
      <c r="F158" s="11">
        <v>576.0</v>
      </c>
      <c r="G158" s="11">
        <v>559.0</v>
      </c>
      <c r="H158" s="11" t="s">
        <v>188</v>
      </c>
      <c r="I158" s="11" t="s">
        <v>260</v>
      </c>
      <c r="J158" s="11" t="s">
        <v>555</v>
      </c>
      <c r="K158" s="11" t="s">
        <v>574</v>
      </c>
    </row>
    <row r="159">
      <c r="A159" s="11" t="s">
        <v>525</v>
      </c>
      <c r="B159" s="11" t="s">
        <v>837</v>
      </c>
      <c r="C159" s="11" t="s">
        <v>894</v>
      </c>
      <c r="D159" s="11" t="s">
        <v>841</v>
      </c>
      <c r="E159" s="11">
        <v>2007.0</v>
      </c>
      <c r="F159" s="11">
        <v>709.0</v>
      </c>
      <c r="G159" s="11">
        <v>634.0</v>
      </c>
      <c r="H159" s="11">
        <v>787.0</v>
      </c>
      <c r="I159" s="11" t="s">
        <v>260</v>
      </c>
      <c r="J159" s="11" t="s">
        <v>555</v>
      </c>
      <c r="K159" s="11" t="s">
        <v>574</v>
      </c>
    </row>
    <row r="160">
      <c r="A160" s="11" t="s">
        <v>525</v>
      </c>
      <c r="B160" s="11" t="s">
        <v>837</v>
      </c>
      <c r="C160" s="11" t="s">
        <v>896</v>
      </c>
      <c r="D160" s="11" t="s">
        <v>897</v>
      </c>
      <c r="E160" s="11">
        <v>2005.0</v>
      </c>
      <c r="F160" s="11">
        <v>272.0</v>
      </c>
      <c r="G160" s="11" t="s">
        <v>188</v>
      </c>
      <c r="H160" s="11" t="s">
        <v>188</v>
      </c>
      <c r="I160" s="11" t="s">
        <v>260</v>
      </c>
      <c r="J160" s="11" t="s">
        <v>555</v>
      </c>
      <c r="K160" s="11" t="s">
        <v>574</v>
      </c>
    </row>
    <row r="161">
      <c r="A161" s="11" t="s">
        <v>525</v>
      </c>
      <c r="B161" s="11" t="s">
        <v>837</v>
      </c>
      <c r="C161" s="11" t="s">
        <v>896</v>
      </c>
      <c r="D161" s="11" t="s">
        <v>897</v>
      </c>
      <c r="E161" s="11">
        <v>2008.0</v>
      </c>
      <c r="F161" s="11">
        <v>254.0</v>
      </c>
      <c r="G161" s="11" t="s">
        <v>188</v>
      </c>
      <c r="H161" s="11" t="s">
        <v>188</v>
      </c>
      <c r="I161" s="11" t="s">
        <v>260</v>
      </c>
      <c r="J161" s="11" t="s">
        <v>555</v>
      </c>
      <c r="K161" s="11" t="s">
        <v>574</v>
      </c>
    </row>
    <row r="162">
      <c r="A162" s="11" t="s">
        <v>525</v>
      </c>
      <c r="B162" s="11" t="s">
        <v>837</v>
      </c>
      <c r="C162" s="11" t="s">
        <v>896</v>
      </c>
      <c r="D162" s="11" t="s">
        <v>897</v>
      </c>
      <c r="E162" s="11">
        <v>2010.0</v>
      </c>
      <c r="F162" s="11">
        <v>268.0</v>
      </c>
      <c r="G162" s="11" t="s">
        <v>188</v>
      </c>
      <c r="H162" s="11" t="s">
        <v>188</v>
      </c>
      <c r="I162" s="11" t="s">
        <v>260</v>
      </c>
      <c r="J162" s="11" t="s">
        <v>555</v>
      </c>
      <c r="K162" s="11" t="s">
        <v>574</v>
      </c>
    </row>
    <row r="163">
      <c r="A163" s="11" t="s">
        <v>525</v>
      </c>
      <c r="B163" s="11" t="s">
        <v>837</v>
      </c>
      <c r="C163" s="11" t="s">
        <v>896</v>
      </c>
      <c r="D163" s="11" t="s">
        <v>897</v>
      </c>
      <c r="E163" s="11">
        <v>2011.0</v>
      </c>
      <c r="F163" s="11">
        <v>268.0</v>
      </c>
      <c r="G163" s="11" t="s">
        <v>188</v>
      </c>
      <c r="H163" s="11" t="s">
        <v>188</v>
      </c>
      <c r="I163" s="11" t="s">
        <v>260</v>
      </c>
      <c r="J163" s="11" t="s">
        <v>555</v>
      </c>
      <c r="K163" s="11" t="s">
        <v>574</v>
      </c>
    </row>
    <row r="164">
      <c r="A164" s="11" t="s">
        <v>525</v>
      </c>
      <c r="B164" s="11" t="s">
        <v>837</v>
      </c>
      <c r="C164" s="11" t="s">
        <v>896</v>
      </c>
      <c r="D164" s="11" t="s">
        <v>897</v>
      </c>
      <c r="E164" s="11">
        <v>2013.0</v>
      </c>
      <c r="F164" s="11">
        <v>249.0</v>
      </c>
      <c r="G164" s="11" t="s">
        <v>188</v>
      </c>
      <c r="H164" s="11" t="s">
        <v>188</v>
      </c>
      <c r="I164" s="11" t="s">
        <v>260</v>
      </c>
      <c r="J164" s="11" t="s">
        <v>555</v>
      </c>
      <c r="K164" s="11" t="s">
        <v>574</v>
      </c>
    </row>
    <row r="165">
      <c r="A165" s="11" t="s">
        <v>525</v>
      </c>
      <c r="B165" s="11" t="s">
        <v>837</v>
      </c>
      <c r="C165" s="11" t="s">
        <v>896</v>
      </c>
      <c r="D165" s="11" t="s">
        <v>897</v>
      </c>
      <c r="E165" s="11">
        <v>2014.0</v>
      </c>
      <c r="F165" s="11">
        <v>259.0</v>
      </c>
      <c r="G165" s="11" t="s">
        <v>188</v>
      </c>
      <c r="H165" s="11" t="s">
        <v>188</v>
      </c>
      <c r="I165" s="11" t="s">
        <v>260</v>
      </c>
      <c r="J165" s="11" t="s">
        <v>555</v>
      </c>
      <c r="K165" s="11" t="s">
        <v>574</v>
      </c>
    </row>
    <row r="166">
      <c r="A166" s="11" t="s">
        <v>525</v>
      </c>
      <c r="B166" s="11" t="s">
        <v>837</v>
      </c>
      <c r="C166" s="11" t="s">
        <v>896</v>
      </c>
      <c r="D166" s="11" t="s">
        <v>897</v>
      </c>
      <c r="E166" s="11">
        <v>2016.0</v>
      </c>
      <c r="F166" s="11">
        <v>239.0</v>
      </c>
      <c r="G166" s="11" t="s">
        <v>188</v>
      </c>
      <c r="H166" s="11" t="s">
        <v>188</v>
      </c>
      <c r="I166" s="11" t="s">
        <v>260</v>
      </c>
      <c r="J166" s="11" t="s">
        <v>555</v>
      </c>
      <c r="K166" s="11" t="s">
        <v>574</v>
      </c>
    </row>
    <row r="167">
      <c r="A167" s="11" t="s">
        <v>525</v>
      </c>
      <c r="B167" s="11" t="s">
        <v>837</v>
      </c>
      <c r="C167" s="11" t="s">
        <v>896</v>
      </c>
      <c r="D167" s="11" t="s">
        <v>897</v>
      </c>
      <c r="E167" s="11">
        <v>2017.0</v>
      </c>
      <c r="F167" s="11">
        <v>244.0</v>
      </c>
      <c r="G167" s="11" t="s">
        <v>188</v>
      </c>
      <c r="H167" s="11" t="s">
        <v>188</v>
      </c>
      <c r="I167" s="11" t="s">
        <v>260</v>
      </c>
      <c r="J167" s="11" t="s">
        <v>555</v>
      </c>
      <c r="K167" s="11" t="s">
        <v>574</v>
      </c>
    </row>
    <row r="168">
      <c r="A168" s="11" t="s">
        <v>626</v>
      </c>
      <c r="B168" s="11" t="s">
        <v>625</v>
      </c>
      <c r="C168" s="11" t="s">
        <v>899</v>
      </c>
      <c r="D168" s="11" t="s">
        <v>900</v>
      </c>
      <c r="E168" s="11">
        <v>2007.0</v>
      </c>
      <c r="F168" s="11">
        <v>84215.0</v>
      </c>
      <c r="G168" s="11">
        <v>70149.0</v>
      </c>
      <c r="H168" s="11">
        <v>97841.0</v>
      </c>
      <c r="I168" s="11" t="s">
        <v>260</v>
      </c>
      <c r="J168" s="11" t="s">
        <v>74</v>
      </c>
      <c r="K168" s="11" t="s">
        <v>631</v>
      </c>
    </row>
    <row r="169">
      <c r="A169" s="11" t="s">
        <v>626</v>
      </c>
      <c r="B169" s="11" t="s">
        <v>625</v>
      </c>
      <c r="C169" s="11" t="s">
        <v>899</v>
      </c>
      <c r="D169" s="11" t="s">
        <v>900</v>
      </c>
      <c r="E169" s="11">
        <v>2010.0</v>
      </c>
      <c r="F169" s="11">
        <v>82676.0</v>
      </c>
      <c r="G169" s="11">
        <v>68170.0</v>
      </c>
      <c r="H169" s="11">
        <v>97621.0</v>
      </c>
      <c r="I169" s="11" t="s">
        <v>260</v>
      </c>
      <c r="J169" s="11" t="s">
        <v>74</v>
      </c>
      <c r="K169" s="11" t="s">
        <v>631</v>
      </c>
    </row>
    <row r="170">
      <c r="A170" s="11" t="s">
        <v>626</v>
      </c>
      <c r="B170" s="11" t="s">
        <v>625</v>
      </c>
      <c r="C170" s="11" t="s">
        <v>899</v>
      </c>
      <c r="D170" s="11" t="s">
        <v>900</v>
      </c>
      <c r="E170" s="11">
        <v>2014.0</v>
      </c>
      <c r="F170" s="11">
        <v>101798.0</v>
      </c>
      <c r="G170" s="11">
        <v>81578.0</v>
      </c>
      <c r="H170" s="11">
        <v>122017.0</v>
      </c>
      <c r="I170" s="11" t="s">
        <v>260</v>
      </c>
      <c r="J170" s="11" t="s">
        <v>74</v>
      </c>
      <c r="K170" s="11" t="s">
        <v>631</v>
      </c>
    </row>
    <row r="171">
      <c r="A171" s="11" t="s">
        <v>626</v>
      </c>
      <c r="B171" s="11" t="s">
        <v>625</v>
      </c>
      <c r="C171" s="11" t="s">
        <v>899</v>
      </c>
      <c r="D171" s="11" t="s">
        <v>902</v>
      </c>
      <c r="E171" s="11">
        <v>2005.0</v>
      </c>
      <c r="F171" s="11">
        <v>14853.0</v>
      </c>
      <c r="G171" s="11">
        <v>12655.0</v>
      </c>
      <c r="H171" s="11">
        <v>17051.0</v>
      </c>
      <c r="I171" s="11" t="s">
        <v>260</v>
      </c>
      <c r="J171" s="11" t="s">
        <v>74</v>
      </c>
      <c r="K171" s="11" t="s">
        <v>631</v>
      </c>
    </row>
    <row r="172">
      <c r="A172" s="11" t="s">
        <v>626</v>
      </c>
      <c r="B172" s="11" t="s">
        <v>625</v>
      </c>
      <c r="C172" s="11" t="s">
        <v>899</v>
      </c>
      <c r="D172" s="11" t="s">
        <v>902</v>
      </c>
      <c r="E172" s="11">
        <v>2009.0</v>
      </c>
      <c r="F172" s="11">
        <v>12434.0</v>
      </c>
      <c r="G172" s="11">
        <v>10237.0</v>
      </c>
      <c r="H172" s="11">
        <v>14632.0</v>
      </c>
      <c r="I172" s="11" t="s">
        <v>260</v>
      </c>
      <c r="J172" s="11" t="s">
        <v>74</v>
      </c>
      <c r="K172" s="11" t="s">
        <v>631</v>
      </c>
    </row>
    <row r="173">
      <c r="A173" s="11" t="s">
        <v>626</v>
      </c>
      <c r="B173" s="11" t="s">
        <v>625</v>
      </c>
      <c r="C173" s="11" t="s">
        <v>899</v>
      </c>
      <c r="D173" s="11" t="s">
        <v>902</v>
      </c>
      <c r="E173" s="11">
        <v>2012.0</v>
      </c>
      <c r="F173" s="11">
        <v>15292.0</v>
      </c>
      <c r="G173" s="11">
        <v>12215.0</v>
      </c>
      <c r="H173" s="11">
        <v>18369.0</v>
      </c>
      <c r="I173" s="11" t="s">
        <v>260</v>
      </c>
      <c r="J173" s="11" t="s">
        <v>74</v>
      </c>
      <c r="K173" s="11" t="s">
        <v>631</v>
      </c>
    </row>
  </sheetData>
  <hyperlinks>
    <hyperlink r:id="rId1" ref="K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23.13"/>
    <col customWidth="1" min="3" max="3" width="36.13"/>
    <col customWidth="1" min="4" max="4" width="23.0"/>
    <col customWidth="1" min="9" max="10" width="15.88"/>
    <col customWidth="1" min="11" max="11" width="32.5"/>
    <col customWidth="1" min="12" max="12" width="19.38"/>
  </cols>
  <sheetData>
    <row r="1">
      <c r="A1" s="1" t="s">
        <v>6</v>
      </c>
      <c r="B1" s="1" t="s">
        <v>728</v>
      </c>
      <c r="C1" s="102" t="s">
        <v>729</v>
      </c>
      <c r="D1" s="1" t="s">
        <v>730</v>
      </c>
      <c r="E1" s="1" t="s">
        <v>39</v>
      </c>
      <c r="F1" s="1" t="s">
        <v>40</v>
      </c>
      <c r="G1" s="1" t="s">
        <v>731</v>
      </c>
      <c r="H1" s="1" t="s">
        <v>733</v>
      </c>
      <c r="I1" s="1" t="s">
        <v>734</v>
      </c>
      <c r="J1" s="1" t="s">
        <v>48</v>
      </c>
      <c r="K1" s="1" t="s">
        <v>1</v>
      </c>
      <c r="L1" s="1" t="s">
        <v>13</v>
      </c>
      <c r="M1" s="6"/>
      <c r="N1" s="6"/>
      <c r="O1" s="6"/>
      <c r="P1" s="6"/>
      <c r="Q1" s="6"/>
      <c r="R1" s="6"/>
      <c r="S1" s="6"/>
      <c r="T1" s="6"/>
      <c r="U1" s="6"/>
      <c r="V1" s="6"/>
      <c r="W1" s="6"/>
      <c r="X1" s="6"/>
      <c r="Y1" s="6"/>
      <c r="Z1" s="6"/>
      <c r="AA1" s="6"/>
      <c r="AB1" s="6"/>
      <c r="AC1" s="6"/>
      <c r="AD1" s="6"/>
      <c r="AE1" s="6"/>
      <c r="AF1" s="6"/>
      <c r="AG1" s="6"/>
      <c r="AH1" s="6"/>
    </row>
    <row r="2">
      <c r="A2" s="9" t="s">
        <v>268</v>
      </c>
      <c r="B2" s="9" t="s">
        <v>924</v>
      </c>
      <c r="C2" s="103" t="s">
        <v>925</v>
      </c>
      <c r="D2" s="9" t="s">
        <v>926</v>
      </c>
      <c r="E2" s="9">
        <v>2007.0</v>
      </c>
      <c r="F2" s="9">
        <v>958.0</v>
      </c>
      <c r="G2" s="9">
        <v>470.0</v>
      </c>
      <c r="H2" s="9">
        <v>1954.0</v>
      </c>
      <c r="I2" s="9" t="s">
        <v>927</v>
      </c>
      <c r="J2" s="9"/>
      <c r="K2" s="9" t="s">
        <v>928</v>
      </c>
      <c r="L2" s="9" t="s">
        <v>929</v>
      </c>
      <c r="M2" s="20"/>
      <c r="N2" s="20"/>
      <c r="O2" s="20"/>
      <c r="P2" s="20"/>
      <c r="Q2" s="20"/>
      <c r="R2" s="20"/>
      <c r="S2" s="20"/>
      <c r="T2" s="20"/>
      <c r="U2" s="20"/>
      <c r="V2" s="20"/>
      <c r="W2" s="20"/>
      <c r="X2" s="20"/>
      <c r="Y2" s="20"/>
      <c r="Z2" s="20"/>
      <c r="AA2" s="20"/>
      <c r="AB2" s="20"/>
      <c r="AC2" s="20"/>
      <c r="AD2" s="20"/>
      <c r="AE2" s="20"/>
      <c r="AF2" s="20"/>
      <c r="AG2" s="20"/>
      <c r="AH2" s="20"/>
    </row>
    <row r="3">
      <c r="A3" s="9" t="s">
        <v>268</v>
      </c>
      <c r="B3" s="9" t="s">
        <v>924</v>
      </c>
      <c r="C3" s="103" t="s">
        <v>925</v>
      </c>
      <c r="D3" s="9" t="s">
        <v>926</v>
      </c>
      <c r="E3" s="9">
        <v>2016.0</v>
      </c>
      <c r="F3" s="9">
        <v>48723.0</v>
      </c>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row>
    <row r="4">
      <c r="A4" s="11" t="s">
        <v>360</v>
      </c>
      <c r="B4" s="11" t="s">
        <v>359</v>
      </c>
      <c r="C4" s="104" t="s">
        <v>931</v>
      </c>
      <c r="D4" s="11" t="s">
        <v>187</v>
      </c>
      <c r="E4" s="11">
        <v>2014.0</v>
      </c>
      <c r="F4" s="11">
        <v>200.0</v>
      </c>
      <c r="G4" s="11">
        <v>70.0</v>
      </c>
      <c r="H4" s="11">
        <v>600.0</v>
      </c>
      <c r="I4" s="11" t="s">
        <v>74</v>
      </c>
      <c r="J4" s="11" t="s">
        <v>260</v>
      </c>
      <c r="K4" s="11" t="s">
        <v>364</v>
      </c>
      <c r="L4" s="11" t="s">
        <v>932</v>
      </c>
    </row>
    <row r="5">
      <c r="A5" s="11" t="s">
        <v>360</v>
      </c>
      <c r="B5" s="11" t="s">
        <v>359</v>
      </c>
      <c r="C5" s="104" t="s">
        <v>931</v>
      </c>
      <c r="D5" s="11" t="s">
        <v>187</v>
      </c>
      <c r="E5" s="11">
        <v>2022.0</v>
      </c>
      <c r="F5" s="11">
        <v>500.0</v>
      </c>
      <c r="G5" s="11">
        <v>230.0</v>
      </c>
      <c r="H5" s="11">
        <v>1050.0</v>
      </c>
      <c r="I5" s="11" t="s">
        <v>74</v>
      </c>
      <c r="J5" s="11" t="s">
        <v>260</v>
      </c>
      <c r="K5" s="11" t="s">
        <v>364</v>
      </c>
    </row>
    <row r="6">
      <c r="A6" s="11" t="s">
        <v>360</v>
      </c>
      <c r="B6" s="11" t="s">
        <v>366</v>
      </c>
      <c r="C6" s="11" t="s">
        <v>933</v>
      </c>
      <c r="D6" s="11" t="s">
        <v>187</v>
      </c>
      <c r="E6" s="11">
        <v>1954.0</v>
      </c>
      <c r="F6" s="11">
        <v>9696.0</v>
      </c>
      <c r="G6" s="11">
        <v>2593.0</v>
      </c>
      <c r="H6" s="11">
        <v>37285.0</v>
      </c>
      <c r="I6" s="11" t="s">
        <v>74</v>
      </c>
      <c r="J6" s="11" t="s">
        <v>260</v>
      </c>
      <c r="K6" s="11" t="s">
        <v>372</v>
      </c>
      <c r="L6" s="11" t="s">
        <v>934</v>
      </c>
    </row>
    <row r="7">
      <c r="A7" s="11" t="s">
        <v>360</v>
      </c>
      <c r="B7" s="11" t="s">
        <v>366</v>
      </c>
      <c r="C7" s="11" t="s">
        <v>933</v>
      </c>
      <c r="D7" s="11" t="s">
        <v>187</v>
      </c>
      <c r="E7" s="11">
        <v>1961.0</v>
      </c>
      <c r="F7" s="11">
        <v>8874.0</v>
      </c>
      <c r="G7" s="11">
        <v>2294.0</v>
      </c>
      <c r="H7" s="11">
        <v>34070.0</v>
      </c>
      <c r="I7" s="11" t="s">
        <v>74</v>
      </c>
      <c r="J7" s="11" t="s">
        <v>260</v>
      </c>
      <c r="K7" s="11" t="s">
        <v>372</v>
      </c>
    </row>
    <row r="8">
      <c r="A8" s="11" t="s">
        <v>360</v>
      </c>
      <c r="B8" s="11" t="s">
        <v>366</v>
      </c>
      <c r="C8" s="11" t="s">
        <v>933</v>
      </c>
      <c r="D8" s="11" t="s">
        <v>187</v>
      </c>
      <c r="E8" s="11">
        <v>1976.0</v>
      </c>
      <c r="F8" s="11">
        <v>2743.0</v>
      </c>
      <c r="G8" s="11">
        <v>724.0</v>
      </c>
      <c r="H8" s="11">
        <v>10593.0</v>
      </c>
      <c r="I8" s="11" t="s">
        <v>74</v>
      </c>
      <c r="J8" s="11" t="s">
        <v>260</v>
      </c>
      <c r="K8" s="11" t="s">
        <v>372</v>
      </c>
    </row>
    <row r="9">
      <c r="A9" s="11" t="s">
        <v>360</v>
      </c>
      <c r="B9" s="11" t="s">
        <v>366</v>
      </c>
      <c r="C9" s="11" t="s">
        <v>933</v>
      </c>
      <c r="D9" s="11" t="s">
        <v>187</v>
      </c>
      <c r="E9" s="11">
        <v>1977.0</v>
      </c>
      <c r="F9" s="11">
        <v>2743.0</v>
      </c>
      <c r="G9" s="11">
        <v>724.0</v>
      </c>
      <c r="H9" s="11">
        <v>10444.0</v>
      </c>
      <c r="I9" s="11" t="s">
        <v>74</v>
      </c>
      <c r="J9" s="11" t="s">
        <v>260</v>
      </c>
      <c r="K9" s="11" t="s">
        <v>372</v>
      </c>
    </row>
    <row r="10">
      <c r="A10" s="11" t="s">
        <v>360</v>
      </c>
      <c r="B10" s="11" t="s">
        <v>366</v>
      </c>
      <c r="C10" s="11" t="s">
        <v>933</v>
      </c>
      <c r="D10" s="11" t="s">
        <v>187</v>
      </c>
      <c r="E10" s="11">
        <v>1988.0</v>
      </c>
      <c r="F10" s="11">
        <v>2893.0</v>
      </c>
      <c r="G10" s="11">
        <v>799.0</v>
      </c>
      <c r="H10" s="11">
        <v>10967.0</v>
      </c>
      <c r="I10" s="11" t="s">
        <v>74</v>
      </c>
      <c r="J10" s="11" t="s">
        <v>260</v>
      </c>
      <c r="K10" s="11" t="s">
        <v>372</v>
      </c>
    </row>
    <row r="11">
      <c r="A11" s="11" t="s">
        <v>360</v>
      </c>
      <c r="B11" s="11" t="s">
        <v>366</v>
      </c>
      <c r="C11" s="11" t="s">
        <v>933</v>
      </c>
      <c r="D11" s="11" t="s">
        <v>187</v>
      </c>
      <c r="E11" s="11">
        <v>1989.0</v>
      </c>
      <c r="F11" s="11">
        <v>4463.0</v>
      </c>
      <c r="G11" s="11">
        <v>1173.0</v>
      </c>
      <c r="H11" s="11">
        <v>17023.0</v>
      </c>
      <c r="I11" s="11" t="s">
        <v>74</v>
      </c>
      <c r="J11" s="11" t="s">
        <v>260</v>
      </c>
      <c r="K11" s="11" t="s">
        <v>372</v>
      </c>
    </row>
    <row r="12">
      <c r="A12" s="11" t="s">
        <v>360</v>
      </c>
      <c r="B12" s="11" t="s">
        <v>366</v>
      </c>
      <c r="C12" s="11" t="s">
        <v>933</v>
      </c>
      <c r="D12" s="11" t="s">
        <v>187</v>
      </c>
      <c r="E12" s="11">
        <v>1990.0</v>
      </c>
      <c r="F12" s="11">
        <v>6107.0</v>
      </c>
      <c r="G12" s="11">
        <v>1621.0</v>
      </c>
      <c r="H12" s="11">
        <v>23603.0</v>
      </c>
      <c r="I12" s="11" t="s">
        <v>74</v>
      </c>
      <c r="J12" s="11" t="s">
        <v>260</v>
      </c>
      <c r="K12" s="11" t="s">
        <v>372</v>
      </c>
    </row>
    <row r="13">
      <c r="A13" s="11" t="s">
        <v>360</v>
      </c>
      <c r="B13" s="11" t="s">
        <v>366</v>
      </c>
      <c r="C13" s="11" t="s">
        <v>933</v>
      </c>
      <c r="D13" s="11" t="s">
        <v>187</v>
      </c>
      <c r="E13" s="11">
        <v>2012.0</v>
      </c>
      <c r="F13" s="11">
        <v>5210.0</v>
      </c>
      <c r="G13" s="11">
        <v>1397.0</v>
      </c>
      <c r="H13" s="11">
        <v>20238.0</v>
      </c>
      <c r="I13" s="11" t="s">
        <v>74</v>
      </c>
      <c r="J13" s="11" t="s">
        <v>260</v>
      </c>
      <c r="K13" s="11" t="s">
        <v>372</v>
      </c>
    </row>
    <row r="14">
      <c r="A14" s="11" t="s">
        <v>360</v>
      </c>
      <c r="B14" s="11" t="s">
        <v>366</v>
      </c>
      <c r="C14" s="11" t="s">
        <v>933</v>
      </c>
      <c r="D14" s="11" t="s">
        <v>187</v>
      </c>
      <c r="E14" s="11">
        <v>2014.0</v>
      </c>
      <c r="F14" s="11">
        <v>7154.0</v>
      </c>
      <c r="G14" s="11">
        <v>1846.0</v>
      </c>
      <c r="H14" s="11">
        <v>27640.0</v>
      </c>
      <c r="I14" s="11" t="s">
        <v>74</v>
      </c>
      <c r="J14" s="11" t="s">
        <v>260</v>
      </c>
      <c r="K14" s="11" t="s">
        <v>372</v>
      </c>
    </row>
    <row r="15">
      <c r="A15" s="11" t="s">
        <v>360</v>
      </c>
      <c r="B15" s="11" t="s">
        <v>366</v>
      </c>
      <c r="C15" s="11" t="s">
        <v>933</v>
      </c>
      <c r="D15" s="11" t="s">
        <v>187</v>
      </c>
      <c r="E15" s="11">
        <v>2017.0</v>
      </c>
      <c r="F15" s="11">
        <v>38481.0</v>
      </c>
      <c r="G15" s="11">
        <v>13509.0</v>
      </c>
      <c r="H15" s="11">
        <v>45061.0</v>
      </c>
      <c r="I15" s="11" t="s">
        <v>74</v>
      </c>
      <c r="J15" s="11" t="s">
        <v>260</v>
      </c>
      <c r="K15" s="11" t="s">
        <v>372</v>
      </c>
    </row>
    <row r="16">
      <c r="A16" s="11" t="s">
        <v>375</v>
      </c>
      <c r="B16" s="11" t="s">
        <v>388</v>
      </c>
      <c r="C16" s="104" t="s">
        <v>940</v>
      </c>
      <c r="D16" s="11" t="s">
        <v>187</v>
      </c>
      <c r="E16" s="11">
        <v>1952.0</v>
      </c>
      <c r="F16" s="11">
        <v>647619.0</v>
      </c>
      <c r="G16" s="11">
        <v>257143.0</v>
      </c>
      <c r="H16" s="11">
        <v>1628571.0</v>
      </c>
      <c r="I16" s="11" t="s">
        <v>555</v>
      </c>
      <c r="J16" s="11" t="s">
        <v>260</v>
      </c>
      <c r="K16" s="11" t="s">
        <v>380</v>
      </c>
      <c r="L16" s="11" t="s">
        <v>941</v>
      </c>
    </row>
    <row r="17">
      <c r="A17" s="11" t="s">
        <v>375</v>
      </c>
      <c r="B17" s="11" t="s">
        <v>388</v>
      </c>
      <c r="C17" s="104" t="s">
        <v>940</v>
      </c>
      <c r="D17" s="11" t="s">
        <v>187</v>
      </c>
      <c r="E17" s="11">
        <v>1960.0</v>
      </c>
      <c r="F17" s="11">
        <v>242857.0</v>
      </c>
      <c r="G17" s="11">
        <v>100000.0</v>
      </c>
      <c r="H17" s="11">
        <v>600000.0</v>
      </c>
      <c r="I17" s="11" t="s">
        <v>555</v>
      </c>
      <c r="J17" s="11" t="s">
        <v>260</v>
      </c>
      <c r="K17" s="11" t="s">
        <v>380</v>
      </c>
    </row>
    <row r="18">
      <c r="A18" s="11" t="s">
        <v>375</v>
      </c>
      <c r="B18" s="11" t="s">
        <v>388</v>
      </c>
      <c r="C18" s="104" t="s">
        <v>940</v>
      </c>
      <c r="D18" s="11" t="s">
        <v>187</v>
      </c>
      <c r="E18" s="11">
        <v>1978.0</v>
      </c>
      <c r="F18" s="11">
        <v>504762.0</v>
      </c>
      <c r="G18" s="11">
        <v>438095.0</v>
      </c>
      <c r="H18" s="11">
        <v>571429.0</v>
      </c>
      <c r="I18" s="11" t="s">
        <v>555</v>
      </c>
      <c r="J18" s="11" t="s">
        <v>260</v>
      </c>
      <c r="K18" s="11" t="s">
        <v>380</v>
      </c>
    </row>
    <row r="19">
      <c r="A19" s="11" t="s">
        <v>375</v>
      </c>
      <c r="B19" s="11" t="s">
        <v>388</v>
      </c>
      <c r="C19" s="104" t="s">
        <v>940</v>
      </c>
      <c r="D19" s="11" t="s">
        <v>187</v>
      </c>
      <c r="E19" s="11">
        <v>1979.0</v>
      </c>
      <c r="F19" s="11">
        <v>480952.0</v>
      </c>
      <c r="G19" s="11">
        <v>414286.0</v>
      </c>
      <c r="H19" s="11">
        <v>557143.0</v>
      </c>
      <c r="I19" s="11" t="s">
        <v>555</v>
      </c>
      <c r="J19" s="11" t="s">
        <v>260</v>
      </c>
      <c r="K19" s="11" t="s">
        <v>380</v>
      </c>
    </row>
    <row r="20">
      <c r="A20" s="11" t="s">
        <v>375</v>
      </c>
      <c r="B20" s="11" t="s">
        <v>388</v>
      </c>
      <c r="C20" s="104" t="s">
        <v>940</v>
      </c>
      <c r="D20" s="11" t="s">
        <v>187</v>
      </c>
      <c r="E20" s="11">
        <v>1980.0</v>
      </c>
      <c r="F20" s="11">
        <v>480952.0</v>
      </c>
      <c r="G20" s="11">
        <v>400000.0</v>
      </c>
      <c r="H20" s="11">
        <v>580952.0</v>
      </c>
      <c r="I20" s="11" t="s">
        <v>555</v>
      </c>
      <c r="J20" s="11" t="s">
        <v>260</v>
      </c>
      <c r="K20" s="11" t="s">
        <v>380</v>
      </c>
    </row>
    <row r="21">
      <c r="A21" s="11" t="s">
        <v>375</v>
      </c>
      <c r="B21" s="11" t="s">
        <v>388</v>
      </c>
      <c r="C21" s="104" t="s">
        <v>940</v>
      </c>
      <c r="D21" s="11" t="s">
        <v>187</v>
      </c>
      <c r="E21" s="11">
        <v>1983.0</v>
      </c>
      <c r="F21" s="11">
        <v>542857.0</v>
      </c>
      <c r="G21" s="11">
        <v>476190.0</v>
      </c>
      <c r="H21" s="11">
        <v>604762.0</v>
      </c>
      <c r="I21" s="11" t="s">
        <v>555</v>
      </c>
      <c r="J21" s="11" t="s">
        <v>260</v>
      </c>
      <c r="K21" s="11" t="s">
        <v>380</v>
      </c>
    </row>
    <row r="22">
      <c r="A22" s="11" t="s">
        <v>375</v>
      </c>
      <c r="B22" s="11" t="s">
        <v>388</v>
      </c>
      <c r="C22" s="104" t="s">
        <v>940</v>
      </c>
      <c r="D22" s="11" t="s">
        <v>187</v>
      </c>
      <c r="E22" s="11">
        <v>1990.0</v>
      </c>
      <c r="F22" s="11">
        <v>580952.0</v>
      </c>
      <c r="G22" s="11">
        <v>509524.0</v>
      </c>
      <c r="H22" s="11">
        <v>661905.0</v>
      </c>
      <c r="I22" s="11" t="s">
        <v>555</v>
      </c>
      <c r="J22" s="11" t="s">
        <v>260</v>
      </c>
      <c r="K22" s="11" t="s">
        <v>380</v>
      </c>
    </row>
    <row r="23">
      <c r="A23" s="11" t="s">
        <v>375</v>
      </c>
      <c r="B23" s="11" t="s">
        <v>388</v>
      </c>
      <c r="C23" s="104" t="s">
        <v>940</v>
      </c>
      <c r="D23" s="11" t="s">
        <v>187</v>
      </c>
      <c r="E23" s="11">
        <v>1994.0</v>
      </c>
      <c r="F23" s="11">
        <v>709524.0</v>
      </c>
      <c r="G23" s="11">
        <v>595238.0</v>
      </c>
      <c r="H23" s="11">
        <v>842857.0</v>
      </c>
      <c r="I23" s="11" t="s">
        <v>555</v>
      </c>
      <c r="J23" s="11" t="s">
        <v>260</v>
      </c>
      <c r="K23" s="11" t="s">
        <v>380</v>
      </c>
    </row>
    <row r="24">
      <c r="A24" s="11" t="s">
        <v>375</v>
      </c>
      <c r="B24" s="11" t="s">
        <v>388</v>
      </c>
      <c r="C24" s="104" t="s">
        <v>940</v>
      </c>
      <c r="D24" s="11" t="s">
        <v>187</v>
      </c>
      <c r="E24" s="11">
        <v>1999.0</v>
      </c>
      <c r="F24" s="11">
        <v>1004762.0</v>
      </c>
      <c r="G24" s="11">
        <v>819048.0</v>
      </c>
      <c r="H24" s="11">
        <v>1219048.0</v>
      </c>
      <c r="I24" s="11" t="s">
        <v>555</v>
      </c>
      <c r="J24" s="11" t="s">
        <v>260</v>
      </c>
      <c r="K24" s="11" t="s">
        <v>380</v>
      </c>
    </row>
    <row r="25">
      <c r="A25" s="11" t="s">
        <v>375</v>
      </c>
      <c r="B25" s="11" t="s">
        <v>388</v>
      </c>
      <c r="C25" s="104" t="s">
        <v>940</v>
      </c>
      <c r="D25" s="11" t="s">
        <v>187</v>
      </c>
      <c r="E25" s="11">
        <v>2004.0</v>
      </c>
      <c r="F25" s="11">
        <v>1000000.0</v>
      </c>
      <c r="G25" s="11">
        <v>885714.0</v>
      </c>
      <c r="H25" s="11">
        <v>1114286.0</v>
      </c>
      <c r="I25" s="11" t="s">
        <v>555</v>
      </c>
      <c r="J25" s="11" t="s">
        <v>260</v>
      </c>
      <c r="K25" s="11" t="s">
        <v>380</v>
      </c>
    </row>
    <row r="26">
      <c r="A26" s="11" t="s">
        <v>375</v>
      </c>
      <c r="B26" s="11" t="s">
        <v>388</v>
      </c>
      <c r="C26" s="104" t="s">
        <v>940</v>
      </c>
      <c r="D26" s="11" t="s">
        <v>187</v>
      </c>
      <c r="E26" s="11">
        <v>2008.0</v>
      </c>
      <c r="F26" s="11">
        <v>1628571.0</v>
      </c>
      <c r="G26" s="11">
        <v>1428571.0</v>
      </c>
      <c r="H26" s="11">
        <v>1861905.0</v>
      </c>
      <c r="I26" s="11" t="s">
        <v>555</v>
      </c>
      <c r="J26" s="11" t="s">
        <v>260</v>
      </c>
      <c r="K26" s="11" t="s">
        <v>380</v>
      </c>
    </row>
    <row r="27">
      <c r="A27" s="11" t="s">
        <v>375</v>
      </c>
      <c r="B27" s="11" t="s">
        <v>388</v>
      </c>
      <c r="C27" s="104" t="s">
        <v>940</v>
      </c>
      <c r="D27" s="11" t="s">
        <v>187</v>
      </c>
      <c r="E27" s="11">
        <v>2012.0</v>
      </c>
      <c r="F27" s="11">
        <v>819048.0</v>
      </c>
      <c r="G27" s="11">
        <v>690476.0</v>
      </c>
      <c r="H27" s="11">
        <v>961905.0</v>
      </c>
      <c r="I27" s="11" t="s">
        <v>555</v>
      </c>
      <c r="J27" s="11" t="s">
        <v>260</v>
      </c>
      <c r="K27" s="11" t="s">
        <v>380</v>
      </c>
    </row>
    <row r="28">
      <c r="A28" s="11" t="s">
        <v>375</v>
      </c>
      <c r="B28" s="11" t="s">
        <v>388</v>
      </c>
      <c r="C28" s="104" t="s">
        <v>940</v>
      </c>
      <c r="D28" s="11" t="s">
        <v>187</v>
      </c>
      <c r="E28" s="11">
        <v>2017.0</v>
      </c>
      <c r="F28" s="11">
        <v>757143.0</v>
      </c>
      <c r="G28" s="11">
        <v>595238.0</v>
      </c>
      <c r="H28" s="11">
        <v>947619.0</v>
      </c>
      <c r="I28" s="11" t="s">
        <v>555</v>
      </c>
      <c r="J28" s="11" t="s">
        <v>260</v>
      </c>
      <c r="K28" s="11" t="s">
        <v>380</v>
      </c>
    </row>
    <row r="29">
      <c r="A29" s="11" t="s">
        <v>383</v>
      </c>
      <c r="B29" s="11" t="s">
        <v>382</v>
      </c>
      <c r="C29" s="11" t="s">
        <v>944</v>
      </c>
      <c r="D29" s="108" t="s">
        <v>945</v>
      </c>
      <c r="E29" s="11">
        <v>1977.0</v>
      </c>
      <c r="F29" s="11">
        <v>97.0</v>
      </c>
      <c r="G29" s="11" t="s">
        <v>188</v>
      </c>
      <c r="H29" s="11" t="s">
        <v>188</v>
      </c>
      <c r="I29" s="11" t="s">
        <v>74</v>
      </c>
      <c r="J29" s="11" t="s">
        <v>260</v>
      </c>
      <c r="K29" s="11" t="s">
        <v>386</v>
      </c>
      <c r="L29" s="11" t="s">
        <v>946</v>
      </c>
    </row>
    <row r="30">
      <c r="A30" s="11" t="s">
        <v>383</v>
      </c>
      <c r="B30" s="11" t="s">
        <v>382</v>
      </c>
      <c r="C30" s="11" t="s">
        <v>944</v>
      </c>
      <c r="D30" s="11" t="s">
        <v>945</v>
      </c>
      <c r="E30" s="11">
        <v>1978.0</v>
      </c>
      <c r="F30" s="11">
        <v>97.0</v>
      </c>
      <c r="G30" s="11" t="s">
        <v>188</v>
      </c>
      <c r="H30" s="11" t="s">
        <v>188</v>
      </c>
      <c r="I30" s="11" t="s">
        <v>74</v>
      </c>
      <c r="J30" s="11" t="s">
        <v>260</v>
      </c>
      <c r="K30" s="11" t="s">
        <v>386</v>
      </c>
    </row>
    <row r="31">
      <c r="A31" s="11" t="s">
        <v>383</v>
      </c>
      <c r="B31" s="11" t="s">
        <v>382</v>
      </c>
      <c r="C31" s="11" t="s">
        <v>944</v>
      </c>
      <c r="D31" s="11" t="s">
        <v>945</v>
      </c>
      <c r="E31" s="11">
        <v>1980.0</v>
      </c>
      <c r="F31" s="11">
        <v>98.0</v>
      </c>
      <c r="G31" s="11" t="s">
        <v>188</v>
      </c>
      <c r="H31" s="11" t="s">
        <v>188</v>
      </c>
      <c r="I31" s="11" t="s">
        <v>74</v>
      </c>
      <c r="J31" s="11" t="s">
        <v>260</v>
      </c>
      <c r="K31" s="11" t="s">
        <v>386</v>
      </c>
    </row>
    <row r="32">
      <c r="A32" s="11" t="s">
        <v>383</v>
      </c>
      <c r="B32" s="11" t="s">
        <v>382</v>
      </c>
      <c r="C32" s="11" t="s">
        <v>944</v>
      </c>
      <c r="D32" s="11" t="s">
        <v>945</v>
      </c>
      <c r="E32" s="11">
        <v>1982.0</v>
      </c>
      <c r="F32" s="11">
        <v>130.0</v>
      </c>
      <c r="G32" s="11" t="s">
        <v>188</v>
      </c>
      <c r="H32" s="11" t="s">
        <v>188</v>
      </c>
      <c r="I32" s="11" t="s">
        <v>74</v>
      </c>
      <c r="J32" s="11" t="s">
        <v>260</v>
      </c>
      <c r="K32" s="11" t="s">
        <v>386</v>
      </c>
    </row>
    <row r="33">
      <c r="A33" s="11" t="s">
        <v>383</v>
      </c>
      <c r="B33" s="11" t="s">
        <v>382</v>
      </c>
      <c r="C33" s="11" t="s">
        <v>944</v>
      </c>
      <c r="D33" s="11" t="s">
        <v>945</v>
      </c>
      <c r="E33" s="11">
        <v>1984.0</v>
      </c>
      <c r="F33" s="11">
        <v>343.0</v>
      </c>
      <c r="G33" s="11" t="s">
        <v>188</v>
      </c>
      <c r="H33" s="11" t="s">
        <v>188</v>
      </c>
      <c r="I33" s="11" t="s">
        <v>74</v>
      </c>
      <c r="J33" s="11" t="s">
        <v>260</v>
      </c>
      <c r="K33" s="11" t="s">
        <v>386</v>
      </c>
    </row>
    <row r="34">
      <c r="A34" s="11" t="s">
        <v>383</v>
      </c>
      <c r="B34" s="11" t="s">
        <v>382</v>
      </c>
      <c r="C34" s="11" t="s">
        <v>944</v>
      </c>
      <c r="D34" s="11" t="s">
        <v>945</v>
      </c>
      <c r="E34" s="11">
        <v>1987.0</v>
      </c>
      <c r="F34" s="11">
        <v>406.0</v>
      </c>
      <c r="G34" s="11" t="s">
        <v>188</v>
      </c>
      <c r="H34" s="11" t="s">
        <v>188</v>
      </c>
      <c r="I34" s="11" t="s">
        <v>74</v>
      </c>
      <c r="J34" s="11" t="s">
        <v>260</v>
      </c>
      <c r="K34" s="11" t="s">
        <v>386</v>
      </c>
    </row>
    <row r="35">
      <c r="A35" s="11" t="s">
        <v>383</v>
      </c>
      <c r="B35" s="11" t="s">
        <v>382</v>
      </c>
      <c r="C35" s="11" t="s">
        <v>944</v>
      </c>
      <c r="D35" s="11" t="s">
        <v>945</v>
      </c>
      <c r="E35" s="11">
        <v>1988.0</v>
      </c>
      <c r="F35" s="11">
        <v>376.0</v>
      </c>
      <c r="G35" s="11" t="s">
        <v>188</v>
      </c>
      <c r="H35" s="11" t="s">
        <v>188</v>
      </c>
      <c r="I35" s="11" t="s">
        <v>74</v>
      </c>
      <c r="J35" s="11" t="s">
        <v>260</v>
      </c>
      <c r="K35" s="11" t="s">
        <v>386</v>
      </c>
    </row>
    <row r="36">
      <c r="A36" s="11" t="s">
        <v>383</v>
      </c>
      <c r="B36" s="11" t="s">
        <v>382</v>
      </c>
      <c r="C36" s="11" t="s">
        <v>944</v>
      </c>
      <c r="D36" s="11" t="s">
        <v>945</v>
      </c>
      <c r="E36" s="11">
        <v>1989.0</v>
      </c>
      <c r="F36" s="11">
        <v>619.0</v>
      </c>
      <c r="G36" s="11" t="s">
        <v>188</v>
      </c>
      <c r="H36" s="11" t="s">
        <v>188</v>
      </c>
      <c r="I36" s="11" t="s">
        <v>74</v>
      </c>
      <c r="J36" s="11" t="s">
        <v>260</v>
      </c>
      <c r="K36" s="11" t="s">
        <v>386</v>
      </c>
    </row>
    <row r="37">
      <c r="A37" s="11" t="s">
        <v>383</v>
      </c>
      <c r="B37" s="11" t="s">
        <v>382</v>
      </c>
      <c r="C37" s="11" t="s">
        <v>944</v>
      </c>
      <c r="D37" s="11" t="s">
        <v>945</v>
      </c>
      <c r="E37" s="11">
        <v>1990.0</v>
      </c>
      <c r="F37" s="11">
        <v>650.0</v>
      </c>
      <c r="G37" s="11" t="s">
        <v>188</v>
      </c>
      <c r="H37" s="11" t="s">
        <v>188</v>
      </c>
      <c r="I37" s="11" t="s">
        <v>74</v>
      </c>
      <c r="J37" s="11" t="s">
        <v>260</v>
      </c>
      <c r="K37" s="11" t="s">
        <v>386</v>
      </c>
    </row>
    <row r="38">
      <c r="A38" s="11" t="s">
        <v>383</v>
      </c>
      <c r="B38" s="11" t="s">
        <v>382</v>
      </c>
      <c r="C38" s="11" t="s">
        <v>944</v>
      </c>
      <c r="D38" s="11" t="s">
        <v>945</v>
      </c>
      <c r="E38" s="11">
        <v>1991.0</v>
      </c>
      <c r="F38" s="11">
        <v>590.0</v>
      </c>
      <c r="G38" s="11" t="s">
        <v>188</v>
      </c>
      <c r="H38" s="11" t="s">
        <v>188</v>
      </c>
      <c r="I38" s="11" t="s">
        <v>74</v>
      </c>
      <c r="J38" s="11" t="s">
        <v>260</v>
      </c>
      <c r="K38" s="11" t="s">
        <v>386</v>
      </c>
    </row>
    <row r="39">
      <c r="A39" s="11" t="s">
        <v>383</v>
      </c>
      <c r="B39" s="11" t="s">
        <v>382</v>
      </c>
      <c r="C39" s="11" t="s">
        <v>944</v>
      </c>
      <c r="D39" s="11" t="s">
        <v>945</v>
      </c>
      <c r="E39" s="11">
        <v>1992.0</v>
      </c>
      <c r="F39" s="11">
        <v>985.0</v>
      </c>
      <c r="G39" s="11" t="s">
        <v>188</v>
      </c>
      <c r="H39" s="11" t="s">
        <v>188</v>
      </c>
      <c r="I39" s="11" t="s">
        <v>74</v>
      </c>
      <c r="J39" s="11" t="s">
        <v>260</v>
      </c>
      <c r="K39" s="11" t="s">
        <v>386</v>
      </c>
    </row>
    <row r="40">
      <c r="A40" s="11" t="s">
        <v>383</v>
      </c>
      <c r="B40" s="11" t="s">
        <v>382</v>
      </c>
      <c r="C40" s="11" t="s">
        <v>944</v>
      </c>
      <c r="D40" s="11" t="s">
        <v>945</v>
      </c>
      <c r="E40" s="11">
        <v>1993.0</v>
      </c>
      <c r="F40" s="11">
        <v>1076.0</v>
      </c>
      <c r="G40" s="11" t="s">
        <v>188</v>
      </c>
      <c r="H40" s="11" t="s">
        <v>188</v>
      </c>
      <c r="I40" s="11" t="s">
        <v>74</v>
      </c>
      <c r="J40" s="11" t="s">
        <v>260</v>
      </c>
      <c r="K40" s="11" t="s">
        <v>386</v>
      </c>
    </row>
    <row r="41">
      <c r="A41" s="11" t="s">
        <v>383</v>
      </c>
      <c r="B41" s="11" t="s">
        <v>382</v>
      </c>
      <c r="C41" s="11" t="s">
        <v>944</v>
      </c>
      <c r="D41" s="11" t="s">
        <v>945</v>
      </c>
      <c r="E41" s="11">
        <v>1994.0</v>
      </c>
      <c r="F41" s="11">
        <v>1349.0</v>
      </c>
      <c r="G41" s="11" t="s">
        <v>188</v>
      </c>
      <c r="H41" s="11" t="s">
        <v>188</v>
      </c>
      <c r="I41" s="11" t="s">
        <v>74</v>
      </c>
      <c r="J41" s="11" t="s">
        <v>260</v>
      </c>
      <c r="K41" s="11" t="s">
        <v>386</v>
      </c>
    </row>
    <row r="42">
      <c r="A42" s="11" t="s">
        <v>383</v>
      </c>
      <c r="B42" s="11" t="s">
        <v>382</v>
      </c>
      <c r="C42" s="11" t="s">
        <v>944</v>
      </c>
      <c r="D42" s="11" t="s">
        <v>945</v>
      </c>
      <c r="E42" s="11">
        <v>1995.0</v>
      </c>
      <c r="F42" s="11">
        <v>1562.0</v>
      </c>
      <c r="G42" s="11" t="s">
        <v>188</v>
      </c>
      <c r="H42" s="11" t="s">
        <v>188</v>
      </c>
      <c r="I42" s="11" t="s">
        <v>74</v>
      </c>
      <c r="J42" s="11" t="s">
        <v>260</v>
      </c>
      <c r="K42" s="11" t="s">
        <v>386</v>
      </c>
    </row>
    <row r="43">
      <c r="A43" s="11" t="s">
        <v>383</v>
      </c>
      <c r="B43" s="11" t="s">
        <v>382</v>
      </c>
      <c r="C43" s="11" t="s">
        <v>944</v>
      </c>
      <c r="D43" s="11" t="s">
        <v>945</v>
      </c>
      <c r="E43" s="11">
        <v>2002.0</v>
      </c>
      <c r="F43" s="11">
        <v>2415.0</v>
      </c>
      <c r="G43" s="11" t="s">
        <v>188</v>
      </c>
      <c r="H43" s="11" t="s">
        <v>188</v>
      </c>
      <c r="I43" s="11" t="s">
        <v>74</v>
      </c>
      <c r="J43" s="11" t="s">
        <v>260</v>
      </c>
      <c r="K43" s="11" t="s">
        <v>386</v>
      </c>
    </row>
    <row r="44">
      <c r="A44" s="11" t="s">
        <v>383</v>
      </c>
      <c r="B44" s="11" t="s">
        <v>382</v>
      </c>
      <c r="C44" s="11" t="s">
        <v>944</v>
      </c>
      <c r="D44" s="11" t="s">
        <v>945</v>
      </c>
      <c r="E44" s="11">
        <v>2001.0</v>
      </c>
      <c r="F44" s="11">
        <v>3202.0</v>
      </c>
      <c r="G44" s="11" t="s">
        <v>188</v>
      </c>
      <c r="H44" s="11" t="s">
        <v>188</v>
      </c>
      <c r="I44" s="11" t="s">
        <v>74</v>
      </c>
      <c r="J44" s="11" t="s">
        <v>260</v>
      </c>
      <c r="K44" s="11" t="s">
        <v>386</v>
      </c>
    </row>
    <row r="45">
      <c r="A45" s="11" t="s">
        <v>383</v>
      </c>
      <c r="B45" s="11" t="s">
        <v>382</v>
      </c>
      <c r="C45" s="11" t="s">
        <v>944</v>
      </c>
      <c r="D45" s="11" t="s">
        <v>945</v>
      </c>
      <c r="E45" s="11">
        <v>2003.0</v>
      </c>
      <c r="F45" s="11">
        <v>2870.0</v>
      </c>
      <c r="G45" s="11" t="s">
        <v>188</v>
      </c>
      <c r="H45" s="11" t="s">
        <v>188</v>
      </c>
      <c r="I45" s="11" t="s">
        <v>74</v>
      </c>
      <c r="J45" s="11" t="s">
        <v>260</v>
      </c>
      <c r="K45" s="11" t="s">
        <v>386</v>
      </c>
    </row>
    <row r="46">
      <c r="A46" s="11" t="s">
        <v>383</v>
      </c>
      <c r="B46" s="11" t="s">
        <v>382</v>
      </c>
      <c r="C46" s="11" t="s">
        <v>944</v>
      </c>
      <c r="D46" s="11" t="s">
        <v>945</v>
      </c>
      <c r="E46" s="11">
        <v>2004.0</v>
      </c>
      <c r="F46" s="11">
        <v>3204.0</v>
      </c>
      <c r="G46" s="11" t="s">
        <v>188</v>
      </c>
      <c r="H46" s="11" t="s">
        <v>188</v>
      </c>
      <c r="I46" s="11" t="s">
        <v>74</v>
      </c>
      <c r="J46" s="11" t="s">
        <v>260</v>
      </c>
      <c r="K46" s="11" t="s">
        <v>386</v>
      </c>
    </row>
    <row r="47">
      <c r="A47" s="11" t="s">
        <v>383</v>
      </c>
      <c r="B47" s="11" t="s">
        <v>382</v>
      </c>
      <c r="C47" s="11" t="s">
        <v>944</v>
      </c>
      <c r="D47" s="11" t="s">
        <v>945</v>
      </c>
      <c r="E47" s="11">
        <v>2008.0</v>
      </c>
      <c r="F47" s="11">
        <v>4752.0</v>
      </c>
      <c r="G47" s="11" t="s">
        <v>188</v>
      </c>
      <c r="H47" s="11" t="s">
        <v>188</v>
      </c>
      <c r="I47" s="11" t="s">
        <v>74</v>
      </c>
      <c r="J47" s="11" t="s">
        <v>260</v>
      </c>
      <c r="K47" s="11" t="s">
        <v>386</v>
      </c>
    </row>
    <row r="48">
      <c r="A48" s="11" t="s">
        <v>383</v>
      </c>
      <c r="B48" s="11" t="s">
        <v>382</v>
      </c>
      <c r="C48" s="11" t="s">
        <v>944</v>
      </c>
      <c r="D48" s="11" t="s">
        <v>945</v>
      </c>
      <c r="E48" s="11">
        <v>2013.0</v>
      </c>
      <c r="F48" s="11">
        <v>6815.0</v>
      </c>
      <c r="G48" s="11" t="s">
        <v>188</v>
      </c>
      <c r="H48" s="11" t="s">
        <v>188</v>
      </c>
      <c r="I48" s="11" t="s">
        <v>74</v>
      </c>
      <c r="J48" s="11" t="s">
        <v>260</v>
      </c>
      <c r="K48" s="11" t="s">
        <v>386</v>
      </c>
    </row>
    <row r="49">
      <c r="A49" s="11" t="s">
        <v>383</v>
      </c>
      <c r="B49" s="11" t="s">
        <v>382</v>
      </c>
      <c r="C49" s="11" t="s">
        <v>944</v>
      </c>
      <c r="D49" s="11" t="s">
        <v>945</v>
      </c>
      <c r="E49" s="11">
        <v>2017.0</v>
      </c>
      <c r="F49" s="11">
        <v>8151.0</v>
      </c>
      <c r="G49" s="11" t="s">
        <v>188</v>
      </c>
      <c r="H49" s="11" t="s">
        <v>188</v>
      </c>
      <c r="I49" s="11" t="s">
        <v>74</v>
      </c>
      <c r="J49" s="11" t="s">
        <v>260</v>
      </c>
      <c r="K49" s="11" t="s">
        <v>386</v>
      </c>
    </row>
    <row r="50">
      <c r="A50" s="11" t="s">
        <v>952</v>
      </c>
      <c r="B50" s="11" t="s">
        <v>388</v>
      </c>
      <c r="C50" s="11" t="s">
        <v>953</v>
      </c>
      <c r="D50" s="11" t="s">
        <v>954</v>
      </c>
      <c r="E50" s="11">
        <v>1961.0</v>
      </c>
      <c r="F50" s="11">
        <v>1.0</v>
      </c>
      <c r="G50" s="11" t="s">
        <v>188</v>
      </c>
      <c r="H50" s="11" t="s">
        <v>188</v>
      </c>
      <c r="I50" s="11" t="s">
        <v>955</v>
      </c>
      <c r="J50" s="11" t="s">
        <v>260</v>
      </c>
      <c r="K50" s="11" t="s">
        <v>392</v>
      </c>
      <c r="L50" s="11" t="s">
        <v>956</v>
      </c>
    </row>
    <row r="51">
      <c r="A51" s="11" t="s">
        <v>952</v>
      </c>
      <c r="B51" s="11" t="s">
        <v>388</v>
      </c>
      <c r="C51" s="11" t="s">
        <v>953</v>
      </c>
      <c r="D51" s="11" t="s">
        <v>954</v>
      </c>
      <c r="E51" s="11">
        <v>1962.0</v>
      </c>
      <c r="F51" s="11">
        <v>1.0</v>
      </c>
      <c r="G51" s="11" t="s">
        <v>188</v>
      </c>
      <c r="H51" s="11" t="s">
        <v>188</v>
      </c>
      <c r="I51" s="11" t="s">
        <v>955</v>
      </c>
      <c r="J51" s="11" t="s">
        <v>260</v>
      </c>
      <c r="K51" s="11" t="s">
        <v>392</v>
      </c>
    </row>
    <row r="52">
      <c r="A52" s="11" t="s">
        <v>952</v>
      </c>
      <c r="B52" s="11" t="s">
        <v>388</v>
      </c>
      <c r="C52" s="11" t="s">
        <v>953</v>
      </c>
      <c r="D52" s="11" t="s">
        <v>954</v>
      </c>
      <c r="E52" s="11">
        <v>1962.0</v>
      </c>
      <c r="F52" s="11">
        <v>1.0</v>
      </c>
      <c r="G52" s="11" t="s">
        <v>188</v>
      </c>
      <c r="H52" s="11" t="s">
        <v>188</v>
      </c>
      <c r="I52" s="11" t="s">
        <v>955</v>
      </c>
      <c r="J52" s="11" t="s">
        <v>260</v>
      </c>
      <c r="K52" s="11" t="s">
        <v>392</v>
      </c>
    </row>
    <row r="53">
      <c r="A53" s="11" t="s">
        <v>952</v>
      </c>
      <c r="B53" s="11" t="s">
        <v>388</v>
      </c>
      <c r="C53" s="11" t="s">
        <v>953</v>
      </c>
      <c r="D53" s="11" t="s">
        <v>954</v>
      </c>
      <c r="E53" s="11">
        <v>1964.0</v>
      </c>
      <c r="F53" s="11">
        <v>1.0</v>
      </c>
      <c r="G53" s="11" t="s">
        <v>188</v>
      </c>
      <c r="H53" s="11" t="s">
        <v>188</v>
      </c>
      <c r="I53" s="11" t="s">
        <v>955</v>
      </c>
      <c r="J53" s="11" t="s">
        <v>260</v>
      </c>
      <c r="K53" s="11" t="s">
        <v>392</v>
      </c>
    </row>
    <row r="54">
      <c r="A54" s="11" t="s">
        <v>952</v>
      </c>
      <c r="B54" s="11" t="s">
        <v>388</v>
      </c>
      <c r="C54" s="11" t="s">
        <v>953</v>
      </c>
      <c r="D54" s="11" t="s">
        <v>954</v>
      </c>
      <c r="E54" s="11">
        <v>1964.0</v>
      </c>
      <c r="F54" s="11">
        <v>1.0</v>
      </c>
      <c r="G54" s="11" t="s">
        <v>188</v>
      </c>
      <c r="H54" s="11" t="s">
        <v>188</v>
      </c>
      <c r="I54" s="11" t="s">
        <v>955</v>
      </c>
      <c r="J54" s="11" t="s">
        <v>260</v>
      </c>
      <c r="K54" s="11" t="s">
        <v>392</v>
      </c>
    </row>
    <row r="55">
      <c r="A55" s="11" t="s">
        <v>952</v>
      </c>
      <c r="B55" s="11" t="s">
        <v>388</v>
      </c>
      <c r="C55" s="11" t="s">
        <v>953</v>
      </c>
      <c r="D55" s="11" t="s">
        <v>954</v>
      </c>
      <c r="E55" s="11">
        <v>1965.0</v>
      </c>
      <c r="F55" s="11">
        <v>1.0</v>
      </c>
      <c r="G55" s="11" t="s">
        <v>188</v>
      </c>
      <c r="H55" s="11" t="s">
        <v>188</v>
      </c>
      <c r="I55" s="11" t="s">
        <v>955</v>
      </c>
      <c r="J55" s="11" t="s">
        <v>260</v>
      </c>
      <c r="K55" s="11" t="s">
        <v>392</v>
      </c>
    </row>
    <row r="56">
      <c r="A56" s="11" t="s">
        <v>952</v>
      </c>
      <c r="B56" s="11" t="s">
        <v>388</v>
      </c>
      <c r="C56" s="11" t="s">
        <v>953</v>
      </c>
      <c r="D56" s="11" t="s">
        <v>954</v>
      </c>
      <c r="E56" s="11">
        <v>1966.0</v>
      </c>
      <c r="F56" s="11">
        <v>1.0</v>
      </c>
      <c r="G56" s="11" t="s">
        <v>188</v>
      </c>
      <c r="H56" s="11" t="s">
        <v>188</v>
      </c>
      <c r="I56" s="11" t="s">
        <v>955</v>
      </c>
      <c r="J56" s="11" t="s">
        <v>260</v>
      </c>
      <c r="K56" s="11" t="s">
        <v>392</v>
      </c>
    </row>
    <row r="57">
      <c r="A57" s="11" t="s">
        <v>952</v>
      </c>
      <c r="B57" s="11" t="s">
        <v>388</v>
      </c>
      <c r="C57" s="11" t="s">
        <v>953</v>
      </c>
      <c r="D57" s="11" t="s">
        <v>954</v>
      </c>
      <c r="E57" s="11">
        <v>1968.0</v>
      </c>
      <c r="F57" s="11">
        <v>1.0</v>
      </c>
      <c r="G57" s="11" t="s">
        <v>188</v>
      </c>
      <c r="H57" s="11" t="s">
        <v>188</v>
      </c>
      <c r="I57" s="11" t="s">
        <v>955</v>
      </c>
      <c r="J57" s="11" t="s">
        <v>260</v>
      </c>
      <c r="K57" s="11" t="s">
        <v>392</v>
      </c>
    </row>
    <row r="58">
      <c r="A58" s="11" t="s">
        <v>952</v>
      </c>
      <c r="B58" s="11" t="s">
        <v>388</v>
      </c>
      <c r="C58" s="11" t="s">
        <v>953</v>
      </c>
      <c r="D58" s="11" t="s">
        <v>954</v>
      </c>
      <c r="E58" s="11">
        <v>1968.0</v>
      </c>
      <c r="F58" s="11">
        <v>1.0</v>
      </c>
      <c r="G58" s="11" t="s">
        <v>188</v>
      </c>
      <c r="H58" s="11" t="s">
        <v>188</v>
      </c>
      <c r="I58" s="11" t="s">
        <v>955</v>
      </c>
      <c r="J58" s="11" t="s">
        <v>260</v>
      </c>
      <c r="K58" s="11" t="s">
        <v>392</v>
      </c>
    </row>
    <row r="59">
      <c r="A59" s="11" t="s">
        <v>952</v>
      </c>
      <c r="B59" s="11" t="s">
        <v>388</v>
      </c>
      <c r="C59" s="11" t="s">
        <v>953</v>
      </c>
      <c r="D59" s="11" t="s">
        <v>954</v>
      </c>
      <c r="E59" s="11">
        <v>1969.0</v>
      </c>
      <c r="F59" s="11">
        <v>1.0</v>
      </c>
      <c r="G59" s="11" t="s">
        <v>188</v>
      </c>
      <c r="H59" s="11" t="s">
        <v>188</v>
      </c>
      <c r="I59" s="11" t="s">
        <v>955</v>
      </c>
      <c r="J59" s="11" t="s">
        <v>260</v>
      </c>
      <c r="K59" s="11" t="s">
        <v>392</v>
      </c>
    </row>
    <row r="60">
      <c r="A60" s="11" t="s">
        <v>952</v>
      </c>
      <c r="B60" s="11" t="s">
        <v>388</v>
      </c>
      <c r="C60" s="11" t="s">
        <v>953</v>
      </c>
      <c r="D60" s="11" t="s">
        <v>954</v>
      </c>
      <c r="E60" s="11">
        <v>1970.0</v>
      </c>
      <c r="F60" s="11">
        <v>1.0</v>
      </c>
      <c r="G60" s="11" t="s">
        <v>188</v>
      </c>
      <c r="H60" s="11" t="s">
        <v>188</v>
      </c>
      <c r="I60" s="11" t="s">
        <v>955</v>
      </c>
      <c r="J60" s="11" t="s">
        <v>260</v>
      </c>
      <c r="K60" s="11" t="s">
        <v>392</v>
      </c>
    </row>
    <row r="61">
      <c r="A61" s="11" t="s">
        <v>952</v>
      </c>
      <c r="B61" s="11" t="s">
        <v>388</v>
      </c>
      <c r="C61" s="11" t="s">
        <v>953</v>
      </c>
      <c r="D61" s="11" t="s">
        <v>954</v>
      </c>
      <c r="E61" s="11">
        <v>1972.0</v>
      </c>
      <c r="F61" s="11">
        <v>1.0</v>
      </c>
      <c r="G61" s="11" t="s">
        <v>188</v>
      </c>
      <c r="H61" s="11" t="s">
        <v>188</v>
      </c>
      <c r="I61" s="11" t="s">
        <v>955</v>
      </c>
      <c r="J61" s="11" t="s">
        <v>260</v>
      </c>
      <c r="K61" s="11" t="s">
        <v>392</v>
      </c>
    </row>
    <row r="62">
      <c r="A62" s="11" t="s">
        <v>952</v>
      </c>
      <c r="B62" s="11" t="s">
        <v>388</v>
      </c>
      <c r="C62" s="11" t="s">
        <v>953</v>
      </c>
      <c r="D62" s="11" t="s">
        <v>954</v>
      </c>
      <c r="E62" s="11">
        <v>1972.0</v>
      </c>
      <c r="F62" s="11">
        <v>1.0</v>
      </c>
      <c r="G62" s="11" t="s">
        <v>188</v>
      </c>
      <c r="H62" s="11" t="s">
        <v>188</v>
      </c>
      <c r="I62" s="11" t="s">
        <v>955</v>
      </c>
      <c r="J62" s="11" t="s">
        <v>260</v>
      </c>
      <c r="K62" s="11" t="s">
        <v>392</v>
      </c>
    </row>
    <row r="63">
      <c r="A63" s="11" t="s">
        <v>952</v>
      </c>
      <c r="B63" s="11" t="s">
        <v>388</v>
      </c>
      <c r="C63" s="11" t="s">
        <v>953</v>
      </c>
      <c r="D63" s="11" t="s">
        <v>954</v>
      </c>
      <c r="E63" s="11">
        <v>1973.0</v>
      </c>
      <c r="F63" s="11">
        <v>2.0</v>
      </c>
      <c r="G63" s="11" t="s">
        <v>188</v>
      </c>
      <c r="H63" s="11" t="s">
        <v>188</v>
      </c>
      <c r="I63" s="11" t="s">
        <v>955</v>
      </c>
      <c r="J63" s="11" t="s">
        <v>260</v>
      </c>
      <c r="K63" s="11" t="s">
        <v>392</v>
      </c>
    </row>
    <row r="64">
      <c r="A64" s="11" t="s">
        <v>952</v>
      </c>
      <c r="B64" s="11" t="s">
        <v>388</v>
      </c>
      <c r="C64" s="11" t="s">
        <v>953</v>
      </c>
      <c r="D64" s="11" t="s">
        <v>954</v>
      </c>
      <c r="E64" s="11">
        <v>1974.0</v>
      </c>
      <c r="F64" s="11">
        <v>2.0</v>
      </c>
      <c r="G64" s="11" t="s">
        <v>188</v>
      </c>
      <c r="H64" s="11" t="s">
        <v>188</v>
      </c>
      <c r="I64" s="11" t="s">
        <v>955</v>
      </c>
      <c r="J64" s="11" t="s">
        <v>260</v>
      </c>
      <c r="K64" s="11" t="s">
        <v>392</v>
      </c>
    </row>
    <row r="65">
      <c r="A65" s="11" t="s">
        <v>952</v>
      </c>
      <c r="B65" s="11" t="s">
        <v>388</v>
      </c>
      <c r="C65" s="11" t="s">
        <v>953</v>
      </c>
      <c r="D65" s="11" t="s">
        <v>954</v>
      </c>
      <c r="E65" s="11">
        <v>1975.0</v>
      </c>
      <c r="F65" s="11">
        <v>2.0</v>
      </c>
      <c r="G65" s="11" t="s">
        <v>188</v>
      </c>
      <c r="H65" s="11" t="s">
        <v>188</v>
      </c>
      <c r="I65" s="11" t="s">
        <v>955</v>
      </c>
      <c r="J65" s="11" t="s">
        <v>260</v>
      </c>
      <c r="K65" s="11" t="s">
        <v>392</v>
      </c>
    </row>
    <row r="66">
      <c r="A66" s="11" t="s">
        <v>952</v>
      </c>
      <c r="B66" s="11" t="s">
        <v>388</v>
      </c>
      <c r="C66" s="11" t="s">
        <v>953</v>
      </c>
      <c r="D66" s="11" t="s">
        <v>954</v>
      </c>
      <c r="E66" s="11">
        <v>1977.0</v>
      </c>
      <c r="F66" s="11">
        <v>2.0</v>
      </c>
      <c r="G66" s="11" t="s">
        <v>188</v>
      </c>
      <c r="H66" s="11" t="s">
        <v>188</v>
      </c>
      <c r="I66" s="11" t="s">
        <v>955</v>
      </c>
      <c r="J66" s="11" t="s">
        <v>260</v>
      </c>
      <c r="K66" s="11" t="s">
        <v>392</v>
      </c>
    </row>
    <row r="67">
      <c r="A67" s="11" t="s">
        <v>952</v>
      </c>
      <c r="B67" s="11" t="s">
        <v>388</v>
      </c>
      <c r="C67" s="11" t="s">
        <v>953</v>
      </c>
      <c r="D67" s="11" t="s">
        <v>954</v>
      </c>
      <c r="E67" s="11">
        <v>1977.0</v>
      </c>
      <c r="F67" s="11">
        <v>3.0</v>
      </c>
      <c r="G67" s="11" t="s">
        <v>188</v>
      </c>
      <c r="H67" s="11" t="s">
        <v>188</v>
      </c>
      <c r="I67" s="11" t="s">
        <v>955</v>
      </c>
      <c r="J67" s="11" t="s">
        <v>260</v>
      </c>
      <c r="K67" s="11" t="s">
        <v>392</v>
      </c>
    </row>
    <row r="68">
      <c r="A68" s="11" t="s">
        <v>952</v>
      </c>
      <c r="B68" s="11" t="s">
        <v>388</v>
      </c>
      <c r="C68" s="11" t="s">
        <v>953</v>
      </c>
      <c r="D68" s="11" t="s">
        <v>954</v>
      </c>
      <c r="E68" s="11">
        <v>1979.0</v>
      </c>
      <c r="F68" s="11">
        <v>3.0</v>
      </c>
      <c r="G68" s="11" t="s">
        <v>188</v>
      </c>
      <c r="H68" s="11" t="s">
        <v>188</v>
      </c>
      <c r="I68" s="11" t="s">
        <v>955</v>
      </c>
      <c r="J68" s="11" t="s">
        <v>260</v>
      </c>
      <c r="K68" s="11" t="s">
        <v>392</v>
      </c>
    </row>
    <row r="69">
      <c r="A69" s="11" t="s">
        <v>952</v>
      </c>
      <c r="B69" s="11" t="s">
        <v>388</v>
      </c>
      <c r="C69" s="11" t="s">
        <v>953</v>
      </c>
      <c r="D69" s="11" t="s">
        <v>954</v>
      </c>
      <c r="E69" s="11">
        <v>1979.0</v>
      </c>
      <c r="F69" s="11">
        <v>3.0</v>
      </c>
      <c r="G69" s="11" t="s">
        <v>188</v>
      </c>
      <c r="H69" s="11" t="s">
        <v>188</v>
      </c>
      <c r="I69" s="11" t="s">
        <v>955</v>
      </c>
      <c r="J69" s="11" t="s">
        <v>260</v>
      </c>
      <c r="K69" s="11" t="s">
        <v>392</v>
      </c>
    </row>
    <row r="70">
      <c r="A70" s="11" t="s">
        <v>952</v>
      </c>
      <c r="B70" s="11" t="s">
        <v>388</v>
      </c>
      <c r="C70" s="11" t="s">
        <v>953</v>
      </c>
      <c r="D70" s="11" t="s">
        <v>954</v>
      </c>
      <c r="E70" s="11">
        <v>1980.0</v>
      </c>
      <c r="F70" s="11">
        <v>4.0</v>
      </c>
      <c r="G70" s="11" t="s">
        <v>188</v>
      </c>
      <c r="H70" s="11" t="s">
        <v>188</v>
      </c>
      <c r="I70" s="11" t="s">
        <v>955</v>
      </c>
      <c r="J70" s="11" t="s">
        <v>260</v>
      </c>
      <c r="K70" s="11" t="s">
        <v>392</v>
      </c>
    </row>
    <row r="71">
      <c r="A71" s="11" t="s">
        <v>952</v>
      </c>
      <c r="B71" s="11" t="s">
        <v>388</v>
      </c>
      <c r="C71" s="11" t="s">
        <v>953</v>
      </c>
      <c r="D71" s="11" t="s">
        <v>954</v>
      </c>
      <c r="E71" s="11">
        <v>1981.0</v>
      </c>
      <c r="F71" s="11">
        <v>4.0</v>
      </c>
      <c r="G71" s="11" t="s">
        <v>188</v>
      </c>
      <c r="H71" s="11" t="s">
        <v>188</v>
      </c>
      <c r="I71" s="11" t="s">
        <v>955</v>
      </c>
      <c r="J71" s="11" t="s">
        <v>260</v>
      </c>
      <c r="K71" s="11" t="s">
        <v>392</v>
      </c>
    </row>
    <row r="72">
      <c r="A72" s="11" t="s">
        <v>952</v>
      </c>
      <c r="B72" s="11" t="s">
        <v>388</v>
      </c>
      <c r="C72" s="11" t="s">
        <v>953</v>
      </c>
      <c r="D72" s="11" t="s">
        <v>954</v>
      </c>
      <c r="E72" s="11">
        <v>1983.0</v>
      </c>
      <c r="F72" s="11">
        <v>4.0</v>
      </c>
      <c r="G72" s="11" t="s">
        <v>188</v>
      </c>
      <c r="H72" s="11" t="s">
        <v>188</v>
      </c>
      <c r="I72" s="11" t="s">
        <v>955</v>
      </c>
      <c r="J72" s="11" t="s">
        <v>260</v>
      </c>
      <c r="K72" s="11" t="s">
        <v>392</v>
      </c>
    </row>
    <row r="73">
      <c r="A73" s="11" t="s">
        <v>952</v>
      </c>
      <c r="B73" s="11" t="s">
        <v>388</v>
      </c>
      <c r="C73" s="11" t="s">
        <v>953</v>
      </c>
      <c r="D73" s="11" t="s">
        <v>954</v>
      </c>
      <c r="E73" s="11">
        <v>1984.0</v>
      </c>
      <c r="F73" s="11">
        <v>5.0</v>
      </c>
      <c r="G73" s="11" t="s">
        <v>188</v>
      </c>
      <c r="H73" s="11" t="s">
        <v>188</v>
      </c>
      <c r="I73" s="11" t="s">
        <v>955</v>
      </c>
      <c r="J73" s="11" t="s">
        <v>260</v>
      </c>
      <c r="K73" s="11" t="s">
        <v>392</v>
      </c>
    </row>
    <row r="74">
      <c r="A74" s="11" t="s">
        <v>952</v>
      </c>
      <c r="B74" s="11" t="s">
        <v>388</v>
      </c>
      <c r="C74" s="11" t="s">
        <v>953</v>
      </c>
      <c r="D74" s="11" t="s">
        <v>954</v>
      </c>
      <c r="E74" s="11">
        <v>1985.0</v>
      </c>
      <c r="F74" s="11">
        <v>6.0</v>
      </c>
      <c r="G74" s="11" t="s">
        <v>188</v>
      </c>
      <c r="H74" s="11" t="s">
        <v>188</v>
      </c>
      <c r="I74" s="11" t="s">
        <v>955</v>
      </c>
      <c r="J74" s="11" t="s">
        <v>260</v>
      </c>
      <c r="K74" s="11" t="s">
        <v>392</v>
      </c>
    </row>
    <row r="75">
      <c r="A75" s="11" t="s">
        <v>952</v>
      </c>
      <c r="B75" s="11" t="s">
        <v>388</v>
      </c>
      <c r="C75" s="11" t="s">
        <v>953</v>
      </c>
      <c r="D75" s="11" t="s">
        <v>954</v>
      </c>
      <c r="E75" s="11">
        <v>1986.0</v>
      </c>
      <c r="F75" s="11">
        <v>7.0</v>
      </c>
      <c r="G75" s="11" t="s">
        <v>188</v>
      </c>
      <c r="H75" s="11" t="s">
        <v>188</v>
      </c>
      <c r="I75" s="11" t="s">
        <v>955</v>
      </c>
      <c r="J75" s="11" t="s">
        <v>260</v>
      </c>
      <c r="K75" s="11" t="s">
        <v>392</v>
      </c>
    </row>
    <row r="76">
      <c r="A76" s="11" t="s">
        <v>952</v>
      </c>
      <c r="B76" s="11" t="s">
        <v>388</v>
      </c>
      <c r="C76" s="11" t="s">
        <v>953</v>
      </c>
      <c r="D76" s="11" t="s">
        <v>954</v>
      </c>
      <c r="E76" s="11">
        <v>1987.0</v>
      </c>
      <c r="F76" s="11">
        <v>8.0</v>
      </c>
      <c r="G76" s="11" t="s">
        <v>188</v>
      </c>
      <c r="H76" s="11" t="s">
        <v>188</v>
      </c>
      <c r="I76" s="11" t="s">
        <v>955</v>
      </c>
      <c r="J76" s="11" t="s">
        <v>260</v>
      </c>
      <c r="K76" s="11" t="s">
        <v>392</v>
      </c>
    </row>
    <row r="77">
      <c r="A77" s="11" t="s">
        <v>952</v>
      </c>
      <c r="B77" s="11" t="s">
        <v>388</v>
      </c>
      <c r="C77" s="11" t="s">
        <v>953</v>
      </c>
      <c r="D77" s="11" t="s">
        <v>954</v>
      </c>
      <c r="E77" s="11">
        <v>1989.0</v>
      </c>
      <c r="F77" s="11">
        <v>9.0</v>
      </c>
      <c r="G77" s="11" t="s">
        <v>188</v>
      </c>
      <c r="H77" s="11" t="s">
        <v>188</v>
      </c>
      <c r="I77" s="11" t="s">
        <v>955</v>
      </c>
      <c r="J77" s="11" t="s">
        <v>260</v>
      </c>
      <c r="K77" s="11" t="s">
        <v>392</v>
      </c>
    </row>
    <row r="78">
      <c r="A78" s="11" t="s">
        <v>952</v>
      </c>
      <c r="B78" s="11" t="s">
        <v>388</v>
      </c>
      <c r="C78" s="11" t="s">
        <v>953</v>
      </c>
      <c r="D78" s="11" t="s">
        <v>954</v>
      </c>
      <c r="E78" s="11">
        <v>1990.0</v>
      </c>
      <c r="F78" s="11">
        <v>10.0</v>
      </c>
      <c r="G78" s="11" t="s">
        <v>188</v>
      </c>
      <c r="H78" s="11" t="s">
        <v>188</v>
      </c>
      <c r="I78" s="11" t="s">
        <v>955</v>
      </c>
      <c r="J78" s="11" t="s">
        <v>260</v>
      </c>
      <c r="K78" s="11" t="s">
        <v>392</v>
      </c>
    </row>
    <row r="79">
      <c r="A79" s="11" t="s">
        <v>952</v>
      </c>
      <c r="B79" s="11" t="s">
        <v>388</v>
      </c>
      <c r="C79" s="11" t="s">
        <v>953</v>
      </c>
      <c r="D79" s="11" t="s">
        <v>954</v>
      </c>
      <c r="E79" s="11">
        <v>1990.0</v>
      </c>
      <c r="F79" s="11">
        <v>11.0</v>
      </c>
      <c r="G79" s="11" t="s">
        <v>188</v>
      </c>
      <c r="H79" s="11" t="s">
        <v>188</v>
      </c>
      <c r="I79" s="11" t="s">
        <v>955</v>
      </c>
      <c r="J79" s="11" t="s">
        <v>260</v>
      </c>
      <c r="K79" s="11" t="s">
        <v>392</v>
      </c>
    </row>
    <row r="80">
      <c r="A80" s="11" t="s">
        <v>952</v>
      </c>
      <c r="B80" s="11" t="s">
        <v>388</v>
      </c>
      <c r="C80" s="11" t="s">
        <v>953</v>
      </c>
      <c r="D80" s="11" t="s">
        <v>954</v>
      </c>
      <c r="E80" s="11">
        <v>1992.0</v>
      </c>
      <c r="F80" s="11">
        <v>12.0</v>
      </c>
      <c r="G80" s="11" t="s">
        <v>188</v>
      </c>
      <c r="H80" s="11" t="s">
        <v>188</v>
      </c>
      <c r="I80" s="11" t="s">
        <v>955</v>
      </c>
      <c r="J80" s="11" t="s">
        <v>260</v>
      </c>
      <c r="K80" s="11" t="s">
        <v>392</v>
      </c>
    </row>
    <row r="81">
      <c r="A81" s="11" t="s">
        <v>952</v>
      </c>
      <c r="B81" s="11" t="s">
        <v>388</v>
      </c>
      <c r="C81" s="11" t="s">
        <v>953</v>
      </c>
      <c r="D81" s="11" t="s">
        <v>954</v>
      </c>
      <c r="E81" s="11">
        <v>1994.0</v>
      </c>
      <c r="F81" s="11">
        <v>16.0</v>
      </c>
      <c r="G81" s="11" t="s">
        <v>188</v>
      </c>
      <c r="H81" s="11" t="s">
        <v>188</v>
      </c>
      <c r="I81" s="11" t="s">
        <v>955</v>
      </c>
      <c r="J81" s="11" t="s">
        <v>260</v>
      </c>
      <c r="K81" s="11" t="s">
        <v>392</v>
      </c>
    </row>
    <row r="82">
      <c r="A82" s="11" t="s">
        <v>952</v>
      </c>
      <c r="B82" s="11" t="s">
        <v>388</v>
      </c>
      <c r="C82" s="11" t="s">
        <v>953</v>
      </c>
      <c r="D82" s="11" t="s">
        <v>954</v>
      </c>
      <c r="E82" s="11">
        <v>1994.0</v>
      </c>
      <c r="F82" s="11">
        <v>19.0</v>
      </c>
      <c r="G82" s="11" t="s">
        <v>188</v>
      </c>
      <c r="H82" s="11" t="s">
        <v>188</v>
      </c>
      <c r="I82" s="11" t="s">
        <v>955</v>
      </c>
      <c r="J82" s="11" t="s">
        <v>260</v>
      </c>
      <c r="K82" s="11" t="s">
        <v>392</v>
      </c>
    </row>
    <row r="83">
      <c r="A83" s="11" t="s">
        <v>952</v>
      </c>
      <c r="B83" s="11" t="s">
        <v>388</v>
      </c>
      <c r="C83" s="11" t="s">
        <v>953</v>
      </c>
      <c r="D83" s="11" t="s">
        <v>954</v>
      </c>
      <c r="E83" s="11">
        <v>1996.0</v>
      </c>
      <c r="F83" s="11">
        <v>21.0</v>
      </c>
      <c r="G83" s="11" t="s">
        <v>188</v>
      </c>
      <c r="H83" s="11" t="s">
        <v>188</v>
      </c>
      <c r="I83" s="11" t="s">
        <v>955</v>
      </c>
      <c r="J83" s="11" t="s">
        <v>260</v>
      </c>
      <c r="K83" s="11" t="s">
        <v>392</v>
      </c>
    </row>
    <row r="84">
      <c r="A84" s="11" t="s">
        <v>952</v>
      </c>
      <c r="B84" s="11" t="s">
        <v>388</v>
      </c>
      <c r="C84" s="11" t="s">
        <v>953</v>
      </c>
      <c r="D84" s="11" t="s">
        <v>954</v>
      </c>
      <c r="E84" s="11">
        <v>1996.0</v>
      </c>
      <c r="F84" s="11">
        <v>23.0</v>
      </c>
      <c r="G84" s="11" t="s">
        <v>188</v>
      </c>
      <c r="H84" s="11" t="s">
        <v>188</v>
      </c>
      <c r="I84" s="11" t="s">
        <v>955</v>
      </c>
      <c r="J84" s="11" t="s">
        <v>260</v>
      </c>
      <c r="K84" s="11" t="s">
        <v>392</v>
      </c>
    </row>
    <row r="85">
      <c r="A85" s="11" t="s">
        <v>952</v>
      </c>
      <c r="B85" s="11" t="s">
        <v>388</v>
      </c>
      <c r="C85" s="11" t="s">
        <v>953</v>
      </c>
      <c r="D85" s="11" t="s">
        <v>954</v>
      </c>
      <c r="E85" s="11">
        <v>1998.0</v>
      </c>
      <c r="F85" s="11">
        <v>26.0</v>
      </c>
      <c r="G85" s="11" t="s">
        <v>188</v>
      </c>
      <c r="H85" s="11" t="s">
        <v>188</v>
      </c>
      <c r="I85" s="11" t="s">
        <v>955</v>
      </c>
      <c r="J85" s="11" t="s">
        <v>260</v>
      </c>
      <c r="K85" s="11" t="s">
        <v>392</v>
      </c>
    </row>
    <row r="86">
      <c r="A86" s="11" t="s">
        <v>952</v>
      </c>
      <c r="B86" s="11" t="s">
        <v>388</v>
      </c>
      <c r="C86" s="11" t="s">
        <v>953</v>
      </c>
      <c r="D86" s="11" t="s">
        <v>954</v>
      </c>
      <c r="E86" s="11">
        <v>1999.0</v>
      </c>
      <c r="F86" s="11">
        <v>29.0</v>
      </c>
      <c r="G86" s="11" t="s">
        <v>188</v>
      </c>
      <c r="H86" s="11" t="s">
        <v>188</v>
      </c>
      <c r="I86" s="11" t="s">
        <v>955</v>
      </c>
      <c r="J86" s="11" t="s">
        <v>260</v>
      </c>
      <c r="K86" s="11" t="s">
        <v>392</v>
      </c>
    </row>
    <row r="87">
      <c r="A87" s="11" t="s">
        <v>952</v>
      </c>
      <c r="B87" s="11" t="s">
        <v>388</v>
      </c>
      <c r="C87" s="11" t="s">
        <v>953</v>
      </c>
      <c r="D87" s="11" t="s">
        <v>954</v>
      </c>
      <c r="E87" s="11">
        <v>1999.0</v>
      </c>
      <c r="F87" s="11">
        <v>32.0</v>
      </c>
      <c r="G87" s="11" t="s">
        <v>188</v>
      </c>
      <c r="H87" s="11" t="s">
        <v>188</v>
      </c>
      <c r="I87" s="11" t="s">
        <v>955</v>
      </c>
      <c r="J87" s="11" t="s">
        <v>260</v>
      </c>
      <c r="K87" s="11" t="s">
        <v>392</v>
      </c>
    </row>
    <row r="88">
      <c r="A88" s="11" t="s">
        <v>952</v>
      </c>
      <c r="B88" s="11" t="s">
        <v>388</v>
      </c>
      <c r="C88" s="11" t="s">
        <v>953</v>
      </c>
      <c r="D88" s="11" t="s">
        <v>954</v>
      </c>
      <c r="E88" s="11">
        <v>2001.0</v>
      </c>
      <c r="F88" s="11">
        <v>35.0</v>
      </c>
      <c r="G88" s="11" t="s">
        <v>188</v>
      </c>
      <c r="H88" s="11" t="s">
        <v>188</v>
      </c>
      <c r="I88" s="11" t="s">
        <v>955</v>
      </c>
      <c r="J88" s="11" t="s">
        <v>260</v>
      </c>
      <c r="K88" s="11" t="s">
        <v>392</v>
      </c>
    </row>
    <row r="89">
      <c r="A89" s="11" t="s">
        <v>952</v>
      </c>
      <c r="B89" s="11" t="s">
        <v>388</v>
      </c>
      <c r="C89" s="11" t="s">
        <v>953</v>
      </c>
      <c r="D89" s="11" t="s">
        <v>954</v>
      </c>
      <c r="E89" s="11">
        <v>2002.0</v>
      </c>
      <c r="F89" s="11">
        <v>39.0</v>
      </c>
      <c r="G89" s="11" t="s">
        <v>188</v>
      </c>
      <c r="H89" s="11" t="s">
        <v>188</v>
      </c>
      <c r="I89" s="11" t="s">
        <v>955</v>
      </c>
      <c r="J89" s="11" t="s">
        <v>260</v>
      </c>
      <c r="K89" s="11" t="s">
        <v>392</v>
      </c>
    </row>
    <row r="90">
      <c r="A90" s="11" t="s">
        <v>952</v>
      </c>
      <c r="B90" s="11" t="s">
        <v>388</v>
      </c>
      <c r="C90" s="11" t="s">
        <v>953</v>
      </c>
      <c r="D90" s="11" t="s">
        <v>954</v>
      </c>
      <c r="E90" s="11">
        <v>2003.0</v>
      </c>
      <c r="F90" s="11">
        <v>41.0</v>
      </c>
      <c r="G90" s="11" t="s">
        <v>188</v>
      </c>
      <c r="H90" s="11" t="s">
        <v>188</v>
      </c>
      <c r="I90" s="11" t="s">
        <v>955</v>
      </c>
      <c r="J90" s="11" t="s">
        <v>260</v>
      </c>
      <c r="K90" s="11" t="s">
        <v>392</v>
      </c>
    </row>
    <row r="91">
      <c r="A91" s="11" t="s">
        <v>952</v>
      </c>
      <c r="B91" s="11" t="s">
        <v>388</v>
      </c>
      <c r="C91" s="11" t="s">
        <v>953</v>
      </c>
      <c r="D91" s="11" t="s">
        <v>954</v>
      </c>
      <c r="E91" s="11">
        <v>2004.0</v>
      </c>
      <c r="F91" s="11">
        <v>44.0</v>
      </c>
      <c r="G91" s="11" t="s">
        <v>188</v>
      </c>
      <c r="H91" s="11" t="s">
        <v>188</v>
      </c>
      <c r="I91" s="11" t="s">
        <v>955</v>
      </c>
      <c r="J91" s="11" t="s">
        <v>260</v>
      </c>
      <c r="K91" s="11" t="s">
        <v>392</v>
      </c>
    </row>
    <row r="92">
      <c r="A92" s="11" t="s">
        <v>952</v>
      </c>
      <c r="B92" s="11" t="s">
        <v>388</v>
      </c>
      <c r="C92" s="11" t="s">
        <v>953</v>
      </c>
      <c r="D92" s="11" t="s">
        <v>954</v>
      </c>
      <c r="E92" s="11">
        <v>2005.0</v>
      </c>
      <c r="F92" s="11">
        <v>47.0</v>
      </c>
      <c r="G92" s="11" t="s">
        <v>188</v>
      </c>
      <c r="H92" s="11" t="s">
        <v>188</v>
      </c>
      <c r="I92" s="11" t="s">
        <v>955</v>
      </c>
      <c r="J92" s="11" t="s">
        <v>260</v>
      </c>
      <c r="K92" s="11" t="s">
        <v>392</v>
      </c>
    </row>
    <row r="93">
      <c r="A93" s="11" t="s">
        <v>952</v>
      </c>
      <c r="B93" s="11" t="s">
        <v>388</v>
      </c>
      <c r="C93" s="11" t="s">
        <v>953</v>
      </c>
      <c r="D93" s="11" t="s">
        <v>954</v>
      </c>
      <c r="E93" s="11">
        <v>2005.0</v>
      </c>
      <c r="F93" s="11">
        <v>49.0</v>
      </c>
      <c r="G93" s="11" t="s">
        <v>188</v>
      </c>
      <c r="H93" s="11" t="s">
        <v>188</v>
      </c>
      <c r="I93" s="11" t="s">
        <v>955</v>
      </c>
      <c r="J93" s="11" t="s">
        <v>260</v>
      </c>
      <c r="K93" s="11" t="s">
        <v>392</v>
      </c>
    </row>
    <row r="94">
      <c r="A94" s="11" t="s">
        <v>952</v>
      </c>
      <c r="B94" s="11" t="s">
        <v>388</v>
      </c>
      <c r="C94" s="11" t="s">
        <v>953</v>
      </c>
      <c r="D94" s="11" t="s">
        <v>954</v>
      </c>
      <c r="E94" s="11">
        <v>2007.0</v>
      </c>
      <c r="F94" s="11">
        <v>52.0</v>
      </c>
      <c r="G94" s="11" t="s">
        <v>188</v>
      </c>
      <c r="H94" s="11" t="s">
        <v>188</v>
      </c>
      <c r="I94" s="11" t="s">
        <v>955</v>
      </c>
      <c r="J94" s="11" t="s">
        <v>260</v>
      </c>
      <c r="K94" s="11" t="s">
        <v>392</v>
      </c>
    </row>
    <row r="95">
      <c r="A95" s="11" t="s">
        <v>952</v>
      </c>
      <c r="B95" s="11" t="s">
        <v>388</v>
      </c>
      <c r="C95" s="11" t="s">
        <v>953</v>
      </c>
      <c r="D95" s="11" t="s">
        <v>954</v>
      </c>
      <c r="E95" s="11">
        <v>2008.0</v>
      </c>
      <c r="F95" s="11">
        <v>55.0</v>
      </c>
      <c r="G95" s="11" t="s">
        <v>188</v>
      </c>
      <c r="H95" s="11" t="s">
        <v>188</v>
      </c>
      <c r="I95" s="11" t="s">
        <v>955</v>
      </c>
      <c r="J95" s="11" t="s">
        <v>260</v>
      </c>
      <c r="K95" s="11" t="s">
        <v>392</v>
      </c>
    </row>
    <row r="96">
      <c r="A96" s="11" t="s">
        <v>952</v>
      </c>
      <c r="B96" s="11" t="s">
        <v>388</v>
      </c>
      <c r="C96" s="11" t="s">
        <v>953</v>
      </c>
      <c r="D96" s="11" t="s">
        <v>954</v>
      </c>
      <c r="E96" s="11">
        <v>2009.0</v>
      </c>
      <c r="F96" s="11">
        <v>58.0</v>
      </c>
      <c r="G96" s="11" t="s">
        <v>188</v>
      </c>
      <c r="H96" s="11" t="s">
        <v>188</v>
      </c>
      <c r="I96" s="11" t="s">
        <v>955</v>
      </c>
      <c r="J96" s="11" t="s">
        <v>260</v>
      </c>
      <c r="K96" s="11" t="s">
        <v>392</v>
      </c>
    </row>
    <row r="97">
      <c r="A97" s="11" t="s">
        <v>952</v>
      </c>
      <c r="B97" s="11" t="s">
        <v>388</v>
      </c>
      <c r="C97" s="11" t="s">
        <v>953</v>
      </c>
      <c r="D97" s="11" t="s">
        <v>954</v>
      </c>
      <c r="E97" s="11">
        <v>2010.0</v>
      </c>
      <c r="F97" s="11">
        <v>61.0</v>
      </c>
      <c r="G97" s="11" t="s">
        <v>188</v>
      </c>
      <c r="H97" s="11" t="s">
        <v>188</v>
      </c>
      <c r="I97" s="11" t="s">
        <v>955</v>
      </c>
      <c r="J97" s="11" t="s">
        <v>260</v>
      </c>
      <c r="K97" s="11" t="s">
        <v>392</v>
      </c>
    </row>
    <row r="98">
      <c r="A98" s="11" t="s">
        <v>952</v>
      </c>
      <c r="B98" s="11" t="s">
        <v>388</v>
      </c>
      <c r="C98" s="11" t="s">
        <v>953</v>
      </c>
      <c r="D98" s="11" t="s">
        <v>954</v>
      </c>
      <c r="E98" s="11">
        <v>2010.0</v>
      </c>
      <c r="F98" s="11">
        <v>63.0</v>
      </c>
      <c r="G98" s="11" t="s">
        <v>188</v>
      </c>
      <c r="H98" s="11" t="s">
        <v>188</v>
      </c>
      <c r="I98" s="11" t="s">
        <v>955</v>
      </c>
      <c r="J98" s="11" t="s">
        <v>260</v>
      </c>
      <c r="K98" s="11" t="s">
        <v>392</v>
      </c>
    </row>
    <row r="99">
      <c r="A99" s="11" t="s">
        <v>952</v>
      </c>
      <c r="B99" s="11" t="s">
        <v>388</v>
      </c>
      <c r="C99" s="11" t="s">
        <v>953</v>
      </c>
      <c r="D99" s="11" t="s">
        <v>954</v>
      </c>
      <c r="E99" s="11">
        <v>2012.0</v>
      </c>
      <c r="F99" s="11">
        <v>66.0</v>
      </c>
      <c r="G99" s="11" t="s">
        <v>188</v>
      </c>
      <c r="H99" s="11" t="s">
        <v>188</v>
      </c>
      <c r="I99" s="11" t="s">
        <v>955</v>
      </c>
      <c r="J99" s="11" t="s">
        <v>260</v>
      </c>
      <c r="K99" s="11" t="s">
        <v>392</v>
      </c>
    </row>
    <row r="100">
      <c r="A100" s="11" t="s">
        <v>952</v>
      </c>
      <c r="B100" s="11" t="s">
        <v>388</v>
      </c>
      <c r="C100" s="11" t="s">
        <v>953</v>
      </c>
      <c r="D100" s="11" t="s">
        <v>954</v>
      </c>
      <c r="E100" s="11">
        <v>2013.0</v>
      </c>
      <c r="F100" s="11">
        <v>68.0</v>
      </c>
      <c r="G100" s="11" t="s">
        <v>188</v>
      </c>
      <c r="H100" s="11" t="s">
        <v>188</v>
      </c>
      <c r="I100" s="11" t="s">
        <v>955</v>
      </c>
      <c r="J100" s="11" t="s">
        <v>260</v>
      </c>
      <c r="K100" s="11" t="s">
        <v>392</v>
      </c>
    </row>
    <row r="101">
      <c r="A101" s="11" t="s">
        <v>952</v>
      </c>
      <c r="B101" s="11" t="s">
        <v>388</v>
      </c>
      <c r="C101" s="11" t="s">
        <v>953</v>
      </c>
      <c r="D101" s="11" t="s">
        <v>954</v>
      </c>
      <c r="E101" s="11">
        <v>2014.0</v>
      </c>
      <c r="F101" s="11">
        <v>70.0</v>
      </c>
      <c r="G101" s="11" t="s">
        <v>188</v>
      </c>
      <c r="H101" s="11" t="s">
        <v>188</v>
      </c>
      <c r="I101" s="11" t="s">
        <v>955</v>
      </c>
      <c r="J101" s="11" t="s">
        <v>260</v>
      </c>
      <c r="K101" s="11" t="s">
        <v>392</v>
      </c>
    </row>
    <row r="102">
      <c r="A102" s="11" t="s">
        <v>952</v>
      </c>
      <c r="B102" s="11" t="s">
        <v>388</v>
      </c>
      <c r="C102" s="11" t="s">
        <v>953</v>
      </c>
      <c r="D102" s="11" t="s">
        <v>954</v>
      </c>
      <c r="E102" s="11">
        <v>2015.0</v>
      </c>
      <c r="F102" s="11">
        <v>72.0</v>
      </c>
      <c r="G102" s="11" t="s">
        <v>188</v>
      </c>
      <c r="H102" s="11" t="s">
        <v>188</v>
      </c>
      <c r="I102" s="11" t="s">
        <v>955</v>
      </c>
      <c r="J102" s="11" t="s">
        <v>260</v>
      </c>
      <c r="K102" s="11" t="s">
        <v>392</v>
      </c>
    </row>
    <row r="103">
      <c r="A103" s="11" t="s">
        <v>952</v>
      </c>
      <c r="B103" s="11" t="s">
        <v>388</v>
      </c>
      <c r="C103" s="11" t="s">
        <v>953</v>
      </c>
      <c r="D103" s="11" t="s">
        <v>954</v>
      </c>
      <c r="E103" s="11">
        <v>2016.0</v>
      </c>
      <c r="F103" s="11">
        <v>75.0</v>
      </c>
      <c r="G103" s="11" t="s">
        <v>188</v>
      </c>
      <c r="H103" s="11" t="s">
        <v>188</v>
      </c>
      <c r="I103" s="11" t="s">
        <v>955</v>
      </c>
      <c r="J103" s="11" t="s">
        <v>260</v>
      </c>
      <c r="K103" s="11" t="s">
        <v>392</v>
      </c>
    </row>
    <row r="104">
      <c r="A104" s="11" t="s">
        <v>952</v>
      </c>
      <c r="B104" s="11" t="s">
        <v>388</v>
      </c>
      <c r="C104" s="11" t="s">
        <v>953</v>
      </c>
      <c r="D104" s="11" t="s">
        <v>954</v>
      </c>
      <c r="E104" s="11">
        <v>2017.0</v>
      </c>
      <c r="F104" s="11">
        <v>77.0</v>
      </c>
      <c r="G104" s="11" t="s">
        <v>188</v>
      </c>
      <c r="H104" s="11" t="s">
        <v>188</v>
      </c>
      <c r="I104" s="11" t="s">
        <v>955</v>
      </c>
      <c r="J104" s="11" t="s">
        <v>260</v>
      </c>
      <c r="K104" s="11" t="s">
        <v>392</v>
      </c>
    </row>
    <row r="105">
      <c r="A105" s="11" t="s">
        <v>952</v>
      </c>
      <c r="B105" s="11" t="s">
        <v>388</v>
      </c>
      <c r="C105" s="11" t="s">
        <v>953</v>
      </c>
      <c r="D105" s="11" t="s">
        <v>954</v>
      </c>
      <c r="E105" s="11">
        <v>2018.0</v>
      </c>
      <c r="F105" s="11">
        <v>78.0</v>
      </c>
      <c r="G105" s="11" t="s">
        <v>188</v>
      </c>
      <c r="H105" s="11" t="s">
        <v>188</v>
      </c>
      <c r="I105" s="11" t="s">
        <v>955</v>
      </c>
      <c r="J105" s="11" t="s">
        <v>260</v>
      </c>
      <c r="K105" s="11" t="s">
        <v>392</v>
      </c>
    </row>
    <row r="106">
      <c r="A106" s="11" t="s">
        <v>952</v>
      </c>
      <c r="B106" s="11" t="s">
        <v>388</v>
      </c>
      <c r="C106" s="11" t="s">
        <v>953</v>
      </c>
      <c r="D106" s="11" t="s">
        <v>954</v>
      </c>
      <c r="E106" s="11">
        <v>2019.0</v>
      </c>
      <c r="F106" s="11">
        <v>80.0</v>
      </c>
      <c r="G106" s="11" t="s">
        <v>188</v>
      </c>
      <c r="H106" s="11" t="s">
        <v>188</v>
      </c>
      <c r="I106" s="11" t="s">
        <v>955</v>
      </c>
      <c r="J106" s="11" t="s">
        <v>260</v>
      </c>
      <c r="K106" s="11" t="s">
        <v>392</v>
      </c>
    </row>
    <row r="107">
      <c r="A107" s="11" t="s">
        <v>952</v>
      </c>
      <c r="B107" s="11" t="s">
        <v>388</v>
      </c>
      <c r="C107" s="11" t="s">
        <v>953</v>
      </c>
      <c r="D107" s="11" t="s">
        <v>954</v>
      </c>
      <c r="E107" s="11">
        <v>2019.0</v>
      </c>
      <c r="F107" s="11">
        <v>81.0</v>
      </c>
      <c r="G107" s="11" t="s">
        <v>188</v>
      </c>
      <c r="H107" s="11" t="s">
        <v>188</v>
      </c>
      <c r="I107" s="11" t="s">
        <v>955</v>
      </c>
      <c r="J107" s="11" t="s">
        <v>260</v>
      </c>
      <c r="K107" s="11" t="s">
        <v>392</v>
      </c>
    </row>
    <row r="108">
      <c r="A108" s="11" t="s">
        <v>952</v>
      </c>
      <c r="B108" s="11" t="s">
        <v>388</v>
      </c>
      <c r="C108" s="11" t="s">
        <v>953</v>
      </c>
      <c r="D108" s="11" t="s">
        <v>954</v>
      </c>
      <c r="E108" s="11">
        <v>2020.0</v>
      </c>
      <c r="F108" s="11">
        <v>83.0</v>
      </c>
      <c r="G108" s="11" t="s">
        <v>188</v>
      </c>
      <c r="H108" s="11" t="s">
        <v>188</v>
      </c>
      <c r="I108" s="11" t="s">
        <v>955</v>
      </c>
      <c r="J108" s="11" t="s">
        <v>260</v>
      </c>
      <c r="K108" s="11" t="s">
        <v>392</v>
      </c>
    </row>
    <row r="109">
      <c r="A109" s="11" t="s">
        <v>952</v>
      </c>
      <c r="B109" s="11" t="s">
        <v>388</v>
      </c>
      <c r="C109" s="11" t="s">
        <v>953</v>
      </c>
      <c r="D109" s="11" t="s">
        <v>954</v>
      </c>
      <c r="E109" s="11">
        <v>2021.0</v>
      </c>
      <c r="F109" s="11">
        <v>83.0</v>
      </c>
      <c r="G109" s="11" t="s">
        <v>188</v>
      </c>
      <c r="H109" s="11" t="s">
        <v>188</v>
      </c>
      <c r="I109" s="11" t="s">
        <v>955</v>
      </c>
      <c r="J109" s="11" t="s">
        <v>260</v>
      </c>
      <c r="K109" s="11" t="s">
        <v>392</v>
      </c>
    </row>
    <row r="110">
      <c r="A110" s="11" t="s">
        <v>952</v>
      </c>
      <c r="B110" s="11" t="s">
        <v>388</v>
      </c>
      <c r="C110" s="11" t="s">
        <v>953</v>
      </c>
      <c r="D110" s="11" t="s">
        <v>954</v>
      </c>
      <c r="E110" s="11">
        <v>2022.0</v>
      </c>
      <c r="F110" s="11">
        <v>84.0</v>
      </c>
      <c r="G110" s="11" t="s">
        <v>188</v>
      </c>
      <c r="H110" s="11" t="s">
        <v>188</v>
      </c>
      <c r="I110" s="11" t="s">
        <v>955</v>
      </c>
      <c r="J110" s="11" t="s">
        <v>260</v>
      </c>
      <c r="K110" s="11" t="s">
        <v>392</v>
      </c>
    </row>
    <row r="111">
      <c r="A111" s="11" t="s">
        <v>952</v>
      </c>
      <c r="B111" s="11" t="s">
        <v>388</v>
      </c>
      <c r="C111" s="11" t="s">
        <v>953</v>
      </c>
      <c r="D111" s="11" t="s">
        <v>954</v>
      </c>
      <c r="E111" s="11">
        <v>2022.0</v>
      </c>
      <c r="F111" s="11">
        <v>84.0</v>
      </c>
      <c r="G111" s="11" t="s">
        <v>188</v>
      </c>
      <c r="H111" s="11" t="s">
        <v>188</v>
      </c>
      <c r="I111" s="11" t="s">
        <v>955</v>
      </c>
      <c r="J111" s="11" t="s">
        <v>260</v>
      </c>
      <c r="K111" s="11" t="s">
        <v>392</v>
      </c>
    </row>
    <row r="112">
      <c r="A112" s="11" t="s">
        <v>952</v>
      </c>
      <c r="B112" s="11" t="s">
        <v>388</v>
      </c>
      <c r="C112" s="11" t="s">
        <v>980</v>
      </c>
      <c r="D112" s="11" t="s">
        <v>981</v>
      </c>
      <c r="E112" s="11">
        <v>1960.0</v>
      </c>
      <c r="F112" s="11">
        <v>1.0</v>
      </c>
      <c r="G112" s="11" t="s">
        <v>188</v>
      </c>
      <c r="H112" s="11" t="s">
        <v>188</v>
      </c>
      <c r="I112" s="11" t="s">
        <v>955</v>
      </c>
      <c r="J112" s="11" t="s">
        <v>260</v>
      </c>
      <c r="K112" s="11" t="s">
        <v>392</v>
      </c>
      <c r="L112" s="11" t="s">
        <v>983</v>
      </c>
    </row>
    <row r="113">
      <c r="A113" s="11" t="s">
        <v>952</v>
      </c>
      <c r="B113" s="11" t="s">
        <v>388</v>
      </c>
      <c r="C113" s="11" t="s">
        <v>980</v>
      </c>
      <c r="D113" s="11" t="s">
        <v>981</v>
      </c>
      <c r="E113" s="11">
        <v>1961.0</v>
      </c>
      <c r="F113" s="11">
        <v>1.0</v>
      </c>
      <c r="G113" s="11" t="s">
        <v>188</v>
      </c>
      <c r="H113" s="11" t="s">
        <v>188</v>
      </c>
      <c r="I113" s="11" t="s">
        <v>955</v>
      </c>
      <c r="J113" s="11" t="s">
        <v>260</v>
      </c>
      <c r="K113" s="11" t="s">
        <v>392</v>
      </c>
    </row>
    <row r="114">
      <c r="A114" s="11" t="s">
        <v>952</v>
      </c>
      <c r="B114" s="11" t="s">
        <v>388</v>
      </c>
      <c r="C114" s="11" t="s">
        <v>980</v>
      </c>
      <c r="D114" s="11" t="s">
        <v>981</v>
      </c>
      <c r="E114" s="11">
        <v>1962.0</v>
      </c>
      <c r="F114" s="11">
        <v>1.0</v>
      </c>
      <c r="G114" s="11" t="s">
        <v>188</v>
      </c>
      <c r="H114" s="11" t="s">
        <v>188</v>
      </c>
      <c r="I114" s="11" t="s">
        <v>955</v>
      </c>
      <c r="J114" s="11" t="s">
        <v>260</v>
      </c>
      <c r="K114" s="11" t="s">
        <v>392</v>
      </c>
    </row>
    <row r="115">
      <c r="A115" s="11" t="s">
        <v>952</v>
      </c>
      <c r="B115" s="11" t="s">
        <v>388</v>
      </c>
      <c r="C115" s="11" t="s">
        <v>980</v>
      </c>
      <c r="D115" s="11" t="s">
        <v>981</v>
      </c>
      <c r="E115" s="11">
        <v>1963.0</v>
      </c>
      <c r="F115" s="11">
        <v>1.0</v>
      </c>
      <c r="G115" s="11" t="s">
        <v>188</v>
      </c>
      <c r="H115" s="11" t="s">
        <v>188</v>
      </c>
      <c r="I115" s="11" t="s">
        <v>955</v>
      </c>
      <c r="J115" s="11" t="s">
        <v>260</v>
      </c>
      <c r="K115" s="11" t="s">
        <v>392</v>
      </c>
    </row>
    <row r="116">
      <c r="A116" s="11" t="s">
        <v>952</v>
      </c>
      <c r="B116" s="11" t="s">
        <v>388</v>
      </c>
      <c r="C116" s="11" t="s">
        <v>980</v>
      </c>
      <c r="D116" s="11" t="s">
        <v>981</v>
      </c>
      <c r="E116" s="11">
        <v>1964.0</v>
      </c>
      <c r="F116" s="11">
        <v>1.0</v>
      </c>
      <c r="G116" s="11" t="s">
        <v>188</v>
      </c>
      <c r="H116" s="11" t="s">
        <v>188</v>
      </c>
      <c r="I116" s="11" t="s">
        <v>955</v>
      </c>
      <c r="J116" s="11" t="s">
        <v>260</v>
      </c>
      <c r="K116" s="11" t="s">
        <v>392</v>
      </c>
    </row>
    <row r="117">
      <c r="A117" s="11" t="s">
        <v>952</v>
      </c>
      <c r="B117" s="11" t="s">
        <v>388</v>
      </c>
      <c r="C117" s="11" t="s">
        <v>980</v>
      </c>
      <c r="D117" s="11" t="s">
        <v>981</v>
      </c>
      <c r="E117" s="11">
        <v>1965.0</v>
      </c>
      <c r="F117" s="11">
        <v>1.0</v>
      </c>
      <c r="G117" s="11" t="s">
        <v>188</v>
      </c>
      <c r="H117" s="11" t="s">
        <v>188</v>
      </c>
      <c r="I117" s="11" t="s">
        <v>955</v>
      </c>
      <c r="J117" s="11" t="s">
        <v>260</v>
      </c>
      <c r="K117" s="11" t="s">
        <v>392</v>
      </c>
    </row>
    <row r="118">
      <c r="A118" s="11" t="s">
        <v>952</v>
      </c>
      <c r="B118" s="11" t="s">
        <v>388</v>
      </c>
      <c r="C118" s="11" t="s">
        <v>980</v>
      </c>
      <c r="D118" s="11" t="s">
        <v>981</v>
      </c>
      <c r="E118" s="11">
        <v>1966.0</v>
      </c>
      <c r="F118" s="11">
        <v>1.0</v>
      </c>
      <c r="G118" s="11" t="s">
        <v>188</v>
      </c>
      <c r="H118" s="11" t="s">
        <v>188</v>
      </c>
      <c r="I118" s="11" t="s">
        <v>955</v>
      </c>
      <c r="J118" s="11" t="s">
        <v>260</v>
      </c>
      <c r="K118" s="11" t="s">
        <v>392</v>
      </c>
    </row>
    <row r="119">
      <c r="A119" s="11" t="s">
        <v>952</v>
      </c>
      <c r="B119" s="11" t="s">
        <v>388</v>
      </c>
      <c r="C119" s="11" t="s">
        <v>980</v>
      </c>
      <c r="D119" s="11" t="s">
        <v>981</v>
      </c>
      <c r="E119" s="11">
        <v>1967.0</v>
      </c>
      <c r="F119" s="11">
        <v>2.0</v>
      </c>
      <c r="G119" s="11" t="s">
        <v>188</v>
      </c>
      <c r="H119" s="11" t="s">
        <v>188</v>
      </c>
      <c r="I119" s="11" t="s">
        <v>955</v>
      </c>
      <c r="J119" s="11" t="s">
        <v>260</v>
      </c>
      <c r="K119" s="11" t="s">
        <v>392</v>
      </c>
    </row>
    <row r="120">
      <c r="A120" s="11" t="s">
        <v>952</v>
      </c>
      <c r="B120" s="11" t="s">
        <v>388</v>
      </c>
      <c r="C120" s="11" t="s">
        <v>980</v>
      </c>
      <c r="D120" s="11" t="s">
        <v>981</v>
      </c>
      <c r="E120" s="11">
        <v>1968.0</v>
      </c>
      <c r="F120" s="11">
        <v>2.0</v>
      </c>
      <c r="G120" s="11" t="s">
        <v>188</v>
      </c>
      <c r="H120" s="11" t="s">
        <v>188</v>
      </c>
      <c r="I120" s="11" t="s">
        <v>955</v>
      </c>
      <c r="J120" s="11" t="s">
        <v>260</v>
      </c>
      <c r="K120" s="11" t="s">
        <v>392</v>
      </c>
    </row>
    <row r="121">
      <c r="A121" s="11" t="s">
        <v>952</v>
      </c>
      <c r="B121" s="11" t="s">
        <v>388</v>
      </c>
      <c r="C121" s="11" t="s">
        <v>980</v>
      </c>
      <c r="D121" s="11" t="s">
        <v>981</v>
      </c>
      <c r="E121" s="11">
        <v>1969.0</v>
      </c>
      <c r="F121" s="11">
        <v>2.0</v>
      </c>
      <c r="G121" s="11" t="s">
        <v>188</v>
      </c>
      <c r="H121" s="11" t="s">
        <v>188</v>
      </c>
      <c r="I121" s="11" t="s">
        <v>955</v>
      </c>
      <c r="J121" s="11" t="s">
        <v>260</v>
      </c>
      <c r="K121" s="11" t="s">
        <v>392</v>
      </c>
    </row>
    <row r="122">
      <c r="A122" s="11" t="s">
        <v>952</v>
      </c>
      <c r="B122" s="11" t="s">
        <v>388</v>
      </c>
      <c r="C122" s="11" t="s">
        <v>980</v>
      </c>
      <c r="D122" s="11" t="s">
        <v>981</v>
      </c>
      <c r="E122" s="11">
        <v>1970.0</v>
      </c>
      <c r="F122" s="11">
        <v>2.0</v>
      </c>
      <c r="G122" s="11" t="s">
        <v>188</v>
      </c>
      <c r="H122" s="11" t="s">
        <v>188</v>
      </c>
      <c r="I122" s="11" t="s">
        <v>955</v>
      </c>
      <c r="J122" s="11" t="s">
        <v>260</v>
      </c>
      <c r="K122" s="11" t="s">
        <v>392</v>
      </c>
    </row>
    <row r="123">
      <c r="A123" s="11" t="s">
        <v>952</v>
      </c>
      <c r="B123" s="11" t="s">
        <v>388</v>
      </c>
      <c r="C123" s="11" t="s">
        <v>980</v>
      </c>
      <c r="D123" s="11" t="s">
        <v>981</v>
      </c>
      <c r="E123" s="11">
        <v>1971.0</v>
      </c>
      <c r="F123" s="11">
        <v>3.0</v>
      </c>
      <c r="G123" s="11" t="s">
        <v>188</v>
      </c>
      <c r="H123" s="11" t="s">
        <v>188</v>
      </c>
      <c r="I123" s="11" t="s">
        <v>955</v>
      </c>
      <c r="J123" s="11" t="s">
        <v>260</v>
      </c>
      <c r="K123" s="11" t="s">
        <v>392</v>
      </c>
    </row>
    <row r="124">
      <c r="A124" s="11" t="s">
        <v>952</v>
      </c>
      <c r="B124" s="11" t="s">
        <v>388</v>
      </c>
      <c r="C124" s="11" t="s">
        <v>980</v>
      </c>
      <c r="D124" s="11" t="s">
        <v>981</v>
      </c>
      <c r="E124" s="11">
        <v>1972.0</v>
      </c>
      <c r="F124" s="11">
        <v>3.0</v>
      </c>
      <c r="G124" s="11" t="s">
        <v>188</v>
      </c>
      <c r="H124" s="11" t="s">
        <v>188</v>
      </c>
      <c r="I124" s="11" t="s">
        <v>955</v>
      </c>
      <c r="J124" s="11" t="s">
        <v>260</v>
      </c>
      <c r="K124" s="11" t="s">
        <v>392</v>
      </c>
    </row>
    <row r="125">
      <c r="A125" s="11" t="s">
        <v>952</v>
      </c>
      <c r="B125" s="11" t="s">
        <v>388</v>
      </c>
      <c r="C125" s="11" t="s">
        <v>980</v>
      </c>
      <c r="D125" s="11" t="s">
        <v>981</v>
      </c>
      <c r="E125" s="11">
        <v>1973.0</v>
      </c>
      <c r="F125" s="11">
        <v>3.0</v>
      </c>
      <c r="G125" s="11" t="s">
        <v>188</v>
      </c>
      <c r="H125" s="11" t="s">
        <v>188</v>
      </c>
      <c r="I125" s="11" t="s">
        <v>955</v>
      </c>
      <c r="J125" s="11" t="s">
        <v>260</v>
      </c>
      <c r="K125" s="11" t="s">
        <v>392</v>
      </c>
    </row>
    <row r="126">
      <c r="A126" s="11" t="s">
        <v>952</v>
      </c>
      <c r="B126" s="11" t="s">
        <v>388</v>
      </c>
      <c r="C126" s="11" t="s">
        <v>980</v>
      </c>
      <c r="D126" s="11" t="s">
        <v>981</v>
      </c>
      <c r="E126" s="11">
        <v>1974.0</v>
      </c>
      <c r="F126" s="11">
        <v>4.0</v>
      </c>
      <c r="G126" s="11" t="s">
        <v>188</v>
      </c>
      <c r="H126" s="11" t="s">
        <v>188</v>
      </c>
      <c r="I126" s="11" t="s">
        <v>955</v>
      </c>
      <c r="J126" s="11" t="s">
        <v>260</v>
      </c>
      <c r="K126" s="11" t="s">
        <v>392</v>
      </c>
    </row>
    <row r="127">
      <c r="A127" s="11" t="s">
        <v>952</v>
      </c>
      <c r="B127" s="11" t="s">
        <v>388</v>
      </c>
      <c r="C127" s="11" t="s">
        <v>980</v>
      </c>
      <c r="D127" s="11" t="s">
        <v>981</v>
      </c>
      <c r="E127" s="11">
        <v>1975.0</v>
      </c>
      <c r="F127" s="11">
        <v>1.0</v>
      </c>
      <c r="G127" s="11" t="s">
        <v>188</v>
      </c>
      <c r="H127" s="11" t="s">
        <v>188</v>
      </c>
      <c r="I127" s="11" t="s">
        <v>955</v>
      </c>
      <c r="J127" s="11" t="s">
        <v>260</v>
      </c>
      <c r="K127" s="11" t="s">
        <v>392</v>
      </c>
    </row>
    <row r="128">
      <c r="A128" s="11" t="s">
        <v>952</v>
      </c>
      <c r="B128" s="11" t="s">
        <v>388</v>
      </c>
      <c r="C128" s="11" t="s">
        <v>980</v>
      </c>
      <c r="D128" s="11" t="s">
        <v>981</v>
      </c>
      <c r="E128" s="11">
        <v>1976.0</v>
      </c>
      <c r="F128" s="11">
        <v>3.0</v>
      </c>
      <c r="G128" s="11" t="s">
        <v>188</v>
      </c>
      <c r="H128" s="11" t="s">
        <v>188</v>
      </c>
      <c r="I128" s="11" t="s">
        <v>955</v>
      </c>
      <c r="J128" s="11" t="s">
        <v>260</v>
      </c>
      <c r="K128" s="11" t="s">
        <v>392</v>
      </c>
    </row>
    <row r="129">
      <c r="A129" s="11" t="s">
        <v>952</v>
      </c>
      <c r="B129" s="11" t="s">
        <v>388</v>
      </c>
      <c r="C129" s="11" t="s">
        <v>980</v>
      </c>
      <c r="D129" s="11" t="s">
        <v>981</v>
      </c>
      <c r="E129" s="11">
        <v>1978.0</v>
      </c>
      <c r="F129" s="11">
        <v>3.0</v>
      </c>
      <c r="G129" s="11" t="s">
        <v>188</v>
      </c>
      <c r="H129" s="11" t="s">
        <v>188</v>
      </c>
      <c r="I129" s="11" t="s">
        <v>955</v>
      </c>
      <c r="J129" s="11" t="s">
        <v>260</v>
      </c>
      <c r="K129" s="11" t="s">
        <v>392</v>
      </c>
    </row>
    <row r="130">
      <c r="A130" s="11" t="s">
        <v>952</v>
      </c>
      <c r="B130" s="11" t="s">
        <v>388</v>
      </c>
      <c r="C130" s="11" t="s">
        <v>980</v>
      </c>
      <c r="D130" s="11" t="s">
        <v>981</v>
      </c>
      <c r="E130" s="11">
        <v>1977.0</v>
      </c>
      <c r="F130" s="11">
        <v>5.0</v>
      </c>
      <c r="G130" s="11" t="s">
        <v>188</v>
      </c>
      <c r="H130" s="11" t="s">
        <v>188</v>
      </c>
      <c r="I130" s="11" t="s">
        <v>955</v>
      </c>
      <c r="J130" s="11" t="s">
        <v>260</v>
      </c>
      <c r="K130" s="11" t="s">
        <v>392</v>
      </c>
    </row>
    <row r="131">
      <c r="A131" s="11" t="s">
        <v>952</v>
      </c>
      <c r="B131" s="11" t="s">
        <v>388</v>
      </c>
      <c r="C131" s="11" t="s">
        <v>980</v>
      </c>
      <c r="D131" s="11" t="s">
        <v>981</v>
      </c>
      <c r="E131" s="11">
        <v>1979.0</v>
      </c>
      <c r="F131" s="11">
        <v>5.0</v>
      </c>
      <c r="G131" s="11" t="s">
        <v>188</v>
      </c>
      <c r="H131" s="11" t="s">
        <v>188</v>
      </c>
      <c r="I131" s="11" t="s">
        <v>955</v>
      </c>
      <c r="J131" s="11" t="s">
        <v>260</v>
      </c>
      <c r="K131" s="11" t="s">
        <v>392</v>
      </c>
    </row>
    <row r="132">
      <c r="A132" s="11" t="s">
        <v>952</v>
      </c>
      <c r="B132" s="11" t="s">
        <v>388</v>
      </c>
      <c r="C132" s="11" t="s">
        <v>980</v>
      </c>
      <c r="D132" s="11" t="s">
        <v>981</v>
      </c>
      <c r="E132" s="11">
        <v>1980.0</v>
      </c>
      <c r="F132" s="11">
        <v>4.0</v>
      </c>
      <c r="G132" s="11" t="s">
        <v>188</v>
      </c>
      <c r="H132" s="11" t="s">
        <v>188</v>
      </c>
      <c r="I132" s="11" t="s">
        <v>955</v>
      </c>
      <c r="J132" s="11" t="s">
        <v>260</v>
      </c>
      <c r="K132" s="11" t="s">
        <v>392</v>
      </c>
    </row>
    <row r="133">
      <c r="A133" s="11" t="s">
        <v>952</v>
      </c>
      <c r="B133" s="11" t="s">
        <v>388</v>
      </c>
      <c r="C133" s="11" t="s">
        <v>980</v>
      </c>
      <c r="D133" s="11" t="s">
        <v>981</v>
      </c>
      <c r="E133" s="11">
        <v>1983.0</v>
      </c>
      <c r="F133" s="11">
        <v>3.0</v>
      </c>
      <c r="G133" s="11" t="s">
        <v>188</v>
      </c>
      <c r="H133" s="11" t="s">
        <v>188</v>
      </c>
      <c r="I133" s="11" t="s">
        <v>955</v>
      </c>
      <c r="J133" s="11" t="s">
        <v>260</v>
      </c>
      <c r="K133" s="11" t="s">
        <v>392</v>
      </c>
    </row>
    <row r="134">
      <c r="A134" s="11" t="s">
        <v>952</v>
      </c>
      <c r="B134" s="11" t="s">
        <v>388</v>
      </c>
      <c r="C134" s="11" t="s">
        <v>980</v>
      </c>
      <c r="D134" s="11" t="s">
        <v>981</v>
      </c>
      <c r="E134" s="11">
        <v>1981.0</v>
      </c>
      <c r="F134" s="11">
        <v>6.0</v>
      </c>
      <c r="G134" s="11" t="s">
        <v>188</v>
      </c>
      <c r="H134" s="11" t="s">
        <v>188</v>
      </c>
      <c r="I134" s="11" t="s">
        <v>955</v>
      </c>
      <c r="J134" s="11" t="s">
        <v>260</v>
      </c>
      <c r="K134" s="11" t="s">
        <v>392</v>
      </c>
    </row>
    <row r="135">
      <c r="A135" s="11" t="s">
        <v>952</v>
      </c>
      <c r="B135" s="11" t="s">
        <v>388</v>
      </c>
      <c r="C135" s="11" t="s">
        <v>980</v>
      </c>
      <c r="D135" s="11" t="s">
        <v>981</v>
      </c>
      <c r="E135" s="11">
        <v>1982.0</v>
      </c>
      <c r="F135" s="11">
        <v>6.0</v>
      </c>
      <c r="G135" s="11" t="s">
        <v>188</v>
      </c>
      <c r="H135" s="11" t="s">
        <v>188</v>
      </c>
      <c r="I135" s="11" t="s">
        <v>955</v>
      </c>
      <c r="J135" s="11" t="s">
        <v>260</v>
      </c>
      <c r="K135" s="11" t="s">
        <v>392</v>
      </c>
    </row>
    <row r="136">
      <c r="A136" s="11" t="s">
        <v>952</v>
      </c>
      <c r="B136" s="11" t="s">
        <v>388</v>
      </c>
      <c r="C136" s="11" t="s">
        <v>980</v>
      </c>
      <c r="D136" s="11" t="s">
        <v>981</v>
      </c>
      <c r="E136" s="11">
        <v>1984.0</v>
      </c>
      <c r="F136" s="11">
        <v>7.0</v>
      </c>
      <c r="G136" s="11" t="s">
        <v>188</v>
      </c>
      <c r="H136" s="11" t="s">
        <v>188</v>
      </c>
      <c r="I136" s="11" t="s">
        <v>955</v>
      </c>
      <c r="J136" s="11" t="s">
        <v>260</v>
      </c>
      <c r="K136" s="11" t="s">
        <v>392</v>
      </c>
    </row>
    <row r="137">
      <c r="A137" s="11" t="s">
        <v>952</v>
      </c>
      <c r="B137" s="11" t="s">
        <v>388</v>
      </c>
      <c r="C137" s="11" t="s">
        <v>980</v>
      </c>
      <c r="D137" s="11" t="s">
        <v>981</v>
      </c>
      <c r="E137" s="11">
        <v>1985.0</v>
      </c>
      <c r="F137" s="11">
        <v>7.0</v>
      </c>
      <c r="G137" s="11" t="s">
        <v>188</v>
      </c>
      <c r="H137" s="11" t="s">
        <v>188</v>
      </c>
      <c r="I137" s="11" t="s">
        <v>955</v>
      </c>
      <c r="J137" s="11" t="s">
        <v>260</v>
      </c>
      <c r="K137" s="11" t="s">
        <v>392</v>
      </c>
    </row>
    <row r="138">
      <c r="A138" s="11" t="s">
        <v>952</v>
      </c>
      <c r="B138" s="11" t="s">
        <v>388</v>
      </c>
      <c r="C138" s="11" t="s">
        <v>980</v>
      </c>
      <c r="D138" s="11" t="s">
        <v>981</v>
      </c>
      <c r="E138" s="11">
        <v>1986.0</v>
      </c>
      <c r="F138" s="11">
        <v>7.0</v>
      </c>
      <c r="G138" s="11" t="s">
        <v>188</v>
      </c>
      <c r="H138" s="11" t="s">
        <v>188</v>
      </c>
      <c r="I138" s="11" t="s">
        <v>955</v>
      </c>
      <c r="J138" s="11" t="s">
        <v>260</v>
      </c>
      <c r="K138" s="11" t="s">
        <v>392</v>
      </c>
    </row>
    <row r="139">
      <c r="A139" s="11" t="s">
        <v>952</v>
      </c>
      <c r="B139" s="11" t="s">
        <v>388</v>
      </c>
      <c r="C139" s="11" t="s">
        <v>980</v>
      </c>
      <c r="D139" s="11" t="s">
        <v>981</v>
      </c>
      <c r="E139" s="11">
        <v>1987.0</v>
      </c>
      <c r="F139" s="11">
        <v>8.0</v>
      </c>
      <c r="G139" s="11" t="s">
        <v>188</v>
      </c>
      <c r="H139" s="11" t="s">
        <v>188</v>
      </c>
      <c r="I139" s="11" t="s">
        <v>955</v>
      </c>
      <c r="J139" s="11" t="s">
        <v>260</v>
      </c>
      <c r="K139" s="11" t="s">
        <v>392</v>
      </c>
    </row>
    <row r="140">
      <c r="A140" s="11" t="s">
        <v>952</v>
      </c>
      <c r="B140" s="11" t="s">
        <v>388</v>
      </c>
      <c r="C140" s="11" t="s">
        <v>980</v>
      </c>
      <c r="D140" s="11" t="s">
        <v>981</v>
      </c>
      <c r="E140" s="11">
        <v>1988.0</v>
      </c>
      <c r="F140" s="11">
        <v>8.0</v>
      </c>
      <c r="G140" s="11" t="s">
        <v>188</v>
      </c>
      <c r="H140" s="11" t="s">
        <v>188</v>
      </c>
      <c r="I140" s="11" t="s">
        <v>955</v>
      </c>
      <c r="J140" s="11" t="s">
        <v>260</v>
      </c>
      <c r="K140" s="11" t="s">
        <v>392</v>
      </c>
    </row>
    <row r="141">
      <c r="A141" s="11" t="s">
        <v>952</v>
      </c>
      <c r="B141" s="11" t="s">
        <v>388</v>
      </c>
      <c r="C141" s="11" t="s">
        <v>980</v>
      </c>
      <c r="D141" s="11" t="s">
        <v>981</v>
      </c>
      <c r="E141" s="11">
        <v>1989.0</v>
      </c>
      <c r="F141" s="11">
        <v>8.0</v>
      </c>
      <c r="G141" s="11" t="s">
        <v>188</v>
      </c>
      <c r="H141" s="11" t="s">
        <v>188</v>
      </c>
      <c r="I141" s="11" t="s">
        <v>955</v>
      </c>
      <c r="J141" s="11" t="s">
        <v>260</v>
      </c>
      <c r="K141" s="11" t="s">
        <v>392</v>
      </c>
    </row>
    <row r="142">
      <c r="A142" s="11" t="s">
        <v>952</v>
      </c>
      <c r="B142" s="11" t="s">
        <v>388</v>
      </c>
      <c r="C142" s="11" t="s">
        <v>980</v>
      </c>
      <c r="D142" s="11" t="s">
        <v>981</v>
      </c>
      <c r="E142" s="11">
        <v>1990.0</v>
      </c>
      <c r="F142" s="11">
        <v>8.0</v>
      </c>
      <c r="G142" s="11" t="s">
        <v>188</v>
      </c>
      <c r="H142" s="11" t="s">
        <v>188</v>
      </c>
      <c r="I142" s="11" t="s">
        <v>955</v>
      </c>
      <c r="J142" s="11" t="s">
        <v>260</v>
      </c>
      <c r="K142" s="11" t="s">
        <v>392</v>
      </c>
    </row>
    <row r="143">
      <c r="A143" s="11" t="s">
        <v>952</v>
      </c>
      <c r="B143" s="11" t="s">
        <v>388</v>
      </c>
      <c r="C143" s="11" t="s">
        <v>980</v>
      </c>
      <c r="D143" s="11" t="s">
        <v>981</v>
      </c>
      <c r="E143" s="11">
        <v>1991.0</v>
      </c>
      <c r="F143" s="11">
        <v>8.0</v>
      </c>
      <c r="G143" s="11" t="s">
        <v>188</v>
      </c>
      <c r="H143" s="11" t="s">
        <v>188</v>
      </c>
      <c r="I143" s="11" t="s">
        <v>955</v>
      </c>
      <c r="J143" s="11" t="s">
        <v>260</v>
      </c>
      <c r="K143" s="11" t="s">
        <v>392</v>
      </c>
    </row>
    <row r="144">
      <c r="A144" s="11" t="s">
        <v>952</v>
      </c>
      <c r="B144" s="11" t="s">
        <v>388</v>
      </c>
      <c r="C144" s="11" t="s">
        <v>980</v>
      </c>
      <c r="D144" s="11" t="s">
        <v>981</v>
      </c>
      <c r="E144" s="11">
        <v>1992.0</v>
      </c>
      <c r="F144" s="11">
        <v>9.0</v>
      </c>
      <c r="G144" s="11" t="s">
        <v>188</v>
      </c>
      <c r="H144" s="11" t="s">
        <v>188</v>
      </c>
      <c r="I144" s="11" t="s">
        <v>955</v>
      </c>
      <c r="J144" s="11" t="s">
        <v>260</v>
      </c>
      <c r="K144" s="11" t="s">
        <v>392</v>
      </c>
    </row>
    <row r="145">
      <c r="A145" s="11" t="s">
        <v>952</v>
      </c>
      <c r="B145" s="11" t="s">
        <v>388</v>
      </c>
      <c r="C145" s="11" t="s">
        <v>980</v>
      </c>
      <c r="D145" s="11" t="s">
        <v>981</v>
      </c>
      <c r="E145" s="11">
        <v>1993.0</v>
      </c>
      <c r="F145" s="11">
        <v>7.0</v>
      </c>
      <c r="G145" s="11" t="s">
        <v>188</v>
      </c>
      <c r="H145" s="11" t="s">
        <v>188</v>
      </c>
      <c r="I145" s="11" t="s">
        <v>955</v>
      </c>
      <c r="J145" s="11" t="s">
        <v>260</v>
      </c>
      <c r="K145" s="11" t="s">
        <v>392</v>
      </c>
    </row>
    <row r="146">
      <c r="A146" s="11" t="s">
        <v>952</v>
      </c>
      <c r="B146" s="11" t="s">
        <v>388</v>
      </c>
      <c r="C146" s="11" t="s">
        <v>980</v>
      </c>
      <c r="D146" s="11" t="s">
        <v>981</v>
      </c>
      <c r="E146" s="11">
        <v>1994.0</v>
      </c>
      <c r="F146" s="11">
        <v>10.0</v>
      </c>
      <c r="G146" s="11" t="s">
        <v>188</v>
      </c>
      <c r="H146" s="11" t="s">
        <v>188</v>
      </c>
      <c r="I146" s="11" t="s">
        <v>955</v>
      </c>
      <c r="J146" s="11" t="s">
        <v>260</v>
      </c>
      <c r="K146" s="11" t="s">
        <v>392</v>
      </c>
    </row>
    <row r="147">
      <c r="A147" s="11" t="s">
        <v>952</v>
      </c>
      <c r="B147" s="11" t="s">
        <v>388</v>
      </c>
      <c r="C147" s="11" t="s">
        <v>980</v>
      </c>
      <c r="D147" s="11" t="s">
        <v>981</v>
      </c>
      <c r="E147" s="11">
        <v>1997.0</v>
      </c>
      <c r="F147" s="11">
        <v>8.0</v>
      </c>
      <c r="G147" s="11" t="s">
        <v>188</v>
      </c>
      <c r="H147" s="11" t="s">
        <v>188</v>
      </c>
      <c r="I147" s="11" t="s">
        <v>955</v>
      </c>
      <c r="J147" s="11" t="s">
        <v>260</v>
      </c>
      <c r="K147" s="11" t="s">
        <v>392</v>
      </c>
    </row>
    <row r="148">
      <c r="A148" s="11" t="s">
        <v>952</v>
      </c>
      <c r="B148" s="11" t="s">
        <v>388</v>
      </c>
      <c r="C148" s="11" t="s">
        <v>980</v>
      </c>
      <c r="D148" s="11" t="s">
        <v>981</v>
      </c>
      <c r="E148" s="11">
        <v>1996.0</v>
      </c>
      <c r="F148" s="11">
        <v>11.0</v>
      </c>
      <c r="G148" s="11" t="s">
        <v>188</v>
      </c>
      <c r="H148" s="11" t="s">
        <v>188</v>
      </c>
      <c r="I148" s="11" t="s">
        <v>955</v>
      </c>
      <c r="J148" s="11" t="s">
        <v>260</v>
      </c>
      <c r="K148" s="11" t="s">
        <v>392</v>
      </c>
    </row>
    <row r="149">
      <c r="A149" s="11" t="s">
        <v>952</v>
      </c>
      <c r="B149" s="11" t="s">
        <v>388</v>
      </c>
      <c r="C149" s="11" t="s">
        <v>980</v>
      </c>
      <c r="D149" s="11" t="s">
        <v>981</v>
      </c>
      <c r="E149" s="11">
        <v>1998.0</v>
      </c>
      <c r="F149" s="11">
        <v>8.0</v>
      </c>
      <c r="G149" s="11" t="s">
        <v>188</v>
      </c>
      <c r="H149" s="11" t="s">
        <v>188</v>
      </c>
      <c r="I149" s="11" t="s">
        <v>955</v>
      </c>
      <c r="J149" s="11" t="s">
        <v>260</v>
      </c>
      <c r="K149" s="11" t="s">
        <v>392</v>
      </c>
    </row>
    <row r="150">
      <c r="A150" s="11" t="s">
        <v>952</v>
      </c>
      <c r="B150" s="11" t="s">
        <v>388</v>
      </c>
      <c r="C150" s="11" t="s">
        <v>980</v>
      </c>
      <c r="D150" s="11" t="s">
        <v>981</v>
      </c>
      <c r="E150" s="11">
        <v>1995.0</v>
      </c>
      <c r="F150" s="11">
        <v>2.0</v>
      </c>
      <c r="G150" s="11" t="s">
        <v>188</v>
      </c>
      <c r="H150" s="11" t="s">
        <v>188</v>
      </c>
      <c r="I150" s="11" t="s">
        <v>955</v>
      </c>
      <c r="J150" s="11" t="s">
        <v>260</v>
      </c>
      <c r="K150" s="11" t="s">
        <v>392</v>
      </c>
    </row>
    <row r="151">
      <c r="A151" s="11" t="s">
        <v>952</v>
      </c>
      <c r="B151" s="11" t="s">
        <v>388</v>
      </c>
      <c r="C151" s="11" t="s">
        <v>980</v>
      </c>
      <c r="D151" s="11" t="s">
        <v>981</v>
      </c>
      <c r="E151" s="11">
        <v>1999.0</v>
      </c>
      <c r="F151" s="11">
        <v>3.0</v>
      </c>
      <c r="G151" s="11" t="s">
        <v>188</v>
      </c>
      <c r="H151" s="11" t="s">
        <v>188</v>
      </c>
      <c r="I151" s="11" t="s">
        <v>955</v>
      </c>
      <c r="J151" s="11" t="s">
        <v>260</v>
      </c>
      <c r="K151" s="11" t="s">
        <v>392</v>
      </c>
    </row>
    <row r="152">
      <c r="A152" s="11" t="s">
        <v>952</v>
      </c>
      <c r="B152" s="11" t="s">
        <v>388</v>
      </c>
      <c r="C152" s="11" t="s">
        <v>980</v>
      </c>
      <c r="D152" s="11" t="s">
        <v>981</v>
      </c>
      <c r="E152" s="11">
        <v>2002.0</v>
      </c>
      <c r="F152" s="11">
        <v>6.0</v>
      </c>
      <c r="G152" s="11" t="s">
        <v>188</v>
      </c>
      <c r="H152" s="11" t="s">
        <v>188</v>
      </c>
      <c r="I152" s="11" t="s">
        <v>955</v>
      </c>
      <c r="J152" s="11" t="s">
        <v>260</v>
      </c>
      <c r="K152" s="11" t="s">
        <v>392</v>
      </c>
    </row>
    <row r="153">
      <c r="A153" s="11" t="s">
        <v>952</v>
      </c>
      <c r="B153" s="11" t="s">
        <v>388</v>
      </c>
      <c r="C153" s="11" t="s">
        <v>980</v>
      </c>
      <c r="D153" s="11" t="s">
        <v>981</v>
      </c>
      <c r="E153" s="11">
        <v>2000.0</v>
      </c>
      <c r="F153" s="11">
        <v>9.0</v>
      </c>
      <c r="G153" s="11" t="s">
        <v>188</v>
      </c>
      <c r="H153" s="11" t="s">
        <v>188</v>
      </c>
      <c r="I153" s="11" t="s">
        <v>955</v>
      </c>
      <c r="J153" s="11" t="s">
        <v>260</v>
      </c>
      <c r="K153" s="11" t="s">
        <v>392</v>
      </c>
    </row>
    <row r="154">
      <c r="A154" s="11" t="s">
        <v>952</v>
      </c>
      <c r="B154" s="11" t="s">
        <v>388</v>
      </c>
      <c r="C154" s="11" t="s">
        <v>980</v>
      </c>
      <c r="D154" s="11" t="s">
        <v>981</v>
      </c>
      <c r="E154" s="11">
        <v>2001.0</v>
      </c>
      <c r="F154" s="11">
        <v>9.0</v>
      </c>
      <c r="G154" s="11" t="s">
        <v>188</v>
      </c>
      <c r="H154" s="11" t="s">
        <v>188</v>
      </c>
      <c r="I154" s="11" t="s">
        <v>955</v>
      </c>
      <c r="J154" s="11" t="s">
        <v>260</v>
      </c>
      <c r="K154" s="11" t="s">
        <v>392</v>
      </c>
    </row>
    <row r="155">
      <c r="A155" s="11" t="s">
        <v>952</v>
      </c>
      <c r="B155" s="11" t="s">
        <v>388</v>
      </c>
      <c r="C155" s="11" t="s">
        <v>980</v>
      </c>
      <c r="D155" s="11" t="s">
        <v>981</v>
      </c>
      <c r="E155" s="11">
        <v>2003.0</v>
      </c>
      <c r="F155" s="11">
        <v>13.0</v>
      </c>
      <c r="G155" s="11" t="s">
        <v>188</v>
      </c>
      <c r="H155" s="11" t="s">
        <v>188</v>
      </c>
      <c r="I155" s="11" t="s">
        <v>955</v>
      </c>
      <c r="J155" s="11" t="s">
        <v>260</v>
      </c>
      <c r="K155" s="11" t="s">
        <v>392</v>
      </c>
    </row>
    <row r="156">
      <c r="A156" s="11" t="s">
        <v>952</v>
      </c>
      <c r="B156" s="11" t="s">
        <v>388</v>
      </c>
      <c r="C156" s="11" t="s">
        <v>980</v>
      </c>
      <c r="D156" s="11" t="s">
        <v>981</v>
      </c>
      <c r="E156" s="11">
        <v>2004.0</v>
      </c>
      <c r="F156" s="11">
        <v>13.0</v>
      </c>
      <c r="G156" s="11" t="s">
        <v>188</v>
      </c>
      <c r="H156" s="11" t="s">
        <v>188</v>
      </c>
      <c r="I156" s="11" t="s">
        <v>955</v>
      </c>
      <c r="J156" s="11" t="s">
        <v>260</v>
      </c>
      <c r="K156" s="11" t="s">
        <v>392</v>
      </c>
    </row>
    <row r="157">
      <c r="A157" s="11" t="s">
        <v>952</v>
      </c>
      <c r="B157" s="11" t="s">
        <v>388</v>
      </c>
      <c r="C157" s="11" t="s">
        <v>980</v>
      </c>
      <c r="D157" s="11" t="s">
        <v>981</v>
      </c>
      <c r="E157" s="11">
        <v>2005.0</v>
      </c>
      <c r="F157" s="11">
        <v>11.0</v>
      </c>
      <c r="G157" s="11" t="s">
        <v>188</v>
      </c>
      <c r="H157" s="11" t="s">
        <v>188</v>
      </c>
      <c r="I157" s="11" t="s">
        <v>955</v>
      </c>
      <c r="J157" s="11" t="s">
        <v>260</v>
      </c>
      <c r="K157" s="11" t="s">
        <v>392</v>
      </c>
    </row>
    <row r="158">
      <c r="A158" s="11" t="s">
        <v>952</v>
      </c>
      <c r="B158" s="11" t="s">
        <v>388</v>
      </c>
      <c r="C158" s="11" t="s">
        <v>980</v>
      </c>
      <c r="D158" s="11" t="s">
        <v>981</v>
      </c>
      <c r="E158" s="11">
        <v>2006.0</v>
      </c>
      <c r="F158" s="11">
        <v>6.0</v>
      </c>
      <c r="G158" s="11" t="s">
        <v>188</v>
      </c>
      <c r="H158" s="11" t="s">
        <v>188</v>
      </c>
      <c r="I158" s="11" t="s">
        <v>955</v>
      </c>
      <c r="J158" s="11" t="s">
        <v>260</v>
      </c>
      <c r="K158" s="11" t="s">
        <v>392</v>
      </c>
    </row>
    <row r="159">
      <c r="A159" s="11" t="s">
        <v>952</v>
      </c>
      <c r="B159" s="11" t="s">
        <v>388</v>
      </c>
      <c r="C159" s="11" t="s">
        <v>980</v>
      </c>
      <c r="D159" s="11" t="s">
        <v>981</v>
      </c>
      <c r="E159" s="11">
        <v>2007.0</v>
      </c>
      <c r="F159" s="11">
        <v>10.0</v>
      </c>
      <c r="G159" s="11" t="s">
        <v>188</v>
      </c>
      <c r="H159" s="11" t="s">
        <v>188</v>
      </c>
      <c r="I159" s="11" t="s">
        <v>955</v>
      </c>
      <c r="J159" s="11" t="s">
        <v>260</v>
      </c>
      <c r="K159" s="11" t="s">
        <v>392</v>
      </c>
    </row>
    <row r="160">
      <c r="A160" s="11" t="s">
        <v>952</v>
      </c>
      <c r="B160" s="11" t="s">
        <v>388</v>
      </c>
      <c r="C160" s="11" t="s">
        <v>980</v>
      </c>
      <c r="D160" s="11" t="s">
        <v>981</v>
      </c>
      <c r="E160" s="11">
        <v>2008.0</v>
      </c>
      <c r="F160" s="11">
        <v>11.0</v>
      </c>
      <c r="G160" s="11" t="s">
        <v>188</v>
      </c>
      <c r="H160" s="11" t="s">
        <v>188</v>
      </c>
      <c r="I160" s="11" t="s">
        <v>955</v>
      </c>
      <c r="J160" s="11" t="s">
        <v>260</v>
      </c>
      <c r="K160" s="11" t="s">
        <v>392</v>
      </c>
    </row>
    <row r="161">
      <c r="A161" s="11" t="s">
        <v>952</v>
      </c>
      <c r="B161" s="11" t="s">
        <v>388</v>
      </c>
      <c r="C161" s="11" t="s">
        <v>980</v>
      </c>
      <c r="D161" s="11" t="s">
        <v>981</v>
      </c>
      <c r="E161" s="11">
        <v>2009.0</v>
      </c>
      <c r="F161" s="11">
        <v>14.0</v>
      </c>
      <c r="G161" s="11" t="s">
        <v>188</v>
      </c>
      <c r="H161" s="11" t="s">
        <v>188</v>
      </c>
      <c r="I161" s="11" t="s">
        <v>955</v>
      </c>
      <c r="J161" s="11" t="s">
        <v>260</v>
      </c>
      <c r="K161" s="11" t="s">
        <v>392</v>
      </c>
    </row>
    <row r="162">
      <c r="A162" s="11" t="s">
        <v>952</v>
      </c>
      <c r="B162" s="11" t="s">
        <v>388</v>
      </c>
      <c r="C162" s="11" t="s">
        <v>980</v>
      </c>
      <c r="D162" s="11" t="s">
        <v>981</v>
      </c>
      <c r="E162" s="11">
        <v>2010.0</v>
      </c>
      <c r="F162" s="11">
        <v>12.0</v>
      </c>
      <c r="G162" s="11" t="s">
        <v>188</v>
      </c>
      <c r="H162" s="11" t="s">
        <v>188</v>
      </c>
      <c r="I162" s="11" t="s">
        <v>955</v>
      </c>
      <c r="J162" s="11" t="s">
        <v>260</v>
      </c>
      <c r="K162" s="11" t="s">
        <v>392</v>
      </c>
    </row>
    <row r="163">
      <c r="A163" s="11" t="s">
        <v>952</v>
      </c>
      <c r="B163" s="11" t="s">
        <v>388</v>
      </c>
      <c r="C163" s="11" t="s">
        <v>980</v>
      </c>
      <c r="D163" s="11" t="s">
        <v>981</v>
      </c>
      <c r="E163" s="11">
        <v>2011.0</v>
      </c>
      <c r="F163" s="11">
        <v>15.0</v>
      </c>
      <c r="G163" s="11" t="s">
        <v>188</v>
      </c>
      <c r="H163" s="11" t="s">
        <v>188</v>
      </c>
      <c r="I163" s="11" t="s">
        <v>955</v>
      </c>
      <c r="J163" s="11" t="s">
        <v>260</v>
      </c>
      <c r="K163" s="11" t="s">
        <v>392</v>
      </c>
    </row>
    <row r="164">
      <c r="A164" s="11" t="s">
        <v>952</v>
      </c>
      <c r="B164" s="11" t="s">
        <v>388</v>
      </c>
      <c r="C164" s="11" t="s">
        <v>980</v>
      </c>
      <c r="D164" s="11" t="s">
        <v>981</v>
      </c>
      <c r="E164" s="11">
        <v>2012.0</v>
      </c>
      <c r="F164" s="11">
        <v>15.0</v>
      </c>
      <c r="G164" s="11" t="s">
        <v>188</v>
      </c>
      <c r="H164" s="11" t="s">
        <v>188</v>
      </c>
      <c r="I164" s="11" t="s">
        <v>955</v>
      </c>
      <c r="J164" s="11" t="s">
        <v>260</v>
      </c>
      <c r="K164" s="11" t="s">
        <v>392</v>
      </c>
    </row>
    <row r="165">
      <c r="A165" s="11" t="s">
        <v>952</v>
      </c>
      <c r="B165" s="11" t="s">
        <v>388</v>
      </c>
      <c r="C165" s="11" t="s">
        <v>980</v>
      </c>
      <c r="D165" s="11" t="s">
        <v>981</v>
      </c>
      <c r="E165" s="11">
        <v>2013.0</v>
      </c>
      <c r="F165" s="11">
        <v>14.0</v>
      </c>
      <c r="G165" s="11" t="s">
        <v>188</v>
      </c>
      <c r="H165" s="11" t="s">
        <v>188</v>
      </c>
      <c r="I165" s="11" t="s">
        <v>955</v>
      </c>
      <c r="J165" s="11" t="s">
        <v>260</v>
      </c>
      <c r="K165" s="11" t="s">
        <v>392</v>
      </c>
    </row>
    <row r="166">
      <c r="A166" s="11" t="s">
        <v>952</v>
      </c>
      <c r="B166" s="11" t="s">
        <v>388</v>
      </c>
      <c r="C166" s="11" t="s">
        <v>980</v>
      </c>
      <c r="D166" s="11" t="s">
        <v>981</v>
      </c>
      <c r="E166" s="11">
        <v>2014.0</v>
      </c>
      <c r="F166" s="11">
        <v>15.0</v>
      </c>
      <c r="G166" s="11" t="s">
        <v>188</v>
      </c>
      <c r="H166" s="11" t="s">
        <v>188</v>
      </c>
      <c r="I166" s="11" t="s">
        <v>955</v>
      </c>
      <c r="J166" s="11" t="s">
        <v>260</v>
      </c>
      <c r="K166" s="11" t="s">
        <v>392</v>
      </c>
    </row>
    <row r="167">
      <c r="A167" s="11" t="s">
        <v>952</v>
      </c>
      <c r="B167" s="11" t="s">
        <v>388</v>
      </c>
      <c r="C167" s="11" t="s">
        <v>980</v>
      </c>
      <c r="D167" s="11" t="s">
        <v>981</v>
      </c>
      <c r="E167" s="11">
        <v>2015.0</v>
      </c>
      <c r="F167" s="11">
        <v>15.0</v>
      </c>
      <c r="G167" s="11" t="s">
        <v>188</v>
      </c>
      <c r="H167" s="11" t="s">
        <v>188</v>
      </c>
      <c r="I167" s="11" t="s">
        <v>955</v>
      </c>
      <c r="J167" s="11" t="s">
        <v>260</v>
      </c>
      <c r="K167" s="11" t="s">
        <v>392</v>
      </c>
    </row>
    <row r="168">
      <c r="A168" s="11" t="s">
        <v>952</v>
      </c>
      <c r="B168" s="11" t="s">
        <v>388</v>
      </c>
      <c r="C168" s="11" t="s">
        <v>980</v>
      </c>
      <c r="D168" s="11" t="s">
        <v>981</v>
      </c>
      <c r="E168" s="11">
        <v>2016.0</v>
      </c>
      <c r="F168" s="11">
        <v>15.0</v>
      </c>
      <c r="G168" s="11" t="s">
        <v>188</v>
      </c>
      <c r="H168" s="11" t="s">
        <v>188</v>
      </c>
      <c r="I168" s="11" t="s">
        <v>955</v>
      </c>
      <c r="J168" s="11" t="s">
        <v>260</v>
      </c>
      <c r="K168" s="11" t="s">
        <v>392</v>
      </c>
    </row>
    <row r="169">
      <c r="A169" s="11" t="s">
        <v>952</v>
      </c>
      <c r="B169" s="11" t="s">
        <v>388</v>
      </c>
      <c r="C169" s="11" t="s">
        <v>980</v>
      </c>
      <c r="D169" s="11" t="s">
        <v>981</v>
      </c>
      <c r="E169" s="11">
        <v>2017.0</v>
      </c>
      <c r="F169" s="11">
        <v>15.0</v>
      </c>
      <c r="G169" s="11" t="s">
        <v>188</v>
      </c>
      <c r="H169" s="11" t="s">
        <v>188</v>
      </c>
      <c r="I169" s="11" t="s">
        <v>955</v>
      </c>
      <c r="J169" s="11" t="s">
        <v>260</v>
      </c>
      <c r="K169" s="11" t="s">
        <v>392</v>
      </c>
    </row>
    <row r="170">
      <c r="A170" s="11" t="s">
        <v>952</v>
      </c>
      <c r="B170" s="11" t="s">
        <v>388</v>
      </c>
      <c r="C170" s="11" t="s">
        <v>980</v>
      </c>
      <c r="D170" s="11" t="s">
        <v>981</v>
      </c>
      <c r="E170" s="11">
        <v>2018.0</v>
      </c>
      <c r="F170" s="11">
        <v>15.0</v>
      </c>
      <c r="G170" s="11" t="s">
        <v>188</v>
      </c>
      <c r="H170" s="11" t="s">
        <v>188</v>
      </c>
      <c r="I170" s="11" t="s">
        <v>955</v>
      </c>
      <c r="J170" s="11" t="s">
        <v>260</v>
      </c>
      <c r="K170" s="11" t="s">
        <v>392</v>
      </c>
    </row>
    <row r="171">
      <c r="A171" s="11" t="s">
        <v>952</v>
      </c>
      <c r="B171" s="11" t="s">
        <v>388</v>
      </c>
      <c r="C171" s="11" t="s">
        <v>980</v>
      </c>
      <c r="D171" s="11" t="s">
        <v>981</v>
      </c>
      <c r="E171" s="11">
        <v>2019.0</v>
      </c>
      <c r="F171" s="11">
        <v>15.0</v>
      </c>
      <c r="G171" s="11" t="s">
        <v>188</v>
      </c>
      <c r="H171" s="11" t="s">
        <v>188</v>
      </c>
      <c r="I171" s="11" t="s">
        <v>955</v>
      </c>
      <c r="J171" s="11" t="s">
        <v>260</v>
      </c>
      <c r="K171" s="11" t="s">
        <v>392</v>
      </c>
    </row>
    <row r="172">
      <c r="A172" s="11" t="s">
        <v>952</v>
      </c>
      <c r="B172" s="11" t="s">
        <v>388</v>
      </c>
      <c r="C172" s="11" t="s">
        <v>980</v>
      </c>
      <c r="D172" s="11" t="s">
        <v>981</v>
      </c>
      <c r="E172" s="11">
        <v>2020.0</v>
      </c>
      <c r="F172" s="11">
        <v>15.0</v>
      </c>
      <c r="G172" s="11" t="s">
        <v>188</v>
      </c>
      <c r="H172" s="11" t="s">
        <v>188</v>
      </c>
      <c r="I172" s="11" t="s">
        <v>955</v>
      </c>
      <c r="J172" s="11" t="s">
        <v>260</v>
      </c>
      <c r="K172" s="11" t="s">
        <v>392</v>
      </c>
    </row>
    <row r="173">
      <c r="A173" s="11" t="s">
        <v>952</v>
      </c>
      <c r="B173" s="11" t="s">
        <v>388</v>
      </c>
      <c r="C173" s="11" t="s">
        <v>980</v>
      </c>
      <c r="D173" s="11" t="s">
        <v>981</v>
      </c>
      <c r="E173" s="11">
        <v>2021.0</v>
      </c>
      <c r="F173" s="11">
        <v>16.0</v>
      </c>
      <c r="G173" s="11" t="s">
        <v>188</v>
      </c>
      <c r="H173" s="11" t="s">
        <v>188</v>
      </c>
      <c r="I173" s="11" t="s">
        <v>955</v>
      </c>
      <c r="J173" s="11" t="s">
        <v>260</v>
      </c>
      <c r="K173" s="11" t="s">
        <v>392</v>
      </c>
    </row>
    <row r="174">
      <c r="A174" s="11" t="s">
        <v>952</v>
      </c>
      <c r="B174" s="11" t="s">
        <v>388</v>
      </c>
      <c r="C174" s="11" t="s">
        <v>996</v>
      </c>
      <c r="D174" s="11" t="s">
        <v>981</v>
      </c>
      <c r="E174" s="11">
        <v>1960.0</v>
      </c>
      <c r="F174" s="11">
        <v>2.0</v>
      </c>
      <c r="G174" s="11" t="s">
        <v>188</v>
      </c>
      <c r="H174" s="11" t="s">
        <v>188</v>
      </c>
      <c r="I174" s="11" t="s">
        <v>955</v>
      </c>
      <c r="J174" s="11" t="s">
        <v>260</v>
      </c>
      <c r="K174" s="11" t="s">
        <v>392</v>
      </c>
    </row>
    <row r="175">
      <c r="A175" s="11" t="s">
        <v>952</v>
      </c>
      <c r="B175" s="11" t="s">
        <v>388</v>
      </c>
      <c r="C175" s="11" t="s">
        <v>996</v>
      </c>
      <c r="D175" s="11" t="s">
        <v>981</v>
      </c>
      <c r="E175" s="11">
        <v>1961.0</v>
      </c>
      <c r="F175" s="11">
        <v>2.0</v>
      </c>
      <c r="G175" s="11" t="s">
        <v>188</v>
      </c>
      <c r="H175" s="11" t="s">
        <v>188</v>
      </c>
      <c r="I175" s="11" t="s">
        <v>955</v>
      </c>
      <c r="J175" s="11" t="s">
        <v>260</v>
      </c>
      <c r="K175" s="11" t="s">
        <v>392</v>
      </c>
    </row>
    <row r="176">
      <c r="A176" s="11" t="s">
        <v>952</v>
      </c>
      <c r="B176" s="11" t="s">
        <v>388</v>
      </c>
      <c r="C176" s="11" t="s">
        <v>996</v>
      </c>
      <c r="D176" s="11" t="s">
        <v>981</v>
      </c>
      <c r="E176" s="11">
        <v>1962.0</v>
      </c>
      <c r="F176" s="11">
        <v>2.0</v>
      </c>
      <c r="G176" s="11" t="s">
        <v>188</v>
      </c>
      <c r="H176" s="11" t="s">
        <v>188</v>
      </c>
      <c r="I176" s="11" t="s">
        <v>955</v>
      </c>
      <c r="J176" s="11" t="s">
        <v>260</v>
      </c>
      <c r="K176" s="11" t="s">
        <v>392</v>
      </c>
    </row>
    <row r="177">
      <c r="A177" s="11" t="s">
        <v>952</v>
      </c>
      <c r="B177" s="11" t="s">
        <v>388</v>
      </c>
      <c r="C177" s="11" t="s">
        <v>996</v>
      </c>
      <c r="D177" s="11" t="s">
        <v>981</v>
      </c>
      <c r="E177" s="11">
        <v>1963.0</v>
      </c>
      <c r="F177" s="11">
        <v>2.0</v>
      </c>
      <c r="G177" s="11" t="s">
        <v>188</v>
      </c>
      <c r="H177" s="11" t="s">
        <v>188</v>
      </c>
      <c r="I177" s="11" t="s">
        <v>955</v>
      </c>
      <c r="J177" s="11" t="s">
        <v>260</v>
      </c>
      <c r="K177" s="11" t="s">
        <v>392</v>
      </c>
    </row>
    <row r="178">
      <c r="A178" s="11" t="s">
        <v>952</v>
      </c>
      <c r="B178" s="11" t="s">
        <v>388</v>
      </c>
      <c r="C178" s="11" t="s">
        <v>996</v>
      </c>
      <c r="D178" s="11" t="s">
        <v>981</v>
      </c>
      <c r="E178" s="11">
        <v>1964.0</v>
      </c>
      <c r="F178" s="11">
        <v>2.0</v>
      </c>
      <c r="G178" s="11" t="s">
        <v>188</v>
      </c>
      <c r="H178" s="11" t="s">
        <v>188</v>
      </c>
      <c r="I178" s="11" t="s">
        <v>955</v>
      </c>
      <c r="J178" s="11" t="s">
        <v>260</v>
      </c>
      <c r="K178" s="11" t="s">
        <v>392</v>
      </c>
    </row>
    <row r="179">
      <c r="A179" s="11" t="s">
        <v>952</v>
      </c>
      <c r="B179" s="11" t="s">
        <v>388</v>
      </c>
      <c r="C179" s="11" t="s">
        <v>996</v>
      </c>
      <c r="D179" s="11" t="s">
        <v>981</v>
      </c>
      <c r="E179" s="11">
        <v>1965.0</v>
      </c>
      <c r="F179" s="11">
        <v>1.0</v>
      </c>
      <c r="G179" s="11" t="s">
        <v>188</v>
      </c>
      <c r="H179" s="11" t="s">
        <v>188</v>
      </c>
      <c r="I179" s="11" t="s">
        <v>955</v>
      </c>
      <c r="J179" s="11" t="s">
        <v>260</v>
      </c>
      <c r="K179" s="11" t="s">
        <v>392</v>
      </c>
    </row>
    <row r="180">
      <c r="A180" s="11" t="s">
        <v>952</v>
      </c>
      <c r="B180" s="11" t="s">
        <v>388</v>
      </c>
      <c r="C180" s="11" t="s">
        <v>996</v>
      </c>
      <c r="D180" s="11" t="s">
        <v>981</v>
      </c>
      <c r="E180" s="11">
        <v>1966.0</v>
      </c>
      <c r="F180" s="11">
        <v>2.0</v>
      </c>
      <c r="G180" s="11" t="s">
        <v>188</v>
      </c>
      <c r="H180" s="11" t="s">
        <v>188</v>
      </c>
      <c r="I180" s="11" t="s">
        <v>955</v>
      </c>
      <c r="J180" s="11" t="s">
        <v>260</v>
      </c>
      <c r="K180" s="11" t="s">
        <v>392</v>
      </c>
    </row>
    <row r="181">
      <c r="A181" s="11" t="s">
        <v>952</v>
      </c>
      <c r="B181" s="11" t="s">
        <v>388</v>
      </c>
      <c r="C181" s="11" t="s">
        <v>996</v>
      </c>
      <c r="D181" s="11" t="s">
        <v>981</v>
      </c>
      <c r="E181" s="11">
        <v>1967.0</v>
      </c>
      <c r="F181" s="11">
        <v>2.0</v>
      </c>
      <c r="G181" s="11" t="s">
        <v>188</v>
      </c>
      <c r="H181" s="11" t="s">
        <v>188</v>
      </c>
      <c r="I181" s="11" t="s">
        <v>955</v>
      </c>
      <c r="J181" s="11" t="s">
        <v>260</v>
      </c>
      <c r="K181" s="11" t="s">
        <v>392</v>
      </c>
    </row>
    <row r="182">
      <c r="A182" s="11" t="s">
        <v>952</v>
      </c>
      <c r="B182" s="11" t="s">
        <v>388</v>
      </c>
      <c r="C182" s="11" t="s">
        <v>996</v>
      </c>
      <c r="D182" s="11" t="s">
        <v>981</v>
      </c>
      <c r="E182" s="11">
        <v>1968.0</v>
      </c>
      <c r="F182" s="11">
        <v>2.0</v>
      </c>
      <c r="G182" s="11" t="s">
        <v>188</v>
      </c>
      <c r="H182" s="11" t="s">
        <v>188</v>
      </c>
      <c r="I182" s="11" t="s">
        <v>955</v>
      </c>
      <c r="J182" s="11" t="s">
        <v>260</v>
      </c>
      <c r="K182" s="11" t="s">
        <v>392</v>
      </c>
    </row>
    <row r="183">
      <c r="A183" s="11" t="s">
        <v>952</v>
      </c>
      <c r="B183" s="11" t="s">
        <v>388</v>
      </c>
      <c r="C183" s="11" t="s">
        <v>996</v>
      </c>
      <c r="D183" s="11" t="s">
        <v>981</v>
      </c>
      <c r="E183" s="11">
        <v>1969.0</v>
      </c>
      <c r="F183" s="11">
        <v>3.0</v>
      </c>
      <c r="G183" s="11" t="s">
        <v>188</v>
      </c>
      <c r="H183" s="11" t="s">
        <v>188</v>
      </c>
      <c r="I183" s="11" t="s">
        <v>955</v>
      </c>
      <c r="J183" s="11" t="s">
        <v>260</v>
      </c>
      <c r="K183" s="11" t="s">
        <v>392</v>
      </c>
    </row>
    <row r="184">
      <c r="A184" s="11" t="s">
        <v>952</v>
      </c>
      <c r="B184" s="11" t="s">
        <v>388</v>
      </c>
      <c r="C184" s="11" t="s">
        <v>996</v>
      </c>
      <c r="D184" s="11" t="s">
        <v>981</v>
      </c>
      <c r="E184" s="11">
        <v>1970.0</v>
      </c>
      <c r="F184" s="11">
        <v>4.0</v>
      </c>
      <c r="G184" s="11" t="s">
        <v>188</v>
      </c>
      <c r="H184" s="11" t="s">
        <v>188</v>
      </c>
      <c r="I184" s="11" t="s">
        <v>955</v>
      </c>
      <c r="J184" s="11" t="s">
        <v>260</v>
      </c>
      <c r="K184" s="11" t="s">
        <v>392</v>
      </c>
    </row>
    <row r="185">
      <c r="A185" s="11" t="s">
        <v>952</v>
      </c>
      <c r="B185" s="11" t="s">
        <v>388</v>
      </c>
      <c r="C185" s="11" t="s">
        <v>996</v>
      </c>
      <c r="D185" s="11" t="s">
        <v>981</v>
      </c>
      <c r="E185" s="11">
        <v>1971.0</v>
      </c>
      <c r="F185" s="11">
        <v>4.0</v>
      </c>
      <c r="G185" s="11" t="s">
        <v>188</v>
      </c>
      <c r="H185" s="11" t="s">
        <v>188</v>
      </c>
      <c r="I185" s="11" t="s">
        <v>955</v>
      </c>
      <c r="J185" s="11" t="s">
        <v>260</v>
      </c>
      <c r="K185" s="11" t="s">
        <v>392</v>
      </c>
    </row>
    <row r="186">
      <c r="A186" s="11" t="s">
        <v>952</v>
      </c>
      <c r="B186" s="11" t="s">
        <v>388</v>
      </c>
      <c r="C186" s="11" t="s">
        <v>996</v>
      </c>
      <c r="D186" s="11" t="s">
        <v>981</v>
      </c>
      <c r="E186" s="11">
        <v>1972.0</v>
      </c>
      <c r="F186" s="11">
        <v>4.0</v>
      </c>
      <c r="G186" s="11" t="s">
        <v>188</v>
      </c>
      <c r="H186" s="11" t="s">
        <v>188</v>
      </c>
      <c r="I186" s="11" t="s">
        <v>955</v>
      </c>
      <c r="J186" s="11" t="s">
        <v>260</v>
      </c>
      <c r="K186" s="11" t="s">
        <v>392</v>
      </c>
    </row>
    <row r="187">
      <c r="A187" s="11" t="s">
        <v>952</v>
      </c>
      <c r="B187" s="11" t="s">
        <v>388</v>
      </c>
      <c r="C187" s="11" t="s">
        <v>996</v>
      </c>
      <c r="D187" s="11" t="s">
        <v>981</v>
      </c>
      <c r="E187" s="11">
        <v>1973.0</v>
      </c>
      <c r="F187" s="11">
        <v>5.0</v>
      </c>
      <c r="G187" s="11" t="s">
        <v>188</v>
      </c>
      <c r="H187" s="11" t="s">
        <v>188</v>
      </c>
      <c r="I187" s="11" t="s">
        <v>955</v>
      </c>
      <c r="J187" s="11" t="s">
        <v>260</v>
      </c>
      <c r="K187" s="11" t="s">
        <v>392</v>
      </c>
    </row>
    <row r="188">
      <c r="A188" s="11" t="s">
        <v>952</v>
      </c>
      <c r="B188" s="11" t="s">
        <v>388</v>
      </c>
      <c r="C188" s="11" t="s">
        <v>996</v>
      </c>
      <c r="D188" s="11" t="s">
        <v>981</v>
      </c>
      <c r="E188" s="11">
        <v>1974.0</v>
      </c>
      <c r="F188" s="11">
        <v>5.0</v>
      </c>
      <c r="G188" s="11" t="s">
        <v>188</v>
      </c>
      <c r="H188" s="11" t="s">
        <v>188</v>
      </c>
      <c r="I188" s="11" t="s">
        <v>955</v>
      </c>
      <c r="J188" s="11" t="s">
        <v>260</v>
      </c>
      <c r="K188" s="11" t="s">
        <v>392</v>
      </c>
    </row>
    <row r="189">
      <c r="A189" s="11" t="s">
        <v>952</v>
      </c>
      <c r="B189" s="11" t="s">
        <v>388</v>
      </c>
      <c r="C189" s="11" t="s">
        <v>996</v>
      </c>
      <c r="D189" s="11" t="s">
        <v>981</v>
      </c>
      <c r="E189" s="11">
        <v>1975.0</v>
      </c>
      <c r="F189" s="11">
        <v>4.0</v>
      </c>
      <c r="G189" s="11" t="s">
        <v>188</v>
      </c>
      <c r="H189" s="11" t="s">
        <v>188</v>
      </c>
      <c r="I189" s="11" t="s">
        <v>955</v>
      </c>
      <c r="J189" s="11" t="s">
        <v>260</v>
      </c>
      <c r="K189" s="11" t="s">
        <v>392</v>
      </c>
    </row>
    <row r="190">
      <c r="A190" s="11" t="s">
        <v>952</v>
      </c>
      <c r="B190" s="11" t="s">
        <v>388</v>
      </c>
      <c r="C190" s="11" t="s">
        <v>996</v>
      </c>
      <c r="D190" s="11" t="s">
        <v>981</v>
      </c>
      <c r="E190" s="11">
        <v>1976.0</v>
      </c>
      <c r="F190" s="11">
        <v>5.0</v>
      </c>
      <c r="G190" s="11" t="s">
        <v>188</v>
      </c>
      <c r="H190" s="11" t="s">
        <v>188</v>
      </c>
      <c r="I190" s="11" t="s">
        <v>955</v>
      </c>
      <c r="J190" s="11" t="s">
        <v>260</v>
      </c>
      <c r="K190" s="11" t="s">
        <v>392</v>
      </c>
    </row>
    <row r="191">
      <c r="A191" s="11" t="s">
        <v>952</v>
      </c>
      <c r="B191" s="11" t="s">
        <v>388</v>
      </c>
      <c r="C191" s="11" t="s">
        <v>996</v>
      </c>
      <c r="D191" s="11" t="s">
        <v>981</v>
      </c>
      <c r="E191" s="11">
        <v>1977.0</v>
      </c>
      <c r="F191" s="11">
        <v>7.0</v>
      </c>
      <c r="G191" s="11" t="s">
        <v>188</v>
      </c>
      <c r="H191" s="11" t="s">
        <v>188</v>
      </c>
      <c r="I191" s="11" t="s">
        <v>955</v>
      </c>
      <c r="J191" s="11" t="s">
        <v>260</v>
      </c>
      <c r="K191" s="11" t="s">
        <v>392</v>
      </c>
    </row>
    <row r="192">
      <c r="A192" s="11" t="s">
        <v>952</v>
      </c>
      <c r="B192" s="11" t="s">
        <v>388</v>
      </c>
      <c r="C192" s="11" t="s">
        <v>996</v>
      </c>
      <c r="D192" s="11" t="s">
        <v>981</v>
      </c>
      <c r="E192" s="11">
        <v>1978.0</v>
      </c>
      <c r="F192" s="11">
        <v>5.0</v>
      </c>
      <c r="G192" s="11" t="s">
        <v>188</v>
      </c>
      <c r="H192" s="11" t="s">
        <v>188</v>
      </c>
      <c r="I192" s="11" t="s">
        <v>955</v>
      </c>
      <c r="J192" s="11" t="s">
        <v>260</v>
      </c>
      <c r="K192" s="11" t="s">
        <v>392</v>
      </c>
    </row>
    <row r="193">
      <c r="A193" s="11" t="s">
        <v>952</v>
      </c>
      <c r="B193" s="11" t="s">
        <v>388</v>
      </c>
      <c r="C193" s="11" t="s">
        <v>996</v>
      </c>
      <c r="D193" s="11" t="s">
        <v>981</v>
      </c>
      <c r="E193" s="11">
        <v>1979.0</v>
      </c>
      <c r="F193" s="11">
        <v>9.0</v>
      </c>
      <c r="G193" s="11" t="s">
        <v>188</v>
      </c>
      <c r="H193" s="11" t="s">
        <v>188</v>
      </c>
      <c r="I193" s="11" t="s">
        <v>955</v>
      </c>
      <c r="J193" s="11" t="s">
        <v>260</v>
      </c>
      <c r="K193" s="11" t="s">
        <v>392</v>
      </c>
    </row>
    <row r="194">
      <c r="A194" s="11" t="s">
        <v>952</v>
      </c>
      <c r="B194" s="11" t="s">
        <v>388</v>
      </c>
      <c r="C194" s="11" t="s">
        <v>996</v>
      </c>
      <c r="D194" s="11" t="s">
        <v>981</v>
      </c>
      <c r="E194" s="11">
        <v>1980.0</v>
      </c>
      <c r="F194" s="11">
        <v>8.0</v>
      </c>
      <c r="G194" s="11" t="s">
        <v>188</v>
      </c>
      <c r="H194" s="11" t="s">
        <v>188</v>
      </c>
      <c r="I194" s="11" t="s">
        <v>955</v>
      </c>
      <c r="J194" s="11" t="s">
        <v>260</v>
      </c>
      <c r="K194" s="11" t="s">
        <v>392</v>
      </c>
    </row>
    <row r="195">
      <c r="A195" s="11" t="s">
        <v>952</v>
      </c>
      <c r="B195" s="11" t="s">
        <v>388</v>
      </c>
      <c r="C195" s="11" t="s">
        <v>996</v>
      </c>
      <c r="D195" s="11" t="s">
        <v>981</v>
      </c>
      <c r="E195" s="11">
        <v>1981.0</v>
      </c>
      <c r="F195" s="11">
        <v>9.0</v>
      </c>
      <c r="G195" s="11" t="s">
        <v>188</v>
      </c>
      <c r="H195" s="11" t="s">
        <v>188</v>
      </c>
      <c r="I195" s="11" t="s">
        <v>955</v>
      </c>
      <c r="J195" s="11" t="s">
        <v>260</v>
      </c>
      <c r="K195" s="11" t="s">
        <v>392</v>
      </c>
    </row>
    <row r="196">
      <c r="A196" s="11" t="s">
        <v>952</v>
      </c>
      <c r="B196" s="11" t="s">
        <v>388</v>
      </c>
      <c r="C196" s="11" t="s">
        <v>996</v>
      </c>
      <c r="D196" s="11" t="s">
        <v>981</v>
      </c>
      <c r="E196" s="11">
        <v>1982.0</v>
      </c>
      <c r="F196" s="11">
        <v>10.0</v>
      </c>
      <c r="G196" s="11" t="s">
        <v>188</v>
      </c>
      <c r="H196" s="11" t="s">
        <v>188</v>
      </c>
      <c r="I196" s="11" t="s">
        <v>955</v>
      </c>
      <c r="J196" s="11" t="s">
        <v>260</v>
      </c>
      <c r="K196" s="11" t="s">
        <v>392</v>
      </c>
    </row>
    <row r="197">
      <c r="A197" s="11" t="s">
        <v>952</v>
      </c>
      <c r="B197" s="11" t="s">
        <v>388</v>
      </c>
      <c r="C197" s="11" t="s">
        <v>996</v>
      </c>
      <c r="D197" s="11" t="s">
        <v>981</v>
      </c>
      <c r="E197" s="11">
        <v>1983.0</v>
      </c>
      <c r="F197" s="11">
        <v>8.0</v>
      </c>
      <c r="G197" s="11" t="s">
        <v>188</v>
      </c>
      <c r="H197" s="11" t="s">
        <v>188</v>
      </c>
      <c r="I197" s="11" t="s">
        <v>955</v>
      </c>
      <c r="J197" s="11" t="s">
        <v>260</v>
      </c>
      <c r="K197" s="11" t="s">
        <v>392</v>
      </c>
    </row>
    <row r="198">
      <c r="A198" s="11" t="s">
        <v>952</v>
      </c>
      <c r="B198" s="11" t="s">
        <v>388</v>
      </c>
      <c r="C198" s="11" t="s">
        <v>996</v>
      </c>
      <c r="D198" s="11" t="s">
        <v>981</v>
      </c>
      <c r="E198" s="11">
        <v>1984.0</v>
      </c>
      <c r="F198" s="11">
        <v>12.0</v>
      </c>
      <c r="G198" s="11" t="s">
        <v>188</v>
      </c>
      <c r="H198" s="11" t="s">
        <v>188</v>
      </c>
      <c r="I198" s="11" t="s">
        <v>955</v>
      </c>
      <c r="J198" s="11" t="s">
        <v>260</v>
      </c>
      <c r="K198" s="11" t="s">
        <v>392</v>
      </c>
    </row>
    <row r="199">
      <c r="A199" s="11" t="s">
        <v>952</v>
      </c>
      <c r="B199" s="11" t="s">
        <v>388</v>
      </c>
      <c r="C199" s="11" t="s">
        <v>996</v>
      </c>
      <c r="D199" s="11" t="s">
        <v>981</v>
      </c>
      <c r="E199" s="11">
        <v>1985.0</v>
      </c>
      <c r="F199" s="11">
        <v>13.0</v>
      </c>
      <c r="G199" s="11" t="s">
        <v>188</v>
      </c>
      <c r="H199" s="11" t="s">
        <v>188</v>
      </c>
      <c r="I199" s="11" t="s">
        <v>955</v>
      </c>
      <c r="J199" s="11" t="s">
        <v>260</v>
      </c>
      <c r="K199" s="11" t="s">
        <v>392</v>
      </c>
    </row>
    <row r="200">
      <c r="A200" s="11" t="s">
        <v>952</v>
      </c>
      <c r="B200" s="11" t="s">
        <v>388</v>
      </c>
      <c r="C200" s="11" t="s">
        <v>996</v>
      </c>
      <c r="D200" s="11" t="s">
        <v>981</v>
      </c>
      <c r="E200" s="11">
        <v>1986.0</v>
      </c>
      <c r="F200" s="11">
        <v>14.0</v>
      </c>
      <c r="G200" s="11" t="s">
        <v>188</v>
      </c>
      <c r="H200" s="11" t="s">
        <v>188</v>
      </c>
      <c r="I200" s="11" t="s">
        <v>955</v>
      </c>
      <c r="J200" s="11" t="s">
        <v>260</v>
      </c>
      <c r="K200" s="11" t="s">
        <v>392</v>
      </c>
    </row>
    <row r="201">
      <c r="A201" s="11" t="s">
        <v>952</v>
      </c>
      <c r="B201" s="11" t="s">
        <v>388</v>
      </c>
      <c r="C201" s="11" t="s">
        <v>996</v>
      </c>
      <c r="D201" s="11" t="s">
        <v>981</v>
      </c>
      <c r="E201" s="11">
        <v>1987.0</v>
      </c>
      <c r="F201" s="11">
        <v>15.0</v>
      </c>
      <c r="G201" s="11" t="s">
        <v>188</v>
      </c>
      <c r="H201" s="11" t="s">
        <v>188</v>
      </c>
      <c r="I201" s="11" t="s">
        <v>955</v>
      </c>
      <c r="J201" s="11" t="s">
        <v>260</v>
      </c>
      <c r="K201" s="11" t="s">
        <v>392</v>
      </c>
    </row>
    <row r="202">
      <c r="A202" s="11" t="s">
        <v>952</v>
      </c>
      <c r="B202" s="11" t="s">
        <v>388</v>
      </c>
      <c r="C202" s="11" t="s">
        <v>996</v>
      </c>
      <c r="D202" s="11" t="s">
        <v>981</v>
      </c>
      <c r="E202" s="11">
        <v>1988.0</v>
      </c>
      <c r="F202" s="11">
        <v>16.0</v>
      </c>
      <c r="G202" s="11" t="s">
        <v>188</v>
      </c>
      <c r="H202" s="11" t="s">
        <v>188</v>
      </c>
      <c r="I202" s="11" t="s">
        <v>955</v>
      </c>
      <c r="J202" s="11" t="s">
        <v>260</v>
      </c>
      <c r="K202" s="11" t="s">
        <v>392</v>
      </c>
    </row>
    <row r="203">
      <c r="A203" s="11" t="s">
        <v>952</v>
      </c>
      <c r="B203" s="11" t="s">
        <v>388</v>
      </c>
      <c r="C203" s="11" t="s">
        <v>996</v>
      </c>
      <c r="D203" s="11" t="s">
        <v>981</v>
      </c>
      <c r="E203" s="11">
        <v>1989.0</v>
      </c>
      <c r="F203" s="11">
        <v>18.0</v>
      </c>
      <c r="G203" s="11" t="s">
        <v>188</v>
      </c>
      <c r="H203" s="11" t="s">
        <v>188</v>
      </c>
      <c r="I203" s="11" t="s">
        <v>955</v>
      </c>
      <c r="J203" s="11" t="s">
        <v>260</v>
      </c>
      <c r="K203" s="11" t="s">
        <v>392</v>
      </c>
    </row>
    <row r="204">
      <c r="A204" s="11" t="s">
        <v>952</v>
      </c>
      <c r="B204" s="11" t="s">
        <v>388</v>
      </c>
      <c r="C204" s="11" t="s">
        <v>996</v>
      </c>
      <c r="D204" s="11" t="s">
        <v>981</v>
      </c>
      <c r="E204" s="11">
        <v>1990.0</v>
      </c>
      <c r="F204" s="11">
        <v>20.0</v>
      </c>
      <c r="G204" s="11" t="s">
        <v>188</v>
      </c>
      <c r="H204" s="11" t="s">
        <v>188</v>
      </c>
      <c r="I204" s="11" t="s">
        <v>955</v>
      </c>
      <c r="J204" s="11" t="s">
        <v>260</v>
      </c>
      <c r="K204" s="11" t="s">
        <v>392</v>
      </c>
    </row>
    <row r="205">
      <c r="A205" s="11" t="s">
        <v>952</v>
      </c>
      <c r="B205" s="11" t="s">
        <v>388</v>
      </c>
      <c r="C205" s="11" t="s">
        <v>996</v>
      </c>
      <c r="D205" s="11" t="s">
        <v>981</v>
      </c>
      <c r="E205" s="11">
        <v>1991.0</v>
      </c>
      <c r="F205" s="11">
        <v>21.0</v>
      </c>
      <c r="G205" s="11" t="s">
        <v>188</v>
      </c>
      <c r="H205" s="11" t="s">
        <v>188</v>
      </c>
      <c r="I205" s="11" t="s">
        <v>955</v>
      </c>
      <c r="J205" s="11" t="s">
        <v>260</v>
      </c>
      <c r="K205" s="11" t="s">
        <v>392</v>
      </c>
    </row>
    <row r="206">
      <c r="A206" s="11" t="s">
        <v>952</v>
      </c>
      <c r="B206" s="11" t="s">
        <v>388</v>
      </c>
      <c r="C206" s="11" t="s">
        <v>996</v>
      </c>
      <c r="D206" s="11" t="s">
        <v>981</v>
      </c>
      <c r="E206" s="11">
        <v>1992.0</v>
      </c>
      <c r="F206" s="11">
        <v>23.0</v>
      </c>
      <c r="G206" s="11" t="s">
        <v>188</v>
      </c>
      <c r="H206" s="11" t="s">
        <v>188</v>
      </c>
      <c r="I206" s="11" t="s">
        <v>955</v>
      </c>
      <c r="J206" s="11" t="s">
        <v>260</v>
      </c>
      <c r="K206" s="11" t="s">
        <v>392</v>
      </c>
    </row>
    <row r="207">
      <c r="A207" s="11" t="s">
        <v>952</v>
      </c>
      <c r="B207" s="11" t="s">
        <v>388</v>
      </c>
      <c r="C207" s="11" t="s">
        <v>996</v>
      </c>
      <c r="D207" s="11" t="s">
        <v>981</v>
      </c>
      <c r="E207" s="11">
        <v>1993.0</v>
      </c>
      <c r="F207" s="11">
        <v>24.0</v>
      </c>
      <c r="G207" s="11" t="s">
        <v>188</v>
      </c>
      <c r="H207" s="11" t="s">
        <v>188</v>
      </c>
      <c r="I207" s="11" t="s">
        <v>955</v>
      </c>
      <c r="J207" s="11" t="s">
        <v>260</v>
      </c>
      <c r="K207" s="11" t="s">
        <v>392</v>
      </c>
    </row>
    <row r="208">
      <c r="A208" s="11" t="s">
        <v>952</v>
      </c>
      <c r="B208" s="11" t="s">
        <v>388</v>
      </c>
      <c r="C208" s="11" t="s">
        <v>996</v>
      </c>
      <c r="D208" s="11" t="s">
        <v>981</v>
      </c>
      <c r="E208" s="11">
        <v>1995.0</v>
      </c>
      <c r="F208" s="11">
        <v>23.0</v>
      </c>
      <c r="G208" s="11" t="s">
        <v>188</v>
      </c>
      <c r="H208" s="11" t="s">
        <v>188</v>
      </c>
      <c r="I208" s="11" t="s">
        <v>955</v>
      </c>
      <c r="J208" s="11" t="s">
        <v>260</v>
      </c>
      <c r="K208" s="11" t="s">
        <v>392</v>
      </c>
    </row>
    <row r="209">
      <c r="A209" s="11" t="s">
        <v>952</v>
      </c>
      <c r="B209" s="11" t="s">
        <v>388</v>
      </c>
      <c r="C209" s="11" t="s">
        <v>996</v>
      </c>
      <c r="D209" s="11" t="s">
        <v>981</v>
      </c>
      <c r="E209" s="11">
        <v>1994.0</v>
      </c>
      <c r="F209" s="11">
        <v>29.0</v>
      </c>
      <c r="G209" s="11" t="s">
        <v>188</v>
      </c>
      <c r="H209" s="11" t="s">
        <v>188</v>
      </c>
      <c r="I209" s="11" t="s">
        <v>955</v>
      </c>
      <c r="J209" s="11" t="s">
        <v>260</v>
      </c>
      <c r="K209" s="11" t="s">
        <v>392</v>
      </c>
    </row>
    <row r="210">
      <c r="A210" s="11" t="s">
        <v>952</v>
      </c>
      <c r="B210" s="11" t="s">
        <v>388</v>
      </c>
      <c r="C210" s="11" t="s">
        <v>996</v>
      </c>
      <c r="D210" s="11" t="s">
        <v>981</v>
      </c>
      <c r="E210" s="11">
        <v>1996.0</v>
      </c>
      <c r="F210" s="11">
        <v>34.0</v>
      </c>
      <c r="G210" s="11" t="s">
        <v>188</v>
      </c>
      <c r="H210" s="11" t="s">
        <v>188</v>
      </c>
      <c r="I210" s="11" t="s">
        <v>955</v>
      </c>
      <c r="J210" s="11" t="s">
        <v>260</v>
      </c>
      <c r="K210" s="11" t="s">
        <v>392</v>
      </c>
    </row>
    <row r="211">
      <c r="A211" s="11" t="s">
        <v>952</v>
      </c>
      <c r="B211" s="11" t="s">
        <v>388</v>
      </c>
      <c r="C211" s="11" t="s">
        <v>996</v>
      </c>
      <c r="D211" s="11" t="s">
        <v>981</v>
      </c>
      <c r="E211" s="11">
        <v>1997.0</v>
      </c>
      <c r="F211" s="11">
        <v>34.0</v>
      </c>
      <c r="G211" s="11" t="s">
        <v>188</v>
      </c>
      <c r="H211" s="11" t="s">
        <v>188</v>
      </c>
      <c r="I211" s="11" t="s">
        <v>955</v>
      </c>
      <c r="J211" s="11" t="s">
        <v>260</v>
      </c>
      <c r="K211" s="11" t="s">
        <v>392</v>
      </c>
    </row>
    <row r="212">
      <c r="A212" s="11" t="s">
        <v>952</v>
      </c>
      <c r="B212" s="11" t="s">
        <v>388</v>
      </c>
      <c r="C212" s="11" t="s">
        <v>996</v>
      </c>
      <c r="D212" s="11" t="s">
        <v>981</v>
      </c>
      <c r="E212" s="11">
        <v>1998.0</v>
      </c>
      <c r="F212" s="11">
        <v>37.0</v>
      </c>
      <c r="G212" s="11" t="s">
        <v>188</v>
      </c>
      <c r="H212" s="11" t="s">
        <v>188</v>
      </c>
      <c r="I212" s="11" t="s">
        <v>955</v>
      </c>
      <c r="J212" s="11" t="s">
        <v>260</v>
      </c>
      <c r="K212" s="11" t="s">
        <v>392</v>
      </c>
    </row>
    <row r="213">
      <c r="A213" s="11" t="s">
        <v>952</v>
      </c>
      <c r="B213" s="11" t="s">
        <v>388</v>
      </c>
      <c r="C213" s="11" t="s">
        <v>996</v>
      </c>
      <c r="D213" s="11" t="s">
        <v>981</v>
      </c>
      <c r="E213" s="11">
        <v>1999.0</v>
      </c>
      <c r="F213" s="11">
        <v>35.0</v>
      </c>
      <c r="G213" s="11" t="s">
        <v>188</v>
      </c>
      <c r="H213" s="11" t="s">
        <v>188</v>
      </c>
      <c r="I213" s="11" t="s">
        <v>955</v>
      </c>
      <c r="J213" s="11" t="s">
        <v>260</v>
      </c>
      <c r="K213" s="11" t="s">
        <v>392</v>
      </c>
    </row>
    <row r="214">
      <c r="A214" s="11" t="s">
        <v>952</v>
      </c>
      <c r="B214" s="11" t="s">
        <v>388</v>
      </c>
      <c r="C214" s="11" t="s">
        <v>996</v>
      </c>
      <c r="D214" s="11" t="s">
        <v>981</v>
      </c>
      <c r="E214" s="11">
        <v>2000.0</v>
      </c>
      <c r="F214" s="11">
        <v>45.0</v>
      </c>
      <c r="G214" s="11" t="s">
        <v>188</v>
      </c>
      <c r="H214" s="11" t="s">
        <v>188</v>
      </c>
      <c r="I214" s="11" t="s">
        <v>955</v>
      </c>
      <c r="J214" s="11" t="s">
        <v>260</v>
      </c>
      <c r="K214" s="11" t="s">
        <v>392</v>
      </c>
    </row>
    <row r="215">
      <c r="A215" s="11" t="s">
        <v>952</v>
      </c>
      <c r="B215" s="11" t="s">
        <v>388</v>
      </c>
      <c r="C215" s="11" t="s">
        <v>996</v>
      </c>
      <c r="D215" s="11" t="s">
        <v>981</v>
      </c>
      <c r="E215" s="11">
        <v>2001.0</v>
      </c>
      <c r="F215" s="11">
        <v>48.0</v>
      </c>
      <c r="G215" s="11" t="s">
        <v>188</v>
      </c>
      <c r="H215" s="11" t="s">
        <v>188</v>
      </c>
      <c r="I215" s="11" t="s">
        <v>955</v>
      </c>
      <c r="J215" s="11" t="s">
        <v>260</v>
      </c>
      <c r="K215" s="11" t="s">
        <v>392</v>
      </c>
    </row>
    <row r="216">
      <c r="A216" s="11" t="s">
        <v>952</v>
      </c>
      <c r="B216" s="11" t="s">
        <v>388</v>
      </c>
      <c r="C216" s="11" t="s">
        <v>996</v>
      </c>
      <c r="D216" s="11" t="s">
        <v>981</v>
      </c>
      <c r="E216" s="11">
        <v>2002.0</v>
      </c>
      <c r="F216" s="11">
        <v>48.0</v>
      </c>
      <c r="G216" s="11" t="s">
        <v>188</v>
      </c>
      <c r="H216" s="11" t="s">
        <v>188</v>
      </c>
      <c r="I216" s="11" t="s">
        <v>955</v>
      </c>
      <c r="J216" s="11" t="s">
        <v>260</v>
      </c>
      <c r="K216" s="11" t="s">
        <v>392</v>
      </c>
    </row>
    <row r="217">
      <c r="A217" s="11" t="s">
        <v>952</v>
      </c>
      <c r="B217" s="11" t="s">
        <v>388</v>
      </c>
      <c r="C217" s="11" t="s">
        <v>996</v>
      </c>
      <c r="D217" s="11" t="s">
        <v>981</v>
      </c>
      <c r="E217" s="11">
        <v>2003.0</v>
      </c>
      <c r="F217" s="11">
        <v>58.0</v>
      </c>
      <c r="G217" s="11" t="s">
        <v>188</v>
      </c>
      <c r="H217" s="11" t="s">
        <v>188</v>
      </c>
      <c r="I217" s="11" t="s">
        <v>955</v>
      </c>
      <c r="J217" s="11" t="s">
        <v>260</v>
      </c>
      <c r="K217" s="11" t="s">
        <v>392</v>
      </c>
    </row>
    <row r="218">
      <c r="A218" s="11" t="s">
        <v>952</v>
      </c>
      <c r="B218" s="11" t="s">
        <v>388</v>
      </c>
      <c r="C218" s="11" t="s">
        <v>996</v>
      </c>
      <c r="D218" s="11" t="s">
        <v>981</v>
      </c>
      <c r="E218" s="11">
        <v>2004.0</v>
      </c>
      <c r="F218" s="11">
        <v>60.0</v>
      </c>
      <c r="G218" s="11" t="s">
        <v>188</v>
      </c>
      <c r="H218" s="11" t="s">
        <v>188</v>
      </c>
      <c r="I218" s="11" t="s">
        <v>955</v>
      </c>
      <c r="J218" s="11" t="s">
        <v>260</v>
      </c>
      <c r="K218" s="11" t="s">
        <v>392</v>
      </c>
    </row>
    <row r="219">
      <c r="A219" s="11" t="s">
        <v>952</v>
      </c>
      <c r="B219" s="11" t="s">
        <v>388</v>
      </c>
      <c r="C219" s="11" t="s">
        <v>996</v>
      </c>
      <c r="D219" s="11" t="s">
        <v>981</v>
      </c>
      <c r="E219" s="11">
        <v>2005.0</v>
      </c>
      <c r="F219" s="11">
        <v>61.0</v>
      </c>
      <c r="G219" s="11" t="s">
        <v>188</v>
      </c>
      <c r="H219" s="11" t="s">
        <v>188</v>
      </c>
      <c r="I219" s="11" t="s">
        <v>955</v>
      </c>
      <c r="J219" s="11" t="s">
        <v>260</v>
      </c>
      <c r="K219" s="11" t="s">
        <v>392</v>
      </c>
    </row>
    <row r="220">
      <c r="A220" s="11" t="s">
        <v>952</v>
      </c>
      <c r="B220" s="11" t="s">
        <v>388</v>
      </c>
      <c r="C220" s="11" t="s">
        <v>996</v>
      </c>
      <c r="D220" s="11" t="s">
        <v>981</v>
      </c>
      <c r="E220" s="11">
        <v>2006.0</v>
      </c>
      <c r="F220" s="11">
        <v>59.0</v>
      </c>
      <c r="G220" s="11" t="s">
        <v>188</v>
      </c>
      <c r="H220" s="11" t="s">
        <v>188</v>
      </c>
      <c r="I220" s="11" t="s">
        <v>955</v>
      </c>
      <c r="J220" s="11" t="s">
        <v>260</v>
      </c>
      <c r="K220" s="11" t="s">
        <v>392</v>
      </c>
    </row>
    <row r="221">
      <c r="A221" s="11" t="s">
        <v>952</v>
      </c>
      <c r="B221" s="11" t="s">
        <v>388</v>
      </c>
      <c r="C221" s="11" t="s">
        <v>996</v>
      </c>
      <c r="D221" s="11" t="s">
        <v>981</v>
      </c>
      <c r="E221" s="11">
        <v>2007.0</v>
      </c>
      <c r="F221" s="11">
        <v>66.0</v>
      </c>
      <c r="G221" s="11" t="s">
        <v>188</v>
      </c>
      <c r="H221" s="11" t="s">
        <v>188</v>
      </c>
      <c r="I221" s="11" t="s">
        <v>955</v>
      </c>
      <c r="J221" s="11" t="s">
        <v>260</v>
      </c>
      <c r="K221" s="11" t="s">
        <v>392</v>
      </c>
    </row>
    <row r="222">
      <c r="A222" s="11" t="s">
        <v>952</v>
      </c>
      <c r="B222" s="11" t="s">
        <v>388</v>
      </c>
      <c r="C222" s="11" t="s">
        <v>996</v>
      </c>
      <c r="D222" s="11" t="s">
        <v>981</v>
      </c>
      <c r="E222" s="11">
        <v>2008.0</v>
      </c>
      <c r="F222" s="11">
        <v>70.0</v>
      </c>
      <c r="G222" s="11" t="s">
        <v>188</v>
      </c>
      <c r="H222" s="11" t="s">
        <v>188</v>
      </c>
      <c r="I222" s="11" t="s">
        <v>955</v>
      </c>
      <c r="J222" s="11" t="s">
        <v>260</v>
      </c>
      <c r="K222" s="11" t="s">
        <v>392</v>
      </c>
    </row>
    <row r="223">
      <c r="A223" s="11" t="s">
        <v>952</v>
      </c>
      <c r="B223" s="11" t="s">
        <v>388</v>
      </c>
      <c r="C223" s="11" t="s">
        <v>996</v>
      </c>
      <c r="D223" s="11" t="s">
        <v>981</v>
      </c>
      <c r="E223" s="11">
        <v>2009.0</v>
      </c>
      <c r="F223" s="11">
        <v>76.0</v>
      </c>
      <c r="G223" s="11" t="s">
        <v>188</v>
      </c>
      <c r="H223" s="11" t="s">
        <v>188</v>
      </c>
      <c r="I223" s="11" t="s">
        <v>955</v>
      </c>
      <c r="J223" s="11" t="s">
        <v>260</v>
      </c>
      <c r="K223" s="11" t="s">
        <v>392</v>
      </c>
    </row>
    <row r="224">
      <c r="A224" s="11" t="s">
        <v>952</v>
      </c>
      <c r="B224" s="11" t="s">
        <v>388</v>
      </c>
      <c r="C224" s="11" t="s">
        <v>996</v>
      </c>
      <c r="D224" s="11" t="s">
        <v>981</v>
      </c>
      <c r="E224" s="11">
        <v>2010.0</v>
      </c>
      <c r="F224" s="11">
        <v>76.0</v>
      </c>
      <c r="G224" s="11" t="s">
        <v>188</v>
      </c>
      <c r="H224" s="11" t="s">
        <v>188</v>
      </c>
      <c r="I224" s="11" t="s">
        <v>955</v>
      </c>
      <c r="J224" s="11" t="s">
        <v>260</v>
      </c>
      <c r="K224" s="11" t="s">
        <v>392</v>
      </c>
    </row>
    <row r="225">
      <c r="A225" s="11" t="s">
        <v>952</v>
      </c>
      <c r="B225" s="11" t="s">
        <v>388</v>
      </c>
      <c r="C225" s="11" t="s">
        <v>996</v>
      </c>
      <c r="D225" s="11" t="s">
        <v>981</v>
      </c>
      <c r="E225" s="11">
        <v>2011.0</v>
      </c>
      <c r="F225" s="11">
        <v>80.0</v>
      </c>
      <c r="G225" s="11" t="s">
        <v>188</v>
      </c>
      <c r="H225" s="11" t="s">
        <v>188</v>
      </c>
      <c r="I225" s="11" t="s">
        <v>955</v>
      </c>
      <c r="J225" s="11" t="s">
        <v>260</v>
      </c>
      <c r="K225" s="11" t="s">
        <v>392</v>
      </c>
    </row>
    <row r="226">
      <c r="A226" s="11" t="s">
        <v>952</v>
      </c>
      <c r="B226" s="11" t="s">
        <v>388</v>
      </c>
      <c r="C226" s="11" t="s">
        <v>996</v>
      </c>
      <c r="D226" s="11" t="s">
        <v>981</v>
      </c>
      <c r="E226" s="11">
        <v>2012.0</v>
      </c>
      <c r="F226" s="11">
        <v>84.0</v>
      </c>
      <c r="G226" s="11" t="s">
        <v>188</v>
      </c>
      <c r="H226" s="11" t="s">
        <v>188</v>
      </c>
      <c r="I226" s="11" t="s">
        <v>955</v>
      </c>
      <c r="J226" s="11" t="s">
        <v>260</v>
      </c>
      <c r="K226" s="11" t="s">
        <v>392</v>
      </c>
    </row>
    <row r="227">
      <c r="A227" s="11" t="s">
        <v>952</v>
      </c>
      <c r="B227" s="11" t="s">
        <v>388</v>
      </c>
      <c r="C227" s="11" t="s">
        <v>996</v>
      </c>
      <c r="D227" s="11" t="s">
        <v>981</v>
      </c>
      <c r="E227" s="11">
        <v>2013.0</v>
      </c>
      <c r="F227" s="11">
        <v>85.0</v>
      </c>
      <c r="G227" s="11" t="s">
        <v>188</v>
      </c>
      <c r="H227" s="11" t="s">
        <v>188</v>
      </c>
      <c r="I227" s="11" t="s">
        <v>955</v>
      </c>
      <c r="J227" s="11" t="s">
        <v>260</v>
      </c>
      <c r="K227" s="11" t="s">
        <v>392</v>
      </c>
    </row>
    <row r="228">
      <c r="A228" s="11" t="s">
        <v>952</v>
      </c>
      <c r="B228" s="11" t="s">
        <v>388</v>
      </c>
      <c r="C228" s="11" t="s">
        <v>996</v>
      </c>
      <c r="D228" s="11" t="s">
        <v>981</v>
      </c>
      <c r="E228" s="11">
        <v>2014.0</v>
      </c>
      <c r="F228" s="11">
        <v>87.0</v>
      </c>
      <c r="G228" s="11" t="s">
        <v>188</v>
      </c>
      <c r="H228" s="11" t="s">
        <v>188</v>
      </c>
      <c r="I228" s="11" t="s">
        <v>955</v>
      </c>
      <c r="J228" s="11" t="s">
        <v>260</v>
      </c>
      <c r="K228" s="11" t="s">
        <v>392</v>
      </c>
    </row>
    <row r="229">
      <c r="A229" s="11" t="s">
        <v>952</v>
      </c>
      <c r="B229" s="11" t="s">
        <v>388</v>
      </c>
      <c r="C229" s="11" t="s">
        <v>996</v>
      </c>
      <c r="D229" s="11" t="s">
        <v>981</v>
      </c>
      <c r="E229" s="11">
        <v>2015.0</v>
      </c>
      <c r="F229" s="11">
        <v>90.0</v>
      </c>
      <c r="G229" s="11" t="s">
        <v>188</v>
      </c>
      <c r="H229" s="11" t="s">
        <v>188</v>
      </c>
      <c r="I229" s="11" t="s">
        <v>955</v>
      </c>
      <c r="J229" s="11" t="s">
        <v>260</v>
      </c>
      <c r="K229" s="11" t="s">
        <v>392</v>
      </c>
    </row>
    <row r="230">
      <c r="A230" s="11" t="s">
        <v>952</v>
      </c>
      <c r="B230" s="11" t="s">
        <v>388</v>
      </c>
      <c r="C230" s="11" t="s">
        <v>996</v>
      </c>
      <c r="D230" s="11" t="s">
        <v>981</v>
      </c>
      <c r="E230" s="11">
        <v>2016.0</v>
      </c>
      <c r="F230" s="11">
        <v>92.0</v>
      </c>
      <c r="G230" s="11" t="s">
        <v>188</v>
      </c>
      <c r="H230" s="11" t="s">
        <v>188</v>
      </c>
      <c r="I230" s="11" t="s">
        <v>955</v>
      </c>
      <c r="J230" s="11" t="s">
        <v>260</v>
      </c>
      <c r="K230" s="11" t="s">
        <v>392</v>
      </c>
    </row>
    <row r="231">
      <c r="A231" s="11" t="s">
        <v>952</v>
      </c>
      <c r="B231" s="11" t="s">
        <v>388</v>
      </c>
      <c r="C231" s="11" t="s">
        <v>996</v>
      </c>
      <c r="D231" s="11" t="s">
        <v>981</v>
      </c>
      <c r="E231" s="11">
        <v>2017.0</v>
      </c>
      <c r="F231" s="11">
        <v>95.0</v>
      </c>
      <c r="G231" s="11" t="s">
        <v>188</v>
      </c>
      <c r="H231" s="11" t="s">
        <v>188</v>
      </c>
      <c r="I231" s="11" t="s">
        <v>955</v>
      </c>
      <c r="J231" s="11" t="s">
        <v>260</v>
      </c>
      <c r="K231" s="11" t="s">
        <v>392</v>
      </c>
    </row>
    <row r="232">
      <c r="A232" s="11" t="s">
        <v>952</v>
      </c>
      <c r="B232" s="11" t="s">
        <v>388</v>
      </c>
      <c r="C232" s="11" t="s">
        <v>996</v>
      </c>
      <c r="D232" s="11" t="s">
        <v>981</v>
      </c>
      <c r="E232" s="11">
        <v>2018.0</v>
      </c>
      <c r="F232" s="11">
        <v>95.0</v>
      </c>
      <c r="G232" s="11" t="s">
        <v>188</v>
      </c>
      <c r="H232" s="11" t="s">
        <v>188</v>
      </c>
      <c r="I232" s="11" t="s">
        <v>955</v>
      </c>
      <c r="J232" s="11" t="s">
        <v>260</v>
      </c>
      <c r="K232" s="11" t="s">
        <v>392</v>
      </c>
    </row>
    <row r="233">
      <c r="A233" s="11" t="s">
        <v>952</v>
      </c>
      <c r="B233" s="11" t="s">
        <v>388</v>
      </c>
      <c r="C233" s="11" t="s">
        <v>996</v>
      </c>
      <c r="D233" s="11" t="s">
        <v>981</v>
      </c>
      <c r="E233" s="11">
        <v>2019.0</v>
      </c>
      <c r="F233" s="11">
        <v>97.0</v>
      </c>
      <c r="G233" s="11" t="s">
        <v>188</v>
      </c>
      <c r="H233" s="11" t="s">
        <v>188</v>
      </c>
      <c r="I233" s="11" t="s">
        <v>955</v>
      </c>
      <c r="J233" s="11" t="s">
        <v>260</v>
      </c>
      <c r="K233" s="11" t="s">
        <v>392</v>
      </c>
    </row>
    <row r="234">
      <c r="A234" s="11" t="s">
        <v>952</v>
      </c>
      <c r="B234" s="11" t="s">
        <v>388</v>
      </c>
      <c r="C234" s="11" t="s">
        <v>996</v>
      </c>
      <c r="D234" s="11" t="s">
        <v>981</v>
      </c>
      <c r="E234" s="11">
        <v>2020.0</v>
      </c>
      <c r="F234" s="11">
        <v>99.0</v>
      </c>
      <c r="G234" s="11" t="s">
        <v>188</v>
      </c>
      <c r="H234" s="11" t="s">
        <v>188</v>
      </c>
      <c r="I234" s="11" t="s">
        <v>955</v>
      </c>
      <c r="J234" s="11" t="s">
        <v>260</v>
      </c>
      <c r="K234" s="11" t="s">
        <v>392</v>
      </c>
    </row>
    <row r="235">
      <c r="A235" s="11" t="s">
        <v>952</v>
      </c>
      <c r="B235" s="11" t="s">
        <v>388</v>
      </c>
      <c r="C235" s="11" t="s">
        <v>996</v>
      </c>
      <c r="D235" s="11" t="s">
        <v>981</v>
      </c>
      <c r="E235" s="11">
        <v>2021.0</v>
      </c>
      <c r="F235" s="11">
        <v>99.0</v>
      </c>
      <c r="G235" s="11" t="s">
        <v>188</v>
      </c>
      <c r="H235" s="11" t="s">
        <v>188</v>
      </c>
      <c r="I235" s="11" t="s">
        <v>955</v>
      </c>
      <c r="J235" s="11" t="s">
        <v>260</v>
      </c>
      <c r="K235" s="11" t="s">
        <v>392</v>
      </c>
    </row>
    <row r="236">
      <c r="A236" s="11" t="s">
        <v>952</v>
      </c>
      <c r="B236" s="11" t="s">
        <v>388</v>
      </c>
      <c r="C236" s="11" t="s">
        <v>953</v>
      </c>
      <c r="D236" s="11" t="s">
        <v>981</v>
      </c>
      <c r="E236" s="11">
        <v>1960.0</v>
      </c>
      <c r="F236" s="11">
        <v>4.0</v>
      </c>
      <c r="G236" s="11" t="s">
        <v>188</v>
      </c>
      <c r="H236" s="11" t="s">
        <v>188</v>
      </c>
      <c r="I236" s="11" t="s">
        <v>1013</v>
      </c>
      <c r="J236" s="11" t="s">
        <v>260</v>
      </c>
      <c r="K236" s="11" t="s">
        <v>392</v>
      </c>
    </row>
    <row r="237">
      <c r="A237" s="11" t="s">
        <v>952</v>
      </c>
      <c r="B237" s="11" t="s">
        <v>388</v>
      </c>
      <c r="C237" s="11" t="s">
        <v>953</v>
      </c>
      <c r="D237" s="11" t="s">
        <v>981</v>
      </c>
      <c r="E237" s="11">
        <v>1961.0</v>
      </c>
      <c r="F237" s="11">
        <v>6.0</v>
      </c>
      <c r="G237" s="11" t="s">
        <v>188</v>
      </c>
      <c r="H237" s="11" t="s">
        <v>188</v>
      </c>
      <c r="I237" s="11" t="s">
        <v>1013</v>
      </c>
      <c r="J237" s="11" t="s">
        <v>260</v>
      </c>
      <c r="K237" s="11" t="s">
        <v>392</v>
      </c>
    </row>
    <row r="238">
      <c r="A238" s="11" t="s">
        <v>952</v>
      </c>
      <c r="B238" s="11" t="s">
        <v>388</v>
      </c>
      <c r="C238" s="11" t="s">
        <v>953</v>
      </c>
      <c r="D238" s="11" t="s">
        <v>981</v>
      </c>
      <c r="E238" s="11">
        <v>1962.0</v>
      </c>
      <c r="F238" s="11">
        <v>6.0</v>
      </c>
      <c r="G238" s="11" t="s">
        <v>188</v>
      </c>
      <c r="H238" s="11" t="s">
        <v>188</v>
      </c>
      <c r="I238" s="11" t="s">
        <v>1013</v>
      </c>
      <c r="J238" s="11" t="s">
        <v>260</v>
      </c>
      <c r="K238" s="11" t="s">
        <v>392</v>
      </c>
    </row>
    <row r="239">
      <c r="A239" s="11" t="s">
        <v>952</v>
      </c>
      <c r="B239" s="11" t="s">
        <v>388</v>
      </c>
      <c r="C239" s="11" t="s">
        <v>953</v>
      </c>
      <c r="D239" s="11" t="s">
        <v>981</v>
      </c>
      <c r="E239" s="11">
        <v>1963.0</v>
      </c>
      <c r="F239" s="11">
        <v>6.0</v>
      </c>
      <c r="G239" s="11" t="s">
        <v>188</v>
      </c>
      <c r="H239" s="11" t="s">
        <v>188</v>
      </c>
      <c r="I239" s="11" t="s">
        <v>1013</v>
      </c>
      <c r="J239" s="11" t="s">
        <v>260</v>
      </c>
      <c r="K239" s="11" t="s">
        <v>392</v>
      </c>
    </row>
    <row r="240">
      <c r="A240" s="11" t="s">
        <v>952</v>
      </c>
      <c r="B240" s="11" t="s">
        <v>388</v>
      </c>
      <c r="C240" s="11" t="s">
        <v>953</v>
      </c>
      <c r="D240" s="11" t="s">
        <v>981</v>
      </c>
      <c r="E240" s="11">
        <v>1964.0</v>
      </c>
      <c r="F240" s="11">
        <v>6.0</v>
      </c>
      <c r="G240" s="11" t="s">
        <v>188</v>
      </c>
      <c r="H240" s="11" t="s">
        <v>188</v>
      </c>
      <c r="I240" s="11" t="s">
        <v>1013</v>
      </c>
      <c r="J240" s="11" t="s">
        <v>260</v>
      </c>
      <c r="K240" s="11" t="s">
        <v>392</v>
      </c>
    </row>
    <row r="241">
      <c r="A241" s="11" t="s">
        <v>952</v>
      </c>
      <c r="B241" s="11" t="s">
        <v>388</v>
      </c>
      <c r="C241" s="11" t="s">
        <v>953</v>
      </c>
      <c r="D241" s="11" t="s">
        <v>981</v>
      </c>
      <c r="E241" s="11">
        <v>1966.0</v>
      </c>
      <c r="F241" s="11">
        <v>4.0</v>
      </c>
      <c r="G241" s="11" t="s">
        <v>188</v>
      </c>
      <c r="H241" s="11" t="s">
        <v>188</v>
      </c>
      <c r="I241" s="11" t="s">
        <v>1013</v>
      </c>
      <c r="J241" s="11" t="s">
        <v>260</v>
      </c>
      <c r="K241" s="11" t="s">
        <v>392</v>
      </c>
    </row>
    <row r="242">
      <c r="A242" s="11" t="s">
        <v>952</v>
      </c>
      <c r="B242" s="11" t="s">
        <v>388</v>
      </c>
      <c r="C242" s="11" t="s">
        <v>953</v>
      </c>
      <c r="D242" s="11" t="s">
        <v>981</v>
      </c>
      <c r="E242" s="11">
        <v>1967.0</v>
      </c>
      <c r="F242" s="11">
        <v>6.0</v>
      </c>
      <c r="G242" s="11" t="s">
        <v>188</v>
      </c>
      <c r="H242" s="11" t="s">
        <v>188</v>
      </c>
      <c r="I242" s="11" t="s">
        <v>1013</v>
      </c>
      <c r="J242" s="11" t="s">
        <v>260</v>
      </c>
      <c r="K242" s="11" t="s">
        <v>392</v>
      </c>
    </row>
    <row r="243">
      <c r="A243" s="11" t="s">
        <v>952</v>
      </c>
      <c r="B243" s="11" t="s">
        <v>388</v>
      </c>
      <c r="C243" s="11" t="s">
        <v>953</v>
      </c>
      <c r="D243" s="11" t="s">
        <v>981</v>
      </c>
      <c r="E243" s="11">
        <v>1968.0</v>
      </c>
      <c r="F243" s="11">
        <v>6.0</v>
      </c>
      <c r="G243" s="11" t="s">
        <v>188</v>
      </c>
      <c r="H243" s="11" t="s">
        <v>188</v>
      </c>
      <c r="I243" s="11" t="s">
        <v>1013</v>
      </c>
      <c r="J243" s="11" t="s">
        <v>260</v>
      </c>
      <c r="K243" s="11" t="s">
        <v>392</v>
      </c>
    </row>
    <row r="244">
      <c r="A244" s="11" t="s">
        <v>952</v>
      </c>
      <c r="B244" s="11" t="s">
        <v>388</v>
      </c>
      <c r="C244" s="11" t="s">
        <v>953</v>
      </c>
      <c r="D244" s="11" t="s">
        <v>981</v>
      </c>
      <c r="E244" s="11">
        <v>1969.0</v>
      </c>
      <c r="F244" s="11">
        <v>6.0</v>
      </c>
      <c r="G244" s="11" t="s">
        <v>188</v>
      </c>
      <c r="H244" s="11" t="s">
        <v>188</v>
      </c>
      <c r="I244" s="11" t="s">
        <v>1013</v>
      </c>
      <c r="J244" s="11" t="s">
        <v>260</v>
      </c>
      <c r="K244" s="11" t="s">
        <v>392</v>
      </c>
    </row>
    <row r="245">
      <c r="A245" s="11" t="s">
        <v>952</v>
      </c>
      <c r="B245" s="11" t="s">
        <v>388</v>
      </c>
      <c r="C245" s="11" t="s">
        <v>953</v>
      </c>
      <c r="D245" s="11" t="s">
        <v>981</v>
      </c>
      <c r="E245" s="11">
        <v>1970.0</v>
      </c>
      <c r="F245" s="11">
        <v>6.0</v>
      </c>
      <c r="G245" s="11" t="s">
        <v>188</v>
      </c>
      <c r="H245" s="11" t="s">
        <v>188</v>
      </c>
      <c r="I245" s="11" t="s">
        <v>1013</v>
      </c>
      <c r="J245" s="11" t="s">
        <v>260</v>
      </c>
      <c r="K245" s="11" t="s">
        <v>392</v>
      </c>
    </row>
    <row r="246">
      <c r="A246" s="11" t="s">
        <v>952</v>
      </c>
      <c r="B246" s="11" t="s">
        <v>388</v>
      </c>
      <c r="C246" s="11" t="s">
        <v>953</v>
      </c>
      <c r="D246" s="11" t="s">
        <v>981</v>
      </c>
      <c r="E246" s="11">
        <v>1971.0</v>
      </c>
      <c r="F246" s="11">
        <v>8.0</v>
      </c>
      <c r="G246" s="11" t="s">
        <v>188</v>
      </c>
      <c r="H246" s="11" t="s">
        <v>188</v>
      </c>
      <c r="I246" s="11" t="s">
        <v>1013</v>
      </c>
      <c r="J246" s="11" t="s">
        <v>260</v>
      </c>
      <c r="K246" s="11" t="s">
        <v>392</v>
      </c>
    </row>
    <row r="247">
      <c r="A247" s="11" t="s">
        <v>952</v>
      </c>
      <c r="B247" s="11" t="s">
        <v>388</v>
      </c>
      <c r="C247" s="11" t="s">
        <v>953</v>
      </c>
      <c r="D247" s="11" t="s">
        <v>981</v>
      </c>
      <c r="E247" s="11">
        <v>1973.0</v>
      </c>
      <c r="F247" s="11">
        <v>8.0</v>
      </c>
      <c r="G247" s="11" t="s">
        <v>188</v>
      </c>
      <c r="H247" s="11" t="s">
        <v>188</v>
      </c>
      <c r="I247" s="11" t="s">
        <v>1013</v>
      </c>
      <c r="J247" s="11" t="s">
        <v>260</v>
      </c>
      <c r="K247" s="11" t="s">
        <v>392</v>
      </c>
    </row>
    <row r="248">
      <c r="A248" s="11" t="s">
        <v>952</v>
      </c>
      <c r="B248" s="11" t="s">
        <v>388</v>
      </c>
      <c r="C248" s="11" t="s">
        <v>953</v>
      </c>
      <c r="D248" s="11" t="s">
        <v>981</v>
      </c>
      <c r="E248" s="11">
        <v>1974.0</v>
      </c>
      <c r="F248" s="11">
        <v>8.0</v>
      </c>
      <c r="G248" s="11" t="s">
        <v>188</v>
      </c>
      <c r="H248" s="11" t="s">
        <v>188</v>
      </c>
      <c r="I248" s="11" t="s">
        <v>1013</v>
      </c>
      <c r="J248" s="11" t="s">
        <v>260</v>
      </c>
      <c r="K248" s="11" t="s">
        <v>392</v>
      </c>
    </row>
    <row r="249">
      <c r="A249" s="11" t="s">
        <v>952</v>
      </c>
      <c r="B249" s="11" t="s">
        <v>388</v>
      </c>
      <c r="C249" s="11" t="s">
        <v>953</v>
      </c>
      <c r="D249" s="11" t="s">
        <v>981</v>
      </c>
      <c r="E249" s="11">
        <v>1975.0</v>
      </c>
      <c r="F249" s="11">
        <v>11.0</v>
      </c>
      <c r="G249" s="11" t="s">
        <v>188</v>
      </c>
      <c r="H249" s="11" t="s">
        <v>188</v>
      </c>
      <c r="I249" s="11" t="s">
        <v>1013</v>
      </c>
      <c r="J249" s="11" t="s">
        <v>260</v>
      </c>
      <c r="K249" s="11" t="s">
        <v>392</v>
      </c>
    </row>
    <row r="250">
      <c r="A250" s="11" t="s">
        <v>952</v>
      </c>
      <c r="B250" s="11" t="s">
        <v>388</v>
      </c>
      <c r="C250" s="11" t="s">
        <v>953</v>
      </c>
      <c r="D250" s="11" t="s">
        <v>981</v>
      </c>
      <c r="E250" s="11">
        <v>1977.0</v>
      </c>
      <c r="F250" s="11">
        <v>15.0</v>
      </c>
      <c r="G250" s="11" t="s">
        <v>188</v>
      </c>
      <c r="H250" s="11" t="s">
        <v>188</v>
      </c>
      <c r="I250" s="11" t="s">
        <v>1013</v>
      </c>
      <c r="J250" s="11" t="s">
        <v>260</v>
      </c>
      <c r="K250" s="11" t="s">
        <v>392</v>
      </c>
    </row>
    <row r="251">
      <c r="A251" s="11" t="s">
        <v>952</v>
      </c>
      <c r="B251" s="11" t="s">
        <v>388</v>
      </c>
      <c r="C251" s="11" t="s">
        <v>953</v>
      </c>
      <c r="D251" s="11" t="s">
        <v>981</v>
      </c>
      <c r="E251" s="11">
        <v>1978.0</v>
      </c>
      <c r="F251" s="11">
        <v>17.0</v>
      </c>
      <c r="G251" s="11" t="s">
        <v>188</v>
      </c>
      <c r="H251" s="11" t="s">
        <v>188</v>
      </c>
      <c r="I251" s="11" t="s">
        <v>1013</v>
      </c>
      <c r="J251" s="11" t="s">
        <v>260</v>
      </c>
      <c r="K251" s="11" t="s">
        <v>392</v>
      </c>
    </row>
    <row r="252">
      <c r="A252" s="11" t="s">
        <v>952</v>
      </c>
      <c r="B252" s="11" t="s">
        <v>388</v>
      </c>
      <c r="C252" s="11" t="s">
        <v>953</v>
      </c>
      <c r="D252" s="11" t="s">
        <v>981</v>
      </c>
      <c r="E252" s="11">
        <v>1979.0</v>
      </c>
      <c r="F252" s="11">
        <v>17.0</v>
      </c>
      <c r="G252" s="11" t="s">
        <v>188</v>
      </c>
      <c r="H252" s="11" t="s">
        <v>188</v>
      </c>
      <c r="I252" s="11" t="s">
        <v>1013</v>
      </c>
      <c r="J252" s="11" t="s">
        <v>260</v>
      </c>
      <c r="K252" s="11" t="s">
        <v>392</v>
      </c>
    </row>
    <row r="253">
      <c r="A253" s="11" t="s">
        <v>952</v>
      </c>
      <c r="B253" s="11" t="s">
        <v>388</v>
      </c>
      <c r="C253" s="11" t="s">
        <v>953</v>
      </c>
      <c r="D253" s="11" t="s">
        <v>981</v>
      </c>
      <c r="E253" s="11">
        <v>1980.0</v>
      </c>
      <c r="F253" s="11">
        <v>21.0</v>
      </c>
      <c r="G253" s="11" t="s">
        <v>188</v>
      </c>
      <c r="H253" s="11" t="s">
        <v>188</v>
      </c>
      <c r="I253" s="11" t="s">
        <v>1013</v>
      </c>
      <c r="J253" s="11" t="s">
        <v>260</v>
      </c>
      <c r="K253" s="11" t="s">
        <v>392</v>
      </c>
    </row>
    <row r="254">
      <c r="A254" s="11" t="s">
        <v>952</v>
      </c>
      <c r="B254" s="11" t="s">
        <v>388</v>
      </c>
      <c r="C254" s="11" t="s">
        <v>953</v>
      </c>
      <c r="D254" s="11" t="s">
        <v>981</v>
      </c>
      <c r="E254" s="11">
        <v>1981.0</v>
      </c>
      <c r="F254" s="11">
        <v>21.0</v>
      </c>
      <c r="G254" s="11" t="s">
        <v>188</v>
      </c>
      <c r="H254" s="11" t="s">
        <v>188</v>
      </c>
      <c r="I254" s="11" t="s">
        <v>1013</v>
      </c>
      <c r="J254" s="11" t="s">
        <v>260</v>
      </c>
      <c r="K254" s="11" t="s">
        <v>392</v>
      </c>
    </row>
    <row r="255">
      <c r="A255" s="11" t="s">
        <v>952</v>
      </c>
      <c r="B255" s="11" t="s">
        <v>388</v>
      </c>
      <c r="C255" s="11" t="s">
        <v>953</v>
      </c>
      <c r="D255" s="11" t="s">
        <v>981</v>
      </c>
      <c r="E255" s="11">
        <v>1982.0</v>
      </c>
      <c r="F255" s="11">
        <v>23.0</v>
      </c>
      <c r="G255" s="11" t="s">
        <v>188</v>
      </c>
      <c r="H255" s="11" t="s">
        <v>188</v>
      </c>
      <c r="I255" s="11" t="s">
        <v>1013</v>
      </c>
      <c r="J255" s="11" t="s">
        <v>260</v>
      </c>
      <c r="K255" s="11" t="s">
        <v>392</v>
      </c>
    </row>
    <row r="256">
      <c r="A256" s="11" t="s">
        <v>952</v>
      </c>
      <c r="B256" s="11" t="s">
        <v>388</v>
      </c>
      <c r="C256" s="11" t="s">
        <v>953</v>
      </c>
      <c r="D256" s="11" t="s">
        <v>981</v>
      </c>
      <c r="E256" s="11">
        <v>1983.0</v>
      </c>
      <c r="F256" s="11">
        <v>25.0</v>
      </c>
      <c r="G256" s="11" t="s">
        <v>188</v>
      </c>
      <c r="H256" s="11" t="s">
        <v>188</v>
      </c>
      <c r="I256" s="11" t="s">
        <v>1013</v>
      </c>
      <c r="J256" s="11" t="s">
        <v>260</v>
      </c>
      <c r="K256" s="11" t="s">
        <v>392</v>
      </c>
    </row>
    <row r="257">
      <c r="A257" s="11" t="s">
        <v>952</v>
      </c>
      <c r="B257" s="11" t="s">
        <v>388</v>
      </c>
      <c r="C257" s="11" t="s">
        <v>953</v>
      </c>
      <c r="D257" s="11" t="s">
        <v>981</v>
      </c>
      <c r="E257" s="11">
        <v>1984.0</v>
      </c>
      <c r="F257" s="11">
        <v>29.0</v>
      </c>
      <c r="G257" s="11" t="s">
        <v>188</v>
      </c>
      <c r="H257" s="11" t="s">
        <v>188</v>
      </c>
      <c r="I257" s="11" t="s">
        <v>1013</v>
      </c>
      <c r="J257" s="11" t="s">
        <v>260</v>
      </c>
      <c r="K257" s="11" t="s">
        <v>392</v>
      </c>
    </row>
    <row r="258">
      <c r="A258" s="11" t="s">
        <v>952</v>
      </c>
      <c r="B258" s="11" t="s">
        <v>388</v>
      </c>
      <c r="C258" s="11" t="s">
        <v>953</v>
      </c>
      <c r="D258" s="11" t="s">
        <v>981</v>
      </c>
      <c r="E258" s="11">
        <v>1985.0</v>
      </c>
      <c r="F258" s="11">
        <v>34.0</v>
      </c>
      <c r="G258" s="11" t="s">
        <v>188</v>
      </c>
      <c r="H258" s="11" t="s">
        <v>188</v>
      </c>
      <c r="I258" s="11" t="s">
        <v>1013</v>
      </c>
      <c r="J258" s="11" t="s">
        <v>260</v>
      </c>
      <c r="K258" s="11" t="s">
        <v>392</v>
      </c>
    </row>
    <row r="259">
      <c r="A259" s="11" t="s">
        <v>952</v>
      </c>
      <c r="B259" s="11" t="s">
        <v>388</v>
      </c>
      <c r="C259" s="11" t="s">
        <v>953</v>
      </c>
      <c r="D259" s="11" t="s">
        <v>981</v>
      </c>
      <c r="E259" s="11">
        <v>1986.0</v>
      </c>
      <c r="F259" s="11">
        <v>38.0</v>
      </c>
      <c r="G259" s="11" t="s">
        <v>188</v>
      </c>
      <c r="H259" s="11" t="s">
        <v>188</v>
      </c>
      <c r="I259" s="11" t="s">
        <v>1013</v>
      </c>
      <c r="J259" s="11" t="s">
        <v>260</v>
      </c>
      <c r="K259" s="11" t="s">
        <v>392</v>
      </c>
    </row>
    <row r="260">
      <c r="A260" s="11" t="s">
        <v>952</v>
      </c>
      <c r="B260" s="11" t="s">
        <v>388</v>
      </c>
      <c r="C260" s="11" t="s">
        <v>953</v>
      </c>
      <c r="D260" s="11" t="s">
        <v>981</v>
      </c>
      <c r="E260" s="11">
        <v>1987.0</v>
      </c>
      <c r="F260" s="11">
        <v>42.0</v>
      </c>
      <c r="G260" s="11" t="s">
        <v>188</v>
      </c>
      <c r="H260" s="11" t="s">
        <v>188</v>
      </c>
      <c r="I260" s="11" t="s">
        <v>1013</v>
      </c>
      <c r="J260" s="11" t="s">
        <v>260</v>
      </c>
      <c r="K260" s="11" t="s">
        <v>392</v>
      </c>
    </row>
    <row r="261">
      <c r="A261" s="11" t="s">
        <v>952</v>
      </c>
      <c r="B261" s="11" t="s">
        <v>388</v>
      </c>
      <c r="C261" s="11" t="s">
        <v>953</v>
      </c>
      <c r="D261" s="11" t="s">
        <v>981</v>
      </c>
      <c r="E261" s="11">
        <v>1988.0</v>
      </c>
      <c r="F261" s="11">
        <v>46.0</v>
      </c>
      <c r="G261" s="11" t="s">
        <v>188</v>
      </c>
      <c r="H261" s="11" t="s">
        <v>188</v>
      </c>
      <c r="I261" s="11" t="s">
        <v>1013</v>
      </c>
      <c r="J261" s="11" t="s">
        <v>260</v>
      </c>
      <c r="K261" s="11" t="s">
        <v>392</v>
      </c>
    </row>
    <row r="262">
      <c r="A262" s="11" t="s">
        <v>952</v>
      </c>
      <c r="B262" s="11" t="s">
        <v>388</v>
      </c>
      <c r="C262" s="11" t="s">
        <v>953</v>
      </c>
      <c r="D262" s="11" t="s">
        <v>981</v>
      </c>
      <c r="E262" s="11">
        <v>1989.0</v>
      </c>
      <c r="F262" s="11">
        <v>55.0</v>
      </c>
      <c r="G262" s="11" t="s">
        <v>188</v>
      </c>
      <c r="H262" s="11" t="s">
        <v>188</v>
      </c>
      <c r="I262" s="11" t="s">
        <v>1013</v>
      </c>
      <c r="J262" s="11" t="s">
        <v>260</v>
      </c>
      <c r="K262" s="11" t="s">
        <v>392</v>
      </c>
    </row>
    <row r="263">
      <c r="A263" s="11" t="s">
        <v>952</v>
      </c>
      <c r="B263" s="11" t="s">
        <v>388</v>
      </c>
      <c r="C263" s="11" t="s">
        <v>953</v>
      </c>
      <c r="D263" s="11" t="s">
        <v>981</v>
      </c>
      <c r="E263" s="11">
        <v>1990.0</v>
      </c>
      <c r="F263" s="11">
        <v>61.0</v>
      </c>
      <c r="G263" s="11" t="s">
        <v>188</v>
      </c>
      <c r="H263" s="11" t="s">
        <v>188</v>
      </c>
      <c r="I263" s="11" t="s">
        <v>1013</v>
      </c>
      <c r="J263" s="11" t="s">
        <v>260</v>
      </c>
      <c r="K263" s="11" t="s">
        <v>392</v>
      </c>
    </row>
    <row r="264">
      <c r="A264" s="11" t="s">
        <v>952</v>
      </c>
      <c r="B264" s="11" t="s">
        <v>388</v>
      </c>
      <c r="C264" s="11" t="s">
        <v>953</v>
      </c>
      <c r="D264" s="11" t="s">
        <v>981</v>
      </c>
      <c r="E264" s="11">
        <v>1991.0</v>
      </c>
      <c r="F264" s="11">
        <v>67.0</v>
      </c>
      <c r="G264" s="11" t="s">
        <v>188</v>
      </c>
      <c r="H264" s="11" t="s">
        <v>188</v>
      </c>
      <c r="I264" s="11" t="s">
        <v>1013</v>
      </c>
      <c r="J264" s="11" t="s">
        <v>260</v>
      </c>
      <c r="K264" s="11" t="s">
        <v>392</v>
      </c>
    </row>
    <row r="265">
      <c r="A265" s="11" t="s">
        <v>952</v>
      </c>
      <c r="B265" s="11" t="s">
        <v>388</v>
      </c>
      <c r="C265" s="11" t="s">
        <v>953</v>
      </c>
      <c r="D265" s="11" t="s">
        <v>981</v>
      </c>
      <c r="E265" s="11">
        <v>1992.0</v>
      </c>
      <c r="F265" s="11">
        <v>76.0</v>
      </c>
      <c r="G265" s="11" t="s">
        <v>188</v>
      </c>
      <c r="H265" s="11" t="s">
        <v>188</v>
      </c>
      <c r="I265" s="11" t="s">
        <v>1013</v>
      </c>
      <c r="J265" s="11" t="s">
        <v>260</v>
      </c>
      <c r="K265" s="11" t="s">
        <v>392</v>
      </c>
    </row>
    <row r="266">
      <c r="A266" s="11" t="s">
        <v>952</v>
      </c>
      <c r="B266" s="11" t="s">
        <v>388</v>
      </c>
      <c r="C266" s="11" t="s">
        <v>953</v>
      </c>
      <c r="D266" s="11" t="s">
        <v>981</v>
      </c>
      <c r="E266" s="11">
        <v>1993.0</v>
      </c>
      <c r="F266" s="11">
        <v>84.0</v>
      </c>
      <c r="G266" s="11" t="s">
        <v>188</v>
      </c>
      <c r="H266" s="11" t="s">
        <v>188</v>
      </c>
      <c r="I266" s="11" t="s">
        <v>1013</v>
      </c>
      <c r="J266" s="11" t="s">
        <v>260</v>
      </c>
      <c r="K266" s="11" t="s">
        <v>392</v>
      </c>
    </row>
    <row r="267">
      <c r="A267" s="11" t="s">
        <v>952</v>
      </c>
      <c r="B267" s="11" t="s">
        <v>388</v>
      </c>
      <c r="C267" s="11" t="s">
        <v>953</v>
      </c>
      <c r="D267" s="11" t="s">
        <v>981</v>
      </c>
      <c r="E267" s="11">
        <v>1994.0</v>
      </c>
      <c r="F267" s="11">
        <v>95.0</v>
      </c>
      <c r="G267" s="11" t="s">
        <v>188</v>
      </c>
      <c r="H267" s="11" t="s">
        <v>188</v>
      </c>
      <c r="I267" s="11" t="s">
        <v>1013</v>
      </c>
      <c r="J267" s="11" t="s">
        <v>260</v>
      </c>
      <c r="K267" s="11" t="s">
        <v>392</v>
      </c>
    </row>
    <row r="268">
      <c r="A268" s="11" t="s">
        <v>952</v>
      </c>
      <c r="B268" s="11" t="s">
        <v>388</v>
      </c>
      <c r="C268" s="11" t="s">
        <v>953</v>
      </c>
      <c r="D268" s="11" t="s">
        <v>981</v>
      </c>
      <c r="E268" s="11">
        <v>1995.0</v>
      </c>
      <c r="F268" s="11">
        <v>105.0</v>
      </c>
      <c r="G268" s="11" t="s">
        <v>188</v>
      </c>
      <c r="H268" s="11" t="s">
        <v>188</v>
      </c>
      <c r="I268" s="11" t="s">
        <v>1013</v>
      </c>
      <c r="J268" s="11" t="s">
        <v>260</v>
      </c>
      <c r="K268" s="11" t="s">
        <v>392</v>
      </c>
    </row>
    <row r="269">
      <c r="A269" s="11" t="s">
        <v>952</v>
      </c>
      <c r="B269" s="11" t="s">
        <v>388</v>
      </c>
      <c r="C269" s="11" t="s">
        <v>953</v>
      </c>
      <c r="D269" s="11" t="s">
        <v>981</v>
      </c>
      <c r="E269" s="11">
        <v>1996.0</v>
      </c>
      <c r="F269" s="11">
        <v>114.0</v>
      </c>
      <c r="G269" s="11" t="s">
        <v>188</v>
      </c>
      <c r="H269" s="11" t="s">
        <v>188</v>
      </c>
      <c r="I269" s="11" t="s">
        <v>1013</v>
      </c>
      <c r="J269" s="11" t="s">
        <v>260</v>
      </c>
      <c r="K269" s="11" t="s">
        <v>392</v>
      </c>
    </row>
    <row r="270">
      <c r="A270" s="11" t="s">
        <v>952</v>
      </c>
      <c r="B270" s="11" t="s">
        <v>388</v>
      </c>
      <c r="C270" s="11" t="s">
        <v>953</v>
      </c>
      <c r="D270" s="11" t="s">
        <v>981</v>
      </c>
      <c r="E270" s="11">
        <v>1997.0</v>
      </c>
      <c r="F270" s="11">
        <v>124.0</v>
      </c>
      <c r="G270" s="11" t="s">
        <v>188</v>
      </c>
      <c r="H270" s="11" t="s">
        <v>188</v>
      </c>
      <c r="I270" s="11" t="s">
        <v>1013</v>
      </c>
      <c r="J270" s="11" t="s">
        <v>260</v>
      </c>
      <c r="K270" s="11" t="s">
        <v>392</v>
      </c>
    </row>
    <row r="271">
      <c r="A271" s="11" t="s">
        <v>952</v>
      </c>
      <c r="B271" s="11" t="s">
        <v>388</v>
      </c>
      <c r="C271" s="11" t="s">
        <v>953</v>
      </c>
      <c r="D271" s="11" t="s">
        <v>981</v>
      </c>
      <c r="E271" s="11">
        <v>1998.0</v>
      </c>
      <c r="F271" s="11">
        <v>137.0</v>
      </c>
      <c r="G271" s="11" t="s">
        <v>188</v>
      </c>
      <c r="H271" s="11" t="s">
        <v>188</v>
      </c>
      <c r="I271" s="11" t="s">
        <v>1013</v>
      </c>
      <c r="J271" s="11" t="s">
        <v>260</v>
      </c>
      <c r="K271" s="11" t="s">
        <v>392</v>
      </c>
    </row>
    <row r="272">
      <c r="A272" s="11" t="s">
        <v>952</v>
      </c>
      <c r="B272" s="11" t="s">
        <v>388</v>
      </c>
      <c r="C272" s="11" t="s">
        <v>953</v>
      </c>
      <c r="D272" s="11" t="s">
        <v>981</v>
      </c>
      <c r="E272" s="11">
        <v>1999.0</v>
      </c>
      <c r="F272" s="11">
        <v>147.0</v>
      </c>
      <c r="G272" s="11" t="s">
        <v>188</v>
      </c>
      <c r="H272" s="11" t="s">
        <v>188</v>
      </c>
      <c r="I272" s="11" t="s">
        <v>1013</v>
      </c>
      <c r="J272" s="11" t="s">
        <v>260</v>
      </c>
      <c r="K272" s="11" t="s">
        <v>392</v>
      </c>
    </row>
    <row r="273">
      <c r="A273" s="11" t="s">
        <v>952</v>
      </c>
      <c r="B273" s="11" t="s">
        <v>388</v>
      </c>
      <c r="C273" s="11" t="s">
        <v>953</v>
      </c>
      <c r="D273" s="11" t="s">
        <v>981</v>
      </c>
      <c r="E273" s="11">
        <v>2000.0</v>
      </c>
      <c r="F273" s="11">
        <v>158.0</v>
      </c>
      <c r="G273" s="11" t="s">
        <v>188</v>
      </c>
      <c r="H273" s="11" t="s">
        <v>188</v>
      </c>
      <c r="I273" s="11" t="s">
        <v>1013</v>
      </c>
      <c r="J273" s="11" t="s">
        <v>260</v>
      </c>
      <c r="K273" s="11" t="s">
        <v>392</v>
      </c>
    </row>
    <row r="274">
      <c r="A274" s="11" t="s">
        <v>952</v>
      </c>
      <c r="B274" s="11" t="s">
        <v>388</v>
      </c>
      <c r="C274" s="11" t="s">
        <v>953</v>
      </c>
      <c r="D274" s="11" t="s">
        <v>981</v>
      </c>
      <c r="E274" s="11">
        <v>2001.0</v>
      </c>
      <c r="F274" s="11">
        <v>166.0</v>
      </c>
      <c r="G274" s="11" t="s">
        <v>188</v>
      </c>
      <c r="H274" s="11" t="s">
        <v>188</v>
      </c>
      <c r="I274" s="11" t="s">
        <v>1013</v>
      </c>
      <c r="J274" s="11" t="s">
        <v>260</v>
      </c>
      <c r="K274" s="11" t="s">
        <v>392</v>
      </c>
    </row>
    <row r="275">
      <c r="A275" s="11" t="s">
        <v>952</v>
      </c>
      <c r="B275" s="11" t="s">
        <v>388</v>
      </c>
      <c r="C275" s="11" t="s">
        <v>953</v>
      </c>
      <c r="D275" s="11" t="s">
        <v>981</v>
      </c>
      <c r="E275" s="11">
        <v>2002.0</v>
      </c>
      <c r="F275" s="11">
        <v>177.0</v>
      </c>
      <c r="G275" s="11" t="s">
        <v>188</v>
      </c>
      <c r="H275" s="11" t="s">
        <v>188</v>
      </c>
      <c r="I275" s="11" t="s">
        <v>1013</v>
      </c>
      <c r="J275" s="11" t="s">
        <v>260</v>
      </c>
      <c r="K275" s="11" t="s">
        <v>392</v>
      </c>
    </row>
    <row r="276">
      <c r="A276" s="11" t="s">
        <v>952</v>
      </c>
      <c r="B276" s="11" t="s">
        <v>388</v>
      </c>
      <c r="C276" s="11" t="s">
        <v>953</v>
      </c>
      <c r="D276" s="11" t="s">
        <v>981</v>
      </c>
      <c r="E276" s="11">
        <v>2003.0</v>
      </c>
      <c r="F276" s="11">
        <v>187.0</v>
      </c>
      <c r="G276" s="11" t="s">
        <v>188</v>
      </c>
      <c r="H276" s="11" t="s">
        <v>188</v>
      </c>
      <c r="I276" s="11" t="s">
        <v>1013</v>
      </c>
      <c r="J276" s="11" t="s">
        <v>260</v>
      </c>
      <c r="K276" s="11" t="s">
        <v>392</v>
      </c>
    </row>
    <row r="277">
      <c r="A277" s="11" t="s">
        <v>952</v>
      </c>
      <c r="B277" s="11" t="s">
        <v>388</v>
      </c>
      <c r="C277" s="11" t="s">
        <v>953</v>
      </c>
      <c r="D277" s="11" t="s">
        <v>981</v>
      </c>
      <c r="E277" s="11">
        <v>2004.0</v>
      </c>
      <c r="F277" s="11">
        <v>198.0</v>
      </c>
      <c r="G277" s="11" t="s">
        <v>188</v>
      </c>
      <c r="H277" s="11" t="s">
        <v>188</v>
      </c>
      <c r="I277" s="11" t="s">
        <v>1013</v>
      </c>
      <c r="J277" s="11" t="s">
        <v>260</v>
      </c>
      <c r="K277" s="11" t="s">
        <v>392</v>
      </c>
    </row>
    <row r="278">
      <c r="A278" s="11" t="s">
        <v>952</v>
      </c>
      <c r="B278" s="11" t="s">
        <v>388</v>
      </c>
      <c r="C278" s="11" t="s">
        <v>953</v>
      </c>
      <c r="D278" s="11" t="s">
        <v>981</v>
      </c>
      <c r="E278" s="11">
        <v>2005.0</v>
      </c>
      <c r="F278" s="11">
        <v>208.0</v>
      </c>
      <c r="G278" s="11" t="s">
        <v>188</v>
      </c>
      <c r="H278" s="11" t="s">
        <v>188</v>
      </c>
      <c r="I278" s="11" t="s">
        <v>1013</v>
      </c>
      <c r="J278" s="11" t="s">
        <v>260</v>
      </c>
      <c r="K278" s="11" t="s">
        <v>392</v>
      </c>
    </row>
    <row r="279">
      <c r="A279" s="11" t="s">
        <v>952</v>
      </c>
      <c r="B279" s="11" t="s">
        <v>388</v>
      </c>
      <c r="C279" s="11" t="s">
        <v>953</v>
      </c>
      <c r="D279" s="11" t="s">
        <v>981</v>
      </c>
      <c r="E279" s="11">
        <v>2006.0</v>
      </c>
      <c r="F279" s="11">
        <v>215.0</v>
      </c>
      <c r="G279" s="11" t="s">
        <v>188</v>
      </c>
      <c r="H279" s="11" t="s">
        <v>188</v>
      </c>
      <c r="I279" s="11" t="s">
        <v>1013</v>
      </c>
      <c r="J279" s="11" t="s">
        <v>260</v>
      </c>
      <c r="K279" s="11" t="s">
        <v>392</v>
      </c>
    </row>
    <row r="280">
      <c r="A280" s="11" t="s">
        <v>952</v>
      </c>
      <c r="B280" s="11" t="s">
        <v>388</v>
      </c>
      <c r="C280" s="11" t="s">
        <v>953</v>
      </c>
      <c r="D280" s="11" t="s">
        <v>981</v>
      </c>
      <c r="E280" s="11">
        <v>2007.0</v>
      </c>
      <c r="F280" s="11">
        <v>223.0</v>
      </c>
      <c r="G280" s="11" t="s">
        <v>188</v>
      </c>
      <c r="H280" s="11" t="s">
        <v>188</v>
      </c>
      <c r="I280" s="11" t="s">
        <v>1013</v>
      </c>
      <c r="J280" s="11" t="s">
        <v>260</v>
      </c>
      <c r="K280" s="11" t="s">
        <v>392</v>
      </c>
    </row>
    <row r="281">
      <c r="A281" s="11" t="s">
        <v>952</v>
      </c>
      <c r="B281" s="11" t="s">
        <v>388</v>
      </c>
      <c r="C281" s="11" t="s">
        <v>953</v>
      </c>
      <c r="D281" s="11" t="s">
        <v>981</v>
      </c>
      <c r="E281" s="11">
        <v>2008.0</v>
      </c>
      <c r="F281" s="11">
        <v>232.0</v>
      </c>
      <c r="G281" s="11" t="s">
        <v>188</v>
      </c>
      <c r="H281" s="11" t="s">
        <v>188</v>
      </c>
      <c r="I281" s="11" t="s">
        <v>1013</v>
      </c>
      <c r="J281" s="11" t="s">
        <v>260</v>
      </c>
      <c r="K281" s="11" t="s">
        <v>392</v>
      </c>
    </row>
    <row r="282">
      <c r="A282" s="11" t="s">
        <v>952</v>
      </c>
      <c r="B282" s="11" t="s">
        <v>388</v>
      </c>
      <c r="C282" s="11" t="s">
        <v>953</v>
      </c>
      <c r="D282" s="11" t="s">
        <v>981</v>
      </c>
      <c r="E282" s="11">
        <v>2009.0</v>
      </c>
      <c r="F282" s="11">
        <v>240.0</v>
      </c>
      <c r="G282" s="11" t="s">
        <v>188</v>
      </c>
      <c r="H282" s="11" t="s">
        <v>188</v>
      </c>
      <c r="I282" s="11" t="s">
        <v>1013</v>
      </c>
      <c r="J282" s="11" t="s">
        <v>260</v>
      </c>
      <c r="K282" s="11" t="s">
        <v>392</v>
      </c>
    </row>
    <row r="283">
      <c r="A283" s="11" t="s">
        <v>952</v>
      </c>
      <c r="B283" s="11" t="s">
        <v>388</v>
      </c>
      <c r="C283" s="11" t="s">
        <v>953</v>
      </c>
      <c r="D283" s="11" t="s">
        <v>981</v>
      </c>
      <c r="E283" s="11">
        <v>2010.0</v>
      </c>
      <c r="F283" s="11">
        <v>248.0</v>
      </c>
      <c r="G283" s="11" t="s">
        <v>188</v>
      </c>
      <c r="H283" s="11" t="s">
        <v>188</v>
      </c>
      <c r="I283" s="11" t="s">
        <v>1013</v>
      </c>
      <c r="J283" s="11" t="s">
        <v>260</v>
      </c>
      <c r="K283" s="11" t="s">
        <v>392</v>
      </c>
    </row>
    <row r="284">
      <c r="A284" s="11" t="s">
        <v>952</v>
      </c>
      <c r="B284" s="11" t="s">
        <v>388</v>
      </c>
      <c r="C284" s="11" t="s">
        <v>953</v>
      </c>
      <c r="D284" s="11" t="s">
        <v>981</v>
      </c>
      <c r="E284" s="11">
        <v>2011.0</v>
      </c>
      <c r="F284" s="11">
        <v>259.0</v>
      </c>
      <c r="G284" s="11" t="s">
        <v>188</v>
      </c>
      <c r="H284" s="11" t="s">
        <v>188</v>
      </c>
      <c r="I284" s="11" t="s">
        <v>1013</v>
      </c>
      <c r="J284" s="11" t="s">
        <v>260</v>
      </c>
      <c r="K284" s="11" t="s">
        <v>392</v>
      </c>
    </row>
    <row r="285">
      <c r="A285" s="11" t="s">
        <v>952</v>
      </c>
      <c r="B285" s="11" t="s">
        <v>388</v>
      </c>
      <c r="C285" s="11" t="s">
        <v>953</v>
      </c>
      <c r="D285" s="11" t="s">
        <v>981</v>
      </c>
      <c r="E285" s="11">
        <v>2012.0</v>
      </c>
      <c r="F285" s="11">
        <v>263.0</v>
      </c>
      <c r="G285" s="11" t="s">
        <v>188</v>
      </c>
      <c r="H285" s="11" t="s">
        <v>188</v>
      </c>
      <c r="I285" s="11" t="s">
        <v>1013</v>
      </c>
      <c r="J285" s="11" t="s">
        <v>260</v>
      </c>
      <c r="K285" s="11" t="s">
        <v>392</v>
      </c>
    </row>
    <row r="286">
      <c r="A286" s="11" t="s">
        <v>952</v>
      </c>
      <c r="B286" s="11" t="s">
        <v>388</v>
      </c>
      <c r="C286" s="11" t="s">
        <v>953</v>
      </c>
      <c r="D286" s="11" t="s">
        <v>981</v>
      </c>
      <c r="E286" s="11">
        <v>2013.0</v>
      </c>
      <c r="F286" s="11">
        <v>269.0</v>
      </c>
      <c r="G286" s="11" t="s">
        <v>188</v>
      </c>
      <c r="H286" s="11" t="s">
        <v>188</v>
      </c>
      <c r="I286" s="11" t="s">
        <v>1013</v>
      </c>
      <c r="J286" s="11" t="s">
        <v>260</v>
      </c>
      <c r="K286" s="11" t="s">
        <v>392</v>
      </c>
    </row>
    <row r="287">
      <c r="A287" s="11" t="s">
        <v>952</v>
      </c>
      <c r="B287" s="11" t="s">
        <v>388</v>
      </c>
      <c r="C287" s="11" t="s">
        <v>953</v>
      </c>
      <c r="D287" s="11" t="s">
        <v>981</v>
      </c>
      <c r="E287" s="11">
        <v>2014.0</v>
      </c>
      <c r="F287" s="11">
        <v>274.0</v>
      </c>
      <c r="G287" s="11" t="s">
        <v>188</v>
      </c>
      <c r="H287" s="11" t="s">
        <v>188</v>
      </c>
      <c r="I287" s="11" t="s">
        <v>1013</v>
      </c>
      <c r="J287" s="11" t="s">
        <v>260</v>
      </c>
      <c r="K287" s="11" t="s">
        <v>392</v>
      </c>
    </row>
    <row r="288">
      <c r="A288" s="11" t="s">
        <v>952</v>
      </c>
      <c r="B288" s="11" t="s">
        <v>388</v>
      </c>
      <c r="C288" s="11" t="s">
        <v>953</v>
      </c>
      <c r="D288" s="11" t="s">
        <v>981</v>
      </c>
      <c r="E288" s="11">
        <v>2015.0</v>
      </c>
      <c r="F288" s="11">
        <v>284.0</v>
      </c>
      <c r="G288" s="11" t="s">
        <v>188</v>
      </c>
      <c r="H288" s="11" t="s">
        <v>188</v>
      </c>
      <c r="I288" s="11" t="s">
        <v>1013</v>
      </c>
      <c r="J288" s="11" t="s">
        <v>260</v>
      </c>
      <c r="K288" s="11" t="s">
        <v>392</v>
      </c>
    </row>
    <row r="289">
      <c r="A289" s="11" t="s">
        <v>952</v>
      </c>
      <c r="B289" s="11" t="s">
        <v>388</v>
      </c>
      <c r="C289" s="11" t="s">
        <v>953</v>
      </c>
      <c r="D289" s="11" t="s">
        <v>981</v>
      </c>
      <c r="E289" s="11">
        <v>2016.0</v>
      </c>
      <c r="F289" s="11">
        <v>288.0</v>
      </c>
      <c r="G289" s="11" t="s">
        <v>188</v>
      </c>
      <c r="H289" s="11" t="s">
        <v>188</v>
      </c>
      <c r="I289" s="11" t="s">
        <v>1013</v>
      </c>
      <c r="J289" s="11" t="s">
        <v>260</v>
      </c>
      <c r="K289" s="11" t="s">
        <v>392</v>
      </c>
    </row>
    <row r="290">
      <c r="A290" s="11" t="s">
        <v>952</v>
      </c>
      <c r="B290" s="11" t="s">
        <v>388</v>
      </c>
      <c r="C290" s="11" t="s">
        <v>953</v>
      </c>
      <c r="D290" s="11" t="s">
        <v>981</v>
      </c>
      <c r="E290" s="11">
        <v>2017.0</v>
      </c>
      <c r="F290" s="11">
        <v>293.0</v>
      </c>
      <c r="G290" s="11" t="s">
        <v>188</v>
      </c>
      <c r="H290" s="11" t="s">
        <v>188</v>
      </c>
      <c r="I290" s="11" t="s">
        <v>1013</v>
      </c>
      <c r="J290" s="11" t="s">
        <v>260</v>
      </c>
      <c r="K290" s="11" t="s">
        <v>392</v>
      </c>
    </row>
    <row r="291">
      <c r="A291" s="11" t="s">
        <v>952</v>
      </c>
      <c r="B291" s="11" t="s">
        <v>388</v>
      </c>
      <c r="C291" s="11" t="s">
        <v>953</v>
      </c>
      <c r="D291" s="11" t="s">
        <v>981</v>
      </c>
      <c r="E291" s="11">
        <v>2018.0</v>
      </c>
      <c r="F291" s="11">
        <v>295.0</v>
      </c>
      <c r="G291" s="11" t="s">
        <v>188</v>
      </c>
      <c r="H291" s="11" t="s">
        <v>188</v>
      </c>
      <c r="I291" s="11" t="s">
        <v>1013</v>
      </c>
      <c r="J291" s="11" t="s">
        <v>260</v>
      </c>
      <c r="K291" s="11" t="s">
        <v>392</v>
      </c>
    </row>
    <row r="292">
      <c r="A292" s="11" t="s">
        <v>952</v>
      </c>
      <c r="B292" s="11" t="s">
        <v>388</v>
      </c>
      <c r="C292" s="11" t="s">
        <v>953</v>
      </c>
      <c r="D292" s="11" t="s">
        <v>981</v>
      </c>
      <c r="E292" s="11">
        <v>2019.0</v>
      </c>
      <c r="F292" s="11">
        <v>299.0</v>
      </c>
      <c r="G292" s="11" t="s">
        <v>188</v>
      </c>
      <c r="H292" s="11" t="s">
        <v>188</v>
      </c>
      <c r="I292" s="11" t="s">
        <v>1013</v>
      </c>
      <c r="J292" s="11" t="s">
        <v>260</v>
      </c>
      <c r="K292" s="11" t="s">
        <v>392</v>
      </c>
    </row>
    <row r="293">
      <c r="A293" s="11" t="s">
        <v>952</v>
      </c>
      <c r="B293" s="11" t="s">
        <v>388</v>
      </c>
      <c r="C293" s="11" t="s">
        <v>953</v>
      </c>
      <c r="D293" s="11" t="s">
        <v>981</v>
      </c>
      <c r="E293" s="11">
        <v>2020.0</v>
      </c>
      <c r="F293" s="11">
        <v>303.0</v>
      </c>
      <c r="G293" s="11" t="s">
        <v>188</v>
      </c>
      <c r="H293" s="11" t="s">
        <v>188</v>
      </c>
      <c r="I293" s="11" t="s">
        <v>1013</v>
      </c>
      <c r="J293" s="11" t="s">
        <v>260</v>
      </c>
      <c r="K293" s="11" t="s">
        <v>392</v>
      </c>
    </row>
    <row r="294">
      <c r="A294" s="11" t="s">
        <v>952</v>
      </c>
      <c r="B294" s="11" t="s">
        <v>388</v>
      </c>
      <c r="C294" s="11" t="s">
        <v>953</v>
      </c>
      <c r="D294" s="11" t="s">
        <v>981</v>
      </c>
      <c r="E294" s="11">
        <v>2021.0</v>
      </c>
      <c r="F294" s="11">
        <v>312.0</v>
      </c>
      <c r="G294" s="11" t="s">
        <v>188</v>
      </c>
      <c r="H294" s="11" t="s">
        <v>188</v>
      </c>
      <c r="I294" s="11" t="s">
        <v>1013</v>
      </c>
      <c r="J294" s="11" t="s">
        <v>260</v>
      </c>
      <c r="K294" s="11" t="s">
        <v>392</v>
      </c>
    </row>
    <row r="295">
      <c r="A295" s="11" t="s">
        <v>952</v>
      </c>
      <c r="B295" s="11" t="s">
        <v>388</v>
      </c>
      <c r="C295" s="11" t="s">
        <v>980</v>
      </c>
      <c r="D295" s="11" t="s">
        <v>981</v>
      </c>
      <c r="E295" s="11">
        <v>1960.0</v>
      </c>
      <c r="F295" s="11">
        <v>4.0</v>
      </c>
      <c r="G295" s="11" t="s">
        <v>188</v>
      </c>
      <c r="H295" s="11" t="s">
        <v>188</v>
      </c>
      <c r="I295" s="11" t="s">
        <v>1013</v>
      </c>
      <c r="J295" s="11" t="s">
        <v>260</v>
      </c>
      <c r="K295" s="11" t="s">
        <v>392</v>
      </c>
    </row>
    <row r="296">
      <c r="A296" s="11" t="s">
        <v>952</v>
      </c>
      <c r="B296" s="11" t="s">
        <v>388</v>
      </c>
      <c r="C296" s="11" t="s">
        <v>980</v>
      </c>
      <c r="D296" s="11" t="s">
        <v>981</v>
      </c>
      <c r="E296" s="11">
        <v>1961.0</v>
      </c>
      <c r="F296" s="11">
        <v>5.0</v>
      </c>
      <c r="G296" s="11" t="s">
        <v>188</v>
      </c>
      <c r="H296" s="11" t="s">
        <v>188</v>
      </c>
      <c r="I296" s="11" t="s">
        <v>1013</v>
      </c>
      <c r="J296" s="11" t="s">
        <v>260</v>
      </c>
      <c r="K296" s="11" t="s">
        <v>392</v>
      </c>
    </row>
    <row r="297">
      <c r="A297" s="11" t="s">
        <v>952</v>
      </c>
      <c r="B297" s="11" t="s">
        <v>388</v>
      </c>
      <c r="C297" s="11" t="s">
        <v>980</v>
      </c>
      <c r="D297" s="11" t="s">
        <v>981</v>
      </c>
      <c r="E297" s="11">
        <v>1962.0</v>
      </c>
      <c r="F297" s="11">
        <v>5.0</v>
      </c>
      <c r="G297" s="11" t="s">
        <v>188</v>
      </c>
      <c r="H297" s="11" t="s">
        <v>188</v>
      </c>
      <c r="I297" s="11" t="s">
        <v>1013</v>
      </c>
      <c r="J297" s="11" t="s">
        <v>260</v>
      </c>
      <c r="K297" s="11" t="s">
        <v>392</v>
      </c>
    </row>
    <row r="298">
      <c r="A298" s="11" t="s">
        <v>952</v>
      </c>
      <c r="B298" s="11" t="s">
        <v>388</v>
      </c>
      <c r="C298" s="11" t="s">
        <v>980</v>
      </c>
      <c r="D298" s="11" t="s">
        <v>981</v>
      </c>
      <c r="E298" s="11">
        <v>1963.0</v>
      </c>
      <c r="F298" s="11">
        <v>6.0</v>
      </c>
      <c r="G298" s="11" t="s">
        <v>188</v>
      </c>
      <c r="H298" s="11" t="s">
        <v>188</v>
      </c>
      <c r="I298" s="11" t="s">
        <v>1013</v>
      </c>
      <c r="J298" s="11" t="s">
        <v>260</v>
      </c>
      <c r="K298" s="11" t="s">
        <v>392</v>
      </c>
    </row>
    <row r="299">
      <c r="A299" s="11" t="s">
        <v>952</v>
      </c>
      <c r="B299" s="11" t="s">
        <v>388</v>
      </c>
      <c r="C299" s="11" t="s">
        <v>980</v>
      </c>
      <c r="D299" s="11" t="s">
        <v>981</v>
      </c>
      <c r="E299" s="11">
        <v>1964.0</v>
      </c>
      <c r="F299" s="11">
        <v>7.0</v>
      </c>
      <c r="G299" s="11" t="s">
        <v>188</v>
      </c>
      <c r="H299" s="11" t="s">
        <v>188</v>
      </c>
      <c r="I299" s="11" t="s">
        <v>1013</v>
      </c>
      <c r="J299" s="11" t="s">
        <v>260</v>
      </c>
      <c r="K299" s="11" t="s">
        <v>392</v>
      </c>
    </row>
    <row r="300">
      <c r="A300" s="11" t="s">
        <v>952</v>
      </c>
      <c r="B300" s="11" t="s">
        <v>388</v>
      </c>
      <c r="C300" s="11" t="s">
        <v>980</v>
      </c>
      <c r="D300" s="11" t="s">
        <v>981</v>
      </c>
      <c r="E300" s="11">
        <v>1965.0</v>
      </c>
      <c r="F300" s="11">
        <v>7.0</v>
      </c>
      <c r="G300" s="11" t="s">
        <v>188</v>
      </c>
      <c r="H300" s="11" t="s">
        <v>188</v>
      </c>
      <c r="I300" s="11" t="s">
        <v>1013</v>
      </c>
      <c r="J300" s="11" t="s">
        <v>260</v>
      </c>
      <c r="K300" s="11" t="s">
        <v>392</v>
      </c>
    </row>
    <row r="301">
      <c r="A301" s="11" t="s">
        <v>952</v>
      </c>
      <c r="B301" s="11" t="s">
        <v>388</v>
      </c>
      <c r="C301" s="11" t="s">
        <v>980</v>
      </c>
      <c r="D301" s="11" t="s">
        <v>981</v>
      </c>
      <c r="E301" s="11">
        <v>1966.0</v>
      </c>
      <c r="F301" s="11">
        <v>8.0</v>
      </c>
      <c r="G301" s="11" t="s">
        <v>188</v>
      </c>
      <c r="H301" s="11" t="s">
        <v>188</v>
      </c>
      <c r="I301" s="11" t="s">
        <v>1013</v>
      </c>
      <c r="J301" s="11" t="s">
        <v>260</v>
      </c>
      <c r="K301" s="11" t="s">
        <v>392</v>
      </c>
    </row>
    <row r="302">
      <c r="A302" s="11" t="s">
        <v>952</v>
      </c>
      <c r="B302" s="11" t="s">
        <v>388</v>
      </c>
      <c r="C302" s="11" t="s">
        <v>980</v>
      </c>
      <c r="D302" s="11" t="s">
        <v>981</v>
      </c>
      <c r="E302" s="11">
        <v>1967.0</v>
      </c>
      <c r="F302" s="11">
        <v>9.0</v>
      </c>
      <c r="G302" s="11" t="s">
        <v>188</v>
      </c>
      <c r="H302" s="11" t="s">
        <v>188</v>
      </c>
      <c r="I302" s="11" t="s">
        <v>1013</v>
      </c>
      <c r="J302" s="11" t="s">
        <v>260</v>
      </c>
      <c r="K302" s="11" t="s">
        <v>392</v>
      </c>
    </row>
    <row r="303">
      <c r="A303" s="11" t="s">
        <v>952</v>
      </c>
      <c r="B303" s="11" t="s">
        <v>388</v>
      </c>
      <c r="C303" s="11" t="s">
        <v>980</v>
      </c>
      <c r="D303" s="11" t="s">
        <v>981</v>
      </c>
      <c r="E303" s="11">
        <v>1968.0</v>
      </c>
      <c r="F303" s="11">
        <v>10.0</v>
      </c>
      <c r="G303" s="11" t="s">
        <v>188</v>
      </c>
      <c r="H303" s="11" t="s">
        <v>188</v>
      </c>
      <c r="I303" s="11" t="s">
        <v>1013</v>
      </c>
      <c r="J303" s="11" t="s">
        <v>260</v>
      </c>
      <c r="K303" s="11" t="s">
        <v>392</v>
      </c>
    </row>
    <row r="304">
      <c r="A304" s="11" t="s">
        <v>952</v>
      </c>
      <c r="B304" s="11" t="s">
        <v>388</v>
      </c>
      <c r="C304" s="11" t="s">
        <v>980</v>
      </c>
      <c r="D304" s="11" t="s">
        <v>981</v>
      </c>
      <c r="E304" s="11">
        <v>1969.0</v>
      </c>
      <c r="F304" s="11">
        <v>10.0</v>
      </c>
      <c r="G304" s="11" t="s">
        <v>188</v>
      </c>
      <c r="H304" s="11" t="s">
        <v>188</v>
      </c>
      <c r="I304" s="11" t="s">
        <v>1013</v>
      </c>
      <c r="J304" s="11" t="s">
        <v>260</v>
      </c>
      <c r="K304" s="11" t="s">
        <v>392</v>
      </c>
    </row>
    <row r="305">
      <c r="A305" s="11" t="s">
        <v>952</v>
      </c>
      <c r="B305" s="11" t="s">
        <v>388</v>
      </c>
      <c r="C305" s="11" t="s">
        <v>980</v>
      </c>
      <c r="D305" s="11" t="s">
        <v>981</v>
      </c>
      <c r="E305" s="11">
        <v>1970.0</v>
      </c>
      <c r="F305" s="11">
        <v>12.0</v>
      </c>
      <c r="G305" s="11" t="s">
        <v>188</v>
      </c>
      <c r="H305" s="11" t="s">
        <v>188</v>
      </c>
      <c r="I305" s="11" t="s">
        <v>1013</v>
      </c>
      <c r="J305" s="11" t="s">
        <v>260</v>
      </c>
      <c r="K305" s="11" t="s">
        <v>392</v>
      </c>
    </row>
    <row r="306">
      <c r="A306" s="11" t="s">
        <v>952</v>
      </c>
      <c r="B306" s="11" t="s">
        <v>388</v>
      </c>
      <c r="C306" s="11" t="s">
        <v>980</v>
      </c>
      <c r="D306" s="11" t="s">
        <v>981</v>
      </c>
      <c r="E306" s="11">
        <v>1971.0</v>
      </c>
      <c r="F306" s="11">
        <v>13.0</v>
      </c>
      <c r="G306" s="11" t="s">
        <v>188</v>
      </c>
      <c r="H306" s="11" t="s">
        <v>188</v>
      </c>
      <c r="I306" s="11" t="s">
        <v>1013</v>
      </c>
      <c r="J306" s="11" t="s">
        <v>260</v>
      </c>
      <c r="K306" s="11" t="s">
        <v>392</v>
      </c>
    </row>
    <row r="307">
      <c r="A307" s="11" t="s">
        <v>952</v>
      </c>
      <c r="B307" s="11" t="s">
        <v>388</v>
      </c>
      <c r="C307" s="11" t="s">
        <v>980</v>
      </c>
      <c r="D307" s="11" t="s">
        <v>981</v>
      </c>
      <c r="E307" s="11">
        <v>1972.0</v>
      </c>
      <c r="F307" s="11">
        <v>14.0</v>
      </c>
      <c r="G307" s="11" t="s">
        <v>188</v>
      </c>
      <c r="H307" s="11" t="s">
        <v>188</v>
      </c>
      <c r="I307" s="11" t="s">
        <v>1013</v>
      </c>
      <c r="J307" s="11" t="s">
        <v>260</v>
      </c>
      <c r="K307" s="11" t="s">
        <v>392</v>
      </c>
    </row>
    <row r="308">
      <c r="A308" s="11" t="s">
        <v>952</v>
      </c>
      <c r="B308" s="11" t="s">
        <v>388</v>
      </c>
      <c r="C308" s="11" t="s">
        <v>980</v>
      </c>
      <c r="D308" s="11" t="s">
        <v>981</v>
      </c>
      <c r="E308" s="11">
        <v>1973.0</v>
      </c>
      <c r="F308" s="11">
        <v>15.0</v>
      </c>
      <c r="G308" s="11" t="s">
        <v>188</v>
      </c>
      <c r="H308" s="11" t="s">
        <v>188</v>
      </c>
      <c r="I308" s="11" t="s">
        <v>1013</v>
      </c>
      <c r="J308" s="11" t="s">
        <v>260</v>
      </c>
      <c r="K308" s="11" t="s">
        <v>392</v>
      </c>
    </row>
    <row r="309">
      <c r="A309" s="11" t="s">
        <v>952</v>
      </c>
      <c r="B309" s="11" t="s">
        <v>388</v>
      </c>
      <c r="C309" s="11" t="s">
        <v>980</v>
      </c>
      <c r="D309" s="11" t="s">
        <v>981</v>
      </c>
      <c r="E309" s="11">
        <v>1974.0</v>
      </c>
      <c r="F309" s="11">
        <v>16.0</v>
      </c>
      <c r="G309" s="11" t="s">
        <v>188</v>
      </c>
      <c r="H309" s="11" t="s">
        <v>188</v>
      </c>
      <c r="I309" s="11" t="s">
        <v>1013</v>
      </c>
      <c r="J309" s="11" t="s">
        <v>260</v>
      </c>
      <c r="K309" s="11" t="s">
        <v>392</v>
      </c>
    </row>
    <row r="310">
      <c r="A310" s="11" t="s">
        <v>952</v>
      </c>
      <c r="B310" s="11" t="s">
        <v>388</v>
      </c>
      <c r="C310" s="11" t="s">
        <v>980</v>
      </c>
      <c r="D310" s="11" t="s">
        <v>981</v>
      </c>
      <c r="E310" s="11">
        <v>1975.0</v>
      </c>
      <c r="F310" s="11">
        <v>15.0</v>
      </c>
      <c r="G310" s="11" t="s">
        <v>188</v>
      </c>
      <c r="H310" s="11" t="s">
        <v>188</v>
      </c>
      <c r="I310" s="11" t="s">
        <v>1013</v>
      </c>
      <c r="J310" s="11" t="s">
        <v>260</v>
      </c>
      <c r="K310" s="11" t="s">
        <v>392</v>
      </c>
    </row>
    <row r="311">
      <c r="A311" s="11" t="s">
        <v>952</v>
      </c>
      <c r="B311" s="11" t="s">
        <v>388</v>
      </c>
      <c r="C311" s="11" t="s">
        <v>980</v>
      </c>
      <c r="D311" s="11" t="s">
        <v>981</v>
      </c>
      <c r="E311" s="11">
        <v>1976.0</v>
      </c>
      <c r="F311" s="11">
        <v>17.0</v>
      </c>
      <c r="G311" s="11" t="s">
        <v>188</v>
      </c>
      <c r="H311" s="11" t="s">
        <v>188</v>
      </c>
      <c r="I311" s="11" t="s">
        <v>1013</v>
      </c>
      <c r="J311" s="11" t="s">
        <v>260</v>
      </c>
      <c r="K311" s="11" t="s">
        <v>392</v>
      </c>
    </row>
    <row r="312">
      <c r="A312" s="11" t="s">
        <v>952</v>
      </c>
      <c r="B312" s="11" t="s">
        <v>388</v>
      </c>
      <c r="C312" s="11" t="s">
        <v>980</v>
      </c>
      <c r="D312" s="11" t="s">
        <v>981</v>
      </c>
      <c r="E312" s="11">
        <v>1977.0</v>
      </c>
      <c r="F312" s="11">
        <v>19.0</v>
      </c>
      <c r="G312" s="11" t="s">
        <v>188</v>
      </c>
      <c r="H312" s="11" t="s">
        <v>188</v>
      </c>
      <c r="I312" s="11" t="s">
        <v>1013</v>
      </c>
      <c r="J312" s="11" t="s">
        <v>260</v>
      </c>
      <c r="K312" s="11" t="s">
        <v>392</v>
      </c>
    </row>
    <row r="313">
      <c r="A313" s="11" t="s">
        <v>952</v>
      </c>
      <c r="B313" s="11" t="s">
        <v>388</v>
      </c>
      <c r="C313" s="11" t="s">
        <v>980</v>
      </c>
      <c r="D313" s="11" t="s">
        <v>981</v>
      </c>
      <c r="E313" s="11">
        <v>1978.0</v>
      </c>
      <c r="F313" s="11">
        <v>18.0</v>
      </c>
      <c r="G313" s="11" t="s">
        <v>188</v>
      </c>
      <c r="H313" s="11" t="s">
        <v>188</v>
      </c>
      <c r="I313" s="11" t="s">
        <v>1013</v>
      </c>
      <c r="J313" s="11" t="s">
        <v>260</v>
      </c>
      <c r="K313" s="11" t="s">
        <v>392</v>
      </c>
    </row>
    <row r="314">
      <c r="A314" s="11" t="s">
        <v>952</v>
      </c>
      <c r="B314" s="11" t="s">
        <v>388</v>
      </c>
      <c r="C314" s="11" t="s">
        <v>980</v>
      </c>
      <c r="D314" s="11" t="s">
        <v>981</v>
      </c>
      <c r="E314" s="11">
        <v>1979.0</v>
      </c>
      <c r="F314" s="11">
        <v>21.0</v>
      </c>
      <c r="G314" s="11" t="s">
        <v>188</v>
      </c>
      <c r="H314" s="11" t="s">
        <v>188</v>
      </c>
      <c r="I314" s="11" t="s">
        <v>1013</v>
      </c>
      <c r="J314" s="11" t="s">
        <v>260</v>
      </c>
      <c r="K314" s="11" t="s">
        <v>392</v>
      </c>
    </row>
    <row r="315">
      <c r="A315" s="11" t="s">
        <v>952</v>
      </c>
      <c r="B315" s="11" t="s">
        <v>388</v>
      </c>
      <c r="C315" s="11" t="s">
        <v>980</v>
      </c>
      <c r="D315" s="11" t="s">
        <v>981</v>
      </c>
      <c r="E315" s="11">
        <v>1980.0</v>
      </c>
      <c r="F315" s="11">
        <v>21.0</v>
      </c>
      <c r="G315" s="11" t="s">
        <v>188</v>
      </c>
      <c r="H315" s="11" t="s">
        <v>188</v>
      </c>
      <c r="I315" s="11" t="s">
        <v>1013</v>
      </c>
      <c r="J315" s="11" t="s">
        <v>260</v>
      </c>
      <c r="K315" s="11" t="s">
        <v>392</v>
      </c>
    </row>
    <row r="316">
      <c r="A316" s="11" t="s">
        <v>952</v>
      </c>
      <c r="B316" s="11" t="s">
        <v>388</v>
      </c>
      <c r="C316" s="11" t="s">
        <v>980</v>
      </c>
      <c r="D316" s="11" t="s">
        <v>981</v>
      </c>
      <c r="E316" s="11">
        <v>1981.0</v>
      </c>
      <c r="F316" s="11">
        <v>23.0</v>
      </c>
      <c r="G316" s="11" t="s">
        <v>188</v>
      </c>
      <c r="H316" s="11" t="s">
        <v>188</v>
      </c>
      <c r="I316" s="11" t="s">
        <v>1013</v>
      </c>
      <c r="J316" s="11" t="s">
        <v>260</v>
      </c>
      <c r="K316" s="11" t="s">
        <v>392</v>
      </c>
    </row>
    <row r="317">
      <c r="A317" s="11" t="s">
        <v>952</v>
      </c>
      <c r="B317" s="11" t="s">
        <v>388</v>
      </c>
      <c r="C317" s="11" t="s">
        <v>980</v>
      </c>
      <c r="D317" s="11" t="s">
        <v>981</v>
      </c>
      <c r="E317" s="11">
        <v>1982.0</v>
      </c>
      <c r="F317" s="11">
        <v>25.0</v>
      </c>
      <c r="G317" s="11" t="s">
        <v>188</v>
      </c>
      <c r="H317" s="11" t="s">
        <v>188</v>
      </c>
      <c r="I317" s="11" t="s">
        <v>1013</v>
      </c>
      <c r="J317" s="11" t="s">
        <v>260</v>
      </c>
      <c r="K317" s="11" t="s">
        <v>392</v>
      </c>
    </row>
    <row r="318">
      <c r="A318" s="11" t="s">
        <v>952</v>
      </c>
      <c r="B318" s="11" t="s">
        <v>388</v>
      </c>
      <c r="C318" s="11" t="s">
        <v>980</v>
      </c>
      <c r="D318" s="11" t="s">
        <v>981</v>
      </c>
      <c r="E318" s="11">
        <v>1983.0</v>
      </c>
      <c r="F318" s="11">
        <v>21.0</v>
      </c>
      <c r="G318" s="11" t="s">
        <v>188</v>
      </c>
      <c r="H318" s="11" t="s">
        <v>188</v>
      </c>
      <c r="I318" s="11" t="s">
        <v>1013</v>
      </c>
      <c r="J318" s="11" t="s">
        <v>260</v>
      </c>
      <c r="K318" s="11" t="s">
        <v>392</v>
      </c>
    </row>
    <row r="319">
      <c r="A319" s="11" t="s">
        <v>952</v>
      </c>
      <c r="B319" s="11" t="s">
        <v>388</v>
      </c>
      <c r="C319" s="11" t="s">
        <v>980</v>
      </c>
      <c r="D319" s="11" t="s">
        <v>981</v>
      </c>
      <c r="E319" s="11">
        <v>1984.0</v>
      </c>
      <c r="F319" s="11">
        <v>26.0</v>
      </c>
      <c r="G319" s="11" t="s">
        <v>188</v>
      </c>
      <c r="H319" s="11" t="s">
        <v>188</v>
      </c>
      <c r="I319" s="11" t="s">
        <v>1013</v>
      </c>
      <c r="J319" s="11" t="s">
        <v>260</v>
      </c>
      <c r="K319" s="11" t="s">
        <v>392</v>
      </c>
    </row>
    <row r="320">
      <c r="A320" s="11" t="s">
        <v>952</v>
      </c>
      <c r="B320" s="11" t="s">
        <v>388</v>
      </c>
      <c r="C320" s="11" t="s">
        <v>980</v>
      </c>
      <c r="D320" s="11" t="s">
        <v>981</v>
      </c>
      <c r="E320" s="11">
        <v>1985.0</v>
      </c>
      <c r="F320" s="11">
        <v>27.0</v>
      </c>
      <c r="G320" s="11" t="s">
        <v>188</v>
      </c>
      <c r="H320" s="11" t="s">
        <v>188</v>
      </c>
      <c r="I320" s="11" t="s">
        <v>1013</v>
      </c>
      <c r="J320" s="11" t="s">
        <v>260</v>
      </c>
      <c r="K320" s="11" t="s">
        <v>392</v>
      </c>
    </row>
    <row r="321">
      <c r="A321" s="11" t="s">
        <v>952</v>
      </c>
      <c r="B321" s="11" t="s">
        <v>388</v>
      </c>
      <c r="C321" s="11" t="s">
        <v>980</v>
      </c>
      <c r="D321" s="11" t="s">
        <v>981</v>
      </c>
      <c r="E321" s="11">
        <v>1986.0</v>
      </c>
      <c r="F321" s="11">
        <v>29.0</v>
      </c>
      <c r="G321" s="11" t="s">
        <v>188</v>
      </c>
      <c r="H321" s="11" t="s">
        <v>188</v>
      </c>
      <c r="I321" s="11" t="s">
        <v>1013</v>
      </c>
      <c r="J321" s="11" t="s">
        <v>260</v>
      </c>
      <c r="K321" s="11" t="s">
        <v>392</v>
      </c>
    </row>
    <row r="322">
      <c r="A322" s="11" t="s">
        <v>952</v>
      </c>
      <c r="B322" s="11" t="s">
        <v>388</v>
      </c>
      <c r="C322" s="11" t="s">
        <v>980</v>
      </c>
      <c r="D322" s="11" t="s">
        <v>981</v>
      </c>
      <c r="E322" s="11">
        <v>1987.0</v>
      </c>
      <c r="F322" s="11">
        <v>29.0</v>
      </c>
      <c r="G322" s="11" t="s">
        <v>188</v>
      </c>
      <c r="H322" s="11" t="s">
        <v>188</v>
      </c>
      <c r="I322" s="11" t="s">
        <v>1013</v>
      </c>
      <c r="J322" s="11" t="s">
        <v>260</v>
      </c>
      <c r="K322" s="11" t="s">
        <v>392</v>
      </c>
    </row>
    <row r="323">
      <c r="A323" s="11" t="s">
        <v>952</v>
      </c>
      <c r="B323" s="11" t="s">
        <v>388</v>
      </c>
      <c r="C323" s="11" t="s">
        <v>980</v>
      </c>
      <c r="D323" s="11" t="s">
        <v>981</v>
      </c>
      <c r="E323" s="11">
        <v>1988.0</v>
      </c>
      <c r="F323" s="11">
        <v>31.0</v>
      </c>
      <c r="G323" s="11" t="s">
        <v>188</v>
      </c>
      <c r="H323" s="11" t="s">
        <v>188</v>
      </c>
      <c r="I323" s="11" t="s">
        <v>1013</v>
      </c>
      <c r="J323" s="11" t="s">
        <v>260</v>
      </c>
      <c r="K323" s="11" t="s">
        <v>392</v>
      </c>
    </row>
    <row r="324">
      <c r="A324" s="11" t="s">
        <v>952</v>
      </c>
      <c r="B324" s="11" t="s">
        <v>388</v>
      </c>
      <c r="C324" s="11" t="s">
        <v>980</v>
      </c>
      <c r="D324" s="11" t="s">
        <v>981</v>
      </c>
      <c r="E324" s="11">
        <v>1989.0</v>
      </c>
      <c r="F324" s="11">
        <v>30.0</v>
      </c>
      <c r="G324" s="11" t="s">
        <v>188</v>
      </c>
      <c r="H324" s="11" t="s">
        <v>188</v>
      </c>
      <c r="I324" s="11" t="s">
        <v>1013</v>
      </c>
      <c r="J324" s="11" t="s">
        <v>260</v>
      </c>
      <c r="K324" s="11" t="s">
        <v>392</v>
      </c>
    </row>
    <row r="325">
      <c r="A325" s="11" t="s">
        <v>952</v>
      </c>
      <c r="B325" s="11" t="s">
        <v>388</v>
      </c>
      <c r="C325" s="11" t="s">
        <v>980</v>
      </c>
      <c r="D325" s="11" t="s">
        <v>981</v>
      </c>
      <c r="E325" s="11">
        <v>1990.0</v>
      </c>
      <c r="F325" s="11">
        <v>33.0</v>
      </c>
      <c r="G325" s="11" t="s">
        <v>188</v>
      </c>
      <c r="H325" s="11" t="s">
        <v>188</v>
      </c>
      <c r="I325" s="11" t="s">
        <v>1013</v>
      </c>
      <c r="J325" s="11" t="s">
        <v>260</v>
      </c>
      <c r="K325" s="11" t="s">
        <v>392</v>
      </c>
    </row>
    <row r="326">
      <c r="A326" s="11" t="s">
        <v>952</v>
      </c>
      <c r="B326" s="11" t="s">
        <v>388</v>
      </c>
      <c r="C326" s="11" t="s">
        <v>980</v>
      </c>
      <c r="D326" s="11" t="s">
        <v>981</v>
      </c>
      <c r="E326" s="11">
        <v>1991.0</v>
      </c>
      <c r="F326" s="11">
        <v>33.0</v>
      </c>
      <c r="G326" s="11" t="s">
        <v>188</v>
      </c>
      <c r="H326" s="11" t="s">
        <v>188</v>
      </c>
      <c r="I326" s="11" t="s">
        <v>1013</v>
      </c>
      <c r="J326" s="11" t="s">
        <v>260</v>
      </c>
      <c r="K326" s="11" t="s">
        <v>392</v>
      </c>
    </row>
    <row r="327">
      <c r="A327" s="11" t="s">
        <v>952</v>
      </c>
      <c r="B327" s="11" t="s">
        <v>388</v>
      </c>
      <c r="C327" s="11" t="s">
        <v>980</v>
      </c>
      <c r="D327" s="11" t="s">
        <v>981</v>
      </c>
      <c r="E327" s="11">
        <v>1992.0</v>
      </c>
      <c r="F327" s="11">
        <v>35.0</v>
      </c>
      <c r="G327" s="11" t="s">
        <v>188</v>
      </c>
      <c r="H327" s="11" t="s">
        <v>188</v>
      </c>
      <c r="I327" s="11" t="s">
        <v>1013</v>
      </c>
      <c r="J327" s="11" t="s">
        <v>260</v>
      </c>
      <c r="K327" s="11" t="s">
        <v>392</v>
      </c>
    </row>
    <row r="328">
      <c r="A328" s="11" t="s">
        <v>952</v>
      </c>
      <c r="B328" s="11" t="s">
        <v>388</v>
      </c>
      <c r="C328" s="11" t="s">
        <v>980</v>
      </c>
      <c r="D328" s="11" t="s">
        <v>981</v>
      </c>
      <c r="E328" s="11">
        <v>1993.0</v>
      </c>
      <c r="F328" s="11">
        <v>35.0</v>
      </c>
      <c r="G328" s="11" t="s">
        <v>188</v>
      </c>
      <c r="H328" s="11" t="s">
        <v>188</v>
      </c>
      <c r="I328" s="11" t="s">
        <v>1013</v>
      </c>
      <c r="J328" s="11" t="s">
        <v>260</v>
      </c>
      <c r="K328" s="11" t="s">
        <v>392</v>
      </c>
    </row>
    <row r="329">
      <c r="A329" s="11" t="s">
        <v>952</v>
      </c>
      <c r="B329" s="11" t="s">
        <v>388</v>
      </c>
      <c r="C329" s="11" t="s">
        <v>980</v>
      </c>
      <c r="D329" s="11" t="s">
        <v>981</v>
      </c>
      <c r="E329" s="11">
        <v>1994.0</v>
      </c>
      <c r="F329" s="11">
        <v>38.0</v>
      </c>
      <c r="G329" s="11" t="s">
        <v>188</v>
      </c>
      <c r="H329" s="11" t="s">
        <v>188</v>
      </c>
      <c r="I329" s="11" t="s">
        <v>1013</v>
      </c>
      <c r="J329" s="11" t="s">
        <v>260</v>
      </c>
      <c r="K329" s="11" t="s">
        <v>392</v>
      </c>
    </row>
    <row r="330">
      <c r="A330" s="11" t="s">
        <v>952</v>
      </c>
      <c r="B330" s="11" t="s">
        <v>388</v>
      </c>
      <c r="C330" s="11" t="s">
        <v>980</v>
      </c>
      <c r="D330" s="11" t="s">
        <v>981</v>
      </c>
      <c r="E330" s="11">
        <v>1995.0</v>
      </c>
      <c r="F330" s="11">
        <v>32.0</v>
      </c>
      <c r="G330" s="11" t="s">
        <v>188</v>
      </c>
      <c r="H330" s="11" t="s">
        <v>188</v>
      </c>
      <c r="I330" s="11" t="s">
        <v>1013</v>
      </c>
      <c r="J330" s="11" t="s">
        <v>260</v>
      </c>
      <c r="K330" s="11" t="s">
        <v>392</v>
      </c>
    </row>
    <row r="331">
      <c r="A331" s="11" t="s">
        <v>952</v>
      </c>
      <c r="B331" s="11" t="s">
        <v>388</v>
      </c>
      <c r="C331" s="11" t="s">
        <v>980</v>
      </c>
      <c r="D331" s="11" t="s">
        <v>981</v>
      </c>
      <c r="E331" s="11">
        <v>1996.0</v>
      </c>
      <c r="F331" s="11">
        <v>40.0</v>
      </c>
      <c r="G331" s="11" t="s">
        <v>188</v>
      </c>
      <c r="H331" s="11" t="s">
        <v>188</v>
      </c>
      <c r="I331" s="11" t="s">
        <v>1013</v>
      </c>
      <c r="J331" s="11" t="s">
        <v>260</v>
      </c>
      <c r="K331" s="11" t="s">
        <v>392</v>
      </c>
    </row>
    <row r="332">
      <c r="A332" s="11" t="s">
        <v>952</v>
      </c>
      <c r="B332" s="11" t="s">
        <v>388</v>
      </c>
      <c r="C332" s="11" t="s">
        <v>980</v>
      </c>
      <c r="D332" s="11" t="s">
        <v>981</v>
      </c>
      <c r="E332" s="11">
        <v>1997.0</v>
      </c>
      <c r="F332" s="11">
        <v>39.0</v>
      </c>
      <c r="G332" s="11" t="s">
        <v>188</v>
      </c>
      <c r="H332" s="11" t="s">
        <v>188</v>
      </c>
      <c r="I332" s="11" t="s">
        <v>1013</v>
      </c>
      <c r="J332" s="11" t="s">
        <v>260</v>
      </c>
      <c r="K332" s="11" t="s">
        <v>392</v>
      </c>
    </row>
    <row r="333">
      <c r="A333" s="11" t="s">
        <v>952</v>
      </c>
      <c r="B333" s="11" t="s">
        <v>388</v>
      </c>
      <c r="C333" s="11" t="s">
        <v>980</v>
      </c>
      <c r="D333" s="11" t="s">
        <v>981</v>
      </c>
      <c r="E333" s="11">
        <v>1998.0</v>
      </c>
      <c r="F333" s="11">
        <v>40.0</v>
      </c>
      <c r="G333" s="11" t="s">
        <v>188</v>
      </c>
      <c r="H333" s="11" t="s">
        <v>188</v>
      </c>
      <c r="I333" s="11" t="s">
        <v>1013</v>
      </c>
      <c r="J333" s="11" t="s">
        <v>260</v>
      </c>
      <c r="K333" s="11" t="s">
        <v>392</v>
      </c>
    </row>
    <row r="334">
      <c r="A334" s="11" t="s">
        <v>952</v>
      </c>
      <c r="B334" s="11" t="s">
        <v>388</v>
      </c>
      <c r="C334" s="11" t="s">
        <v>980</v>
      </c>
      <c r="D334" s="11" t="s">
        <v>981</v>
      </c>
      <c r="E334" s="11">
        <v>1999.0</v>
      </c>
      <c r="F334" s="11">
        <v>36.0</v>
      </c>
      <c r="G334" s="11" t="s">
        <v>188</v>
      </c>
      <c r="H334" s="11" t="s">
        <v>188</v>
      </c>
      <c r="I334" s="11" t="s">
        <v>1013</v>
      </c>
      <c r="J334" s="11" t="s">
        <v>260</v>
      </c>
      <c r="K334" s="11" t="s">
        <v>392</v>
      </c>
    </row>
    <row r="335">
      <c r="A335" s="11" t="s">
        <v>952</v>
      </c>
      <c r="B335" s="11" t="s">
        <v>388</v>
      </c>
      <c r="C335" s="11" t="s">
        <v>980</v>
      </c>
      <c r="D335" s="11" t="s">
        <v>981</v>
      </c>
      <c r="E335" s="11">
        <v>2000.0</v>
      </c>
      <c r="F335" s="11">
        <v>41.0</v>
      </c>
      <c r="G335" s="11" t="s">
        <v>188</v>
      </c>
      <c r="H335" s="11" t="s">
        <v>188</v>
      </c>
      <c r="I335" s="11" t="s">
        <v>1013</v>
      </c>
      <c r="J335" s="11" t="s">
        <v>260</v>
      </c>
      <c r="K335" s="11" t="s">
        <v>392</v>
      </c>
    </row>
    <row r="336">
      <c r="A336" s="11" t="s">
        <v>952</v>
      </c>
      <c r="B336" s="11" t="s">
        <v>388</v>
      </c>
      <c r="C336" s="11" t="s">
        <v>980</v>
      </c>
      <c r="D336" s="11" t="s">
        <v>981</v>
      </c>
      <c r="E336" s="11">
        <v>2001.0</v>
      </c>
      <c r="F336" s="11">
        <v>42.0</v>
      </c>
      <c r="G336" s="11" t="s">
        <v>188</v>
      </c>
      <c r="H336" s="11" t="s">
        <v>188</v>
      </c>
      <c r="I336" s="11" t="s">
        <v>1013</v>
      </c>
      <c r="J336" s="11" t="s">
        <v>260</v>
      </c>
      <c r="K336" s="11" t="s">
        <v>392</v>
      </c>
    </row>
    <row r="337">
      <c r="A337" s="11" t="s">
        <v>952</v>
      </c>
      <c r="B337" s="11" t="s">
        <v>388</v>
      </c>
      <c r="C337" s="11" t="s">
        <v>980</v>
      </c>
      <c r="D337" s="11" t="s">
        <v>981</v>
      </c>
      <c r="E337" s="11">
        <v>2002.0</v>
      </c>
      <c r="F337" s="11">
        <v>40.0</v>
      </c>
      <c r="G337" s="11" t="s">
        <v>188</v>
      </c>
      <c r="H337" s="11" t="s">
        <v>188</v>
      </c>
      <c r="I337" s="11" t="s">
        <v>1013</v>
      </c>
      <c r="J337" s="11" t="s">
        <v>260</v>
      </c>
      <c r="K337" s="11" t="s">
        <v>392</v>
      </c>
    </row>
    <row r="338">
      <c r="A338" s="11" t="s">
        <v>952</v>
      </c>
      <c r="B338" s="11" t="s">
        <v>388</v>
      </c>
      <c r="C338" s="11" t="s">
        <v>980</v>
      </c>
      <c r="D338" s="11" t="s">
        <v>981</v>
      </c>
      <c r="E338" s="11">
        <v>2003.0</v>
      </c>
      <c r="F338" s="11">
        <v>47.0</v>
      </c>
      <c r="G338" s="11" t="s">
        <v>188</v>
      </c>
      <c r="H338" s="11" t="s">
        <v>188</v>
      </c>
      <c r="I338" s="11" t="s">
        <v>1013</v>
      </c>
      <c r="J338" s="11" t="s">
        <v>260</v>
      </c>
      <c r="K338" s="11" t="s">
        <v>392</v>
      </c>
    </row>
    <row r="339">
      <c r="A339" s="11" t="s">
        <v>952</v>
      </c>
      <c r="B339" s="11" t="s">
        <v>388</v>
      </c>
      <c r="C339" s="11" t="s">
        <v>980</v>
      </c>
      <c r="D339" s="11" t="s">
        <v>981</v>
      </c>
      <c r="E339" s="11">
        <v>2004.0</v>
      </c>
      <c r="F339" s="11">
        <v>48.0</v>
      </c>
      <c r="G339" s="11" t="s">
        <v>188</v>
      </c>
      <c r="H339" s="11" t="s">
        <v>188</v>
      </c>
      <c r="I339" s="11" t="s">
        <v>1013</v>
      </c>
      <c r="J339" s="11" t="s">
        <v>260</v>
      </c>
      <c r="K339" s="11" t="s">
        <v>392</v>
      </c>
    </row>
    <row r="340">
      <c r="A340" s="11" t="s">
        <v>952</v>
      </c>
      <c r="B340" s="11" t="s">
        <v>388</v>
      </c>
      <c r="C340" s="11" t="s">
        <v>980</v>
      </c>
      <c r="D340" s="11" t="s">
        <v>981</v>
      </c>
      <c r="E340" s="11">
        <v>2005.0</v>
      </c>
      <c r="F340" s="11">
        <v>46.0</v>
      </c>
      <c r="G340" s="11" t="s">
        <v>188</v>
      </c>
      <c r="H340" s="11" t="s">
        <v>188</v>
      </c>
      <c r="I340" s="11" t="s">
        <v>1013</v>
      </c>
      <c r="J340" s="11" t="s">
        <v>260</v>
      </c>
      <c r="K340" s="11" t="s">
        <v>392</v>
      </c>
    </row>
    <row r="341">
      <c r="A341" s="11" t="s">
        <v>952</v>
      </c>
      <c r="B341" s="11" t="s">
        <v>388</v>
      </c>
      <c r="C341" s="11" t="s">
        <v>980</v>
      </c>
      <c r="D341" s="11" t="s">
        <v>981</v>
      </c>
      <c r="E341" s="11">
        <v>2006.0</v>
      </c>
      <c r="F341" s="11">
        <v>41.0</v>
      </c>
      <c r="G341" s="11" t="s">
        <v>188</v>
      </c>
      <c r="H341" s="11" t="s">
        <v>188</v>
      </c>
      <c r="I341" s="11" t="s">
        <v>1013</v>
      </c>
      <c r="J341" s="11" t="s">
        <v>260</v>
      </c>
      <c r="K341" s="11" t="s">
        <v>392</v>
      </c>
    </row>
    <row r="342">
      <c r="A342" s="11" t="s">
        <v>952</v>
      </c>
      <c r="B342" s="11" t="s">
        <v>388</v>
      </c>
      <c r="C342" s="11" t="s">
        <v>980</v>
      </c>
      <c r="D342" s="11" t="s">
        <v>981</v>
      </c>
      <c r="E342" s="11">
        <v>2007.0</v>
      </c>
      <c r="F342" s="11">
        <v>46.0</v>
      </c>
      <c r="G342" s="11" t="s">
        <v>188</v>
      </c>
      <c r="H342" s="11" t="s">
        <v>188</v>
      </c>
      <c r="I342" s="11" t="s">
        <v>1013</v>
      </c>
      <c r="J342" s="11" t="s">
        <v>260</v>
      </c>
      <c r="K342" s="11" t="s">
        <v>392</v>
      </c>
    </row>
    <row r="343">
      <c r="A343" s="11" t="s">
        <v>952</v>
      </c>
      <c r="B343" s="11" t="s">
        <v>388</v>
      </c>
      <c r="C343" s="11" t="s">
        <v>980</v>
      </c>
      <c r="D343" s="11" t="s">
        <v>981</v>
      </c>
      <c r="E343" s="11">
        <v>2008.0</v>
      </c>
      <c r="F343" s="11">
        <v>47.0</v>
      </c>
      <c r="G343" s="11" t="s">
        <v>188</v>
      </c>
      <c r="H343" s="11" t="s">
        <v>188</v>
      </c>
      <c r="I343" s="11" t="s">
        <v>1013</v>
      </c>
      <c r="J343" s="11" t="s">
        <v>260</v>
      </c>
      <c r="K343" s="11" t="s">
        <v>392</v>
      </c>
    </row>
    <row r="344">
      <c r="A344" s="11" t="s">
        <v>952</v>
      </c>
      <c r="B344" s="11" t="s">
        <v>388</v>
      </c>
      <c r="C344" s="11" t="s">
        <v>980</v>
      </c>
      <c r="D344" s="11" t="s">
        <v>981</v>
      </c>
      <c r="E344" s="11">
        <v>2009.0</v>
      </c>
      <c r="F344" s="11">
        <v>51.0</v>
      </c>
      <c r="G344" s="11" t="s">
        <v>188</v>
      </c>
      <c r="H344" s="11" t="s">
        <v>188</v>
      </c>
      <c r="I344" s="11" t="s">
        <v>1013</v>
      </c>
      <c r="J344" s="11" t="s">
        <v>260</v>
      </c>
      <c r="K344" s="11" t="s">
        <v>392</v>
      </c>
    </row>
    <row r="345">
      <c r="A345" s="11" t="s">
        <v>952</v>
      </c>
      <c r="B345" s="11" t="s">
        <v>388</v>
      </c>
      <c r="C345" s="11" t="s">
        <v>980</v>
      </c>
      <c r="D345" s="11" t="s">
        <v>981</v>
      </c>
      <c r="E345" s="11">
        <v>2010.0</v>
      </c>
      <c r="F345" s="11">
        <v>50.0</v>
      </c>
      <c r="G345" s="11" t="s">
        <v>188</v>
      </c>
      <c r="H345" s="11" t="s">
        <v>188</v>
      </c>
      <c r="I345" s="11" t="s">
        <v>1013</v>
      </c>
      <c r="J345" s="11" t="s">
        <v>260</v>
      </c>
      <c r="K345" s="11" t="s">
        <v>392</v>
      </c>
    </row>
    <row r="346">
      <c r="A346" s="11" t="s">
        <v>952</v>
      </c>
      <c r="B346" s="11" t="s">
        <v>388</v>
      </c>
      <c r="C346" s="11" t="s">
        <v>980</v>
      </c>
      <c r="D346" s="11" t="s">
        <v>981</v>
      </c>
      <c r="E346" s="11">
        <v>2011.0</v>
      </c>
      <c r="F346" s="11">
        <v>53.0</v>
      </c>
      <c r="G346" s="11" t="s">
        <v>188</v>
      </c>
      <c r="H346" s="11" t="s">
        <v>188</v>
      </c>
      <c r="I346" s="11" t="s">
        <v>1013</v>
      </c>
      <c r="J346" s="11" t="s">
        <v>260</v>
      </c>
      <c r="K346" s="11" t="s">
        <v>392</v>
      </c>
    </row>
    <row r="347">
      <c r="A347" s="11" t="s">
        <v>952</v>
      </c>
      <c r="B347" s="11" t="s">
        <v>388</v>
      </c>
      <c r="C347" s="11" t="s">
        <v>980</v>
      </c>
      <c r="D347" s="11" t="s">
        <v>981</v>
      </c>
      <c r="E347" s="11">
        <v>2012.0</v>
      </c>
      <c r="F347" s="11">
        <v>53.0</v>
      </c>
      <c r="G347" s="11" t="s">
        <v>188</v>
      </c>
      <c r="H347" s="11" t="s">
        <v>188</v>
      </c>
      <c r="I347" s="11" t="s">
        <v>1013</v>
      </c>
      <c r="J347" s="11" t="s">
        <v>260</v>
      </c>
      <c r="K347" s="11" t="s">
        <v>392</v>
      </c>
    </row>
    <row r="348">
      <c r="A348" s="11" t="s">
        <v>952</v>
      </c>
      <c r="B348" s="11" t="s">
        <v>388</v>
      </c>
      <c r="C348" s="11" t="s">
        <v>980</v>
      </c>
      <c r="D348" s="11" t="s">
        <v>981</v>
      </c>
      <c r="E348" s="11">
        <v>2013.0</v>
      </c>
      <c r="F348" s="11">
        <v>53.0</v>
      </c>
      <c r="G348" s="11" t="s">
        <v>188</v>
      </c>
      <c r="H348" s="11" t="s">
        <v>188</v>
      </c>
      <c r="I348" s="11" t="s">
        <v>1013</v>
      </c>
      <c r="J348" s="11" t="s">
        <v>260</v>
      </c>
      <c r="K348" s="11" t="s">
        <v>392</v>
      </c>
    </row>
    <row r="349">
      <c r="A349" s="11" t="s">
        <v>952</v>
      </c>
      <c r="B349" s="11" t="s">
        <v>388</v>
      </c>
      <c r="C349" s="11" t="s">
        <v>980</v>
      </c>
      <c r="D349" s="11" t="s">
        <v>981</v>
      </c>
      <c r="E349" s="11">
        <v>2014.0</v>
      </c>
      <c r="F349" s="11">
        <v>55.0</v>
      </c>
      <c r="G349" s="11" t="s">
        <v>188</v>
      </c>
      <c r="H349" s="11" t="s">
        <v>188</v>
      </c>
      <c r="I349" s="11" t="s">
        <v>1013</v>
      </c>
      <c r="J349" s="11" t="s">
        <v>260</v>
      </c>
      <c r="K349" s="11" t="s">
        <v>392</v>
      </c>
    </row>
    <row r="350">
      <c r="A350" s="11" t="s">
        <v>952</v>
      </c>
      <c r="B350" s="11" t="s">
        <v>388</v>
      </c>
      <c r="C350" s="11" t="s">
        <v>980</v>
      </c>
      <c r="D350" s="11" t="s">
        <v>981</v>
      </c>
      <c r="E350" s="11">
        <v>2015.0</v>
      </c>
      <c r="F350" s="11">
        <v>54.0</v>
      </c>
      <c r="G350" s="11" t="s">
        <v>188</v>
      </c>
      <c r="H350" s="11" t="s">
        <v>188</v>
      </c>
      <c r="I350" s="11" t="s">
        <v>1013</v>
      </c>
      <c r="J350" s="11" t="s">
        <v>260</v>
      </c>
      <c r="K350" s="11" t="s">
        <v>392</v>
      </c>
    </row>
    <row r="351">
      <c r="A351" s="11" t="s">
        <v>952</v>
      </c>
      <c r="B351" s="11" t="s">
        <v>388</v>
      </c>
      <c r="C351" s="11" t="s">
        <v>980</v>
      </c>
      <c r="D351" s="11" t="s">
        <v>981</v>
      </c>
      <c r="E351" s="11">
        <v>2016.0</v>
      </c>
      <c r="F351" s="11">
        <v>54.0</v>
      </c>
      <c r="G351" s="11" t="s">
        <v>188</v>
      </c>
      <c r="H351" s="11" t="s">
        <v>188</v>
      </c>
      <c r="I351" s="11" t="s">
        <v>1013</v>
      </c>
      <c r="J351" s="11" t="s">
        <v>260</v>
      </c>
      <c r="K351" s="11" t="s">
        <v>392</v>
      </c>
    </row>
    <row r="352">
      <c r="A352" s="11" t="s">
        <v>952</v>
      </c>
      <c r="B352" s="11" t="s">
        <v>388</v>
      </c>
      <c r="C352" s="11" t="s">
        <v>980</v>
      </c>
      <c r="D352" s="11" t="s">
        <v>981</v>
      </c>
      <c r="E352" s="11">
        <v>2017.0</v>
      </c>
      <c r="F352" s="11">
        <v>54.0</v>
      </c>
      <c r="G352" s="11" t="s">
        <v>188</v>
      </c>
      <c r="H352" s="11" t="s">
        <v>188</v>
      </c>
      <c r="I352" s="11" t="s">
        <v>1013</v>
      </c>
      <c r="J352" s="11" t="s">
        <v>260</v>
      </c>
      <c r="K352" s="11" t="s">
        <v>392</v>
      </c>
    </row>
    <row r="353">
      <c r="A353" s="11" t="s">
        <v>952</v>
      </c>
      <c r="B353" s="11" t="s">
        <v>388</v>
      </c>
      <c r="C353" s="11" t="s">
        <v>980</v>
      </c>
      <c r="D353" s="11" t="s">
        <v>981</v>
      </c>
      <c r="E353" s="11">
        <v>2018.0</v>
      </c>
      <c r="F353" s="11">
        <v>56.0</v>
      </c>
      <c r="G353" s="11" t="s">
        <v>188</v>
      </c>
      <c r="H353" s="11" t="s">
        <v>188</v>
      </c>
      <c r="I353" s="11" t="s">
        <v>1013</v>
      </c>
      <c r="J353" s="11" t="s">
        <v>260</v>
      </c>
      <c r="K353" s="11" t="s">
        <v>392</v>
      </c>
    </row>
    <row r="354">
      <c r="A354" s="11" t="s">
        <v>952</v>
      </c>
      <c r="B354" s="11" t="s">
        <v>388</v>
      </c>
      <c r="C354" s="11" t="s">
        <v>980</v>
      </c>
      <c r="D354" s="11" t="s">
        <v>981</v>
      </c>
      <c r="E354" s="11">
        <v>2019.0</v>
      </c>
      <c r="F354" s="11">
        <v>55.0</v>
      </c>
      <c r="G354" s="11" t="s">
        <v>188</v>
      </c>
      <c r="H354" s="11" t="s">
        <v>188</v>
      </c>
      <c r="I354" s="11" t="s">
        <v>1013</v>
      </c>
      <c r="J354" s="11" t="s">
        <v>260</v>
      </c>
      <c r="K354" s="11" t="s">
        <v>392</v>
      </c>
    </row>
    <row r="355">
      <c r="A355" s="11" t="s">
        <v>952</v>
      </c>
      <c r="B355" s="11" t="s">
        <v>388</v>
      </c>
      <c r="C355" s="11" t="s">
        <v>980</v>
      </c>
      <c r="D355" s="11" t="s">
        <v>981</v>
      </c>
      <c r="E355" s="11">
        <v>2020.0</v>
      </c>
      <c r="F355" s="11">
        <v>54.0</v>
      </c>
      <c r="G355" s="11" t="s">
        <v>188</v>
      </c>
      <c r="H355" s="11" t="s">
        <v>188</v>
      </c>
      <c r="I355" s="11" t="s">
        <v>1013</v>
      </c>
      <c r="J355" s="11" t="s">
        <v>260</v>
      </c>
      <c r="K355" s="11" t="s">
        <v>392</v>
      </c>
    </row>
    <row r="356">
      <c r="A356" s="11" t="s">
        <v>952</v>
      </c>
      <c r="B356" s="11" t="s">
        <v>388</v>
      </c>
      <c r="C356" s="11" t="s">
        <v>980</v>
      </c>
      <c r="D356" s="11" t="s">
        <v>981</v>
      </c>
      <c r="E356" s="11">
        <v>2021.0</v>
      </c>
      <c r="F356" s="11">
        <v>56.0</v>
      </c>
      <c r="G356" s="11" t="s">
        <v>188</v>
      </c>
      <c r="H356" s="11" t="s">
        <v>188</v>
      </c>
      <c r="I356" s="11" t="s">
        <v>1013</v>
      </c>
      <c r="J356" s="11" t="s">
        <v>260</v>
      </c>
      <c r="K356" s="11" t="s">
        <v>392</v>
      </c>
    </row>
    <row r="357">
      <c r="A357" s="11" t="s">
        <v>952</v>
      </c>
      <c r="B357" s="11" t="s">
        <v>388</v>
      </c>
      <c r="C357" s="11" t="s">
        <v>996</v>
      </c>
      <c r="D357" s="11" t="s">
        <v>981</v>
      </c>
      <c r="E357" s="11">
        <v>1960.0</v>
      </c>
      <c r="F357" s="11">
        <v>7.0</v>
      </c>
      <c r="G357" s="11" t="s">
        <v>188</v>
      </c>
      <c r="H357" s="11" t="s">
        <v>188</v>
      </c>
      <c r="I357" s="11" t="s">
        <v>1013</v>
      </c>
      <c r="J357" s="11" t="s">
        <v>260</v>
      </c>
      <c r="K357" s="11" t="s">
        <v>392</v>
      </c>
    </row>
    <row r="358">
      <c r="A358" s="11" t="s">
        <v>952</v>
      </c>
      <c r="B358" s="11" t="s">
        <v>388</v>
      </c>
      <c r="C358" s="11" t="s">
        <v>996</v>
      </c>
      <c r="D358" s="11" t="s">
        <v>981</v>
      </c>
      <c r="E358" s="11">
        <v>1961.0</v>
      </c>
      <c r="F358" s="11">
        <v>7.0</v>
      </c>
      <c r="G358" s="11" t="s">
        <v>188</v>
      </c>
      <c r="H358" s="11" t="s">
        <v>188</v>
      </c>
      <c r="I358" s="11" t="s">
        <v>1013</v>
      </c>
      <c r="J358" s="11" t="s">
        <v>260</v>
      </c>
      <c r="K358" s="11" t="s">
        <v>392</v>
      </c>
    </row>
    <row r="359">
      <c r="A359" s="11" t="s">
        <v>952</v>
      </c>
      <c r="B359" s="11" t="s">
        <v>388</v>
      </c>
      <c r="C359" s="11" t="s">
        <v>996</v>
      </c>
      <c r="D359" s="11" t="s">
        <v>981</v>
      </c>
      <c r="E359" s="11">
        <v>1962.0</v>
      </c>
      <c r="F359" s="11">
        <v>9.0</v>
      </c>
      <c r="G359" s="11" t="s">
        <v>188</v>
      </c>
      <c r="H359" s="11" t="s">
        <v>188</v>
      </c>
      <c r="I359" s="11" t="s">
        <v>1013</v>
      </c>
      <c r="J359" s="11" t="s">
        <v>260</v>
      </c>
      <c r="K359" s="11" t="s">
        <v>392</v>
      </c>
    </row>
    <row r="360">
      <c r="A360" s="11" t="s">
        <v>952</v>
      </c>
      <c r="B360" s="11" t="s">
        <v>388</v>
      </c>
      <c r="C360" s="11" t="s">
        <v>996</v>
      </c>
      <c r="D360" s="11" t="s">
        <v>981</v>
      </c>
      <c r="E360" s="11">
        <v>1963.0</v>
      </c>
      <c r="F360" s="11">
        <v>7.0</v>
      </c>
      <c r="G360" s="11" t="s">
        <v>188</v>
      </c>
      <c r="H360" s="11" t="s">
        <v>188</v>
      </c>
      <c r="I360" s="11" t="s">
        <v>1013</v>
      </c>
      <c r="J360" s="11" t="s">
        <v>260</v>
      </c>
      <c r="K360" s="11" t="s">
        <v>392</v>
      </c>
    </row>
    <row r="361">
      <c r="A361" s="11" t="s">
        <v>952</v>
      </c>
      <c r="B361" s="11" t="s">
        <v>388</v>
      </c>
      <c r="C361" s="11" t="s">
        <v>996</v>
      </c>
      <c r="D361" s="11" t="s">
        <v>981</v>
      </c>
      <c r="E361" s="11">
        <v>1964.0</v>
      </c>
      <c r="F361" s="11">
        <v>7.0</v>
      </c>
      <c r="G361" s="11" t="s">
        <v>188</v>
      </c>
      <c r="H361" s="11" t="s">
        <v>188</v>
      </c>
      <c r="I361" s="11" t="s">
        <v>1013</v>
      </c>
      <c r="J361" s="11" t="s">
        <v>260</v>
      </c>
      <c r="K361" s="11" t="s">
        <v>392</v>
      </c>
    </row>
    <row r="362">
      <c r="A362" s="11" t="s">
        <v>952</v>
      </c>
      <c r="B362" s="11" t="s">
        <v>388</v>
      </c>
      <c r="C362" s="11" t="s">
        <v>996</v>
      </c>
      <c r="D362" s="11" t="s">
        <v>981</v>
      </c>
      <c r="E362" s="11">
        <v>1965.0</v>
      </c>
      <c r="F362" s="11">
        <v>7.0</v>
      </c>
      <c r="G362" s="11" t="s">
        <v>188</v>
      </c>
      <c r="H362" s="11" t="s">
        <v>188</v>
      </c>
      <c r="I362" s="11" t="s">
        <v>1013</v>
      </c>
      <c r="J362" s="11" t="s">
        <v>260</v>
      </c>
      <c r="K362" s="11" t="s">
        <v>392</v>
      </c>
    </row>
    <row r="363">
      <c r="A363" s="11" t="s">
        <v>952</v>
      </c>
      <c r="B363" s="11" t="s">
        <v>388</v>
      </c>
      <c r="C363" s="11" t="s">
        <v>996</v>
      </c>
      <c r="D363" s="11" t="s">
        <v>981</v>
      </c>
      <c r="E363" s="11">
        <v>1966.0</v>
      </c>
      <c r="F363" s="11">
        <v>9.0</v>
      </c>
      <c r="G363" s="11" t="s">
        <v>188</v>
      </c>
      <c r="H363" s="11" t="s">
        <v>188</v>
      </c>
      <c r="I363" s="11" t="s">
        <v>1013</v>
      </c>
      <c r="J363" s="11" t="s">
        <v>260</v>
      </c>
      <c r="K363" s="11" t="s">
        <v>392</v>
      </c>
    </row>
    <row r="364">
      <c r="A364" s="11" t="s">
        <v>952</v>
      </c>
      <c r="B364" s="11" t="s">
        <v>388</v>
      </c>
      <c r="C364" s="11" t="s">
        <v>996</v>
      </c>
      <c r="D364" s="11" t="s">
        <v>981</v>
      </c>
      <c r="E364" s="11">
        <v>1967.0</v>
      </c>
      <c r="F364" s="11">
        <v>9.0</v>
      </c>
      <c r="G364" s="11" t="s">
        <v>188</v>
      </c>
      <c r="H364" s="11" t="s">
        <v>188</v>
      </c>
      <c r="I364" s="11" t="s">
        <v>1013</v>
      </c>
      <c r="J364" s="11" t="s">
        <v>260</v>
      </c>
      <c r="K364" s="11" t="s">
        <v>392</v>
      </c>
    </row>
    <row r="365">
      <c r="A365" s="11" t="s">
        <v>952</v>
      </c>
      <c r="B365" s="11" t="s">
        <v>388</v>
      </c>
      <c r="C365" s="11" t="s">
        <v>996</v>
      </c>
      <c r="D365" s="11" t="s">
        <v>981</v>
      </c>
      <c r="E365" s="11">
        <v>1968.0</v>
      </c>
      <c r="F365" s="11">
        <v>14.0</v>
      </c>
      <c r="G365" s="11" t="s">
        <v>188</v>
      </c>
      <c r="H365" s="11" t="s">
        <v>188</v>
      </c>
      <c r="I365" s="11" t="s">
        <v>1013</v>
      </c>
      <c r="J365" s="11" t="s">
        <v>260</v>
      </c>
      <c r="K365" s="11" t="s">
        <v>392</v>
      </c>
    </row>
    <row r="366">
      <c r="A366" s="11" t="s">
        <v>952</v>
      </c>
      <c r="B366" s="11" t="s">
        <v>388</v>
      </c>
      <c r="C366" s="11" t="s">
        <v>996</v>
      </c>
      <c r="D366" s="11" t="s">
        <v>981</v>
      </c>
      <c r="E366" s="11">
        <v>1969.0</v>
      </c>
      <c r="F366" s="11">
        <v>16.0</v>
      </c>
      <c r="G366" s="11" t="s">
        <v>188</v>
      </c>
      <c r="H366" s="11" t="s">
        <v>188</v>
      </c>
      <c r="I366" s="11" t="s">
        <v>1013</v>
      </c>
      <c r="J366" s="11" t="s">
        <v>260</v>
      </c>
      <c r="K366" s="11" t="s">
        <v>392</v>
      </c>
    </row>
    <row r="367">
      <c r="A367" s="11" t="s">
        <v>952</v>
      </c>
      <c r="B367" s="11" t="s">
        <v>388</v>
      </c>
      <c r="C367" s="11" t="s">
        <v>996</v>
      </c>
      <c r="D367" s="11" t="s">
        <v>981</v>
      </c>
      <c r="E367" s="11">
        <v>1970.0</v>
      </c>
      <c r="F367" s="11">
        <v>16.0</v>
      </c>
      <c r="G367" s="11" t="s">
        <v>188</v>
      </c>
      <c r="H367" s="11" t="s">
        <v>188</v>
      </c>
      <c r="I367" s="11" t="s">
        <v>1013</v>
      </c>
      <c r="J367" s="11" t="s">
        <v>260</v>
      </c>
      <c r="K367" s="11" t="s">
        <v>392</v>
      </c>
    </row>
    <row r="368">
      <c r="A368" s="11" t="s">
        <v>952</v>
      </c>
      <c r="B368" s="11" t="s">
        <v>388</v>
      </c>
      <c r="C368" s="11" t="s">
        <v>996</v>
      </c>
      <c r="D368" s="11" t="s">
        <v>981</v>
      </c>
      <c r="E368" s="11">
        <v>1971.0</v>
      </c>
      <c r="F368" s="11">
        <v>21.0</v>
      </c>
      <c r="G368" s="11" t="s">
        <v>188</v>
      </c>
      <c r="H368" s="11" t="s">
        <v>188</v>
      </c>
      <c r="I368" s="11" t="s">
        <v>1013</v>
      </c>
      <c r="J368" s="11" t="s">
        <v>260</v>
      </c>
      <c r="K368" s="11" t="s">
        <v>392</v>
      </c>
    </row>
    <row r="369">
      <c r="A369" s="11" t="s">
        <v>952</v>
      </c>
      <c r="B369" s="11" t="s">
        <v>388</v>
      </c>
      <c r="C369" s="11" t="s">
        <v>996</v>
      </c>
      <c r="D369" s="11" t="s">
        <v>981</v>
      </c>
      <c r="E369" s="11">
        <v>1972.0</v>
      </c>
      <c r="F369" s="11">
        <v>21.0</v>
      </c>
      <c r="G369" s="11" t="s">
        <v>188</v>
      </c>
      <c r="H369" s="11" t="s">
        <v>188</v>
      </c>
      <c r="I369" s="11" t="s">
        <v>1013</v>
      </c>
      <c r="J369" s="11" t="s">
        <v>260</v>
      </c>
      <c r="K369" s="11" t="s">
        <v>392</v>
      </c>
    </row>
    <row r="370">
      <c r="A370" s="11" t="s">
        <v>952</v>
      </c>
      <c r="B370" s="11" t="s">
        <v>388</v>
      </c>
      <c r="C370" s="11" t="s">
        <v>996</v>
      </c>
      <c r="D370" s="11" t="s">
        <v>981</v>
      </c>
      <c r="E370" s="11">
        <v>1973.0</v>
      </c>
      <c r="F370" s="11">
        <v>23.0</v>
      </c>
      <c r="G370" s="11" t="s">
        <v>188</v>
      </c>
      <c r="H370" s="11" t="s">
        <v>188</v>
      </c>
      <c r="I370" s="11" t="s">
        <v>1013</v>
      </c>
      <c r="J370" s="11" t="s">
        <v>260</v>
      </c>
      <c r="K370" s="11" t="s">
        <v>392</v>
      </c>
    </row>
    <row r="371">
      <c r="A371" s="11" t="s">
        <v>952</v>
      </c>
      <c r="B371" s="11" t="s">
        <v>388</v>
      </c>
      <c r="C371" s="11" t="s">
        <v>996</v>
      </c>
      <c r="D371" s="11" t="s">
        <v>981</v>
      </c>
      <c r="E371" s="11">
        <v>1975.0</v>
      </c>
      <c r="F371" s="11">
        <v>26.0</v>
      </c>
      <c r="G371" s="11" t="s">
        <v>188</v>
      </c>
      <c r="H371" s="11" t="s">
        <v>188</v>
      </c>
      <c r="I371" s="11" t="s">
        <v>1013</v>
      </c>
      <c r="J371" s="11" t="s">
        <v>260</v>
      </c>
      <c r="K371" s="11" t="s">
        <v>392</v>
      </c>
    </row>
    <row r="372">
      <c r="A372" s="11" t="s">
        <v>952</v>
      </c>
      <c r="B372" s="11" t="s">
        <v>388</v>
      </c>
      <c r="C372" s="11" t="s">
        <v>996</v>
      </c>
      <c r="D372" s="11" t="s">
        <v>981</v>
      </c>
      <c r="E372" s="11">
        <v>1976.0</v>
      </c>
      <c r="F372" s="11">
        <v>28.0</v>
      </c>
      <c r="G372" s="11" t="s">
        <v>188</v>
      </c>
      <c r="H372" s="11" t="s">
        <v>188</v>
      </c>
      <c r="I372" s="11" t="s">
        <v>1013</v>
      </c>
      <c r="J372" s="11" t="s">
        <v>260</v>
      </c>
      <c r="K372" s="11" t="s">
        <v>392</v>
      </c>
    </row>
    <row r="373">
      <c r="A373" s="11" t="s">
        <v>952</v>
      </c>
      <c r="B373" s="11" t="s">
        <v>388</v>
      </c>
      <c r="C373" s="11" t="s">
        <v>996</v>
      </c>
      <c r="D373" s="11" t="s">
        <v>981</v>
      </c>
      <c r="E373" s="11">
        <v>1977.0</v>
      </c>
      <c r="F373" s="11">
        <v>30.0</v>
      </c>
      <c r="G373" s="11" t="s">
        <v>188</v>
      </c>
      <c r="H373" s="11" t="s">
        <v>188</v>
      </c>
      <c r="I373" s="11" t="s">
        <v>1013</v>
      </c>
      <c r="J373" s="11" t="s">
        <v>260</v>
      </c>
      <c r="K373" s="11" t="s">
        <v>392</v>
      </c>
    </row>
    <row r="374">
      <c r="A374" s="11" t="s">
        <v>952</v>
      </c>
      <c r="B374" s="11" t="s">
        <v>388</v>
      </c>
      <c r="C374" s="11" t="s">
        <v>996</v>
      </c>
      <c r="D374" s="11" t="s">
        <v>981</v>
      </c>
      <c r="E374" s="11">
        <v>1978.0</v>
      </c>
      <c r="F374" s="11">
        <v>30.0</v>
      </c>
      <c r="G374" s="11" t="s">
        <v>188</v>
      </c>
      <c r="H374" s="11" t="s">
        <v>188</v>
      </c>
      <c r="I374" s="11" t="s">
        <v>1013</v>
      </c>
      <c r="J374" s="11" t="s">
        <v>260</v>
      </c>
      <c r="K374" s="11" t="s">
        <v>392</v>
      </c>
    </row>
    <row r="375">
      <c r="A375" s="11" t="s">
        <v>952</v>
      </c>
      <c r="B375" s="11" t="s">
        <v>388</v>
      </c>
      <c r="C375" s="11" t="s">
        <v>996</v>
      </c>
      <c r="D375" s="11" t="s">
        <v>981</v>
      </c>
      <c r="E375" s="11">
        <v>1979.0</v>
      </c>
      <c r="F375" s="11">
        <v>35.0</v>
      </c>
      <c r="G375" s="11" t="s">
        <v>188</v>
      </c>
      <c r="H375" s="11" t="s">
        <v>188</v>
      </c>
      <c r="I375" s="11" t="s">
        <v>1013</v>
      </c>
      <c r="J375" s="11" t="s">
        <v>260</v>
      </c>
      <c r="K375" s="11" t="s">
        <v>392</v>
      </c>
    </row>
    <row r="376">
      <c r="A376" s="11" t="s">
        <v>952</v>
      </c>
      <c r="B376" s="11" t="s">
        <v>388</v>
      </c>
      <c r="C376" s="11" t="s">
        <v>996</v>
      </c>
      <c r="D376" s="11" t="s">
        <v>981</v>
      </c>
      <c r="E376" s="11">
        <v>1980.0</v>
      </c>
      <c r="F376" s="11">
        <v>37.0</v>
      </c>
      <c r="G376" s="11" t="s">
        <v>188</v>
      </c>
      <c r="H376" s="11" t="s">
        <v>188</v>
      </c>
      <c r="I376" s="11" t="s">
        <v>1013</v>
      </c>
      <c r="J376" s="11" t="s">
        <v>260</v>
      </c>
      <c r="K376" s="11" t="s">
        <v>392</v>
      </c>
    </row>
    <row r="377">
      <c r="A377" s="11" t="s">
        <v>952</v>
      </c>
      <c r="B377" s="11" t="s">
        <v>388</v>
      </c>
      <c r="C377" s="11" t="s">
        <v>996</v>
      </c>
      <c r="D377" s="11" t="s">
        <v>981</v>
      </c>
      <c r="E377" s="11">
        <v>1981.0</v>
      </c>
      <c r="F377" s="11">
        <v>40.0</v>
      </c>
      <c r="G377" s="11" t="s">
        <v>188</v>
      </c>
      <c r="H377" s="11" t="s">
        <v>188</v>
      </c>
      <c r="I377" s="11" t="s">
        <v>1013</v>
      </c>
      <c r="J377" s="11" t="s">
        <v>260</v>
      </c>
      <c r="K377" s="11" t="s">
        <v>392</v>
      </c>
    </row>
    <row r="378">
      <c r="A378" s="11" t="s">
        <v>952</v>
      </c>
      <c r="B378" s="11" t="s">
        <v>388</v>
      </c>
      <c r="C378" s="11" t="s">
        <v>996</v>
      </c>
      <c r="D378" s="11" t="s">
        <v>981</v>
      </c>
      <c r="E378" s="11">
        <v>1982.0</v>
      </c>
      <c r="F378" s="11">
        <v>44.0</v>
      </c>
      <c r="G378" s="11" t="s">
        <v>188</v>
      </c>
      <c r="H378" s="11" t="s">
        <v>188</v>
      </c>
      <c r="I378" s="11" t="s">
        <v>1013</v>
      </c>
      <c r="J378" s="11" t="s">
        <v>260</v>
      </c>
      <c r="K378" s="11" t="s">
        <v>392</v>
      </c>
    </row>
    <row r="379">
      <c r="A379" s="11" t="s">
        <v>952</v>
      </c>
      <c r="B379" s="11" t="s">
        <v>388</v>
      </c>
      <c r="C379" s="11" t="s">
        <v>996</v>
      </c>
      <c r="D379" s="11" t="s">
        <v>981</v>
      </c>
      <c r="E379" s="11">
        <v>1983.0</v>
      </c>
      <c r="F379" s="11">
        <v>44.0</v>
      </c>
      <c r="G379" s="11" t="s">
        <v>188</v>
      </c>
      <c r="H379" s="11" t="s">
        <v>188</v>
      </c>
      <c r="I379" s="11" t="s">
        <v>1013</v>
      </c>
      <c r="J379" s="11" t="s">
        <v>260</v>
      </c>
      <c r="K379" s="11" t="s">
        <v>392</v>
      </c>
    </row>
    <row r="380">
      <c r="A380" s="11" t="s">
        <v>952</v>
      </c>
      <c r="B380" s="11" t="s">
        <v>388</v>
      </c>
      <c r="C380" s="11" t="s">
        <v>996</v>
      </c>
      <c r="D380" s="11" t="s">
        <v>981</v>
      </c>
      <c r="E380" s="11">
        <v>1984.0</v>
      </c>
      <c r="F380" s="11">
        <v>51.0</v>
      </c>
      <c r="G380" s="11" t="s">
        <v>188</v>
      </c>
      <c r="H380" s="11" t="s">
        <v>188</v>
      </c>
      <c r="I380" s="11" t="s">
        <v>1013</v>
      </c>
      <c r="J380" s="11" t="s">
        <v>260</v>
      </c>
      <c r="K380" s="11" t="s">
        <v>392</v>
      </c>
    </row>
    <row r="381">
      <c r="A381" s="11" t="s">
        <v>952</v>
      </c>
      <c r="B381" s="11" t="s">
        <v>388</v>
      </c>
      <c r="C381" s="11" t="s">
        <v>996</v>
      </c>
      <c r="D381" s="11" t="s">
        <v>981</v>
      </c>
      <c r="E381" s="11">
        <v>1985.0</v>
      </c>
      <c r="F381" s="11">
        <v>58.0</v>
      </c>
      <c r="G381" s="11" t="s">
        <v>188</v>
      </c>
      <c r="H381" s="11" t="s">
        <v>188</v>
      </c>
      <c r="I381" s="11" t="s">
        <v>1013</v>
      </c>
      <c r="J381" s="11" t="s">
        <v>260</v>
      </c>
      <c r="K381" s="11" t="s">
        <v>392</v>
      </c>
    </row>
    <row r="382">
      <c r="A382" s="11" t="s">
        <v>952</v>
      </c>
      <c r="B382" s="11" t="s">
        <v>388</v>
      </c>
      <c r="C382" s="11" t="s">
        <v>996</v>
      </c>
      <c r="D382" s="11" t="s">
        <v>981</v>
      </c>
      <c r="E382" s="11">
        <v>1986.0</v>
      </c>
      <c r="F382" s="11">
        <v>63.0</v>
      </c>
      <c r="G382" s="11" t="s">
        <v>188</v>
      </c>
      <c r="H382" s="11" t="s">
        <v>188</v>
      </c>
      <c r="I382" s="11" t="s">
        <v>1013</v>
      </c>
      <c r="J382" s="11" t="s">
        <v>260</v>
      </c>
      <c r="K382" s="11" t="s">
        <v>392</v>
      </c>
    </row>
    <row r="383">
      <c r="A383" s="11" t="s">
        <v>952</v>
      </c>
      <c r="B383" s="11" t="s">
        <v>388</v>
      </c>
      <c r="C383" s="11" t="s">
        <v>996</v>
      </c>
      <c r="D383" s="11" t="s">
        <v>981</v>
      </c>
      <c r="E383" s="11">
        <v>1987.0</v>
      </c>
      <c r="F383" s="11">
        <v>70.0</v>
      </c>
      <c r="G383" s="11" t="s">
        <v>188</v>
      </c>
      <c r="H383" s="11" t="s">
        <v>188</v>
      </c>
      <c r="I383" s="11" t="s">
        <v>1013</v>
      </c>
      <c r="J383" s="11" t="s">
        <v>260</v>
      </c>
      <c r="K383" s="11" t="s">
        <v>392</v>
      </c>
    </row>
    <row r="384">
      <c r="A384" s="11" t="s">
        <v>952</v>
      </c>
      <c r="B384" s="11" t="s">
        <v>388</v>
      </c>
      <c r="C384" s="11" t="s">
        <v>996</v>
      </c>
      <c r="D384" s="11" t="s">
        <v>981</v>
      </c>
      <c r="E384" s="11">
        <v>1988.0</v>
      </c>
      <c r="F384" s="11">
        <v>77.0</v>
      </c>
      <c r="G384" s="11" t="s">
        <v>188</v>
      </c>
      <c r="H384" s="11" t="s">
        <v>188</v>
      </c>
      <c r="I384" s="11" t="s">
        <v>1013</v>
      </c>
      <c r="J384" s="11" t="s">
        <v>260</v>
      </c>
      <c r="K384" s="11" t="s">
        <v>392</v>
      </c>
    </row>
    <row r="385">
      <c r="A385" s="11" t="s">
        <v>952</v>
      </c>
      <c r="B385" s="11" t="s">
        <v>388</v>
      </c>
      <c r="C385" s="11" t="s">
        <v>996</v>
      </c>
      <c r="D385" s="11" t="s">
        <v>981</v>
      </c>
      <c r="E385" s="11">
        <v>1989.0</v>
      </c>
      <c r="F385" s="11">
        <v>82.0</v>
      </c>
      <c r="G385" s="11" t="s">
        <v>188</v>
      </c>
      <c r="H385" s="11" t="s">
        <v>188</v>
      </c>
      <c r="I385" s="11" t="s">
        <v>1013</v>
      </c>
      <c r="J385" s="11" t="s">
        <v>260</v>
      </c>
      <c r="K385" s="11" t="s">
        <v>392</v>
      </c>
    </row>
    <row r="386">
      <c r="A386" s="11" t="s">
        <v>952</v>
      </c>
      <c r="B386" s="11" t="s">
        <v>388</v>
      </c>
      <c r="C386" s="11" t="s">
        <v>996</v>
      </c>
      <c r="D386" s="11" t="s">
        <v>981</v>
      </c>
      <c r="E386" s="11">
        <v>1990.0</v>
      </c>
      <c r="F386" s="11">
        <v>91.0</v>
      </c>
      <c r="G386" s="11" t="s">
        <v>188</v>
      </c>
      <c r="H386" s="11" t="s">
        <v>188</v>
      </c>
      <c r="I386" s="11" t="s">
        <v>1013</v>
      </c>
      <c r="J386" s="11" t="s">
        <v>260</v>
      </c>
      <c r="K386" s="11" t="s">
        <v>392</v>
      </c>
    </row>
    <row r="387">
      <c r="A387" s="11" t="s">
        <v>952</v>
      </c>
      <c r="B387" s="11" t="s">
        <v>388</v>
      </c>
      <c r="C387" s="11" t="s">
        <v>996</v>
      </c>
      <c r="D387" s="11" t="s">
        <v>981</v>
      </c>
      <c r="E387" s="11">
        <v>1991.0</v>
      </c>
      <c r="F387" s="11">
        <v>101.0</v>
      </c>
      <c r="G387" s="11" t="s">
        <v>188</v>
      </c>
      <c r="H387" s="11" t="s">
        <v>188</v>
      </c>
      <c r="I387" s="11" t="s">
        <v>1013</v>
      </c>
      <c r="J387" s="11" t="s">
        <v>260</v>
      </c>
      <c r="K387" s="11" t="s">
        <v>392</v>
      </c>
    </row>
    <row r="388">
      <c r="A388" s="11" t="s">
        <v>952</v>
      </c>
      <c r="B388" s="11" t="s">
        <v>388</v>
      </c>
      <c r="C388" s="11" t="s">
        <v>996</v>
      </c>
      <c r="D388" s="11" t="s">
        <v>981</v>
      </c>
      <c r="E388" s="11">
        <v>1992.0</v>
      </c>
      <c r="F388" s="11">
        <v>110.0</v>
      </c>
      <c r="G388" s="11" t="s">
        <v>188</v>
      </c>
      <c r="H388" s="11" t="s">
        <v>188</v>
      </c>
      <c r="I388" s="11" t="s">
        <v>1013</v>
      </c>
      <c r="J388" s="11" t="s">
        <v>260</v>
      </c>
      <c r="K388" s="11" t="s">
        <v>392</v>
      </c>
    </row>
    <row r="389">
      <c r="A389" s="11" t="s">
        <v>952</v>
      </c>
      <c r="B389" s="11" t="s">
        <v>388</v>
      </c>
      <c r="C389" s="11" t="s">
        <v>996</v>
      </c>
      <c r="D389" s="11" t="s">
        <v>981</v>
      </c>
      <c r="E389" s="11">
        <v>1993.0</v>
      </c>
      <c r="F389" s="11">
        <v>119.0</v>
      </c>
      <c r="G389" s="11" t="s">
        <v>188</v>
      </c>
      <c r="H389" s="11" t="s">
        <v>188</v>
      </c>
      <c r="I389" s="11" t="s">
        <v>1013</v>
      </c>
      <c r="J389" s="11" t="s">
        <v>260</v>
      </c>
      <c r="K389" s="11" t="s">
        <v>392</v>
      </c>
    </row>
    <row r="390">
      <c r="A390" s="11" t="s">
        <v>952</v>
      </c>
      <c r="B390" s="11" t="s">
        <v>388</v>
      </c>
      <c r="C390" s="11" t="s">
        <v>996</v>
      </c>
      <c r="D390" s="11" t="s">
        <v>981</v>
      </c>
      <c r="E390" s="11">
        <v>1994.0</v>
      </c>
      <c r="F390" s="11">
        <v>131.0</v>
      </c>
      <c r="G390" s="11" t="s">
        <v>188</v>
      </c>
      <c r="H390" s="11" t="s">
        <v>188</v>
      </c>
      <c r="I390" s="11" t="s">
        <v>1013</v>
      </c>
      <c r="J390" s="11" t="s">
        <v>260</v>
      </c>
      <c r="K390" s="11" t="s">
        <v>392</v>
      </c>
    </row>
    <row r="391">
      <c r="A391" s="11" t="s">
        <v>952</v>
      </c>
      <c r="B391" s="11" t="s">
        <v>388</v>
      </c>
      <c r="C391" s="11" t="s">
        <v>996</v>
      </c>
      <c r="D391" s="11" t="s">
        <v>981</v>
      </c>
      <c r="E391" s="11">
        <v>1995.0</v>
      </c>
      <c r="F391" s="11">
        <v>136.0</v>
      </c>
      <c r="G391" s="11" t="s">
        <v>188</v>
      </c>
      <c r="H391" s="11" t="s">
        <v>188</v>
      </c>
      <c r="I391" s="11" t="s">
        <v>1013</v>
      </c>
      <c r="J391" s="11" t="s">
        <v>260</v>
      </c>
      <c r="K391" s="11" t="s">
        <v>392</v>
      </c>
    </row>
    <row r="392">
      <c r="A392" s="11" t="s">
        <v>952</v>
      </c>
      <c r="B392" s="11" t="s">
        <v>388</v>
      </c>
      <c r="C392" s="11" t="s">
        <v>996</v>
      </c>
      <c r="D392" s="11" t="s">
        <v>981</v>
      </c>
      <c r="E392" s="11">
        <v>1996.0</v>
      </c>
      <c r="F392" s="11">
        <v>152.0</v>
      </c>
      <c r="G392" s="11" t="s">
        <v>188</v>
      </c>
      <c r="H392" s="11" t="s">
        <v>188</v>
      </c>
      <c r="I392" s="11" t="s">
        <v>1013</v>
      </c>
      <c r="J392" s="11" t="s">
        <v>260</v>
      </c>
      <c r="K392" s="11" t="s">
        <v>392</v>
      </c>
    </row>
    <row r="393">
      <c r="A393" s="11" t="s">
        <v>952</v>
      </c>
      <c r="B393" s="11" t="s">
        <v>388</v>
      </c>
      <c r="C393" s="11" t="s">
        <v>996</v>
      </c>
      <c r="D393" s="11" t="s">
        <v>981</v>
      </c>
      <c r="E393" s="11">
        <v>1997.0</v>
      </c>
      <c r="F393" s="11">
        <v>164.0</v>
      </c>
      <c r="G393" s="11" t="s">
        <v>188</v>
      </c>
      <c r="H393" s="11" t="s">
        <v>188</v>
      </c>
      <c r="I393" s="11" t="s">
        <v>1013</v>
      </c>
      <c r="J393" s="11" t="s">
        <v>260</v>
      </c>
      <c r="K393" s="11" t="s">
        <v>392</v>
      </c>
    </row>
    <row r="394">
      <c r="A394" s="11" t="s">
        <v>952</v>
      </c>
      <c r="B394" s="11" t="s">
        <v>388</v>
      </c>
      <c r="C394" s="11" t="s">
        <v>996</v>
      </c>
      <c r="D394" s="11" t="s">
        <v>981</v>
      </c>
      <c r="E394" s="11">
        <v>1998.0</v>
      </c>
      <c r="F394" s="11">
        <v>175.0</v>
      </c>
      <c r="G394" s="11" t="s">
        <v>188</v>
      </c>
      <c r="H394" s="11" t="s">
        <v>188</v>
      </c>
      <c r="I394" s="11" t="s">
        <v>1013</v>
      </c>
      <c r="J394" s="11" t="s">
        <v>260</v>
      </c>
      <c r="K394" s="11" t="s">
        <v>392</v>
      </c>
    </row>
    <row r="395">
      <c r="A395" s="11" t="s">
        <v>952</v>
      </c>
      <c r="B395" s="11" t="s">
        <v>388</v>
      </c>
      <c r="C395" s="11" t="s">
        <v>996</v>
      </c>
      <c r="D395" s="11" t="s">
        <v>981</v>
      </c>
      <c r="E395" s="11">
        <v>1999.0</v>
      </c>
      <c r="F395" s="11">
        <v>182.0</v>
      </c>
      <c r="G395" s="11" t="s">
        <v>188</v>
      </c>
      <c r="H395" s="11" t="s">
        <v>188</v>
      </c>
      <c r="I395" s="11" t="s">
        <v>1013</v>
      </c>
      <c r="J395" s="11" t="s">
        <v>260</v>
      </c>
      <c r="K395" s="11" t="s">
        <v>392</v>
      </c>
    </row>
    <row r="396">
      <c r="A396" s="11" t="s">
        <v>952</v>
      </c>
      <c r="B396" s="11" t="s">
        <v>388</v>
      </c>
      <c r="C396" s="11" t="s">
        <v>996</v>
      </c>
      <c r="D396" s="11" t="s">
        <v>981</v>
      </c>
      <c r="E396" s="11">
        <v>2000.0</v>
      </c>
      <c r="F396" s="11">
        <v>199.0</v>
      </c>
      <c r="G396" s="11" t="s">
        <v>188</v>
      </c>
      <c r="H396" s="11" t="s">
        <v>188</v>
      </c>
      <c r="I396" s="11" t="s">
        <v>1013</v>
      </c>
      <c r="J396" s="11" t="s">
        <v>260</v>
      </c>
      <c r="K396" s="11" t="s">
        <v>392</v>
      </c>
    </row>
    <row r="397">
      <c r="A397" s="11" t="s">
        <v>952</v>
      </c>
      <c r="B397" s="11" t="s">
        <v>388</v>
      </c>
      <c r="C397" s="11" t="s">
        <v>996</v>
      </c>
      <c r="D397" s="11" t="s">
        <v>981</v>
      </c>
      <c r="E397" s="11">
        <v>2001.0</v>
      </c>
      <c r="F397" s="11">
        <v>208.0</v>
      </c>
      <c r="G397" s="11" t="s">
        <v>188</v>
      </c>
      <c r="H397" s="11" t="s">
        <v>188</v>
      </c>
      <c r="I397" s="11" t="s">
        <v>1013</v>
      </c>
      <c r="J397" s="11" t="s">
        <v>260</v>
      </c>
      <c r="K397" s="11" t="s">
        <v>392</v>
      </c>
    </row>
    <row r="398">
      <c r="A398" s="11" t="s">
        <v>952</v>
      </c>
      <c r="B398" s="11" t="s">
        <v>388</v>
      </c>
      <c r="C398" s="11" t="s">
        <v>996</v>
      </c>
      <c r="D398" s="11" t="s">
        <v>981</v>
      </c>
      <c r="E398" s="11">
        <v>2002.0</v>
      </c>
      <c r="F398" s="11">
        <v>218.0</v>
      </c>
      <c r="G398" s="11" t="s">
        <v>188</v>
      </c>
      <c r="H398" s="11" t="s">
        <v>188</v>
      </c>
      <c r="I398" s="11" t="s">
        <v>1013</v>
      </c>
      <c r="J398" s="11" t="s">
        <v>260</v>
      </c>
      <c r="K398" s="11" t="s">
        <v>392</v>
      </c>
    </row>
    <row r="399">
      <c r="A399" s="11" t="s">
        <v>952</v>
      </c>
      <c r="B399" s="11" t="s">
        <v>388</v>
      </c>
      <c r="C399" s="11" t="s">
        <v>996</v>
      </c>
      <c r="D399" s="11" t="s">
        <v>981</v>
      </c>
      <c r="E399" s="11">
        <v>2003.0</v>
      </c>
      <c r="F399" s="11">
        <v>234.0</v>
      </c>
      <c r="G399" s="11" t="s">
        <v>188</v>
      </c>
      <c r="H399" s="11" t="s">
        <v>188</v>
      </c>
      <c r="I399" s="11" t="s">
        <v>1013</v>
      </c>
      <c r="J399" s="11" t="s">
        <v>260</v>
      </c>
      <c r="K399" s="11" t="s">
        <v>392</v>
      </c>
    </row>
    <row r="400">
      <c r="A400" s="11" t="s">
        <v>952</v>
      </c>
      <c r="B400" s="11" t="s">
        <v>388</v>
      </c>
      <c r="C400" s="11" t="s">
        <v>996</v>
      </c>
      <c r="D400" s="11" t="s">
        <v>981</v>
      </c>
      <c r="E400" s="11">
        <v>2004.0</v>
      </c>
      <c r="F400" s="11">
        <v>246.0</v>
      </c>
      <c r="G400" s="11" t="s">
        <v>188</v>
      </c>
      <c r="H400" s="11" t="s">
        <v>188</v>
      </c>
      <c r="I400" s="11" t="s">
        <v>1013</v>
      </c>
      <c r="J400" s="11" t="s">
        <v>260</v>
      </c>
      <c r="K400" s="11" t="s">
        <v>392</v>
      </c>
    </row>
    <row r="401">
      <c r="A401" s="11" t="s">
        <v>952</v>
      </c>
      <c r="B401" s="11" t="s">
        <v>388</v>
      </c>
      <c r="C401" s="11" t="s">
        <v>996</v>
      </c>
      <c r="D401" s="11" t="s">
        <v>981</v>
      </c>
      <c r="E401" s="11">
        <v>2005.0</v>
      </c>
      <c r="F401" s="11">
        <v>253.0</v>
      </c>
      <c r="G401" s="11" t="s">
        <v>188</v>
      </c>
      <c r="H401" s="11" t="s">
        <v>188</v>
      </c>
      <c r="I401" s="11" t="s">
        <v>1013</v>
      </c>
      <c r="J401" s="11" t="s">
        <v>260</v>
      </c>
      <c r="K401" s="11" t="s">
        <v>392</v>
      </c>
    </row>
    <row r="402">
      <c r="A402" s="11" t="s">
        <v>952</v>
      </c>
      <c r="B402" s="11" t="s">
        <v>388</v>
      </c>
      <c r="C402" s="11" t="s">
        <v>996</v>
      </c>
      <c r="D402" s="11" t="s">
        <v>981</v>
      </c>
      <c r="E402" s="11">
        <v>2006.0</v>
      </c>
      <c r="F402" s="11">
        <v>255.0</v>
      </c>
      <c r="G402" s="11" t="s">
        <v>188</v>
      </c>
      <c r="H402" s="11" t="s">
        <v>188</v>
      </c>
      <c r="I402" s="11" t="s">
        <v>1013</v>
      </c>
      <c r="J402" s="11" t="s">
        <v>260</v>
      </c>
      <c r="K402" s="11" t="s">
        <v>392</v>
      </c>
    </row>
    <row r="403">
      <c r="A403" s="11" t="s">
        <v>952</v>
      </c>
      <c r="B403" s="11" t="s">
        <v>388</v>
      </c>
      <c r="C403" s="11" t="s">
        <v>996</v>
      </c>
      <c r="D403" s="11" t="s">
        <v>981</v>
      </c>
      <c r="E403" s="11">
        <v>2007.0</v>
      </c>
      <c r="F403" s="11">
        <v>269.0</v>
      </c>
      <c r="G403" s="11" t="s">
        <v>188</v>
      </c>
      <c r="H403" s="11" t="s">
        <v>188</v>
      </c>
      <c r="I403" s="11" t="s">
        <v>1013</v>
      </c>
      <c r="J403" s="11" t="s">
        <v>260</v>
      </c>
      <c r="K403" s="11" t="s">
        <v>392</v>
      </c>
    </row>
    <row r="404">
      <c r="A404" s="11" t="s">
        <v>952</v>
      </c>
      <c r="B404" s="11" t="s">
        <v>388</v>
      </c>
      <c r="C404" s="11" t="s">
        <v>996</v>
      </c>
      <c r="D404" s="11" t="s">
        <v>981</v>
      </c>
      <c r="E404" s="11">
        <v>2008.0</v>
      </c>
      <c r="F404" s="11">
        <v>278.0</v>
      </c>
      <c r="G404" s="11" t="s">
        <v>188</v>
      </c>
      <c r="H404" s="11" t="s">
        <v>188</v>
      </c>
      <c r="I404" s="11" t="s">
        <v>1013</v>
      </c>
      <c r="J404" s="11" t="s">
        <v>260</v>
      </c>
      <c r="K404" s="11" t="s">
        <v>392</v>
      </c>
    </row>
    <row r="405">
      <c r="A405" s="11" t="s">
        <v>952</v>
      </c>
      <c r="B405" s="11" t="s">
        <v>388</v>
      </c>
      <c r="C405" s="11" t="s">
        <v>996</v>
      </c>
      <c r="D405" s="11" t="s">
        <v>981</v>
      </c>
      <c r="E405" s="11">
        <v>2009.0</v>
      </c>
      <c r="F405" s="11">
        <v>292.0</v>
      </c>
      <c r="G405" s="11" t="s">
        <v>188</v>
      </c>
      <c r="H405" s="11" t="s">
        <v>188</v>
      </c>
      <c r="I405" s="11" t="s">
        <v>1013</v>
      </c>
      <c r="J405" s="11" t="s">
        <v>260</v>
      </c>
      <c r="K405" s="11" t="s">
        <v>392</v>
      </c>
    </row>
    <row r="406">
      <c r="A406" s="11" t="s">
        <v>952</v>
      </c>
      <c r="B406" s="11" t="s">
        <v>388</v>
      </c>
      <c r="C406" s="11" t="s">
        <v>996</v>
      </c>
      <c r="D406" s="11" t="s">
        <v>981</v>
      </c>
      <c r="E406" s="11">
        <v>2010.0</v>
      </c>
      <c r="F406" s="11">
        <v>297.0</v>
      </c>
      <c r="G406" s="11" t="s">
        <v>188</v>
      </c>
      <c r="H406" s="11" t="s">
        <v>188</v>
      </c>
      <c r="I406" s="11" t="s">
        <v>1013</v>
      </c>
      <c r="J406" s="11" t="s">
        <v>260</v>
      </c>
      <c r="K406" s="11" t="s">
        <v>392</v>
      </c>
    </row>
    <row r="407">
      <c r="A407" s="11" t="s">
        <v>952</v>
      </c>
      <c r="B407" s="11" t="s">
        <v>388</v>
      </c>
      <c r="C407" s="11" t="s">
        <v>996</v>
      </c>
      <c r="D407" s="11" t="s">
        <v>981</v>
      </c>
      <c r="E407" s="11">
        <v>2011.0</v>
      </c>
      <c r="F407" s="11">
        <v>309.0</v>
      </c>
      <c r="G407" s="11" t="s">
        <v>188</v>
      </c>
      <c r="H407" s="11" t="s">
        <v>188</v>
      </c>
      <c r="I407" s="11" t="s">
        <v>1013</v>
      </c>
      <c r="J407" s="11" t="s">
        <v>260</v>
      </c>
      <c r="K407" s="11" t="s">
        <v>392</v>
      </c>
    </row>
    <row r="408">
      <c r="A408" s="11" t="s">
        <v>952</v>
      </c>
      <c r="B408" s="11" t="s">
        <v>388</v>
      </c>
      <c r="C408" s="11" t="s">
        <v>996</v>
      </c>
      <c r="D408" s="11" t="s">
        <v>981</v>
      </c>
      <c r="E408" s="11">
        <v>2012.0</v>
      </c>
      <c r="F408" s="11">
        <v>313.0</v>
      </c>
      <c r="G408" s="11" t="s">
        <v>188</v>
      </c>
      <c r="H408" s="11" t="s">
        <v>188</v>
      </c>
      <c r="I408" s="11" t="s">
        <v>1013</v>
      </c>
      <c r="J408" s="11" t="s">
        <v>260</v>
      </c>
      <c r="K408" s="11" t="s">
        <v>392</v>
      </c>
    </row>
    <row r="409">
      <c r="A409" s="11" t="s">
        <v>952</v>
      </c>
      <c r="B409" s="11" t="s">
        <v>388</v>
      </c>
      <c r="C409" s="11" t="s">
        <v>996</v>
      </c>
      <c r="D409" s="11" t="s">
        <v>981</v>
      </c>
      <c r="E409" s="11">
        <v>2013.0</v>
      </c>
      <c r="F409" s="11">
        <v>323.0</v>
      </c>
      <c r="G409" s="11" t="s">
        <v>188</v>
      </c>
      <c r="H409" s="11" t="s">
        <v>188</v>
      </c>
      <c r="I409" s="11" t="s">
        <v>1013</v>
      </c>
      <c r="J409" s="11" t="s">
        <v>260</v>
      </c>
      <c r="K409" s="11" t="s">
        <v>392</v>
      </c>
    </row>
    <row r="410">
      <c r="A410" s="11" t="s">
        <v>952</v>
      </c>
      <c r="B410" s="11" t="s">
        <v>388</v>
      </c>
      <c r="C410" s="11" t="s">
        <v>996</v>
      </c>
      <c r="D410" s="11" t="s">
        <v>981</v>
      </c>
      <c r="E410" s="11">
        <v>2014.0</v>
      </c>
      <c r="F410" s="11">
        <v>330.0</v>
      </c>
      <c r="G410" s="11" t="s">
        <v>188</v>
      </c>
      <c r="H410" s="11" t="s">
        <v>188</v>
      </c>
      <c r="I410" s="11" t="s">
        <v>1013</v>
      </c>
      <c r="J410" s="11" t="s">
        <v>260</v>
      </c>
      <c r="K410" s="11" t="s">
        <v>392</v>
      </c>
    </row>
    <row r="411">
      <c r="A411" s="11" t="s">
        <v>952</v>
      </c>
      <c r="B411" s="11" t="s">
        <v>388</v>
      </c>
      <c r="C411" s="11" t="s">
        <v>996</v>
      </c>
      <c r="D411" s="11" t="s">
        <v>981</v>
      </c>
      <c r="E411" s="11">
        <v>2015.0</v>
      </c>
      <c r="F411" s="11">
        <v>335.0</v>
      </c>
      <c r="G411" s="11" t="s">
        <v>188</v>
      </c>
      <c r="H411" s="11" t="s">
        <v>188</v>
      </c>
      <c r="I411" s="11" t="s">
        <v>1013</v>
      </c>
      <c r="J411" s="11" t="s">
        <v>260</v>
      </c>
      <c r="K411" s="11" t="s">
        <v>392</v>
      </c>
    </row>
    <row r="412">
      <c r="A412" s="11" t="s">
        <v>952</v>
      </c>
      <c r="B412" s="11" t="s">
        <v>388</v>
      </c>
      <c r="C412" s="11" t="s">
        <v>996</v>
      </c>
      <c r="D412" s="11" t="s">
        <v>981</v>
      </c>
      <c r="E412" s="11">
        <v>2016.0</v>
      </c>
      <c r="F412" s="11">
        <v>342.0</v>
      </c>
      <c r="G412" s="11" t="s">
        <v>188</v>
      </c>
      <c r="H412" s="11" t="s">
        <v>188</v>
      </c>
      <c r="I412" s="11" t="s">
        <v>1013</v>
      </c>
      <c r="J412" s="11" t="s">
        <v>260</v>
      </c>
      <c r="K412" s="11" t="s">
        <v>392</v>
      </c>
    </row>
    <row r="413">
      <c r="A413" s="11" t="s">
        <v>952</v>
      </c>
      <c r="B413" s="11" t="s">
        <v>388</v>
      </c>
      <c r="C413" s="11" t="s">
        <v>996</v>
      </c>
      <c r="D413" s="11" t="s">
        <v>981</v>
      </c>
      <c r="E413" s="11">
        <v>2017.0</v>
      </c>
      <c r="F413" s="11">
        <v>346.0</v>
      </c>
      <c r="G413" s="11" t="s">
        <v>188</v>
      </c>
      <c r="H413" s="11" t="s">
        <v>188</v>
      </c>
      <c r="I413" s="11" t="s">
        <v>1013</v>
      </c>
      <c r="J413" s="11" t="s">
        <v>260</v>
      </c>
      <c r="K413" s="11" t="s">
        <v>392</v>
      </c>
    </row>
    <row r="414">
      <c r="A414" s="11" t="s">
        <v>952</v>
      </c>
      <c r="B414" s="11" t="s">
        <v>388</v>
      </c>
      <c r="C414" s="11" t="s">
        <v>996</v>
      </c>
      <c r="D414" s="11" t="s">
        <v>981</v>
      </c>
      <c r="E414" s="11">
        <v>2018.0</v>
      </c>
      <c r="F414" s="11">
        <v>353.0</v>
      </c>
      <c r="G414" s="11" t="s">
        <v>188</v>
      </c>
      <c r="H414" s="11" t="s">
        <v>188</v>
      </c>
      <c r="I414" s="11" t="s">
        <v>1013</v>
      </c>
      <c r="J414" s="11" t="s">
        <v>260</v>
      </c>
      <c r="K414" s="11" t="s">
        <v>392</v>
      </c>
    </row>
    <row r="415">
      <c r="A415" s="11" t="s">
        <v>952</v>
      </c>
      <c r="B415" s="11" t="s">
        <v>388</v>
      </c>
      <c r="C415" s="11" t="s">
        <v>996</v>
      </c>
      <c r="D415" s="11" t="s">
        <v>981</v>
      </c>
      <c r="E415" s="11">
        <v>2019.0</v>
      </c>
      <c r="F415" s="11">
        <v>356.0</v>
      </c>
      <c r="G415" s="11" t="s">
        <v>188</v>
      </c>
      <c r="H415" s="11" t="s">
        <v>188</v>
      </c>
      <c r="I415" s="11" t="s">
        <v>1013</v>
      </c>
      <c r="J415" s="11" t="s">
        <v>260</v>
      </c>
      <c r="K415" s="11" t="s">
        <v>392</v>
      </c>
    </row>
    <row r="416">
      <c r="A416" s="11" t="s">
        <v>952</v>
      </c>
      <c r="B416" s="11" t="s">
        <v>388</v>
      </c>
      <c r="C416" s="11" t="s">
        <v>996</v>
      </c>
      <c r="D416" s="11" t="s">
        <v>981</v>
      </c>
      <c r="E416" s="11">
        <v>2020.0</v>
      </c>
      <c r="F416" s="11">
        <v>356.0</v>
      </c>
      <c r="G416" s="11" t="s">
        <v>188</v>
      </c>
      <c r="H416" s="11" t="s">
        <v>188</v>
      </c>
      <c r="I416" s="11" t="s">
        <v>1013</v>
      </c>
      <c r="J416" s="11" t="s">
        <v>260</v>
      </c>
      <c r="K416" s="11" t="s">
        <v>392</v>
      </c>
    </row>
    <row r="417">
      <c r="A417" s="11" t="s">
        <v>952</v>
      </c>
      <c r="B417" s="11" t="s">
        <v>388</v>
      </c>
      <c r="C417" s="11" t="s">
        <v>996</v>
      </c>
      <c r="D417" s="11" t="s">
        <v>981</v>
      </c>
      <c r="E417" s="11">
        <v>2021.0</v>
      </c>
      <c r="F417" s="11">
        <v>363.0</v>
      </c>
      <c r="G417" s="11" t="s">
        <v>188</v>
      </c>
      <c r="H417" s="11" t="s">
        <v>188</v>
      </c>
      <c r="I417" s="11" t="s">
        <v>1013</v>
      </c>
      <c r="J417" s="11" t="s">
        <v>260</v>
      </c>
      <c r="K417" s="11" t="s">
        <v>392</v>
      </c>
    </row>
    <row r="418">
      <c r="A418" s="11" t="s">
        <v>208</v>
      </c>
      <c r="B418" s="11" t="s">
        <v>394</v>
      </c>
      <c r="C418" s="104" t="s">
        <v>1073</v>
      </c>
      <c r="D418" s="11" t="s">
        <v>187</v>
      </c>
      <c r="E418" s="11">
        <v>1990.0</v>
      </c>
      <c r="F418" s="11">
        <v>1184.0</v>
      </c>
      <c r="G418" s="11">
        <v>964.0</v>
      </c>
      <c r="H418" s="11">
        <v>1443.0</v>
      </c>
      <c r="I418" s="11" t="s">
        <v>158</v>
      </c>
      <c r="J418" s="11" t="s">
        <v>260</v>
      </c>
      <c r="K418" s="11" t="s">
        <v>398</v>
      </c>
    </row>
    <row r="419">
      <c r="A419" s="11" t="s">
        <v>208</v>
      </c>
      <c r="B419" s="11" t="s">
        <v>394</v>
      </c>
      <c r="C419" s="104" t="s">
        <v>1073</v>
      </c>
      <c r="D419" s="11" t="s">
        <v>187</v>
      </c>
      <c r="E419" s="11">
        <v>1999.0</v>
      </c>
      <c r="F419" s="11">
        <v>2272.0</v>
      </c>
      <c r="G419" s="11">
        <v>1896.0</v>
      </c>
      <c r="H419" s="11">
        <v>2731.0</v>
      </c>
      <c r="I419" s="11" t="s">
        <v>158</v>
      </c>
      <c r="J419" s="11" t="s">
        <v>260</v>
      </c>
      <c r="K419" s="11" t="s">
        <v>398</v>
      </c>
    </row>
    <row r="420">
      <c r="A420" s="11" t="s">
        <v>208</v>
      </c>
      <c r="B420" s="11" t="s">
        <v>394</v>
      </c>
      <c r="C420" s="104" t="s">
        <v>1073</v>
      </c>
      <c r="D420" s="11" t="s">
        <v>187</v>
      </c>
      <c r="E420" s="11">
        <v>2009.0</v>
      </c>
      <c r="F420" s="11">
        <v>848.0</v>
      </c>
      <c r="G420" s="11">
        <v>414.0</v>
      </c>
      <c r="H420" s="11">
        <v>1741.0</v>
      </c>
      <c r="I420" s="11" t="s">
        <v>158</v>
      </c>
      <c r="J420" s="11" t="s">
        <v>260</v>
      </c>
      <c r="K420" s="11" t="s">
        <v>398</v>
      </c>
    </row>
    <row r="421">
      <c r="A421" s="11" t="s">
        <v>208</v>
      </c>
      <c r="B421" s="11" t="s">
        <v>394</v>
      </c>
      <c r="C421" s="104" t="s">
        <v>1073</v>
      </c>
      <c r="D421" s="11" t="s">
        <v>187</v>
      </c>
      <c r="E421" s="11">
        <v>2014.0</v>
      </c>
      <c r="F421" s="11">
        <v>1152.0</v>
      </c>
      <c r="G421" s="11">
        <v>757.0</v>
      </c>
      <c r="H421" s="11">
        <v>1741.0</v>
      </c>
      <c r="I421" s="11" t="s">
        <v>158</v>
      </c>
      <c r="J421" s="11" t="s">
        <v>260</v>
      </c>
      <c r="K421" s="11" t="s">
        <v>398</v>
      </c>
    </row>
    <row r="422">
      <c r="A422" s="11" t="s">
        <v>208</v>
      </c>
      <c r="B422" s="11" t="s">
        <v>394</v>
      </c>
      <c r="C422" s="104" t="s">
        <v>1073</v>
      </c>
      <c r="D422" s="11" t="s">
        <v>187</v>
      </c>
      <c r="E422" s="11">
        <v>2017.0</v>
      </c>
      <c r="F422" s="11">
        <v>1379.0</v>
      </c>
      <c r="G422" s="11">
        <v>1269.0</v>
      </c>
      <c r="H422" s="11">
        <v>1502.0</v>
      </c>
      <c r="I422" s="11" t="s">
        <v>158</v>
      </c>
      <c r="J422" s="11" t="s">
        <v>260</v>
      </c>
      <c r="K422" s="11" t="s">
        <v>398</v>
      </c>
    </row>
    <row r="423">
      <c r="A423" s="11" t="s">
        <v>248</v>
      </c>
      <c r="B423" s="11" t="s">
        <v>399</v>
      </c>
      <c r="C423" s="104" t="s">
        <v>1076</v>
      </c>
      <c r="D423" s="11" t="s">
        <v>1077</v>
      </c>
      <c r="E423" s="11">
        <v>1970.0</v>
      </c>
      <c r="F423" s="11">
        <v>936.0</v>
      </c>
      <c r="G423" s="11" t="s">
        <v>188</v>
      </c>
      <c r="H423" s="11" t="s">
        <v>188</v>
      </c>
      <c r="I423" s="11" t="s">
        <v>555</v>
      </c>
      <c r="J423" s="11" t="s">
        <v>260</v>
      </c>
      <c r="K423" s="11" t="s">
        <v>401</v>
      </c>
      <c r="L423" s="11" t="s">
        <v>1079</v>
      </c>
    </row>
    <row r="424">
      <c r="A424" s="11" t="s">
        <v>248</v>
      </c>
      <c r="B424" s="11" t="s">
        <v>399</v>
      </c>
      <c r="C424" s="104" t="s">
        <v>1076</v>
      </c>
      <c r="D424" s="11" t="s">
        <v>1077</v>
      </c>
      <c r="E424" s="11">
        <v>1972.0</v>
      </c>
      <c r="F424" s="11">
        <v>992.0</v>
      </c>
      <c r="G424" s="11" t="s">
        <v>188</v>
      </c>
      <c r="H424" s="11" t="s">
        <v>188</v>
      </c>
      <c r="I424" s="11" t="s">
        <v>555</v>
      </c>
      <c r="J424" s="11" t="s">
        <v>260</v>
      </c>
      <c r="K424" s="11" t="s">
        <v>401</v>
      </c>
    </row>
    <row r="425">
      <c r="A425" s="11" t="s">
        <v>248</v>
      </c>
      <c r="B425" s="11" t="s">
        <v>399</v>
      </c>
      <c r="C425" s="104" t="s">
        <v>1076</v>
      </c>
      <c r="D425" s="11" t="s">
        <v>1077</v>
      </c>
      <c r="E425" s="11">
        <v>1977.0</v>
      </c>
      <c r="F425" s="11">
        <v>936.0</v>
      </c>
      <c r="G425" s="11" t="s">
        <v>188</v>
      </c>
      <c r="H425" s="11" t="s">
        <v>188</v>
      </c>
      <c r="I425" s="11" t="s">
        <v>555</v>
      </c>
      <c r="J425" s="11" t="s">
        <v>260</v>
      </c>
      <c r="K425" s="11" t="s">
        <v>401</v>
      </c>
    </row>
    <row r="426">
      <c r="A426" s="11" t="s">
        <v>248</v>
      </c>
      <c r="B426" s="11" t="s">
        <v>399</v>
      </c>
      <c r="C426" s="104" t="s">
        <v>1076</v>
      </c>
      <c r="D426" s="11" t="s">
        <v>1077</v>
      </c>
      <c r="E426" s="11">
        <v>1982.0</v>
      </c>
      <c r="F426" s="11">
        <v>1218.0</v>
      </c>
      <c r="G426" s="11" t="s">
        <v>188</v>
      </c>
      <c r="H426" s="11" t="s">
        <v>188</v>
      </c>
      <c r="I426" s="11" t="s">
        <v>555</v>
      </c>
      <c r="J426" s="11" t="s">
        <v>260</v>
      </c>
      <c r="K426" s="11" t="s">
        <v>401</v>
      </c>
    </row>
    <row r="427">
      <c r="A427" s="11" t="s">
        <v>248</v>
      </c>
      <c r="B427" s="11" t="s">
        <v>399</v>
      </c>
      <c r="C427" s="104" t="s">
        <v>1076</v>
      </c>
      <c r="D427" s="11" t="s">
        <v>1077</v>
      </c>
      <c r="E427" s="11">
        <v>1987.0</v>
      </c>
      <c r="F427" s="11">
        <v>1077.0</v>
      </c>
      <c r="G427" s="11" t="s">
        <v>188</v>
      </c>
      <c r="H427" s="11" t="s">
        <v>188</v>
      </c>
      <c r="I427" s="11" t="s">
        <v>555</v>
      </c>
      <c r="J427" s="11" t="s">
        <v>260</v>
      </c>
      <c r="K427" s="11" t="s">
        <v>401</v>
      </c>
    </row>
    <row r="428">
      <c r="A428" s="11" t="s">
        <v>248</v>
      </c>
      <c r="B428" s="11" t="s">
        <v>399</v>
      </c>
      <c r="C428" s="104" t="s">
        <v>1076</v>
      </c>
      <c r="D428" s="11" t="s">
        <v>1077</v>
      </c>
      <c r="E428" s="11">
        <v>1992.0</v>
      </c>
      <c r="F428" s="11">
        <v>1471.0</v>
      </c>
      <c r="G428" s="11" t="s">
        <v>188</v>
      </c>
      <c r="H428" s="11" t="s">
        <v>188</v>
      </c>
      <c r="I428" s="11" t="s">
        <v>555</v>
      </c>
      <c r="J428" s="11" t="s">
        <v>260</v>
      </c>
      <c r="K428" s="11" t="s">
        <v>401</v>
      </c>
    </row>
    <row r="429">
      <c r="A429" s="11" t="s">
        <v>248</v>
      </c>
      <c r="B429" s="11" t="s">
        <v>399</v>
      </c>
      <c r="C429" s="104" t="s">
        <v>1076</v>
      </c>
      <c r="D429" s="11" t="s">
        <v>1077</v>
      </c>
      <c r="E429" s="11">
        <v>1994.0</v>
      </c>
      <c r="F429" s="11">
        <v>1161.0</v>
      </c>
      <c r="G429" s="11" t="s">
        <v>188</v>
      </c>
      <c r="H429" s="11" t="s">
        <v>188</v>
      </c>
      <c r="I429" s="11" t="s">
        <v>555</v>
      </c>
      <c r="J429" s="11" t="s">
        <v>260</v>
      </c>
      <c r="K429" s="11" t="s">
        <v>401</v>
      </c>
    </row>
    <row r="430">
      <c r="A430" s="11" t="s">
        <v>248</v>
      </c>
      <c r="B430" s="11" t="s">
        <v>399</v>
      </c>
      <c r="C430" s="104" t="s">
        <v>1076</v>
      </c>
      <c r="D430" s="11" t="s">
        <v>1077</v>
      </c>
      <c r="E430" s="11">
        <v>1998.0</v>
      </c>
      <c r="F430" s="11">
        <v>2064.0</v>
      </c>
      <c r="G430" s="11" t="s">
        <v>188</v>
      </c>
      <c r="H430" s="11" t="s">
        <v>188</v>
      </c>
      <c r="I430" s="11" t="s">
        <v>555</v>
      </c>
      <c r="J430" s="11" t="s">
        <v>260</v>
      </c>
      <c r="K430" s="11" t="s">
        <v>401</v>
      </c>
    </row>
    <row r="431">
      <c r="A431" s="11" t="s">
        <v>248</v>
      </c>
      <c r="B431" s="11" t="s">
        <v>399</v>
      </c>
      <c r="C431" s="104" t="s">
        <v>1076</v>
      </c>
      <c r="D431" s="11" t="s">
        <v>1077</v>
      </c>
      <c r="E431" s="11">
        <v>2002.0</v>
      </c>
      <c r="F431" s="11">
        <v>3276.0</v>
      </c>
      <c r="G431" s="11" t="s">
        <v>188</v>
      </c>
      <c r="H431" s="11" t="s">
        <v>188</v>
      </c>
      <c r="I431" s="11" t="s">
        <v>555</v>
      </c>
      <c r="J431" s="11" t="s">
        <v>260</v>
      </c>
      <c r="K431" s="11" t="s">
        <v>401</v>
      </c>
    </row>
    <row r="432">
      <c r="A432" s="11" t="s">
        <v>248</v>
      </c>
      <c r="B432" s="11" t="s">
        <v>399</v>
      </c>
      <c r="C432" s="104" t="s">
        <v>1076</v>
      </c>
      <c r="D432" s="11" t="s">
        <v>1077</v>
      </c>
      <c r="E432" s="11">
        <v>2006.0</v>
      </c>
      <c r="F432" s="11">
        <v>4094.0</v>
      </c>
      <c r="G432" s="11" t="s">
        <v>188</v>
      </c>
      <c r="H432" s="11" t="s">
        <v>188</v>
      </c>
      <c r="I432" s="11" t="s">
        <v>555</v>
      </c>
      <c r="J432" s="11" t="s">
        <v>260</v>
      </c>
      <c r="K432" s="11" t="s">
        <v>401</v>
      </c>
    </row>
    <row r="433">
      <c r="A433" s="11" t="s">
        <v>248</v>
      </c>
      <c r="B433" s="11" t="s">
        <v>399</v>
      </c>
      <c r="C433" s="104" t="s">
        <v>1076</v>
      </c>
      <c r="D433" s="11" t="s">
        <v>1077</v>
      </c>
      <c r="E433" s="11">
        <v>2008.0</v>
      </c>
      <c r="F433" s="11">
        <v>4065.0</v>
      </c>
      <c r="G433" s="11" t="s">
        <v>188</v>
      </c>
      <c r="H433" s="11" t="s">
        <v>188</v>
      </c>
      <c r="I433" s="11" t="s">
        <v>555</v>
      </c>
      <c r="J433" s="11" t="s">
        <v>260</v>
      </c>
      <c r="K433" s="11" t="s">
        <v>401</v>
      </c>
    </row>
    <row r="434">
      <c r="A434" s="11" t="s">
        <v>248</v>
      </c>
      <c r="B434" s="11" t="s">
        <v>399</v>
      </c>
      <c r="C434" s="104" t="s">
        <v>1076</v>
      </c>
      <c r="D434" s="11" t="s">
        <v>1077</v>
      </c>
      <c r="E434" s="11">
        <v>2010.0</v>
      </c>
      <c r="F434" s="11">
        <v>5475.0</v>
      </c>
      <c r="G434" s="11" t="s">
        <v>188</v>
      </c>
      <c r="H434" s="11" t="s">
        <v>188</v>
      </c>
      <c r="I434" s="11" t="s">
        <v>555</v>
      </c>
      <c r="J434" s="11" t="s">
        <v>260</v>
      </c>
      <c r="K434" s="11" t="s">
        <v>401</v>
      </c>
    </row>
    <row r="435">
      <c r="A435" s="11" t="s">
        <v>248</v>
      </c>
      <c r="B435" s="11" t="s">
        <v>399</v>
      </c>
      <c r="C435" s="104" t="s">
        <v>1076</v>
      </c>
      <c r="D435" s="11" t="s">
        <v>1077</v>
      </c>
      <c r="E435" s="11">
        <v>2013.0</v>
      </c>
      <c r="F435" s="11">
        <v>6293.0</v>
      </c>
      <c r="G435" s="11" t="s">
        <v>188</v>
      </c>
      <c r="H435" s="11" t="s">
        <v>188</v>
      </c>
      <c r="I435" s="11" t="s">
        <v>555</v>
      </c>
      <c r="J435" s="11" t="s">
        <v>260</v>
      </c>
      <c r="K435" s="11" t="s">
        <v>401</v>
      </c>
    </row>
    <row r="436">
      <c r="A436" s="11" t="s">
        <v>248</v>
      </c>
      <c r="B436" s="11" t="s">
        <v>399</v>
      </c>
      <c r="C436" s="104" t="s">
        <v>1076</v>
      </c>
      <c r="D436" s="11" t="s">
        <v>1077</v>
      </c>
      <c r="E436" s="11">
        <v>2017.0</v>
      </c>
      <c r="F436" s="11">
        <v>6631.0</v>
      </c>
      <c r="G436" s="11" t="s">
        <v>188</v>
      </c>
      <c r="H436" s="11" t="s">
        <v>188</v>
      </c>
      <c r="I436" s="11" t="s">
        <v>555</v>
      </c>
      <c r="J436" s="11" t="s">
        <v>260</v>
      </c>
      <c r="K436" s="11" t="s">
        <v>401</v>
      </c>
    </row>
    <row r="437">
      <c r="A437" s="11" t="s">
        <v>248</v>
      </c>
      <c r="B437" s="11" t="s">
        <v>399</v>
      </c>
      <c r="C437" s="104" t="s">
        <v>1076</v>
      </c>
      <c r="D437" s="11" t="s">
        <v>1077</v>
      </c>
      <c r="E437" s="11">
        <v>1971.0</v>
      </c>
      <c r="F437" s="11">
        <v>4919.0</v>
      </c>
      <c r="G437" s="11" t="s">
        <v>188</v>
      </c>
      <c r="H437" s="11" t="s">
        <v>188</v>
      </c>
      <c r="I437" s="11" t="s">
        <v>1081</v>
      </c>
      <c r="J437" s="11" t="s">
        <v>260</v>
      </c>
      <c r="K437" s="11" t="s">
        <v>401</v>
      </c>
    </row>
    <row r="438">
      <c r="A438" s="11" t="s">
        <v>248</v>
      </c>
      <c r="B438" s="11" t="s">
        <v>399</v>
      </c>
      <c r="C438" s="104" t="s">
        <v>1076</v>
      </c>
      <c r="D438" s="11" t="s">
        <v>1077</v>
      </c>
      <c r="E438" s="11">
        <v>1973.0</v>
      </c>
      <c r="F438" s="11">
        <v>4716.0</v>
      </c>
      <c r="G438" s="11" t="s">
        <v>188</v>
      </c>
      <c r="H438" s="11" t="s">
        <v>188</v>
      </c>
      <c r="I438" s="11" t="s">
        <v>1081</v>
      </c>
      <c r="J438" s="11" t="s">
        <v>260</v>
      </c>
      <c r="K438" s="11" t="s">
        <v>401</v>
      </c>
    </row>
    <row r="439">
      <c r="A439" s="11" t="s">
        <v>248</v>
      </c>
      <c r="B439" s="11" t="s">
        <v>399</v>
      </c>
      <c r="C439" s="104" t="s">
        <v>1076</v>
      </c>
      <c r="D439" s="11" t="s">
        <v>1077</v>
      </c>
      <c r="E439" s="11">
        <v>1977.0</v>
      </c>
      <c r="F439" s="11">
        <v>5223.0</v>
      </c>
      <c r="G439" s="11" t="s">
        <v>188</v>
      </c>
      <c r="H439" s="11" t="s">
        <v>188</v>
      </c>
      <c r="I439" s="11" t="s">
        <v>1081</v>
      </c>
      <c r="J439" s="11" t="s">
        <v>260</v>
      </c>
      <c r="K439" s="11" t="s">
        <v>401</v>
      </c>
    </row>
    <row r="440">
      <c r="A440" s="11" t="s">
        <v>248</v>
      </c>
      <c r="B440" s="11" t="s">
        <v>399</v>
      </c>
      <c r="C440" s="104" t="s">
        <v>1076</v>
      </c>
      <c r="D440" s="11" t="s">
        <v>1077</v>
      </c>
      <c r="E440" s="11">
        <v>1982.0</v>
      </c>
      <c r="F440" s="11">
        <v>4615.0</v>
      </c>
      <c r="G440" s="11" t="s">
        <v>188</v>
      </c>
      <c r="H440" s="11" t="s">
        <v>188</v>
      </c>
      <c r="I440" s="11" t="s">
        <v>1081</v>
      </c>
      <c r="J440" s="11" t="s">
        <v>260</v>
      </c>
      <c r="K440" s="11" t="s">
        <v>401</v>
      </c>
    </row>
    <row r="441">
      <c r="A441" s="11" t="s">
        <v>248</v>
      </c>
      <c r="B441" s="11" t="s">
        <v>399</v>
      </c>
      <c r="C441" s="104" t="s">
        <v>1076</v>
      </c>
      <c r="D441" s="11" t="s">
        <v>1077</v>
      </c>
      <c r="E441" s="11">
        <v>1987.0</v>
      </c>
      <c r="F441" s="11">
        <v>6135.0</v>
      </c>
      <c r="G441" s="11" t="s">
        <v>188</v>
      </c>
      <c r="H441" s="11" t="s">
        <v>188</v>
      </c>
      <c r="I441" s="11" t="s">
        <v>1081</v>
      </c>
      <c r="J441" s="11" t="s">
        <v>260</v>
      </c>
      <c r="K441" s="11" t="s">
        <v>401</v>
      </c>
    </row>
    <row r="442">
      <c r="A442" s="11" t="s">
        <v>248</v>
      </c>
      <c r="B442" s="11" t="s">
        <v>399</v>
      </c>
      <c r="C442" s="104" t="s">
        <v>1076</v>
      </c>
      <c r="D442" s="11" t="s">
        <v>1077</v>
      </c>
      <c r="E442" s="11">
        <v>1992.0</v>
      </c>
      <c r="F442" s="11">
        <v>7351.0</v>
      </c>
      <c r="G442" s="11" t="s">
        <v>188</v>
      </c>
      <c r="H442" s="11" t="s">
        <v>188</v>
      </c>
      <c r="I442" s="11" t="s">
        <v>1081</v>
      </c>
      <c r="J442" s="11" t="s">
        <v>260</v>
      </c>
      <c r="K442" s="11" t="s">
        <v>401</v>
      </c>
    </row>
    <row r="443">
      <c r="A443" s="11" t="s">
        <v>248</v>
      </c>
      <c r="B443" s="11" t="s">
        <v>399</v>
      </c>
      <c r="C443" s="104" t="s">
        <v>1076</v>
      </c>
      <c r="D443" s="11" t="s">
        <v>1077</v>
      </c>
      <c r="E443" s="11">
        <v>1994.0</v>
      </c>
      <c r="F443" s="11">
        <v>8061.0</v>
      </c>
      <c r="G443" s="11" t="s">
        <v>188</v>
      </c>
      <c r="H443" s="11" t="s">
        <v>188</v>
      </c>
      <c r="I443" s="11" t="s">
        <v>1081</v>
      </c>
      <c r="J443" s="11" t="s">
        <v>260</v>
      </c>
      <c r="K443" s="11" t="s">
        <v>401</v>
      </c>
    </row>
    <row r="444">
      <c r="A444" s="11" t="s">
        <v>248</v>
      </c>
      <c r="B444" s="11" t="s">
        <v>399</v>
      </c>
      <c r="C444" s="104" t="s">
        <v>1076</v>
      </c>
      <c r="D444" s="11" t="s">
        <v>1077</v>
      </c>
      <c r="E444" s="11">
        <v>1998.0</v>
      </c>
      <c r="F444" s="11">
        <v>9784.0</v>
      </c>
      <c r="G444" s="11" t="s">
        <v>188</v>
      </c>
      <c r="H444" s="11" t="s">
        <v>188</v>
      </c>
      <c r="I444" s="11" t="s">
        <v>1081</v>
      </c>
      <c r="J444" s="11" t="s">
        <v>260</v>
      </c>
      <c r="K444" s="11" t="s">
        <v>401</v>
      </c>
    </row>
    <row r="445">
      <c r="A445" s="11" t="s">
        <v>248</v>
      </c>
      <c r="B445" s="11" t="s">
        <v>399</v>
      </c>
      <c r="C445" s="104" t="s">
        <v>1076</v>
      </c>
      <c r="D445" s="11" t="s">
        <v>1077</v>
      </c>
      <c r="E445" s="11">
        <v>2002.0</v>
      </c>
      <c r="F445" s="11">
        <v>12115.0</v>
      </c>
      <c r="G445" s="11" t="s">
        <v>188</v>
      </c>
      <c r="H445" s="11" t="s">
        <v>188</v>
      </c>
      <c r="I445" s="11" t="s">
        <v>1081</v>
      </c>
      <c r="J445" s="11" t="s">
        <v>260</v>
      </c>
      <c r="K445" s="11" t="s">
        <v>401</v>
      </c>
    </row>
    <row r="446">
      <c r="A446" s="11" t="s">
        <v>248</v>
      </c>
      <c r="B446" s="11" t="s">
        <v>399</v>
      </c>
      <c r="C446" s="104" t="s">
        <v>1076</v>
      </c>
      <c r="D446" s="11" t="s">
        <v>1077</v>
      </c>
      <c r="E446" s="11">
        <v>2006.0</v>
      </c>
      <c r="F446" s="11">
        <v>15662.0</v>
      </c>
      <c r="G446" s="11" t="s">
        <v>188</v>
      </c>
      <c r="H446" s="11" t="s">
        <v>188</v>
      </c>
      <c r="I446" s="11" t="s">
        <v>1081</v>
      </c>
      <c r="J446" s="11" t="s">
        <v>260</v>
      </c>
      <c r="K446" s="11" t="s">
        <v>401</v>
      </c>
    </row>
    <row r="447">
      <c r="A447" s="11" t="s">
        <v>248</v>
      </c>
      <c r="B447" s="11" t="s">
        <v>399</v>
      </c>
      <c r="C447" s="104" t="s">
        <v>1076</v>
      </c>
      <c r="D447" s="11" t="s">
        <v>1077</v>
      </c>
      <c r="E447" s="11">
        <v>2008.0</v>
      </c>
      <c r="F447" s="11">
        <v>15054.0</v>
      </c>
      <c r="G447" s="11" t="s">
        <v>188</v>
      </c>
      <c r="H447" s="11" t="s">
        <v>188</v>
      </c>
      <c r="I447" s="11" t="s">
        <v>1081</v>
      </c>
      <c r="J447" s="11" t="s">
        <v>260</v>
      </c>
      <c r="K447" s="11" t="s">
        <v>401</v>
      </c>
    </row>
    <row r="448">
      <c r="A448" s="11" t="s">
        <v>248</v>
      </c>
      <c r="B448" s="11" t="s">
        <v>399</v>
      </c>
      <c r="C448" s="104" t="s">
        <v>1076</v>
      </c>
      <c r="D448" s="11" t="s">
        <v>1077</v>
      </c>
      <c r="E448" s="11">
        <v>2010.0</v>
      </c>
      <c r="F448" s="11">
        <v>17993.0</v>
      </c>
      <c r="G448" s="11" t="s">
        <v>188</v>
      </c>
      <c r="H448" s="11" t="s">
        <v>188</v>
      </c>
      <c r="I448" s="11" t="s">
        <v>1081</v>
      </c>
      <c r="J448" s="11" t="s">
        <v>260</v>
      </c>
      <c r="K448" s="11" t="s">
        <v>401</v>
      </c>
    </row>
    <row r="449">
      <c r="A449" s="11" t="s">
        <v>248</v>
      </c>
      <c r="B449" s="11" t="s">
        <v>399</v>
      </c>
      <c r="C449" s="104" t="s">
        <v>1076</v>
      </c>
      <c r="D449" s="11" t="s">
        <v>1077</v>
      </c>
      <c r="E449" s="11">
        <v>2013.0</v>
      </c>
      <c r="F449" s="11">
        <v>22149.0</v>
      </c>
      <c r="G449" s="11" t="s">
        <v>188</v>
      </c>
      <c r="H449" s="11" t="s">
        <v>188</v>
      </c>
      <c r="I449" s="11" t="s">
        <v>1081</v>
      </c>
      <c r="J449" s="11" t="s">
        <v>260</v>
      </c>
      <c r="K449" s="11" t="s">
        <v>401</v>
      </c>
    </row>
    <row r="450">
      <c r="A450" s="11" t="s">
        <v>248</v>
      </c>
      <c r="B450" s="11" t="s">
        <v>399</v>
      </c>
      <c r="C450" s="104" t="s">
        <v>1076</v>
      </c>
      <c r="D450" s="11" t="s">
        <v>1077</v>
      </c>
      <c r="E450" s="11">
        <v>2017.0</v>
      </c>
      <c r="F450" s="11">
        <v>25088.0</v>
      </c>
      <c r="G450" s="11" t="s">
        <v>188</v>
      </c>
      <c r="H450" s="11" t="s">
        <v>188</v>
      </c>
      <c r="I450" s="11" t="s">
        <v>1081</v>
      </c>
      <c r="J450" s="11" t="s">
        <v>260</v>
      </c>
      <c r="K450" s="11" t="s">
        <v>401</v>
      </c>
    </row>
    <row r="451">
      <c r="A451" s="11" t="s">
        <v>1088</v>
      </c>
      <c r="B451" s="74" t="s">
        <v>1089</v>
      </c>
      <c r="C451" s="104" t="s">
        <v>1091</v>
      </c>
      <c r="D451" s="11" t="s">
        <v>187</v>
      </c>
      <c r="E451" s="11">
        <v>2013.0</v>
      </c>
      <c r="F451" s="11">
        <v>16.0</v>
      </c>
      <c r="G451" s="11">
        <v>5.0</v>
      </c>
      <c r="H451" s="11">
        <v>47.0</v>
      </c>
      <c r="I451" s="11" t="s">
        <v>74</v>
      </c>
      <c r="J451" s="11" t="s">
        <v>260</v>
      </c>
      <c r="K451" s="11" t="s">
        <v>410</v>
      </c>
      <c r="L451" s="11" t="s">
        <v>1092</v>
      </c>
    </row>
    <row r="452">
      <c r="A452" s="11" t="s">
        <v>1088</v>
      </c>
      <c r="B452" s="74" t="s">
        <v>1089</v>
      </c>
      <c r="C452" s="104" t="s">
        <v>1093</v>
      </c>
      <c r="D452" s="11" t="s">
        <v>187</v>
      </c>
      <c r="E452" s="11">
        <v>2013.0</v>
      </c>
      <c r="F452" s="11">
        <v>12.0</v>
      </c>
      <c r="G452" s="11">
        <v>7.0</v>
      </c>
      <c r="H452" s="11">
        <v>21.0</v>
      </c>
      <c r="I452" s="11" t="s">
        <v>74</v>
      </c>
      <c r="J452" s="11" t="s">
        <v>260</v>
      </c>
      <c r="K452" s="11" t="s">
        <v>410</v>
      </c>
    </row>
    <row r="453">
      <c r="A453" s="11" t="s">
        <v>1088</v>
      </c>
      <c r="B453" s="74" t="s">
        <v>1089</v>
      </c>
      <c r="C453" s="104" t="s">
        <v>1095</v>
      </c>
      <c r="D453" s="11" t="s">
        <v>187</v>
      </c>
      <c r="E453" s="11">
        <v>1985.0</v>
      </c>
      <c r="F453" s="11">
        <v>9.0</v>
      </c>
      <c r="G453" s="11">
        <v>7.0</v>
      </c>
      <c r="H453" s="11">
        <v>11.0</v>
      </c>
      <c r="I453" s="11" t="s">
        <v>74</v>
      </c>
      <c r="J453" s="11" t="s">
        <v>260</v>
      </c>
      <c r="K453" s="11" t="s">
        <v>410</v>
      </c>
    </row>
    <row r="454">
      <c r="A454" s="11" t="s">
        <v>1088</v>
      </c>
      <c r="B454" s="74" t="s">
        <v>1089</v>
      </c>
      <c r="C454" s="104" t="s">
        <v>1095</v>
      </c>
      <c r="D454" s="11" t="s">
        <v>187</v>
      </c>
      <c r="E454" s="11">
        <v>1986.0</v>
      </c>
      <c r="F454" s="11">
        <v>8.0</v>
      </c>
      <c r="G454" s="11">
        <v>5.0</v>
      </c>
      <c r="H454" s="11">
        <v>12.0</v>
      </c>
      <c r="I454" s="11" t="s">
        <v>74</v>
      </c>
      <c r="J454" s="11" t="s">
        <v>260</v>
      </c>
      <c r="K454" s="11" t="s">
        <v>410</v>
      </c>
    </row>
    <row r="455">
      <c r="A455" s="11" t="s">
        <v>1088</v>
      </c>
      <c r="B455" s="74" t="s">
        <v>1089</v>
      </c>
      <c r="C455" s="104" t="s">
        <v>1095</v>
      </c>
      <c r="D455" s="11" t="s">
        <v>187</v>
      </c>
      <c r="E455" s="11">
        <v>2001.0</v>
      </c>
      <c r="F455" s="11">
        <v>7.0</v>
      </c>
      <c r="G455" s="11">
        <v>4.0</v>
      </c>
      <c r="H455" s="11">
        <v>12.0</v>
      </c>
      <c r="I455" s="11" t="s">
        <v>74</v>
      </c>
      <c r="J455" s="11" t="s">
        <v>260</v>
      </c>
      <c r="K455" s="11" t="s">
        <v>410</v>
      </c>
    </row>
    <row r="456">
      <c r="A456" s="11" t="s">
        <v>1088</v>
      </c>
      <c r="B456" s="74" t="s">
        <v>1089</v>
      </c>
      <c r="C456" s="104" t="s">
        <v>1095</v>
      </c>
      <c r="D456" s="11" t="s">
        <v>187</v>
      </c>
      <c r="E456" s="11">
        <v>2002.0</v>
      </c>
      <c r="F456" s="11">
        <v>4.0</v>
      </c>
      <c r="G456" s="11">
        <v>3.0</v>
      </c>
      <c r="H456" s="11">
        <v>6.0</v>
      </c>
      <c r="I456" s="11" t="s">
        <v>74</v>
      </c>
      <c r="J456" s="11" t="s">
        <v>260</v>
      </c>
      <c r="K456" s="11" t="s">
        <v>410</v>
      </c>
    </row>
    <row r="457">
      <c r="A457" s="11" t="s">
        <v>1088</v>
      </c>
      <c r="B457" s="74" t="s">
        <v>1089</v>
      </c>
      <c r="C457" s="104" t="s">
        <v>1095</v>
      </c>
      <c r="D457" s="11" t="s">
        <v>187</v>
      </c>
      <c r="E457" s="11">
        <v>2007.0</v>
      </c>
      <c r="F457" s="11">
        <v>8.0</v>
      </c>
      <c r="G457" s="11">
        <v>5.0</v>
      </c>
      <c r="H457" s="11">
        <v>12.0</v>
      </c>
      <c r="I457" s="11" t="s">
        <v>74</v>
      </c>
      <c r="J457" s="11" t="s">
        <v>260</v>
      </c>
      <c r="K457" s="11" t="s">
        <v>410</v>
      </c>
    </row>
    <row r="458">
      <c r="A458" s="11" t="s">
        <v>1088</v>
      </c>
      <c r="B458" s="74" t="s">
        <v>1089</v>
      </c>
      <c r="C458" s="104" t="s">
        <v>1098</v>
      </c>
      <c r="D458" s="11" t="s">
        <v>187</v>
      </c>
      <c r="E458" s="11">
        <v>2007.0</v>
      </c>
      <c r="F458" s="11">
        <v>6.0</v>
      </c>
      <c r="G458" s="11">
        <v>1.0</v>
      </c>
      <c r="H458" s="11">
        <v>8.0</v>
      </c>
      <c r="I458" s="11" t="s">
        <v>74</v>
      </c>
      <c r="J458" s="11" t="s">
        <v>260</v>
      </c>
      <c r="K458" s="11" t="s">
        <v>410</v>
      </c>
    </row>
    <row r="459">
      <c r="A459" s="11" t="s">
        <v>1088</v>
      </c>
      <c r="B459" s="74" t="s">
        <v>1089</v>
      </c>
      <c r="C459" s="104" t="s">
        <v>1098</v>
      </c>
      <c r="D459" s="11" t="s">
        <v>187</v>
      </c>
      <c r="E459" s="11">
        <v>2012.0</v>
      </c>
      <c r="F459" s="11">
        <v>3.0</v>
      </c>
      <c r="G459" s="11">
        <v>1.0</v>
      </c>
      <c r="H459" s="11">
        <v>5.0</v>
      </c>
      <c r="I459" s="11" t="s">
        <v>74</v>
      </c>
      <c r="J459" s="11" t="s">
        <v>260</v>
      </c>
      <c r="K459" s="11" t="s">
        <v>410</v>
      </c>
    </row>
    <row r="460">
      <c r="A460" s="11" t="s">
        <v>1088</v>
      </c>
      <c r="B460" s="74" t="s">
        <v>1089</v>
      </c>
      <c r="C460" s="104" t="s">
        <v>1098</v>
      </c>
      <c r="D460" s="11" t="s">
        <v>187</v>
      </c>
      <c r="E460" s="11">
        <v>2014.0</v>
      </c>
      <c r="F460" s="11">
        <v>3.0</v>
      </c>
      <c r="G460" s="11">
        <v>1.0</v>
      </c>
      <c r="H460" s="11">
        <v>7.0</v>
      </c>
      <c r="I460" s="11" t="s">
        <v>74</v>
      </c>
      <c r="J460" s="11" t="s">
        <v>260</v>
      </c>
      <c r="K460" s="11" t="s">
        <v>410</v>
      </c>
    </row>
    <row r="461">
      <c r="A461" s="11" t="s">
        <v>1088</v>
      </c>
      <c r="B461" s="74" t="s">
        <v>1089</v>
      </c>
      <c r="C461" s="104" t="s">
        <v>1101</v>
      </c>
      <c r="D461" s="11" t="s">
        <v>187</v>
      </c>
      <c r="E461" s="11">
        <v>1981.0</v>
      </c>
      <c r="F461" s="11">
        <v>30.0</v>
      </c>
      <c r="G461" s="11">
        <v>26.0</v>
      </c>
      <c r="H461" s="11">
        <v>36.0</v>
      </c>
      <c r="I461" s="11" t="s">
        <v>74</v>
      </c>
      <c r="J461" s="11" t="s">
        <v>260</v>
      </c>
      <c r="K461" s="11" t="s">
        <v>410</v>
      </c>
    </row>
    <row r="462">
      <c r="A462" s="11" t="s">
        <v>1088</v>
      </c>
      <c r="B462" s="74" t="s">
        <v>1089</v>
      </c>
      <c r="C462" s="104" t="s">
        <v>1101</v>
      </c>
      <c r="D462" s="11" t="s">
        <v>187</v>
      </c>
      <c r="E462" s="11">
        <v>1996.0</v>
      </c>
      <c r="F462" s="11">
        <v>42.0</v>
      </c>
      <c r="G462" s="11">
        <v>25.0</v>
      </c>
      <c r="H462" s="11">
        <v>75.0</v>
      </c>
      <c r="I462" s="11" t="s">
        <v>74</v>
      </c>
      <c r="J462" s="11" t="s">
        <v>260</v>
      </c>
      <c r="K462" s="11" t="s">
        <v>410</v>
      </c>
    </row>
    <row r="463">
      <c r="A463" s="11" t="s">
        <v>1088</v>
      </c>
      <c r="B463" s="74" t="s">
        <v>1089</v>
      </c>
      <c r="C463" s="104" t="s">
        <v>1101</v>
      </c>
      <c r="D463" s="11" t="s">
        <v>187</v>
      </c>
      <c r="E463" s="11">
        <v>2002.0</v>
      </c>
      <c r="F463" s="11">
        <v>34.0</v>
      </c>
      <c r="G463" s="11">
        <v>18.0</v>
      </c>
      <c r="H463" s="11">
        <v>69.0</v>
      </c>
      <c r="I463" s="11" t="s">
        <v>74</v>
      </c>
      <c r="J463" s="11" t="s">
        <v>260</v>
      </c>
      <c r="K463" s="11" t="s">
        <v>410</v>
      </c>
    </row>
    <row r="464">
      <c r="A464" s="11" t="s">
        <v>1088</v>
      </c>
      <c r="B464" s="74" t="s">
        <v>1089</v>
      </c>
      <c r="C464" s="104" t="s">
        <v>1101</v>
      </c>
      <c r="D464" s="11" t="s">
        <v>187</v>
      </c>
      <c r="E464" s="11">
        <v>2013.0</v>
      </c>
      <c r="F464" s="11">
        <v>48.0</v>
      </c>
      <c r="G464" s="11">
        <v>34.0</v>
      </c>
      <c r="H464" s="11">
        <v>67.0</v>
      </c>
      <c r="I464" s="11" t="s">
        <v>74</v>
      </c>
      <c r="J464" s="11" t="s">
        <v>260</v>
      </c>
      <c r="K464" s="11" t="s">
        <v>410</v>
      </c>
    </row>
    <row r="465">
      <c r="A465" s="11" t="s">
        <v>1088</v>
      </c>
      <c r="B465" s="74" t="s">
        <v>1089</v>
      </c>
      <c r="C465" s="104" t="s">
        <v>1103</v>
      </c>
      <c r="D465" s="11" t="s">
        <v>187</v>
      </c>
      <c r="E465" s="11">
        <v>1975.0</v>
      </c>
      <c r="F465" s="11">
        <v>27.0</v>
      </c>
      <c r="G465" s="11">
        <v>19.0</v>
      </c>
      <c r="H465" s="11">
        <v>40.0</v>
      </c>
      <c r="I465" s="11" t="s">
        <v>74</v>
      </c>
      <c r="J465" s="11" t="s">
        <v>260</v>
      </c>
      <c r="K465" s="11" t="s">
        <v>410</v>
      </c>
    </row>
    <row r="466">
      <c r="A466" s="11" t="s">
        <v>1088</v>
      </c>
      <c r="B466" s="74" t="s">
        <v>1089</v>
      </c>
      <c r="C466" s="104" t="s">
        <v>1103</v>
      </c>
      <c r="D466" s="11" t="s">
        <v>187</v>
      </c>
      <c r="E466" s="11">
        <v>1985.0</v>
      </c>
      <c r="F466" s="11">
        <v>16.0</v>
      </c>
      <c r="G466" s="11">
        <v>8.0</v>
      </c>
      <c r="H466" s="11">
        <v>32.0</v>
      </c>
      <c r="I466" s="11" t="s">
        <v>74</v>
      </c>
      <c r="J466" s="11" t="s">
        <v>260</v>
      </c>
      <c r="K466" s="11" t="s">
        <v>410</v>
      </c>
    </row>
    <row r="467">
      <c r="A467" s="11" t="s">
        <v>1088</v>
      </c>
      <c r="B467" s="74" t="s">
        <v>1089</v>
      </c>
      <c r="C467" s="104" t="s">
        <v>1103</v>
      </c>
      <c r="D467" s="11" t="s">
        <v>187</v>
      </c>
      <c r="E467" s="11">
        <v>2003.0</v>
      </c>
      <c r="F467" s="11">
        <v>5.0</v>
      </c>
      <c r="G467" s="11">
        <v>2.0</v>
      </c>
      <c r="H467" s="11">
        <v>12.0</v>
      </c>
      <c r="I467" s="11" t="s">
        <v>74</v>
      </c>
      <c r="J467" s="11" t="s">
        <v>260</v>
      </c>
      <c r="K467" s="11" t="s">
        <v>410</v>
      </c>
    </row>
    <row r="468">
      <c r="A468" s="11" t="s">
        <v>1088</v>
      </c>
      <c r="B468" s="74" t="s">
        <v>1089</v>
      </c>
      <c r="C468" s="104" t="s">
        <v>1103</v>
      </c>
      <c r="D468" s="11" t="s">
        <v>187</v>
      </c>
      <c r="E468" s="11">
        <v>2010.0</v>
      </c>
      <c r="F468" s="11">
        <v>17.0</v>
      </c>
      <c r="G468" s="11">
        <v>12.0</v>
      </c>
      <c r="H468" s="11">
        <v>25.0</v>
      </c>
      <c r="I468" s="11" t="s">
        <v>74</v>
      </c>
      <c r="J468" s="11" t="s">
        <v>260</v>
      </c>
      <c r="K468" s="11" t="s">
        <v>410</v>
      </c>
    </row>
    <row r="469">
      <c r="A469" s="11" t="s">
        <v>1088</v>
      </c>
      <c r="B469" s="74" t="s">
        <v>1089</v>
      </c>
      <c r="C469" s="104" t="s">
        <v>1103</v>
      </c>
      <c r="D469" s="11" t="s">
        <v>187</v>
      </c>
      <c r="E469" s="11">
        <v>2013.0</v>
      </c>
      <c r="F469" s="11">
        <v>34.0</v>
      </c>
      <c r="G469" s="11">
        <v>17.0</v>
      </c>
      <c r="H469" s="11">
        <v>40.0</v>
      </c>
      <c r="I469" s="11" t="s">
        <v>74</v>
      </c>
      <c r="J469" s="11" t="s">
        <v>260</v>
      </c>
      <c r="K469" s="11" t="s">
        <v>410</v>
      </c>
    </row>
    <row r="470">
      <c r="A470" s="11" t="s">
        <v>1088</v>
      </c>
      <c r="B470" s="74" t="s">
        <v>1089</v>
      </c>
      <c r="C470" s="104" t="s">
        <v>1105</v>
      </c>
      <c r="D470" s="11" t="s">
        <v>187</v>
      </c>
      <c r="E470" s="11">
        <v>2004.0</v>
      </c>
      <c r="F470" s="11">
        <v>19.0</v>
      </c>
      <c r="G470" s="11">
        <v>10.0</v>
      </c>
      <c r="H470" s="11">
        <v>24.0</v>
      </c>
      <c r="I470" s="11" t="s">
        <v>74</v>
      </c>
      <c r="J470" s="11" t="s">
        <v>260</v>
      </c>
      <c r="K470" s="11" t="s">
        <v>410</v>
      </c>
    </row>
    <row r="471">
      <c r="A471" s="11" t="s">
        <v>1088</v>
      </c>
      <c r="B471" s="74" t="s">
        <v>1089</v>
      </c>
      <c r="C471" s="104" t="s">
        <v>1105</v>
      </c>
      <c r="D471" s="11" t="s">
        <v>187</v>
      </c>
      <c r="E471" s="11">
        <v>2013.0</v>
      </c>
      <c r="F471" s="11">
        <v>10.0</v>
      </c>
      <c r="G471" s="11">
        <v>6.0</v>
      </c>
      <c r="H471" s="11">
        <v>14.0</v>
      </c>
      <c r="I471" s="11" t="s">
        <v>74</v>
      </c>
      <c r="J471" s="11" t="s">
        <v>260</v>
      </c>
      <c r="K471" s="11" t="s">
        <v>410</v>
      </c>
    </row>
    <row r="472">
      <c r="A472" s="11" t="s">
        <v>1088</v>
      </c>
      <c r="B472" s="74" t="s">
        <v>1089</v>
      </c>
      <c r="C472" s="104" t="s">
        <v>1106</v>
      </c>
      <c r="D472" s="11" t="s">
        <v>187</v>
      </c>
      <c r="E472" s="11">
        <v>2003.0</v>
      </c>
      <c r="F472" s="11">
        <v>10.0</v>
      </c>
      <c r="G472" s="11">
        <v>6.0</v>
      </c>
      <c r="H472" s="11">
        <v>16.0</v>
      </c>
      <c r="I472" s="11" t="s">
        <v>74</v>
      </c>
      <c r="J472" s="11" t="s">
        <v>260</v>
      </c>
      <c r="K472" s="11" t="s">
        <v>410</v>
      </c>
    </row>
    <row r="473">
      <c r="A473" s="11" t="s">
        <v>1088</v>
      </c>
      <c r="B473" s="74" t="s">
        <v>1089</v>
      </c>
      <c r="C473" s="104" t="s">
        <v>1106</v>
      </c>
      <c r="D473" s="11" t="s">
        <v>187</v>
      </c>
      <c r="E473" s="11">
        <v>2013.0</v>
      </c>
      <c r="F473" s="11">
        <v>17.0</v>
      </c>
      <c r="G473" s="11">
        <v>9.0</v>
      </c>
      <c r="H473" s="11">
        <v>24.0</v>
      </c>
      <c r="I473" s="11" t="s">
        <v>74</v>
      </c>
      <c r="J473" s="11" t="s">
        <v>260</v>
      </c>
      <c r="K473" s="11" t="s">
        <v>410</v>
      </c>
    </row>
    <row r="474">
      <c r="A474" s="11" t="s">
        <v>208</v>
      </c>
      <c r="B474" s="11" t="s">
        <v>1108</v>
      </c>
      <c r="C474" s="104" t="s">
        <v>1109</v>
      </c>
      <c r="D474" s="11" t="s">
        <v>187</v>
      </c>
      <c r="E474" s="11">
        <v>1990.0</v>
      </c>
      <c r="F474" s="11">
        <v>1521.0</v>
      </c>
      <c r="G474" s="11">
        <v>822.0</v>
      </c>
      <c r="H474" s="11">
        <v>2828.0</v>
      </c>
      <c r="I474" s="11" t="s">
        <v>158</v>
      </c>
      <c r="J474" s="11" t="s">
        <v>260</v>
      </c>
      <c r="K474" s="11" t="s">
        <v>414</v>
      </c>
    </row>
    <row r="475">
      <c r="A475" s="11" t="s">
        <v>208</v>
      </c>
      <c r="B475" s="11" t="s">
        <v>1108</v>
      </c>
      <c r="C475" s="104" t="s">
        <v>1109</v>
      </c>
      <c r="D475" s="11" t="s">
        <v>187</v>
      </c>
      <c r="E475" s="11">
        <v>1992.0</v>
      </c>
      <c r="F475" s="11">
        <v>1429.0</v>
      </c>
      <c r="G475" s="11">
        <v>1080.0</v>
      </c>
      <c r="H475" s="11">
        <v>1908.0</v>
      </c>
      <c r="I475" s="11" t="s">
        <v>158</v>
      </c>
      <c r="J475" s="11" t="s">
        <v>260</v>
      </c>
      <c r="K475" s="11" t="s">
        <v>414</v>
      </c>
    </row>
    <row r="476">
      <c r="A476" s="11" t="s">
        <v>208</v>
      </c>
      <c r="B476" s="11" t="s">
        <v>1108</v>
      </c>
      <c r="C476" s="104" t="s">
        <v>1109</v>
      </c>
      <c r="D476" s="11" t="s">
        <v>187</v>
      </c>
      <c r="E476" s="11">
        <v>1995.0</v>
      </c>
      <c r="F476" s="11">
        <v>1632.0</v>
      </c>
      <c r="G476" s="11">
        <v>1227.0</v>
      </c>
      <c r="H476" s="11">
        <v>2166.0</v>
      </c>
      <c r="I476" s="11" t="s">
        <v>158</v>
      </c>
      <c r="J476" s="11" t="s">
        <v>260</v>
      </c>
      <c r="K476" s="11" t="s">
        <v>414</v>
      </c>
    </row>
    <row r="477">
      <c r="A477" s="11" t="s">
        <v>208</v>
      </c>
      <c r="B477" s="11" t="s">
        <v>1108</v>
      </c>
      <c r="C477" s="104" t="s">
        <v>1109</v>
      </c>
      <c r="D477" s="11" t="s">
        <v>187</v>
      </c>
      <c r="E477" s="11">
        <v>1997.0</v>
      </c>
      <c r="F477" s="11">
        <v>1687.0</v>
      </c>
      <c r="G477" s="11">
        <v>1301.0</v>
      </c>
      <c r="H477" s="11">
        <v>2202.0</v>
      </c>
      <c r="I477" s="11" t="s">
        <v>158</v>
      </c>
      <c r="J477" s="11" t="s">
        <v>260</v>
      </c>
      <c r="K477" s="11" t="s">
        <v>414</v>
      </c>
    </row>
    <row r="478">
      <c r="A478" s="11" t="s">
        <v>208</v>
      </c>
      <c r="B478" s="11" t="s">
        <v>1108</v>
      </c>
      <c r="C478" s="104" t="s">
        <v>1109</v>
      </c>
      <c r="D478" s="11" t="s">
        <v>187</v>
      </c>
      <c r="E478" s="11">
        <v>2000.0</v>
      </c>
      <c r="F478" s="11">
        <v>1319.0</v>
      </c>
      <c r="G478" s="11">
        <v>1043.0</v>
      </c>
      <c r="H478" s="11">
        <v>1687.0</v>
      </c>
      <c r="I478" s="11" t="s">
        <v>158</v>
      </c>
      <c r="J478" s="11" t="s">
        <v>260</v>
      </c>
      <c r="K478" s="11" t="s">
        <v>414</v>
      </c>
    </row>
    <row r="479">
      <c r="A479" s="11" t="s">
        <v>208</v>
      </c>
      <c r="B479" s="11" t="s">
        <v>1108</v>
      </c>
      <c r="C479" s="104" t="s">
        <v>1109</v>
      </c>
      <c r="D479" s="11" t="s">
        <v>187</v>
      </c>
      <c r="E479" s="11">
        <v>2001.0</v>
      </c>
      <c r="F479" s="11">
        <v>3049.0</v>
      </c>
      <c r="G479" s="11">
        <v>1319.0</v>
      </c>
      <c r="H479" s="11">
        <v>6988.0</v>
      </c>
      <c r="I479" s="11" t="s">
        <v>158</v>
      </c>
      <c r="J479" s="11" t="s">
        <v>260</v>
      </c>
      <c r="K479" s="11" t="s">
        <v>414</v>
      </c>
    </row>
    <row r="480">
      <c r="A480" s="11" t="s">
        <v>208</v>
      </c>
      <c r="B480" s="11" t="s">
        <v>1108</v>
      </c>
      <c r="C480" s="104" t="s">
        <v>1109</v>
      </c>
      <c r="D480" s="11" t="s">
        <v>187</v>
      </c>
      <c r="E480" s="11">
        <v>2003.0</v>
      </c>
      <c r="F480" s="11">
        <v>3104.0</v>
      </c>
      <c r="G480" s="11">
        <v>2074.0</v>
      </c>
      <c r="H480" s="11">
        <v>4650.0</v>
      </c>
      <c r="I480" s="11" t="s">
        <v>158</v>
      </c>
      <c r="J480" s="11" t="s">
        <v>260</v>
      </c>
      <c r="K480" s="11" t="s">
        <v>414</v>
      </c>
    </row>
    <row r="481">
      <c r="A481" s="11" t="s">
        <v>208</v>
      </c>
      <c r="B481" s="11" t="s">
        <v>1108</v>
      </c>
      <c r="C481" s="104" t="s">
        <v>1109</v>
      </c>
      <c r="D481" s="11" t="s">
        <v>187</v>
      </c>
      <c r="E481" s="11">
        <v>2003.0</v>
      </c>
      <c r="F481" s="11">
        <v>1761.0</v>
      </c>
      <c r="G481" s="11">
        <v>1264.0</v>
      </c>
      <c r="H481" s="11">
        <v>2460.0</v>
      </c>
      <c r="I481" s="11" t="s">
        <v>158</v>
      </c>
      <c r="J481" s="11" t="s">
        <v>260</v>
      </c>
      <c r="K481" s="11" t="s">
        <v>414</v>
      </c>
    </row>
    <row r="482">
      <c r="A482" s="11" t="s">
        <v>208</v>
      </c>
      <c r="B482" s="11" t="s">
        <v>1108</v>
      </c>
      <c r="C482" s="104" t="s">
        <v>1109</v>
      </c>
      <c r="D482" s="11" t="s">
        <v>187</v>
      </c>
      <c r="E482" s="11">
        <v>2005.0</v>
      </c>
      <c r="F482" s="11">
        <v>1871.0</v>
      </c>
      <c r="G482" s="11">
        <v>1337.0</v>
      </c>
      <c r="H482" s="11">
        <v>2626.0</v>
      </c>
      <c r="I482" s="11" t="s">
        <v>158</v>
      </c>
      <c r="J482" s="11" t="s">
        <v>260</v>
      </c>
      <c r="K482" s="11" t="s">
        <v>414</v>
      </c>
    </row>
    <row r="483">
      <c r="A483" s="11" t="s">
        <v>208</v>
      </c>
      <c r="B483" s="11" t="s">
        <v>1108</v>
      </c>
      <c r="C483" s="104" t="s">
        <v>1109</v>
      </c>
      <c r="D483" s="11" t="s">
        <v>187</v>
      </c>
      <c r="E483" s="11">
        <v>2007.0</v>
      </c>
      <c r="F483" s="11">
        <v>2607.0</v>
      </c>
      <c r="G483" s="11">
        <v>1319.0</v>
      </c>
      <c r="H483" s="11">
        <v>5202.0</v>
      </c>
      <c r="I483" s="11" t="s">
        <v>158</v>
      </c>
      <c r="J483" s="11" t="s">
        <v>260</v>
      </c>
      <c r="K483" s="11" t="s">
        <v>414</v>
      </c>
    </row>
    <row r="484">
      <c r="A484" s="11" t="s">
        <v>208</v>
      </c>
      <c r="B484" s="11" t="s">
        <v>1108</v>
      </c>
      <c r="C484" s="104" t="s">
        <v>1109</v>
      </c>
      <c r="D484" s="11" t="s">
        <v>187</v>
      </c>
      <c r="E484" s="11">
        <v>2008.0</v>
      </c>
      <c r="F484" s="11">
        <v>1890.0</v>
      </c>
      <c r="G484" s="11">
        <v>840.0</v>
      </c>
      <c r="H484" s="11">
        <v>4301.0</v>
      </c>
      <c r="I484" s="11" t="s">
        <v>158</v>
      </c>
      <c r="J484" s="11" t="s">
        <v>260</v>
      </c>
      <c r="K484" s="11" t="s">
        <v>414</v>
      </c>
    </row>
    <row r="485">
      <c r="A485" s="11" t="s">
        <v>208</v>
      </c>
      <c r="B485" s="11" t="s">
        <v>1108</v>
      </c>
      <c r="C485" s="104" t="s">
        <v>1109</v>
      </c>
      <c r="D485" s="11" t="s">
        <v>187</v>
      </c>
      <c r="E485" s="11">
        <v>2009.0</v>
      </c>
      <c r="F485" s="11">
        <v>1687.0</v>
      </c>
      <c r="G485" s="11">
        <v>1153.0</v>
      </c>
      <c r="H485" s="11">
        <v>2534.0</v>
      </c>
      <c r="I485" s="11" t="s">
        <v>158</v>
      </c>
      <c r="J485" s="11" t="s">
        <v>260</v>
      </c>
      <c r="K485" s="11" t="s">
        <v>414</v>
      </c>
    </row>
    <row r="486">
      <c r="A486" s="11" t="s">
        <v>208</v>
      </c>
      <c r="B486" s="11" t="s">
        <v>1108</v>
      </c>
      <c r="C486" s="104" t="s">
        <v>1109</v>
      </c>
      <c r="D486" s="11" t="s">
        <v>187</v>
      </c>
      <c r="E486" s="11">
        <v>2009.0</v>
      </c>
      <c r="F486" s="11">
        <v>951.0</v>
      </c>
      <c r="G486" s="11">
        <v>748.0</v>
      </c>
      <c r="H486" s="11">
        <v>1227.0</v>
      </c>
      <c r="I486" s="11" t="s">
        <v>158</v>
      </c>
      <c r="J486" s="11" t="s">
        <v>260</v>
      </c>
      <c r="K486" s="11" t="s">
        <v>414</v>
      </c>
    </row>
    <row r="487">
      <c r="A487" s="11" t="s">
        <v>208</v>
      </c>
      <c r="B487" s="11" t="s">
        <v>1108</v>
      </c>
      <c r="C487" s="104" t="s">
        <v>1109</v>
      </c>
      <c r="D487" s="11" t="s">
        <v>187</v>
      </c>
      <c r="E487" s="11">
        <v>2014.0</v>
      </c>
      <c r="F487" s="11">
        <v>2442.0</v>
      </c>
      <c r="G487" s="11">
        <v>1687.0</v>
      </c>
      <c r="H487" s="11">
        <v>3546.0</v>
      </c>
      <c r="I487" s="11" t="s">
        <v>158</v>
      </c>
      <c r="J487" s="11" t="s">
        <v>260</v>
      </c>
      <c r="K487" s="11" t="s">
        <v>414</v>
      </c>
    </row>
    <row r="488">
      <c r="A488" s="11" t="s">
        <v>208</v>
      </c>
      <c r="B488" s="11" t="s">
        <v>1108</v>
      </c>
      <c r="C488" s="104" t="s">
        <v>1109</v>
      </c>
      <c r="D488" s="11" t="s">
        <v>187</v>
      </c>
      <c r="E488" s="11">
        <v>2015.0</v>
      </c>
      <c r="F488" s="11">
        <v>3785.0</v>
      </c>
      <c r="G488" s="11">
        <v>1834.0</v>
      </c>
      <c r="H488" s="11">
        <v>7779.0</v>
      </c>
      <c r="I488" s="11" t="s">
        <v>158</v>
      </c>
      <c r="J488" s="11" t="s">
        <v>260</v>
      </c>
      <c r="K488" s="11" t="s">
        <v>414</v>
      </c>
    </row>
    <row r="489">
      <c r="A489" s="11" t="s">
        <v>208</v>
      </c>
      <c r="B489" s="11" t="s">
        <v>1108</v>
      </c>
      <c r="C489" s="104" t="s">
        <v>1109</v>
      </c>
      <c r="D489" s="11" t="s">
        <v>187</v>
      </c>
      <c r="E489" s="11">
        <v>2016.0</v>
      </c>
      <c r="F489" s="11">
        <v>3620.0</v>
      </c>
      <c r="G489" s="11">
        <v>1816.0</v>
      </c>
      <c r="H489" s="11">
        <v>7190.0</v>
      </c>
      <c r="I489" s="11" t="s">
        <v>158</v>
      </c>
      <c r="J489" s="11" t="s">
        <v>260</v>
      </c>
      <c r="K489" s="11" t="s">
        <v>414</v>
      </c>
    </row>
    <row r="490">
      <c r="A490" s="11" t="s">
        <v>208</v>
      </c>
      <c r="B490" s="11" t="s">
        <v>1108</v>
      </c>
      <c r="C490" s="104" t="s">
        <v>1109</v>
      </c>
      <c r="D490" s="11" t="s">
        <v>187</v>
      </c>
      <c r="E490" s="11">
        <v>2018.0</v>
      </c>
      <c r="F490" s="11">
        <v>4982.0</v>
      </c>
      <c r="G490" s="11">
        <v>3012.0</v>
      </c>
      <c r="H490" s="11">
        <v>8276.0</v>
      </c>
      <c r="I490" s="11" t="s">
        <v>158</v>
      </c>
      <c r="J490" s="11" t="s">
        <v>260</v>
      </c>
      <c r="K490" s="11" t="s">
        <v>414</v>
      </c>
    </row>
    <row r="491">
      <c r="A491" s="11" t="s">
        <v>208</v>
      </c>
      <c r="B491" s="11" t="s">
        <v>1108</v>
      </c>
      <c r="C491" s="104" t="s">
        <v>1109</v>
      </c>
      <c r="D491" s="11" t="s">
        <v>187</v>
      </c>
      <c r="E491" s="11">
        <v>2019.0</v>
      </c>
      <c r="F491" s="11">
        <v>1963.0</v>
      </c>
      <c r="G491" s="11">
        <v>1374.0</v>
      </c>
      <c r="H491" s="11">
        <v>2810.0</v>
      </c>
      <c r="I491" s="11" t="s">
        <v>158</v>
      </c>
      <c r="J491" s="11" t="s">
        <v>260</v>
      </c>
      <c r="K491" s="11" t="s">
        <v>414</v>
      </c>
    </row>
    <row r="492">
      <c r="A492" s="11" t="s">
        <v>208</v>
      </c>
      <c r="B492" s="11" t="s">
        <v>1108</v>
      </c>
      <c r="C492" s="104" t="s">
        <v>1109</v>
      </c>
      <c r="D492" s="11" t="s">
        <v>187</v>
      </c>
      <c r="E492" s="11">
        <v>2019.0</v>
      </c>
      <c r="F492" s="11">
        <v>2110.0</v>
      </c>
      <c r="G492" s="11">
        <v>1669.0</v>
      </c>
      <c r="H492" s="11">
        <v>2699.0</v>
      </c>
      <c r="I492" s="11" t="s">
        <v>158</v>
      </c>
      <c r="J492" s="11" t="s">
        <v>260</v>
      </c>
      <c r="K492" s="11" t="s">
        <v>414</v>
      </c>
    </row>
    <row r="493">
      <c r="A493" s="11" t="s">
        <v>208</v>
      </c>
      <c r="B493" s="11" t="s">
        <v>1108</v>
      </c>
      <c r="C493" s="104" t="s">
        <v>1109</v>
      </c>
      <c r="D493" s="11" t="s">
        <v>187</v>
      </c>
      <c r="E493" s="11">
        <v>2020.0</v>
      </c>
      <c r="F493" s="11">
        <v>2736.0</v>
      </c>
      <c r="G493" s="11">
        <v>1172.0</v>
      </c>
      <c r="H493" s="11">
        <v>6417.0</v>
      </c>
      <c r="I493" s="11" t="s">
        <v>158</v>
      </c>
      <c r="J493" s="11" t="s">
        <v>260</v>
      </c>
      <c r="K493" s="11" t="s">
        <v>414</v>
      </c>
    </row>
    <row r="494">
      <c r="A494" s="11" t="s">
        <v>208</v>
      </c>
      <c r="B494" s="11" t="s">
        <v>1108</v>
      </c>
      <c r="C494" s="104" t="s">
        <v>1109</v>
      </c>
      <c r="D494" s="11" t="s">
        <v>187</v>
      </c>
      <c r="E494" s="11">
        <v>2021.0</v>
      </c>
      <c r="F494" s="11">
        <v>2276.0</v>
      </c>
      <c r="G494" s="11">
        <v>1080.0</v>
      </c>
      <c r="H494" s="11">
        <v>4724.0</v>
      </c>
      <c r="I494" s="11" t="s">
        <v>158</v>
      </c>
      <c r="J494" s="11" t="s">
        <v>260</v>
      </c>
      <c r="K494" s="11" t="s">
        <v>414</v>
      </c>
    </row>
    <row r="495">
      <c r="A495" s="11" t="s">
        <v>208</v>
      </c>
      <c r="B495" s="11" t="s">
        <v>1108</v>
      </c>
      <c r="C495" s="104" t="s">
        <v>1109</v>
      </c>
      <c r="D495" s="11" t="s">
        <v>187</v>
      </c>
      <c r="E495" s="11">
        <v>2022.0</v>
      </c>
      <c r="F495" s="11">
        <v>1264.0</v>
      </c>
      <c r="G495" s="11">
        <v>638.0</v>
      </c>
      <c r="H495" s="11">
        <v>2460.0</v>
      </c>
      <c r="I495" s="11" t="s">
        <v>158</v>
      </c>
      <c r="J495" s="11" t="s">
        <v>260</v>
      </c>
      <c r="K495" s="11" t="s">
        <v>414</v>
      </c>
    </row>
    <row r="496">
      <c r="A496" s="11" t="s">
        <v>22</v>
      </c>
      <c r="B496" s="11" t="s">
        <v>399</v>
      </c>
      <c r="C496" s="104" t="s">
        <v>439</v>
      </c>
      <c r="D496" s="11" t="s">
        <v>1077</v>
      </c>
      <c r="E496" s="11">
        <v>2009.0</v>
      </c>
      <c r="F496" s="11">
        <v>4173.0</v>
      </c>
      <c r="G496" s="11">
        <v>3581.0</v>
      </c>
      <c r="H496" s="11">
        <v>4934.0</v>
      </c>
      <c r="I496" s="11" t="s">
        <v>158</v>
      </c>
      <c r="J496" s="11" t="s">
        <v>260</v>
      </c>
      <c r="K496" s="11" t="s">
        <v>419</v>
      </c>
      <c r="L496" s="11" t="s">
        <v>1116</v>
      </c>
    </row>
    <row r="497">
      <c r="A497" s="11" t="s">
        <v>22</v>
      </c>
      <c r="B497" s="11" t="s">
        <v>399</v>
      </c>
      <c r="C497" s="104" t="s">
        <v>439</v>
      </c>
      <c r="D497" s="11" t="s">
        <v>1077</v>
      </c>
      <c r="E497" s="11">
        <v>2017.0</v>
      </c>
      <c r="F497" s="11">
        <v>11786.0</v>
      </c>
      <c r="G497" s="11">
        <v>9897.0</v>
      </c>
      <c r="H497" s="11">
        <v>14041.0</v>
      </c>
      <c r="I497" s="11" t="s">
        <v>158</v>
      </c>
      <c r="J497" s="11" t="s">
        <v>260</v>
      </c>
      <c r="K497" s="11" t="s">
        <v>419</v>
      </c>
    </row>
    <row r="498">
      <c r="A498" s="11" t="s">
        <v>22</v>
      </c>
      <c r="B498" s="11" t="s">
        <v>399</v>
      </c>
      <c r="C498" s="104" t="s">
        <v>439</v>
      </c>
      <c r="D498" s="11" t="s">
        <v>1077</v>
      </c>
      <c r="E498" s="11">
        <v>2021.0</v>
      </c>
      <c r="F498" s="11">
        <v>13562.0</v>
      </c>
      <c r="G498" s="11">
        <v>11306.0</v>
      </c>
      <c r="H498" s="11">
        <v>16353.0</v>
      </c>
      <c r="I498" s="11" t="s">
        <v>158</v>
      </c>
      <c r="J498" s="11" t="s">
        <v>260</v>
      </c>
      <c r="K498" s="11" t="s">
        <v>419</v>
      </c>
    </row>
    <row r="499">
      <c r="A499" s="11" t="s">
        <v>431</v>
      </c>
      <c r="B499" s="11" t="s">
        <v>1119</v>
      </c>
      <c r="C499" s="104" t="s">
        <v>1120</v>
      </c>
      <c r="D499" s="11" t="s">
        <v>188</v>
      </c>
      <c r="E499" s="11">
        <v>1973.0</v>
      </c>
      <c r="F499" s="11">
        <v>3678.0</v>
      </c>
      <c r="G499" s="11" t="s">
        <v>188</v>
      </c>
      <c r="H499" s="11" t="s">
        <v>188</v>
      </c>
      <c r="I499" s="11" t="s">
        <v>158</v>
      </c>
      <c r="J499" s="11" t="s">
        <v>260</v>
      </c>
      <c r="K499" s="72" t="s">
        <v>1121</v>
      </c>
      <c r="L499" s="62"/>
    </row>
    <row r="500">
      <c r="A500" s="11" t="s">
        <v>431</v>
      </c>
      <c r="B500" s="11" t="s">
        <v>1119</v>
      </c>
      <c r="C500" s="104" t="s">
        <v>1120</v>
      </c>
      <c r="D500" s="11" t="s">
        <v>188</v>
      </c>
      <c r="E500" s="11">
        <v>1974.0</v>
      </c>
      <c r="F500" s="11">
        <v>3924.0</v>
      </c>
      <c r="G500" s="11" t="s">
        <v>188</v>
      </c>
      <c r="H500" s="11" t="s">
        <v>188</v>
      </c>
      <c r="I500" s="11" t="s">
        <v>158</v>
      </c>
      <c r="J500" s="11" t="s">
        <v>260</v>
      </c>
      <c r="K500" s="62" t="s">
        <v>438</v>
      </c>
    </row>
    <row r="501">
      <c r="A501" s="11" t="s">
        <v>431</v>
      </c>
      <c r="B501" s="11" t="s">
        <v>1119</v>
      </c>
      <c r="C501" s="104" t="s">
        <v>1120</v>
      </c>
      <c r="D501" s="11" t="s">
        <v>188</v>
      </c>
      <c r="E501" s="11">
        <v>1976.0</v>
      </c>
      <c r="F501" s="11">
        <v>5027.0</v>
      </c>
      <c r="G501" s="11" t="s">
        <v>188</v>
      </c>
      <c r="H501" s="11" t="s">
        <v>188</v>
      </c>
      <c r="I501" s="11" t="s">
        <v>158</v>
      </c>
      <c r="J501" s="11" t="s">
        <v>260</v>
      </c>
      <c r="K501" s="62" t="s">
        <v>438</v>
      </c>
    </row>
    <row r="502">
      <c r="A502" s="11" t="s">
        <v>431</v>
      </c>
      <c r="B502" s="11" t="s">
        <v>1119</v>
      </c>
      <c r="C502" s="104" t="s">
        <v>1120</v>
      </c>
      <c r="D502" s="11" t="s">
        <v>188</v>
      </c>
      <c r="E502" s="11">
        <v>1982.0</v>
      </c>
      <c r="F502" s="11">
        <v>9809.0</v>
      </c>
      <c r="G502" s="11" t="s">
        <v>188</v>
      </c>
      <c r="H502" s="11" t="s">
        <v>188</v>
      </c>
      <c r="I502" s="11" t="s">
        <v>158</v>
      </c>
      <c r="J502" s="11" t="s">
        <v>260</v>
      </c>
      <c r="K502" s="62" t="s">
        <v>438</v>
      </c>
    </row>
    <row r="503">
      <c r="A503" s="11" t="s">
        <v>431</v>
      </c>
      <c r="B503" s="11" t="s">
        <v>1119</v>
      </c>
      <c r="C503" s="104" t="s">
        <v>1120</v>
      </c>
      <c r="D503" s="11" t="s">
        <v>188</v>
      </c>
      <c r="E503" s="11">
        <v>1983.0</v>
      </c>
      <c r="F503" s="11">
        <v>11158.0</v>
      </c>
      <c r="G503" s="11" t="s">
        <v>188</v>
      </c>
      <c r="H503" s="11" t="s">
        <v>188</v>
      </c>
      <c r="I503" s="11" t="s">
        <v>158</v>
      </c>
      <c r="J503" s="11" t="s">
        <v>260</v>
      </c>
      <c r="K503" s="62" t="s">
        <v>438</v>
      </c>
    </row>
    <row r="504">
      <c r="A504" s="11" t="s">
        <v>431</v>
      </c>
      <c r="B504" s="11" t="s">
        <v>1119</v>
      </c>
      <c r="C504" s="104" t="s">
        <v>1120</v>
      </c>
      <c r="D504" s="11" t="s">
        <v>188</v>
      </c>
      <c r="E504" s="11">
        <v>1984.0</v>
      </c>
      <c r="F504" s="11">
        <v>12997.0</v>
      </c>
      <c r="G504" s="11" t="s">
        <v>188</v>
      </c>
      <c r="H504" s="11" t="s">
        <v>188</v>
      </c>
      <c r="I504" s="11" t="s">
        <v>158</v>
      </c>
      <c r="J504" s="11" t="s">
        <v>260</v>
      </c>
      <c r="K504" s="62" t="s">
        <v>438</v>
      </c>
    </row>
    <row r="505">
      <c r="A505" s="11" t="s">
        <v>431</v>
      </c>
      <c r="B505" s="11" t="s">
        <v>1119</v>
      </c>
      <c r="C505" s="104" t="s">
        <v>1120</v>
      </c>
      <c r="D505" s="11" t="s">
        <v>188</v>
      </c>
      <c r="E505" s="11">
        <v>1985.0</v>
      </c>
      <c r="F505" s="11">
        <v>14469.0</v>
      </c>
      <c r="G505" s="11" t="s">
        <v>188</v>
      </c>
      <c r="H505" s="11" t="s">
        <v>188</v>
      </c>
      <c r="I505" s="11" t="s">
        <v>158</v>
      </c>
      <c r="J505" s="11" t="s">
        <v>260</v>
      </c>
      <c r="K505" s="62" t="s">
        <v>438</v>
      </c>
    </row>
    <row r="506">
      <c r="A506" s="11" t="s">
        <v>431</v>
      </c>
      <c r="B506" s="11" t="s">
        <v>1119</v>
      </c>
      <c r="C506" s="104" t="s">
        <v>1120</v>
      </c>
      <c r="D506" s="11" t="s">
        <v>188</v>
      </c>
      <c r="E506" s="11">
        <v>1986.0</v>
      </c>
      <c r="F506" s="11">
        <v>16185.0</v>
      </c>
      <c r="G506" s="11" t="s">
        <v>188</v>
      </c>
      <c r="H506" s="11" t="s">
        <v>188</v>
      </c>
      <c r="I506" s="11" t="s">
        <v>158</v>
      </c>
      <c r="J506" s="11" t="s">
        <v>260</v>
      </c>
      <c r="K506" s="62" t="s">
        <v>438</v>
      </c>
    </row>
    <row r="507">
      <c r="A507" s="11" t="s">
        <v>431</v>
      </c>
      <c r="B507" s="11" t="s">
        <v>1119</v>
      </c>
      <c r="C507" s="104" t="s">
        <v>1120</v>
      </c>
      <c r="D507" s="11" t="s">
        <v>188</v>
      </c>
      <c r="E507" s="11">
        <v>1987.0</v>
      </c>
      <c r="F507" s="11">
        <v>19496.0</v>
      </c>
      <c r="G507" s="11" t="s">
        <v>188</v>
      </c>
      <c r="H507" s="11" t="s">
        <v>188</v>
      </c>
      <c r="I507" s="11" t="s">
        <v>158</v>
      </c>
      <c r="J507" s="11" t="s">
        <v>260</v>
      </c>
      <c r="K507" s="62" t="s">
        <v>438</v>
      </c>
    </row>
    <row r="508">
      <c r="A508" s="11" t="s">
        <v>431</v>
      </c>
      <c r="B508" s="11" t="s">
        <v>1119</v>
      </c>
      <c r="C508" s="104" t="s">
        <v>1120</v>
      </c>
      <c r="D508" s="11" t="s">
        <v>188</v>
      </c>
      <c r="E508" s="11">
        <v>1988.0</v>
      </c>
      <c r="F508" s="11">
        <v>21703.0</v>
      </c>
      <c r="G508" s="11" t="s">
        <v>188</v>
      </c>
      <c r="H508" s="11" t="s">
        <v>188</v>
      </c>
      <c r="I508" s="11" t="s">
        <v>158</v>
      </c>
      <c r="J508" s="11" t="s">
        <v>260</v>
      </c>
      <c r="K508" s="62" t="s">
        <v>438</v>
      </c>
    </row>
    <row r="509">
      <c r="A509" s="11" t="s">
        <v>431</v>
      </c>
      <c r="B509" s="11" t="s">
        <v>1119</v>
      </c>
      <c r="C509" s="104" t="s">
        <v>1120</v>
      </c>
      <c r="D509" s="11" t="s">
        <v>188</v>
      </c>
      <c r="E509" s="11">
        <v>1990.0</v>
      </c>
      <c r="F509" s="11">
        <v>28937.0</v>
      </c>
      <c r="G509" s="11" t="s">
        <v>188</v>
      </c>
      <c r="H509" s="11" t="s">
        <v>188</v>
      </c>
      <c r="I509" s="11" t="s">
        <v>158</v>
      </c>
      <c r="J509" s="11" t="s">
        <v>260</v>
      </c>
      <c r="K509" s="62" t="s">
        <v>438</v>
      </c>
    </row>
    <row r="510">
      <c r="A510" s="11" t="s">
        <v>431</v>
      </c>
      <c r="B510" s="11" t="s">
        <v>1119</v>
      </c>
      <c r="C510" s="104" t="s">
        <v>1120</v>
      </c>
      <c r="D510" s="11" t="s">
        <v>188</v>
      </c>
      <c r="E510" s="11">
        <v>1992.0</v>
      </c>
      <c r="F510" s="11">
        <v>26608.0</v>
      </c>
      <c r="G510" s="11" t="s">
        <v>188</v>
      </c>
      <c r="H510" s="11" t="s">
        <v>188</v>
      </c>
      <c r="I510" s="11" t="s">
        <v>158</v>
      </c>
      <c r="J510" s="11" t="s">
        <v>260</v>
      </c>
      <c r="K510" s="62" t="s">
        <v>438</v>
      </c>
    </row>
    <row r="511">
      <c r="A511" s="11" t="s">
        <v>431</v>
      </c>
      <c r="B511" s="11" t="s">
        <v>1119</v>
      </c>
      <c r="C511" s="104" t="s">
        <v>1120</v>
      </c>
      <c r="D511" s="11" t="s">
        <v>188</v>
      </c>
      <c r="E511" s="11">
        <v>1994.0</v>
      </c>
      <c r="F511" s="11">
        <v>41076.0</v>
      </c>
      <c r="G511" s="11" t="s">
        <v>188</v>
      </c>
      <c r="H511" s="11" t="s">
        <v>188</v>
      </c>
      <c r="I511" s="11" t="s">
        <v>158</v>
      </c>
      <c r="J511" s="11" t="s">
        <v>260</v>
      </c>
      <c r="K511" s="62" t="s">
        <v>438</v>
      </c>
    </row>
    <row r="512">
      <c r="A512" s="11" t="s">
        <v>431</v>
      </c>
      <c r="B512" s="11" t="s">
        <v>1119</v>
      </c>
      <c r="C512" s="104" t="s">
        <v>1120</v>
      </c>
      <c r="D512" s="11" t="s">
        <v>188</v>
      </c>
      <c r="E512" s="11">
        <v>1996.0</v>
      </c>
      <c r="F512" s="11">
        <v>41475.0</v>
      </c>
      <c r="G512" s="11" t="s">
        <v>188</v>
      </c>
      <c r="H512" s="11" t="s">
        <v>188</v>
      </c>
      <c r="I512" s="11" t="s">
        <v>158</v>
      </c>
      <c r="J512" s="11" t="s">
        <v>260</v>
      </c>
      <c r="K512" s="62" t="s">
        <v>438</v>
      </c>
    </row>
    <row r="513">
      <c r="A513" s="11" t="s">
        <v>431</v>
      </c>
      <c r="B513" s="11" t="s">
        <v>1119</v>
      </c>
      <c r="C513" s="104" t="s">
        <v>1120</v>
      </c>
      <c r="D513" s="11" t="s">
        <v>188</v>
      </c>
      <c r="E513" s="11">
        <v>1998.0</v>
      </c>
      <c r="F513" s="11">
        <v>32371.0</v>
      </c>
      <c r="G513" s="11" t="s">
        <v>188</v>
      </c>
      <c r="H513" s="11" t="s">
        <v>188</v>
      </c>
      <c r="I513" s="11" t="s">
        <v>158</v>
      </c>
      <c r="J513" s="11" t="s">
        <v>260</v>
      </c>
      <c r="K513" s="62" t="s">
        <v>438</v>
      </c>
    </row>
    <row r="514">
      <c r="A514" s="11" t="s">
        <v>431</v>
      </c>
      <c r="B514" s="11" t="s">
        <v>1119</v>
      </c>
      <c r="C514" s="104" t="s">
        <v>1120</v>
      </c>
      <c r="D514" s="11" t="s">
        <v>188</v>
      </c>
      <c r="E514" s="11">
        <v>2000.0</v>
      </c>
      <c r="F514" s="11">
        <v>41567.0</v>
      </c>
      <c r="G514" s="11" t="s">
        <v>188</v>
      </c>
      <c r="H514" s="11" t="s">
        <v>188</v>
      </c>
      <c r="I514" s="11" t="s">
        <v>158</v>
      </c>
      <c r="J514" s="11" t="s">
        <v>260</v>
      </c>
      <c r="K514" s="62" t="s">
        <v>438</v>
      </c>
    </row>
    <row r="515">
      <c r="A515" s="11" t="s">
        <v>431</v>
      </c>
      <c r="B515" s="11" t="s">
        <v>1119</v>
      </c>
      <c r="C515" s="104" t="s">
        <v>1120</v>
      </c>
      <c r="D515" s="11" t="s">
        <v>188</v>
      </c>
      <c r="E515" s="11">
        <v>2003.0</v>
      </c>
      <c r="F515" s="11">
        <v>42916.0</v>
      </c>
      <c r="G515" s="11" t="s">
        <v>188</v>
      </c>
      <c r="H515" s="11" t="s">
        <v>188</v>
      </c>
      <c r="I515" s="11" t="s">
        <v>158</v>
      </c>
      <c r="J515" s="11" t="s">
        <v>260</v>
      </c>
      <c r="K515" s="62" t="s">
        <v>438</v>
      </c>
    </row>
    <row r="516">
      <c r="A516" s="11" t="s">
        <v>431</v>
      </c>
      <c r="B516" s="11" t="s">
        <v>1119</v>
      </c>
      <c r="C516" s="104" t="s">
        <v>1120</v>
      </c>
      <c r="D516" s="11" t="s">
        <v>188</v>
      </c>
      <c r="E516" s="11">
        <v>2008.0</v>
      </c>
      <c r="F516" s="11">
        <v>37643.0</v>
      </c>
      <c r="G516" s="11" t="s">
        <v>188</v>
      </c>
      <c r="H516" s="11" t="s">
        <v>188</v>
      </c>
      <c r="I516" s="11" t="s">
        <v>158</v>
      </c>
      <c r="J516" s="11" t="s">
        <v>260</v>
      </c>
      <c r="K516" s="62" t="s">
        <v>438</v>
      </c>
    </row>
    <row r="517">
      <c r="A517" s="11" t="s">
        <v>431</v>
      </c>
      <c r="B517" s="11" t="s">
        <v>1119</v>
      </c>
      <c r="C517" s="104" t="s">
        <v>1120</v>
      </c>
      <c r="D517" s="11" t="s">
        <v>188</v>
      </c>
      <c r="E517" s="11">
        <v>2014.0</v>
      </c>
      <c r="F517" s="11">
        <v>39482.0</v>
      </c>
      <c r="G517" s="11" t="s">
        <v>188</v>
      </c>
      <c r="H517" s="11" t="s">
        <v>188</v>
      </c>
      <c r="I517" s="11" t="s">
        <v>158</v>
      </c>
      <c r="J517" s="11" t="s">
        <v>260</v>
      </c>
      <c r="K517" s="62" t="s">
        <v>438</v>
      </c>
    </row>
    <row r="518">
      <c r="A518" s="11" t="s">
        <v>248</v>
      </c>
      <c r="B518" s="11" t="s">
        <v>1119</v>
      </c>
      <c r="C518" s="104" t="s">
        <v>1122</v>
      </c>
      <c r="D518" s="11" t="s">
        <v>1077</v>
      </c>
      <c r="E518" s="11">
        <v>1961.0</v>
      </c>
      <c r="F518" s="11">
        <v>2181.0</v>
      </c>
      <c r="G518" s="11" t="s">
        <v>188</v>
      </c>
      <c r="H518" s="11" t="s">
        <v>188</v>
      </c>
      <c r="I518" s="11" t="s">
        <v>555</v>
      </c>
      <c r="J518" s="11" t="s">
        <v>260</v>
      </c>
      <c r="K518" s="62" t="s">
        <v>438</v>
      </c>
      <c r="L518" s="11" t="s">
        <v>441</v>
      </c>
    </row>
    <row r="519">
      <c r="A519" s="11" t="s">
        <v>248</v>
      </c>
      <c r="B519" s="11" t="s">
        <v>1119</v>
      </c>
      <c r="C519" s="104" t="s">
        <v>1122</v>
      </c>
      <c r="D519" s="11" t="s">
        <v>1077</v>
      </c>
      <c r="E519" s="11">
        <v>1971.0</v>
      </c>
      <c r="F519" s="11">
        <v>2955.0</v>
      </c>
      <c r="G519" s="11" t="s">
        <v>188</v>
      </c>
      <c r="H519" s="11" t="s">
        <v>188</v>
      </c>
      <c r="I519" s="11" t="s">
        <v>555</v>
      </c>
      <c r="J519" s="11" t="s">
        <v>260</v>
      </c>
      <c r="K519" s="62" t="s">
        <v>438</v>
      </c>
    </row>
    <row r="520">
      <c r="A520" s="11" t="s">
        <v>248</v>
      </c>
      <c r="B520" s="11" t="s">
        <v>1119</v>
      </c>
      <c r="C520" s="104" t="s">
        <v>1122</v>
      </c>
      <c r="D520" s="11" t="s">
        <v>1077</v>
      </c>
      <c r="E520" s="11">
        <v>1973.0</v>
      </c>
      <c r="F520" s="11">
        <v>3430.0</v>
      </c>
      <c r="G520" s="11" t="s">
        <v>188</v>
      </c>
      <c r="H520" s="11" t="s">
        <v>188</v>
      </c>
      <c r="I520" s="11" t="s">
        <v>555</v>
      </c>
      <c r="J520" s="11" t="s">
        <v>260</v>
      </c>
      <c r="K520" s="62" t="s">
        <v>438</v>
      </c>
    </row>
    <row r="521">
      <c r="A521" s="11" t="s">
        <v>248</v>
      </c>
      <c r="B521" s="11" t="s">
        <v>1119</v>
      </c>
      <c r="C521" s="104" t="s">
        <v>1122</v>
      </c>
      <c r="D521" s="11" t="s">
        <v>1077</v>
      </c>
      <c r="E521" s="11">
        <v>1977.0</v>
      </c>
      <c r="F521" s="11">
        <v>3155.0</v>
      </c>
      <c r="G521" s="11" t="s">
        <v>188</v>
      </c>
      <c r="H521" s="11" t="s">
        <v>188</v>
      </c>
      <c r="I521" s="11" t="s">
        <v>555</v>
      </c>
      <c r="J521" s="11" t="s">
        <v>260</v>
      </c>
      <c r="K521" s="62" t="s">
        <v>438</v>
      </c>
    </row>
    <row r="522">
      <c r="A522" s="11" t="s">
        <v>248</v>
      </c>
      <c r="B522" s="11" t="s">
        <v>1119</v>
      </c>
      <c r="C522" s="104" t="s">
        <v>1122</v>
      </c>
      <c r="D522" s="11" t="s">
        <v>1077</v>
      </c>
      <c r="E522" s="11">
        <v>1979.0</v>
      </c>
      <c r="F522" s="11">
        <v>3253.0</v>
      </c>
      <c r="G522" s="11" t="s">
        <v>188</v>
      </c>
      <c r="H522" s="11" t="s">
        <v>188</v>
      </c>
      <c r="I522" s="11" t="s">
        <v>555</v>
      </c>
      <c r="J522" s="11" t="s">
        <v>260</v>
      </c>
      <c r="K522" s="62" t="s">
        <v>438</v>
      </c>
    </row>
    <row r="523">
      <c r="A523" s="11" t="s">
        <v>248</v>
      </c>
      <c r="B523" s="11" t="s">
        <v>1119</v>
      </c>
      <c r="C523" s="104" t="s">
        <v>1122</v>
      </c>
      <c r="D523" s="11" t="s">
        <v>1077</v>
      </c>
      <c r="E523" s="11">
        <v>1982.0</v>
      </c>
      <c r="F523" s="11">
        <v>3447.0</v>
      </c>
      <c r="G523" s="11" t="s">
        <v>188</v>
      </c>
      <c r="H523" s="11" t="s">
        <v>188</v>
      </c>
      <c r="I523" s="11" t="s">
        <v>555</v>
      </c>
      <c r="J523" s="11" t="s">
        <v>260</v>
      </c>
      <c r="K523" s="62" t="s">
        <v>438</v>
      </c>
    </row>
    <row r="524">
      <c r="A524" s="11" t="s">
        <v>248</v>
      </c>
      <c r="B524" s="11" t="s">
        <v>1119</v>
      </c>
      <c r="C524" s="104" t="s">
        <v>1122</v>
      </c>
      <c r="D524" s="11" t="s">
        <v>1077</v>
      </c>
      <c r="E524" s="11">
        <v>1987.0</v>
      </c>
      <c r="F524" s="11">
        <v>3457.0</v>
      </c>
      <c r="G524" s="11" t="s">
        <v>188</v>
      </c>
      <c r="H524" s="11" t="s">
        <v>188</v>
      </c>
      <c r="I524" s="11" t="s">
        <v>555</v>
      </c>
      <c r="J524" s="11" t="s">
        <v>260</v>
      </c>
      <c r="K524" s="62" t="s">
        <v>438</v>
      </c>
    </row>
    <row r="525">
      <c r="A525" s="11" t="s">
        <v>248</v>
      </c>
      <c r="B525" s="11" t="s">
        <v>1119</v>
      </c>
      <c r="C525" s="104" t="s">
        <v>1122</v>
      </c>
      <c r="D525" s="11" t="s">
        <v>1077</v>
      </c>
      <c r="E525" s="11">
        <v>1990.0</v>
      </c>
      <c r="F525" s="11">
        <v>4877.0</v>
      </c>
      <c r="G525" s="11" t="s">
        <v>188</v>
      </c>
      <c r="H525" s="11" t="s">
        <v>188</v>
      </c>
      <c r="I525" s="11" t="s">
        <v>555</v>
      </c>
      <c r="J525" s="11" t="s">
        <v>260</v>
      </c>
      <c r="K525" s="62" t="s">
        <v>438</v>
      </c>
    </row>
    <row r="526">
      <c r="A526" s="11" t="s">
        <v>248</v>
      </c>
      <c r="B526" s="11" t="s">
        <v>1119</v>
      </c>
      <c r="C526" s="104" t="s">
        <v>1122</v>
      </c>
      <c r="D526" s="11" t="s">
        <v>1077</v>
      </c>
      <c r="E526" s="11">
        <v>1991.0</v>
      </c>
      <c r="F526" s="11">
        <v>5540.0</v>
      </c>
      <c r="G526" s="11" t="s">
        <v>188</v>
      </c>
      <c r="H526" s="11" t="s">
        <v>188</v>
      </c>
      <c r="I526" s="11" t="s">
        <v>555</v>
      </c>
      <c r="J526" s="11" t="s">
        <v>260</v>
      </c>
      <c r="K526" s="62" t="s">
        <v>438</v>
      </c>
    </row>
    <row r="527">
      <c r="A527" s="11" t="s">
        <v>248</v>
      </c>
      <c r="B527" s="11" t="s">
        <v>1119</v>
      </c>
      <c r="C527" s="104" t="s">
        <v>1122</v>
      </c>
      <c r="D527" s="11" t="s">
        <v>1077</v>
      </c>
      <c r="E527" s="11">
        <v>1992.0</v>
      </c>
      <c r="F527" s="11">
        <v>5447.0</v>
      </c>
      <c r="G527" s="11" t="s">
        <v>188</v>
      </c>
      <c r="H527" s="11" t="s">
        <v>188</v>
      </c>
      <c r="I527" s="11" t="s">
        <v>555</v>
      </c>
      <c r="J527" s="11" t="s">
        <v>260</v>
      </c>
      <c r="K527" s="62" t="s">
        <v>438</v>
      </c>
    </row>
    <row r="528">
      <c r="A528" s="11" t="s">
        <v>248</v>
      </c>
      <c r="B528" s="11" t="s">
        <v>1119</v>
      </c>
      <c r="C528" s="104" t="s">
        <v>1122</v>
      </c>
      <c r="D528" s="11" t="s">
        <v>1077</v>
      </c>
      <c r="E528" s="11">
        <v>1994.0</v>
      </c>
      <c r="F528" s="11">
        <v>4979.0</v>
      </c>
      <c r="G528" s="11" t="s">
        <v>188</v>
      </c>
      <c r="H528" s="11" t="s">
        <v>188</v>
      </c>
      <c r="I528" s="11" t="s">
        <v>555</v>
      </c>
      <c r="J528" s="11" t="s">
        <v>260</v>
      </c>
      <c r="K528" s="62" t="s">
        <v>438</v>
      </c>
    </row>
    <row r="529">
      <c r="A529" s="11" t="s">
        <v>248</v>
      </c>
      <c r="B529" s="11" t="s">
        <v>1119</v>
      </c>
      <c r="C529" s="104" t="s">
        <v>1122</v>
      </c>
      <c r="D529" s="11" t="s">
        <v>1077</v>
      </c>
      <c r="E529" s="11">
        <v>1996.0</v>
      </c>
      <c r="F529" s="11">
        <v>5266.0</v>
      </c>
      <c r="G529" s="11" t="s">
        <v>188</v>
      </c>
      <c r="H529" s="11" t="s">
        <v>188</v>
      </c>
      <c r="I529" s="11" t="s">
        <v>555</v>
      </c>
      <c r="J529" s="11" t="s">
        <v>260</v>
      </c>
      <c r="K529" s="62" t="s">
        <v>438</v>
      </c>
    </row>
    <row r="530">
      <c r="A530" s="11" t="s">
        <v>248</v>
      </c>
      <c r="B530" s="11" t="s">
        <v>1119</v>
      </c>
      <c r="C530" s="104" t="s">
        <v>1122</v>
      </c>
      <c r="D530" s="11" t="s">
        <v>1077</v>
      </c>
      <c r="E530" s="11">
        <v>1997.0</v>
      </c>
      <c r="F530" s="11">
        <v>5928.0</v>
      </c>
      <c r="G530" s="11" t="s">
        <v>188</v>
      </c>
      <c r="H530" s="11" t="s">
        <v>188</v>
      </c>
      <c r="I530" s="11" t="s">
        <v>555</v>
      </c>
      <c r="J530" s="11" t="s">
        <v>260</v>
      </c>
      <c r="K530" s="62" t="s">
        <v>438</v>
      </c>
    </row>
    <row r="531">
      <c r="A531" s="11" t="s">
        <v>248</v>
      </c>
      <c r="B531" s="11" t="s">
        <v>1119</v>
      </c>
      <c r="C531" s="104" t="s">
        <v>1122</v>
      </c>
      <c r="D531" s="11" t="s">
        <v>1077</v>
      </c>
      <c r="E531" s="11">
        <v>1998.0</v>
      </c>
      <c r="F531" s="11">
        <v>6307.0</v>
      </c>
      <c r="G531" s="11" t="s">
        <v>188</v>
      </c>
      <c r="H531" s="11" t="s">
        <v>188</v>
      </c>
      <c r="I531" s="11" t="s">
        <v>555</v>
      </c>
      <c r="J531" s="11" t="s">
        <v>260</v>
      </c>
      <c r="K531" s="62" t="s">
        <v>438</v>
      </c>
    </row>
    <row r="532">
      <c r="A532" s="11" t="s">
        <v>248</v>
      </c>
      <c r="B532" s="11" t="s">
        <v>1119</v>
      </c>
      <c r="C532" s="104" t="s">
        <v>1122</v>
      </c>
      <c r="D532" s="11" t="s">
        <v>1077</v>
      </c>
      <c r="E532" s="11">
        <v>2000.0</v>
      </c>
      <c r="F532" s="11">
        <v>6311.0</v>
      </c>
      <c r="G532" s="11" t="s">
        <v>188</v>
      </c>
      <c r="H532" s="11" t="s">
        <v>188</v>
      </c>
      <c r="I532" s="11" t="s">
        <v>555</v>
      </c>
      <c r="J532" s="11" t="s">
        <v>260</v>
      </c>
      <c r="K532" s="62" t="s">
        <v>438</v>
      </c>
    </row>
    <row r="533">
      <c r="A533" s="11" t="s">
        <v>248</v>
      </c>
      <c r="B533" s="11" t="s">
        <v>1119</v>
      </c>
      <c r="C533" s="104" t="s">
        <v>1122</v>
      </c>
      <c r="D533" s="11" t="s">
        <v>1077</v>
      </c>
      <c r="E533" s="11">
        <v>2001.0</v>
      </c>
      <c r="F533" s="11">
        <v>7728.0</v>
      </c>
      <c r="G533" s="11" t="s">
        <v>188</v>
      </c>
      <c r="H533" s="11" t="s">
        <v>188</v>
      </c>
      <c r="I533" s="11" t="s">
        <v>555</v>
      </c>
      <c r="J533" s="11" t="s">
        <v>260</v>
      </c>
      <c r="K533" s="62" t="s">
        <v>438</v>
      </c>
    </row>
    <row r="534">
      <c r="A534" s="11" t="s">
        <v>248</v>
      </c>
      <c r="B534" s="11" t="s">
        <v>1119</v>
      </c>
      <c r="C534" s="104" t="s">
        <v>1122</v>
      </c>
      <c r="D534" s="11" t="s">
        <v>1077</v>
      </c>
      <c r="E534" s="11">
        <v>2002.0</v>
      </c>
      <c r="F534" s="11">
        <v>8202.0</v>
      </c>
      <c r="G534" s="11" t="s">
        <v>188</v>
      </c>
      <c r="H534" s="11" t="s">
        <v>188</v>
      </c>
      <c r="I534" s="11" t="s">
        <v>555</v>
      </c>
      <c r="J534" s="11" t="s">
        <v>260</v>
      </c>
      <c r="K534" s="62" t="s">
        <v>438</v>
      </c>
    </row>
    <row r="535">
      <c r="A535" s="11" t="s">
        <v>248</v>
      </c>
      <c r="B535" s="11" t="s">
        <v>1119</v>
      </c>
      <c r="C535" s="104" t="s">
        <v>1122</v>
      </c>
      <c r="D535" s="11" t="s">
        <v>1077</v>
      </c>
      <c r="E535" s="11">
        <v>2005.0</v>
      </c>
      <c r="F535" s="11">
        <v>10283.0</v>
      </c>
      <c r="G535" s="11" t="s">
        <v>188</v>
      </c>
      <c r="H535" s="11" t="s">
        <v>188</v>
      </c>
      <c r="I535" s="11" t="s">
        <v>555</v>
      </c>
      <c r="J535" s="11" t="s">
        <v>260</v>
      </c>
      <c r="K535" s="62" t="s">
        <v>438</v>
      </c>
    </row>
    <row r="536">
      <c r="A536" s="11" t="s">
        <v>248</v>
      </c>
      <c r="B536" s="11" t="s">
        <v>1119</v>
      </c>
      <c r="C536" s="104" t="s">
        <v>1122</v>
      </c>
      <c r="D536" s="11" t="s">
        <v>1077</v>
      </c>
      <c r="E536" s="11">
        <v>2006.0</v>
      </c>
      <c r="F536" s="11">
        <v>10096.0</v>
      </c>
      <c r="G536" s="11" t="s">
        <v>188</v>
      </c>
      <c r="H536" s="11" t="s">
        <v>188</v>
      </c>
      <c r="I536" s="11" t="s">
        <v>555</v>
      </c>
      <c r="J536" s="11" t="s">
        <v>260</v>
      </c>
      <c r="K536" s="62" t="s">
        <v>438</v>
      </c>
    </row>
    <row r="537">
      <c r="A537" s="11" t="s">
        <v>248</v>
      </c>
      <c r="B537" s="11" t="s">
        <v>1119</v>
      </c>
      <c r="C537" s="104" t="s">
        <v>1122</v>
      </c>
      <c r="D537" s="11" t="s">
        <v>1077</v>
      </c>
      <c r="E537" s="11">
        <v>2008.0</v>
      </c>
      <c r="F537" s="11">
        <v>10854.0</v>
      </c>
      <c r="G537" s="11" t="s">
        <v>188</v>
      </c>
      <c r="H537" s="11" t="s">
        <v>188</v>
      </c>
      <c r="I537" s="11" t="s">
        <v>555</v>
      </c>
      <c r="J537" s="11" t="s">
        <v>260</v>
      </c>
      <c r="K537" s="62" t="s">
        <v>438</v>
      </c>
    </row>
    <row r="538">
      <c r="A538" s="11" t="s">
        <v>248</v>
      </c>
      <c r="B538" s="11" t="s">
        <v>1119</v>
      </c>
      <c r="C538" s="104" t="s">
        <v>1122</v>
      </c>
      <c r="D538" s="11" t="s">
        <v>1077</v>
      </c>
      <c r="E538" s="11">
        <v>2009.0</v>
      </c>
      <c r="F538" s="11">
        <v>12083.0</v>
      </c>
      <c r="G538" s="11" t="s">
        <v>188</v>
      </c>
      <c r="H538" s="11" t="s">
        <v>188</v>
      </c>
      <c r="I538" s="11" t="s">
        <v>555</v>
      </c>
      <c r="J538" s="11" t="s">
        <v>260</v>
      </c>
      <c r="K538" s="62" t="s">
        <v>438</v>
      </c>
    </row>
    <row r="539">
      <c r="A539" s="11" t="s">
        <v>248</v>
      </c>
      <c r="B539" s="11" t="s">
        <v>1119</v>
      </c>
      <c r="C539" s="104" t="s">
        <v>1122</v>
      </c>
      <c r="D539" s="11" t="s">
        <v>1077</v>
      </c>
      <c r="E539" s="11">
        <v>2010.0</v>
      </c>
      <c r="F539" s="11">
        <v>13405.0</v>
      </c>
      <c r="G539" s="11" t="s">
        <v>188</v>
      </c>
      <c r="H539" s="11" t="s">
        <v>188</v>
      </c>
      <c r="I539" s="11" t="s">
        <v>555</v>
      </c>
      <c r="J539" s="11" t="s">
        <v>260</v>
      </c>
      <c r="K539" s="62" t="s">
        <v>438</v>
      </c>
    </row>
    <row r="540">
      <c r="A540" s="11" t="s">
        <v>248</v>
      </c>
      <c r="B540" s="11" t="s">
        <v>1119</v>
      </c>
      <c r="C540" s="104" t="s">
        <v>1122</v>
      </c>
      <c r="D540" s="11" t="s">
        <v>1077</v>
      </c>
      <c r="E540" s="11">
        <v>1961.0</v>
      </c>
      <c r="F540" s="11">
        <v>6238.0</v>
      </c>
      <c r="G540" s="11" t="s">
        <v>188</v>
      </c>
      <c r="H540" s="11" t="s">
        <v>188</v>
      </c>
      <c r="I540" s="11" t="s">
        <v>158</v>
      </c>
      <c r="J540" s="11" t="s">
        <v>260</v>
      </c>
      <c r="K540" s="62" t="s">
        <v>438</v>
      </c>
    </row>
    <row r="541">
      <c r="A541" s="11" t="s">
        <v>248</v>
      </c>
      <c r="B541" s="11" t="s">
        <v>1119</v>
      </c>
      <c r="C541" s="104" t="s">
        <v>1122</v>
      </c>
      <c r="D541" s="11" t="s">
        <v>1077</v>
      </c>
      <c r="E541" s="11">
        <v>1971.0</v>
      </c>
      <c r="F541" s="11">
        <v>8238.0</v>
      </c>
      <c r="G541" s="11" t="s">
        <v>188</v>
      </c>
      <c r="H541" s="11" t="s">
        <v>188</v>
      </c>
      <c r="I541" s="11" t="s">
        <v>158</v>
      </c>
      <c r="J541" s="11" t="s">
        <v>260</v>
      </c>
      <c r="K541" s="62" t="s">
        <v>438</v>
      </c>
    </row>
    <row r="542">
      <c r="A542" s="11" t="s">
        <v>248</v>
      </c>
      <c r="B542" s="11" t="s">
        <v>1119</v>
      </c>
      <c r="C542" s="104" t="s">
        <v>1122</v>
      </c>
      <c r="D542" s="11" t="s">
        <v>1077</v>
      </c>
      <c r="E542" s="11">
        <v>1973.0</v>
      </c>
      <c r="F542" s="11">
        <v>9562.0</v>
      </c>
      <c r="G542" s="11" t="s">
        <v>188</v>
      </c>
      <c r="H542" s="11" t="s">
        <v>188</v>
      </c>
      <c r="I542" s="11" t="s">
        <v>158</v>
      </c>
      <c r="J542" s="11" t="s">
        <v>260</v>
      </c>
      <c r="K542" s="62" t="s">
        <v>438</v>
      </c>
    </row>
    <row r="543">
      <c r="A543" s="11" t="s">
        <v>248</v>
      </c>
      <c r="B543" s="11" t="s">
        <v>1119</v>
      </c>
      <c r="C543" s="104" t="s">
        <v>1122</v>
      </c>
      <c r="D543" s="11" t="s">
        <v>1077</v>
      </c>
      <c r="E543" s="11">
        <v>1977.0</v>
      </c>
      <c r="F543" s="11">
        <v>9947.0</v>
      </c>
      <c r="G543" s="11" t="s">
        <v>188</v>
      </c>
      <c r="H543" s="11" t="s">
        <v>188</v>
      </c>
      <c r="I543" s="11" t="s">
        <v>158</v>
      </c>
      <c r="J543" s="11" t="s">
        <v>260</v>
      </c>
      <c r="K543" s="62" t="s">
        <v>438</v>
      </c>
    </row>
    <row r="544">
      <c r="A544" s="11" t="s">
        <v>248</v>
      </c>
      <c r="B544" s="11" t="s">
        <v>1119</v>
      </c>
      <c r="C544" s="104" t="s">
        <v>1122</v>
      </c>
      <c r="D544" s="11" t="s">
        <v>1077</v>
      </c>
      <c r="E544" s="11">
        <v>1979.0</v>
      </c>
      <c r="F544" s="11">
        <v>9668.0</v>
      </c>
      <c r="G544" s="11" t="s">
        <v>188</v>
      </c>
      <c r="H544" s="11" t="s">
        <v>188</v>
      </c>
      <c r="I544" s="11" t="s">
        <v>158</v>
      </c>
      <c r="J544" s="11" t="s">
        <v>260</v>
      </c>
      <c r="K544" s="62" t="s">
        <v>438</v>
      </c>
    </row>
    <row r="545">
      <c r="A545" s="11" t="s">
        <v>248</v>
      </c>
      <c r="B545" s="11" t="s">
        <v>1119</v>
      </c>
      <c r="C545" s="104" t="s">
        <v>1122</v>
      </c>
      <c r="D545" s="11" t="s">
        <v>1077</v>
      </c>
      <c r="E545" s="11">
        <v>1982.0</v>
      </c>
      <c r="F545" s="11">
        <v>10711.0</v>
      </c>
      <c r="G545" s="11" t="s">
        <v>188</v>
      </c>
      <c r="H545" s="11" t="s">
        <v>188</v>
      </c>
      <c r="I545" s="11" t="s">
        <v>158</v>
      </c>
      <c r="J545" s="11" t="s">
        <v>260</v>
      </c>
      <c r="K545" s="62" t="s">
        <v>438</v>
      </c>
    </row>
    <row r="546">
      <c r="A546" s="11" t="s">
        <v>248</v>
      </c>
      <c r="B546" s="11" t="s">
        <v>1119</v>
      </c>
      <c r="C546" s="104" t="s">
        <v>1122</v>
      </c>
      <c r="D546" s="11" t="s">
        <v>1077</v>
      </c>
      <c r="E546" s="11">
        <v>1987.0</v>
      </c>
      <c r="F546" s="11">
        <v>12513.0</v>
      </c>
      <c r="G546" s="11" t="s">
        <v>188</v>
      </c>
      <c r="H546" s="11" t="s">
        <v>188</v>
      </c>
      <c r="I546" s="11" t="s">
        <v>158</v>
      </c>
      <c r="J546" s="11" t="s">
        <v>260</v>
      </c>
      <c r="K546" s="62" t="s">
        <v>438</v>
      </c>
    </row>
    <row r="547">
      <c r="A547" s="11" t="s">
        <v>248</v>
      </c>
      <c r="B547" s="11" t="s">
        <v>1119</v>
      </c>
      <c r="C547" s="104" t="s">
        <v>1122</v>
      </c>
      <c r="D547" s="11" t="s">
        <v>1077</v>
      </c>
      <c r="E547" s="11">
        <v>1990.0</v>
      </c>
      <c r="F547" s="11">
        <v>13368.0</v>
      </c>
      <c r="G547" s="11" t="s">
        <v>188</v>
      </c>
      <c r="H547" s="11" t="s">
        <v>188</v>
      </c>
      <c r="I547" s="11" t="s">
        <v>158</v>
      </c>
      <c r="J547" s="11" t="s">
        <v>260</v>
      </c>
      <c r="K547" s="62" t="s">
        <v>438</v>
      </c>
    </row>
    <row r="548">
      <c r="A548" s="11" t="s">
        <v>248</v>
      </c>
      <c r="B548" s="11" t="s">
        <v>1119</v>
      </c>
      <c r="C548" s="104" t="s">
        <v>1122</v>
      </c>
      <c r="D548" s="11" t="s">
        <v>1077</v>
      </c>
      <c r="E548" s="11">
        <v>1991.0</v>
      </c>
      <c r="F548" s="11">
        <v>15634.0</v>
      </c>
      <c r="G548" s="11" t="s">
        <v>188</v>
      </c>
      <c r="H548" s="11" t="s">
        <v>188</v>
      </c>
      <c r="I548" s="11" t="s">
        <v>158</v>
      </c>
      <c r="J548" s="11" t="s">
        <v>260</v>
      </c>
      <c r="K548" s="62" t="s">
        <v>438</v>
      </c>
    </row>
    <row r="549">
      <c r="A549" s="11" t="s">
        <v>248</v>
      </c>
      <c r="B549" s="11" t="s">
        <v>1119</v>
      </c>
      <c r="C549" s="104" t="s">
        <v>1122</v>
      </c>
      <c r="D549" s="11" t="s">
        <v>1077</v>
      </c>
      <c r="E549" s="11">
        <v>1992.0</v>
      </c>
      <c r="F549" s="11">
        <v>15541.0</v>
      </c>
      <c r="G549" s="11" t="s">
        <v>188</v>
      </c>
      <c r="H549" s="11" t="s">
        <v>188</v>
      </c>
      <c r="I549" s="11" t="s">
        <v>158</v>
      </c>
      <c r="J549" s="11" t="s">
        <v>260</v>
      </c>
      <c r="K549" s="62" t="s">
        <v>438</v>
      </c>
    </row>
    <row r="550">
      <c r="A550" s="11" t="s">
        <v>248</v>
      </c>
      <c r="B550" s="11" t="s">
        <v>1119</v>
      </c>
      <c r="C550" s="104" t="s">
        <v>1122</v>
      </c>
      <c r="D550" s="11" t="s">
        <v>1077</v>
      </c>
      <c r="E550" s="11">
        <v>1994.0</v>
      </c>
      <c r="F550" s="11">
        <v>14885.0</v>
      </c>
      <c r="G550" s="11" t="s">
        <v>188</v>
      </c>
      <c r="H550" s="11" t="s">
        <v>188</v>
      </c>
      <c r="I550" s="11" t="s">
        <v>158</v>
      </c>
      <c r="J550" s="11" t="s">
        <v>260</v>
      </c>
      <c r="K550" s="62" t="s">
        <v>438</v>
      </c>
    </row>
    <row r="551">
      <c r="A551" s="11" t="s">
        <v>248</v>
      </c>
      <c r="B551" s="11" t="s">
        <v>1119</v>
      </c>
      <c r="C551" s="104" t="s">
        <v>1122</v>
      </c>
      <c r="D551" s="11" t="s">
        <v>1077</v>
      </c>
      <c r="E551" s="11">
        <v>1996.0</v>
      </c>
      <c r="F551" s="11">
        <v>15455.0</v>
      </c>
      <c r="G551" s="11" t="s">
        <v>188</v>
      </c>
      <c r="H551" s="11" t="s">
        <v>188</v>
      </c>
      <c r="I551" s="11" t="s">
        <v>158</v>
      </c>
      <c r="J551" s="11" t="s">
        <v>260</v>
      </c>
      <c r="K551" s="62" t="s">
        <v>438</v>
      </c>
    </row>
    <row r="552">
      <c r="A552" s="11" t="s">
        <v>248</v>
      </c>
      <c r="B552" s="11" t="s">
        <v>1119</v>
      </c>
      <c r="C552" s="104" t="s">
        <v>1122</v>
      </c>
      <c r="D552" s="11" t="s">
        <v>1077</v>
      </c>
      <c r="E552" s="11">
        <v>1997.0</v>
      </c>
      <c r="F552" s="11">
        <v>16589.0</v>
      </c>
      <c r="G552" s="11" t="s">
        <v>188</v>
      </c>
      <c r="H552" s="11" t="s">
        <v>188</v>
      </c>
      <c r="I552" s="11" t="s">
        <v>158</v>
      </c>
      <c r="J552" s="11" t="s">
        <v>260</v>
      </c>
      <c r="K552" s="62" t="s">
        <v>438</v>
      </c>
    </row>
    <row r="553">
      <c r="A553" s="11" t="s">
        <v>248</v>
      </c>
      <c r="B553" s="11" t="s">
        <v>1119</v>
      </c>
      <c r="C553" s="104" t="s">
        <v>1122</v>
      </c>
      <c r="D553" s="11" t="s">
        <v>1077</v>
      </c>
      <c r="E553" s="11">
        <v>1998.0</v>
      </c>
      <c r="F553" s="11">
        <v>17534.0</v>
      </c>
      <c r="G553" s="11" t="s">
        <v>188</v>
      </c>
      <c r="H553" s="11" t="s">
        <v>188</v>
      </c>
      <c r="I553" s="11" t="s">
        <v>158</v>
      </c>
      <c r="J553" s="11" t="s">
        <v>260</v>
      </c>
      <c r="K553" s="62" t="s">
        <v>438</v>
      </c>
    </row>
    <row r="554">
      <c r="A554" s="11" t="s">
        <v>248</v>
      </c>
      <c r="B554" s="11" t="s">
        <v>1119</v>
      </c>
      <c r="C554" s="104" t="s">
        <v>1122</v>
      </c>
      <c r="D554" s="11" t="s">
        <v>1077</v>
      </c>
      <c r="E554" s="11">
        <v>2000.0</v>
      </c>
      <c r="F554" s="11">
        <v>18764.0</v>
      </c>
      <c r="G554" s="11" t="s">
        <v>188</v>
      </c>
      <c r="H554" s="11" t="s">
        <v>188</v>
      </c>
      <c r="I554" s="11" t="s">
        <v>158</v>
      </c>
      <c r="J554" s="11" t="s">
        <v>260</v>
      </c>
      <c r="K554" s="62" t="s">
        <v>438</v>
      </c>
    </row>
    <row r="555">
      <c r="A555" s="11" t="s">
        <v>248</v>
      </c>
      <c r="B555" s="11" t="s">
        <v>1119</v>
      </c>
      <c r="C555" s="104" t="s">
        <v>1122</v>
      </c>
      <c r="D555" s="11" t="s">
        <v>1077</v>
      </c>
      <c r="E555" s="11">
        <v>2001.0</v>
      </c>
      <c r="F555" s="11">
        <v>20181.0</v>
      </c>
      <c r="G555" s="11" t="s">
        <v>188</v>
      </c>
      <c r="H555" s="11" t="s">
        <v>188</v>
      </c>
      <c r="I555" s="11" t="s">
        <v>158</v>
      </c>
      <c r="J555" s="11" t="s">
        <v>260</v>
      </c>
      <c r="K555" s="62" t="s">
        <v>438</v>
      </c>
    </row>
    <row r="556">
      <c r="A556" s="11" t="s">
        <v>248</v>
      </c>
      <c r="B556" s="11" t="s">
        <v>1119</v>
      </c>
      <c r="C556" s="104" t="s">
        <v>1122</v>
      </c>
      <c r="D556" s="11" t="s">
        <v>1077</v>
      </c>
      <c r="E556" s="11">
        <v>2002.0</v>
      </c>
      <c r="F556" s="11">
        <v>22164.0</v>
      </c>
      <c r="G556" s="11" t="s">
        <v>188</v>
      </c>
      <c r="H556" s="11" t="s">
        <v>188</v>
      </c>
      <c r="I556" s="11" t="s">
        <v>158</v>
      </c>
      <c r="J556" s="11" t="s">
        <v>260</v>
      </c>
      <c r="K556" s="62" t="s">
        <v>438</v>
      </c>
    </row>
    <row r="557">
      <c r="A557" s="11" t="s">
        <v>248</v>
      </c>
      <c r="B557" s="11" t="s">
        <v>1119</v>
      </c>
      <c r="C557" s="104" t="s">
        <v>1122</v>
      </c>
      <c r="D557" s="11" t="s">
        <v>1077</v>
      </c>
      <c r="E557" s="11">
        <v>2005.0</v>
      </c>
      <c r="F557" s="11">
        <v>27452.0</v>
      </c>
      <c r="G557" s="11" t="s">
        <v>188</v>
      </c>
      <c r="H557" s="11" t="s">
        <v>188</v>
      </c>
      <c r="I557" s="11" t="s">
        <v>158</v>
      </c>
      <c r="J557" s="11" t="s">
        <v>260</v>
      </c>
      <c r="K557" s="62" t="s">
        <v>438</v>
      </c>
    </row>
    <row r="558">
      <c r="A558" s="11" t="s">
        <v>248</v>
      </c>
      <c r="B558" s="11" t="s">
        <v>1119</v>
      </c>
      <c r="C558" s="104" t="s">
        <v>1122</v>
      </c>
      <c r="D558" s="11" t="s">
        <v>1077</v>
      </c>
      <c r="E558" s="11">
        <v>2006.0</v>
      </c>
      <c r="F558" s="11">
        <v>26134.0</v>
      </c>
      <c r="G558" s="11" t="s">
        <v>188</v>
      </c>
      <c r="H558" s="11" t="s">
        <v>188</v>
      </c>
      <c r="I558" s="11" t="s">
        <v>158</v>
      </c>
      <c r="J558" s="11" t="s">
        <v>260</v>
      </c>
      <c r="K558" s="62" t="s">
        <v>438</v>
      </c>
    </row>
    <row r="559">
      <c r="A559" s="11" t="s">
        <v>248</v>
      </c>
      <c r="B559" s="11" t="s">
        <v>1119</v>
      </c>
      <c r="C559" s="104" t="s">
        <v>1122</v>
      </c>
      <c r="D559" s="11" t="s">
        <v>1077</v>
      </c>
      <c r="E559" s="11">
        <v>2008.0</v>
      </c>
      <c r="F559" s="11">
        <v>24628.0</v>
      </c>
      <c r="G559" s="11" t="s">
        <v>188</v>
      </c>
      <c r="H559" s="11" t="s">
        <v>188</v>
      </c>
      <c r="I559" s="11" t="s">
        <v>158</v>
      </c>
      <c r="J559" s="11" t="s">
        <v>260</v>
      </c>
      <c r="K559" s="62" t="s">
        <v>438</v>
      </c>
    </row>
    <row r="560">
      <c r="A560" s="11" t="s">
        <v>248</v>
      </c>
      <c r="B560" s="11" t="s">
        <v>1119</v>
      </c>
      <c r="C560" s="104" t="s">
        <v>1122</v>
      </c>
      <c r="D560" s="11" t="s">
        <v>1077</v>
      </c>
      <c r="E560" s="11">
        <v>2009.0</v>
      </c>
      <c r="F560" s="11">
        <v>30007.0</v>
      </c>
      <c r="G560" s="11" t="s">
        <v>188</v>
      </c>
      <c r="H560" s="11" t="s">
        <v>188</v>
      </c>
      <c r="I560" s="11" t="s">
        <v>158</v>
      </c>
      <c r="J560" s="11" t="s">
        <v>260</v>
      </c>
      <c r="K560" s="62" t="s">
        <v>438</v>
      </c>
    </row>
    <row r="561">
      <c r="A561" s="11" t="s">
        <v>248</v>
      </c>
      <c r="B561" s="11" t="s">
        <v>1119</v>
      </c>
      <c r="C561" s="104" t="s">
        <v>1122</v>
      </c>
      <c r="D561" s="11" t="s">
        <v>1077</v>
      </c>
      <c r="E561" s="11">
        <v>2010.0</v>
      </c>
      <c r="F561" s="11">
        <v>30858.0</v>
      </c>
      <c r="G561" s="11" t="s">
        <v>188</v>
      </c>
      <c r="H561" s="11" t="s">
        <v>188</v>
      </c>
      <c r="I561" s="11" t="s">
        <v>158</v>
      </c>
      <c r="J561" s="11" t="s">
        <v>260</v>
      </c>
      <c r="K561" s="62" t="s">
        <v>438</v>
      </c>
    </row>
    <row r="562">
      <c r="A562" s="11" t="s">
        <v>1123</v>
      </c>
      <c r="B562" s="11" t="s">
        <v>1124</v>
      </c>
      <c r="C562" s="104" t="s">
        <v>1125</v>
      </c>
      <c r="D562" s="11" t="s">
        <v>1126</v>
      </c>
      <c r="E562" s="11">
        <v>1998.0</v>
      </c>
      <c r="F562" s="11">
        <v>126.0</v>
      </c>
      <c r="G562" s="11">
        <v>104.0</v>
      </c>
      <c r="H562" s="11">
        <v>148.0</v>
      </c>
      <c r="I562" s="11" t="s">
        <v>158</v>
      </c>
      <c r="J562" s="11" t="s">
        <v>260</v>
      </c>
      <c r="K562" s="11" t="s">
        <v>450</v>
      </c>
      <c r="L562" s="11" t="s">
        <v>1127</v>
      </c>
    </row>
    <row r="563">
      <c r="A563" s="11" t="s">
        <v>1123</v>
      </c>
      <c r="B563" s="11" t="s">
        <v>1124</v>
      </c>
      <c r="C563" s="104" t="s">
        <v>1125</v>
      </c>
      <c r="D563" s="11" t="s">
        <v>1126</v>
      </c>
      <c r="E563" s="11">
        <v>1999.0</v>
      </c>
      <c r="F563" s="11">
        <v>145.0</v>
      </c>
      <c r="G563" s="11">
        <v>116.0</v>
      </c>
      <c r="H563" s="11">
        <v>175.0</v>
      </c>
      <c r="I563" s="11" t="s">
        <v>158</v>
      </c>
      <c r="J563" s="11" t="s">
        <v>260</v>
      </c>
      <c r="K563" s="11" t="s">
        <v>450</v>
      </c>
    </row>
    <row r="564">
      <c r="A564" s="11" t="s">
        <v>1123</v>
      </c>
      <c r="B564" s="11" t="s">
        <v>1124</v>
      </c>
      <c r="C564" s="104" t="s">
        <v>1125</v>
      </c>
      <c r="D564" s="11" t="s">
        <v>1126</v>
      </c>
      <c r="E564" s="11">
        <v>2000.0</v>
      </c>
      <c r="F564" s="11">
        <v>146.0</v>
      </c>
      <c r="G564" s="11">
        <v>117.0</v>
      </c>
      <c r="H564" s="11">
        <v>175.0</v>
      </c>
      <c r="I564" s="11" t="s">
        <v>158</v>
      </c>
      <c r="J564" s="11" t="s">
        <v>260</v>
      </c>
      <c r="K564" s="11" t="s">
        <v>450</v>
      </c>
    </row>
    <row r="565">
      <c r="A565" s="11" t="s">
        <v>1123</v>
      </c>
      <c r="B565" s="11" t="s">
        <v>1124</v>
      </c>
      <c r="C565" s="104" t="s">
        <v>1125</v>
      </c>
      <c r="D565" s="11" t="s">
        <v>1126</v>
      </c>
      <c r="E565" s="11">
        <v>2001.0</v>
      </c>
      <c r="F565" s="11">
        <v>178.0</v>
      </c>
      <c r="G565" s="11">
        <v>151.0</v>
      </c>
      <c r="H565" s="11">
        <v>205.0</v>
      </c>
      <c r="I565" s="11" t="s">
        <v>158</v>
      </c>
      <c r="J565" s="11" t="s">
        <v>260</v>
      </c>
      <c r="K565" s="11" t="s">
        <v>450</v>
      </c>
    </row>
    <row r="566">
      <c r="A566" s="11" t="s">
        <v>1123</v>
      </c>
      <c r="B566" s="11" t="s">
        <v>1124</v>
      </c>
      <c r="C566" s="104" t="s">
        <v>1125</v>
      </c>
      <c r="D566" s="11" t="s">
        <v>1126</v>
      </c>
      <c r="E566" s="11">
        <v>2002.0</v>
      </c>
      <c r="F566" s="11">
        <v>198.0</v>
      </c>
      <c r="G566" s="11">
        <v>169.0</v>
      </c>
      <c r="H566" s="11">
        <v>225.0</v>
      </c>
      <c r="I566" s="11" t="s">
        <v>158</v>
      </c>
      <c r="J566" s="11" t="s">
        <v>260</v>
      </c>
      <c r="K566" s="11" t="s">
        <v>450</v>
      </c>
    </row>
    <row r="567">
      <c r="A567" s="11" t="s">
        <v>1123</v>
      </c>
      <c r="B567" s="11" t="s">
        <v>1124</v>
      </c>
      <c r="C567" s="104" t="s">
        <v>1125</v>
      </c>
      <c r="D567" s="11" t="s">
        <v>1126</v>
      </c>
      <c r="E567" s="11">
        <v>2003.0</v>
      </c>
      <c r="F567" s="11">
        <v>207.0</v>
      </c>
      <c r="G567" s="11">
        <v>173.0</v>
      </c>
      <c r="H567" s="11">
        <v>242.0</v>
      </c>
      <c r="I567" s="11" t="s">
        <v>158</v>
      </c>
      <c r="J567" s="11" t="s">
        <v>260</v>
      </c>
      <c r="K567" s="11" t="s">
        <v>450</v>
      </c>
    </row>
    <row r="568">
      <c r="A568" s="11" t="s">
        <v>1123</v>
      </c>
      <c r="B568" s="11" t="s">
        <v>1124</v>
      </c>
      <c r="C568" s="104" t="s">
        <v>1125</v>
      </c>
      <c r="D568" s="11" t="s">
        <v>1126</v>
      </c>
      <c r="E568" s="11">
        <v>2004.0</v>
      </c>
      <c r="F568" s="11">
        <v>217.0</v>
      </c>
      <c r="G568" s="11">
        <v>184.0</v>
      </c>
      <c r="H568" s="11">
        <v>250.0</v>
      </c>
      <c r="I568" s="11" t="s">
        <v>158</v>
      </c>
      <c r="J568" s="11" t="s">
        <v>260</v>
      </c>
      <c r="K568" s="11" t="s">
        <v>450</v>
      </c>
    </row>
    <row r="569">
      <c r="A569" s="11" t="s">
        <v>1123</v>
      </c>
      <c r="B569" s="11" t="s">
        <v>1124</v>
      </c>
      <c r="C569" s="104" t="s">
        <v>1125</v>
      </c>
      <c r="D569" s="11" t="s">
        <v>1126</v>
      </c>
      <c r="E569" s="11">
        <v>2005.0</v>
      </c>
      <c r="F569" s="11">
        <v>216.0</v>
      </c>
      <c r="G569" s="11">
        <v>163.0</v>
      </c>
      <c r="H569" s="11">
        <v>268.0</v>
      </c>
      <c r="I569" s="11" t="s">
        <v>158</v>
      </c>
      <c r="J569" s="11" t="s">
        <v>260</v>
      </c>
      <c r="K569" s="11" t="s">
        <v>450</v>
      </c>
    </row>
    <row r="570">
      <c r="A570" s="11" t="s">
        <v>1123</v>
      </c>
      <c r="B570" s="11" t="s">
        <v>1124</v>
      </c>
      <c r="C570" s="104" t="s">
        <v>1125</v>
      </c>
      <c r="D570" s="11" t="s">
        <v>1126</v>
      </c>
      <c r="E570" s="11">
        <v>2006.0</v>
      </c>
      <c r="F570" s="11">
        <v>197.0</v>
      </c>
      <c r="G570" s="11">
        <v>155.0</v>
      </c>
      <c r="H570" s="11">
        <v>240.0</v>
      </c>
      <c r="I570" s="11" t="s">
        <v>158</v>
      </c>
      <c r="J570" s="11" t="s">
        <v>260</v>
      </c>
      <c r="K570" s="11" t="s">
        <v>450</v>
      </c>
    </row>
    <row r="571">
      <c r="A571" s="11" t="s">
        <v>1123</v>
      </c>
      <c r="B571" s="11" t="s">
        <v>1124</v>
      </c>
      <c r="C571" s="104" t="s">
        <v>1125</v>
      </c>
      <c r="D571" s="11" t="s">
        <v>1126</v>
      </c>
      <c r="E571" s="11">
        <v>2007.0</v>
      </c>
      <c r="F571" s="11">
        <v>192.0</v>
      </c>
      <c r="G571" s="11">
        <v>141.0</v>
      </c>
      <c r="H571" s="11">
        <v>244.0</v>
      </c>
      <c r="I571" s="11" t="s">
        <v>158</v>
      </c>
      <c r="J571" s="11" t="s">
        <v>260</v>
      </c>
      <c r="K571" s="11" t="s">
        <v>450</v>
      </c>
    </row>
    <row r="572">
      <c r="A572" s="11" t="s">
        <v>1123</v>
      </c>
      <c r="B572" s="11" t="s">
        <v>1124</v>
      </c>
      <c r="C572" s="104" t="s">
        <v>1125</v>
      </c>
      <c r="D572" s="11" t="s">
        <v>1126</v>
      </c>
      <c r="E572" s="11">
        <v>2008.0</v>
      </c>
      <c r="F572" s="11">
        <v>210.0</v>
      </c>
      <c r="G572" s="11">
        <v>174.0</v>
      </c>
      <c r="H572" s="11">
        <v>248.0</v>
      </c>
      <c r="I572" s="11" t="s">
        <v>158</v>
      </c>
      <c r="J572" s="11" t="s">
        <v>260</v>
      </c>
      <c r="K572" s="11" t="s">
        <v>450</v>
      </c>
    </row>
    <row r="573">
      <c r="A573" s="11" t="s">
        <v>1123</v>
      </c>
      <c r="B573" s="11" t="s">
        <v>1124</v>
      </c>
      <c r="C573" s="104" t="s">
        <v>1125</v>
      </c>
      <c r="D573" s="11" t="s">
        <v>1126</v>
      </c>
      <c r="E573" s="11">
        <v>2009.0</v>
      </c>
      <c r="F573" s="11">
        <v>208.0</v>
      </c>
      <c r="G573" s="11">
        <v>166.0</v>
      </c>
      <c r="H573" s="11">
        <v>251.0</v>
      </c>
      <c r="I573" s="11" t="s">
        <v>158</v>
      </c>
      <c r="J573" s="11" t="s">
        <v>260</v>
      </c>
      <c r="K573" s="11" t="s">
        <v>450</v>
      </c>
    </row>
    <row r="574">
      <c r="A574" s="11" t="s">
        <v>1123</v>
      </c>
      <c r="B574" s="11" t="s">
        <v>1124</v>
      </c>
      <c r="C574" s="104" t="s">
        <v>1125</v>
      </c>
      <c r="D574" s="11" t="s">
        <v>1126</v>
      </c>
      <c r="E574" s="11">
        <v>2010.0</v>
      </c>
      <c r="F574" s="11">
        <v>200.0</v>
      </c>
      <c r="G574" s="11">
        <v>163.0</v>
      </c>
      <c r="H574" s="11">
        <v>238.0</v>
      </c>
      <c r="I574" s="11" t="s">
        <v>158</v>
      </c>
      <c r="J574" s="11" t="s">
        <v>260</v>
      </c>
      <c r="K574" s="11" t="s">
        <v>450</v>
      </c>
    </row>
    <row r="575">
      <c r="A575" s="11" t="s">
        <v>1123</v>
      </c>
      <c r="B575" s="11" t="s">
        <v>1124</v>
      </c>
      <c r="C575" s="104" t="s">
        <v>1125</v>
      </c>
      <c r="D575" s="11" t="s">
        <v>1126</v>
      </c>
      <c r="E575" s="11">
        <v>2011.0</v>
      </c>
      <c r="F575" s="11">
        <v>205.0</v>
      </c>
      <c r="G575" s="11">
        <v>174.0</v>
      </c>
      <c r="H575" s="11">
        <v>238.0</v>
      </c>
      <c r="I575" s="11" t="s">
        <v>158</v>
      </c>
      <c r="J575" s="11" t="s">
        <v>260</v>
      </c>
      <c r="K575" s="11" t="s">
        <v>450</v>
      </c>
    </row>
    <row r="576">
      <c r="A576" s="11" t="s">
        <v>1123</v>
      </c>
      <c r="B576" s="11" t="s">
        <v>1124</v>
      </c>
      <c r="C576" s="104" t="s">
        <v>1125</v>
      </c>
      <c r="D576" s="11" t="s">
        <v>1126</v>
      </c>
      <c r="E576" s="11">
        <v>2012.0</v>
      </c>
      <c r="F576" s="11">
        <v>218.0</v>
      </c>
      <c r="G576" s="11">
        <v>195.0</v>
      </c>
      <c r="H576" s="11">
        <v>240.0</v>
      </c>
      <c r="I576" s="11" t="s">
        <v>158</v>
      </c>
      <c r="J576" s="11" t="s">
        <v>260</v>
      </c>
      <c r="K576" s="11" t="s">
        <v>450</v>
      </c>
    </row>
    <row r="577">
      <c r="A577" s="11" t="s">
        <v>1123</v>
      </c>
      <c r="B577" s="11" t="s">
        <v>1124</v>
      </c>
      <c r="C577" s="104" t="s">
        <v>1125</v>
      </c>
      <c r="D577" s="11" t="s">
        <v>1126</v>
      </c>
      <c r="E577" s="11">
        <v>2013.0</v>
      </c>
      <c r="F577" s="11">
        <v>236.0</v>
      </c>
      <c r="G577" s="11">
        <v>208.0</v>
      </c>
      <c r="H577" s="11">
        <v>264.0</v>
      </c>
      <c r="I577" s="11" t="s">
        <v>158</v>
      </c>
      <c r="J577" s="11" t="s">
        <v>260</v>
      </c>
      <c r="K577" s="11" t="s">
        <v>450</v>
      </c>
    </row>
    <row r="578">
      <c r="A578" s="11" t="s">
        <v>1123</v>
      </c>
      <c r="B578" s="11" t="s">
        <v>1124</v>
      </c>
      <c r="C578" s="104" t="s">
        <v>1125</v>
      </c>
      <c r="D578" s="11" t="s">
        <v>1126</v>
      </c>
      <c r="E578" s="11">
        <v>2014.0</v>
      </c>
      <c r="F578" s="11">
        <v>238.0</v>
      </c>
      <c r="G578" s="11">
        <v>200.0</v>
      </c>
      <c r="H578" s="11">
        <v>276.0</v>
      </c>
      <c r="I578" s="11" t="s">
        <v>158</v>
      </c>
      <c r="J578" s="11" t="s">
        <v>260</v>
      </c>
      <c r="K578" s="11" t="s">
        <v>450</v>
      </c>
    </row>
    <row r="579">
      <c r="A579" s="11" t="s">
        <v>1123</v>
      </c>
      <c r="B579" s="11" t="s">
        <v>1124</v>
      </c>
      <c r="C579" s="104" t="s">
        <v>1125</v>
      </c>
      <c r="D579" s="11" t="s">
        <v>1126</v>
      </c>
      <c r="E579" s="11">
        <v>2015.0</v>
      </c>
      <c r="F579" s="11">
        <v>244.0</v>
      </c>
      <c r="G579" s="11">
        <v>207.0</v>
      </c>
      <c r="H579" s="11">
        <v>282.0</v>
      </c>
      <c r="I579" s="11" t="s">
        <v>158</v>
      </c>
      <c r="J579" s="11" t="s">
        <v>260</v>
      </c>
      <c r="K579" s="11" t="s">
        <v>450</v>
      </c>
    </row>
    <row r="580">
      <c r="A580" s="11" t="s">
        <v>1123</v>
      </c>
      <c r="B580" s="11" t="s">
        <v>1132</v>
      </c>
      <c r="C580" s="104" t="s">
        <v>1125</v>
      </c>
      <c r="D580" s="11" t="s">
        <v>1133</v>
      </c>
      <c r="E580" s="11">
        <v>1995.0</v>
      </c>
      <c r="F580" s="11">
        <v>69.0</v>
      </c>
      <c r="G580" s="11">
        <v>61.0</v>
      </c>
      <c r="H580" s="11">
        <v>77.0</v>
      </c>
      <c r="I580" s="11" t="s">
        <v>158</v>
      </c>
      <c r="J580" s="11" t="s">
        <v>260</v>
      </c>
      <c r="K580" s="11" t="s">
        <v>450</v>
      </c>
    </row>
    <row r="581">
      <c r="A581" s="11" t="s">
        <v>1123</v>
      </c>
      <c r="B581" s="11" t="s">
        <v>1132</v>
      </c>
      <c r="C581" s="104" t="s">
        <v>1125</v>
      </c>
      <c r="D581" s="11" t="s">
        <v>1133</v>
      </c>
      <c r="E581" s="11">
        <v>1996.0</v>
      </c>
      <c r="F581" s="11">
        <v>71.0</v>
      </c>
      <c r="G581" s="11">
        <v>64.0</v>
      </c>
      <c r="H581" s="11">
        <v>78.0</v>
      </c>
      <c r="I581" s="11" t="s">
        <v>158</v>
      </c>
      <c r="J581" s="11" t="s">
        <v>260</v>
      </c>
      <c r="K581" s="11" t="s">
        <v>450</v>
      </c>
    </row>
    <row r="582">
      <c r="A582" s="11" t="s">
        <v>1123</v>
      </c>
      <c r="B582" s="11" t="s">
        <v>1132</v>
      </c>
      <c r="C582" s="104" t="s">
        <v>1125</v>
      </c>
      <c r="D582" s="11" t="s">
        <v>1133</v>
      </c>
      <c r="E582" s="11">
        <v>1997.0</v>
      </c>
      <c r="F582" s="11">
        <v>76.0</v>
      </c>
      <c r="G582" s="11">
        <v>71.0</v>
      </c>
      <c r="H582" s="11">
        <v>82.0</v>
      </c>
      <c r="I582" s="11" t="s">
        <v>158</v>
      </c>
      <c r="J582" s="11" t="s">
        <v>260</v>
      </c>
      <c r="K582" s="11" t="s">
        <v>450</v>
      </c>
    </row>
    <row r="583">
      <c r="A583" s="11" t="s">
        <v>1123</v>
      </c>
      <c r="B583" s="11" t="s">
        <v>1132</v>
      </c>
      <c r="C583" s="104" t="s">
        <v>1125</v>
      </c>
      <c r="D583" s="11" t="s">
        <v>1133</v>
      </c>
      <c r="E583" s="11">
        <v>1998.0</v>
      </c>
      <c r="F583" s="11">
        <v>78.0</v>
      </c>
      <c r="G583" s="11">
        <v>73.0</v>
      </c>
      <c r="H583" s="11">
        <v>84.0</v>
      </c>
      <c r="I583" s="11" t="s">
        <v>158</v>
      </c>
      <c r="J583" s="11" t="s">
        <v>260</v>
      </c>
      <c r="K583" s="11" t="s">
        <v>450</v>
      </c>
    </row>
    <row r="584">
      <c r="A584" s="11" t="s">
        <v>1123</v>
      </c>
      <c r="B584" s="11" t="s">
        <v>1132</v>
      </c>
      <c r="C584" s="104" t="s">
        <v>1125</v>
      </c>
      <c r="D584" s="11" t="s">
        <v>1133</v>
      </c>
      <c r="E584" s="11">
        <v>1999.0</v>
      </c>
      <c r="F584" s="11">
        <v>88.0</v>
      </c>
      <c r="G584" s="11">
        <v>83.0</v>
      </c>
      <c r="H584" s="11">
        <v>92.0</v>
      </c>
      <c r="I584" s="11" t="s">
        <v>158</v>
      </c>
      <c r="J584" s="11" t="s">
        <v>260</v>
      </c>
      <c r="K584" s="11" t="s">
        <v>450</v>
      </c>
    </row>
    <row r="585">
      <c r="A585" s="11" t="s">
        <v>1123</v>
      </c>
      <c r="B585" s="11" t="s">
        <v>1132</v>
      </c>
      <c r="C585" s="104" t="s">
        <v>1125</v>
      </c>
      <c r="D585" s="11" t="s">
        <v>1133</v>
      </c>
      <c r="E585" s="11">
        <v>2000.0</v>
      </c>
      <c r="F585" s="11">
        <v>88.0</v>
      </c>
      <c r="G585" s="11">
        <v>81.0</v>
      </c>
      <c r="H585" s="11">
        <v>94.0</v>
      </c>
      <c r="I585" s="11" t="s">
        <v>158</v>
      </c>
      <c r="J585" s="11" t="s">
        <v>260</v>
      </c>
      <c r="K585" s="11" t="s">
        <v>450</v>
      </c>
    </row>
    <row r="586">
      <c r="A586" s="11" t="s">
        <v>1123</v>
      </c>
      <c r="B586" s="11" t="s">
        <v>1132</v>
      </c>
      <c r="C586" s="104" t="s">
        <v>1125</v>
      </c>
      <c r="D586" s="11" t="s">
        <v>1133</v>
      </c>
      <c r="E586" s="11">
        <v>2001.0</v>
      </c>
      <c r="F586" s="11">
        <v>92.0</v>
      </c>
      <c r="G586" s="11">
        <v>89.0</v>
      </c>
      <c r="H586" s="11">
        <v>96.0</v>
      </c>
      <c r="I586" s="11" t="s">
        <v>158</v>
      </c>
      <c r="J586" s="11" t="s">
        <v>260</v>
      </c>
      <c r="K586" s="11" t="s">
        <v>450</v>
      </c>
    </row>
    <row r="587">
      <c r="A587" s="11" t="s">
        <v>1123</v>
      </c>
      <c r="B587" s="11" t="s">
        <v>1132</v>
      </c>
      <c r="C587" s="104" t="s">
        <v>1125</v>
      </c>
      <c r="D587" s="11" t="s">
        <v>1133</v>
      </c>
      <c r="E587" s="11">
        <v>2002.0</v>
      </c>
      <c r="F587" s="11">
        <v>97.0</v>
      </c>
      <c r="G587" s="11">
        <v>94.0</v>
      </c>
      <c r="H587" s="11">
        <v>101.0</v>
      </c>
      <c r="I587" s="11" t="s">
        <v>158</v>
      </c>
      <c r="J587" s="11" t="s">
        <v>260</v>
      </c>
      <c r="K587" s="11" t="s">
        <v>450</v>
      </c>
    </row>
    <row r="588">
      <c r="A588" s="11" t="s">
        <v>1123</v>
      </c>
      <c r="B588" s="11" t="s">
        <v>1132</v>
      </c>
      <c r="C588" s="104" t="s">
        <v>1125</v>
      </c>
      <c r="D588" s="11" t="s">
        <v>1133</v>
      </c>
      <c r="E588" s="11">
        <v>2003.0</v>
      </c>
      <c r="F588" s="11">
        <v>105.0</v>
      </c>
      <c r="G588" s="11">
        <v>101.0</v>
      </c>
      <c r="H588" s="11">
        <v>109.0</v>
      </c>
      <c r="I588" s="11" t="s">
        <v>158</v>
      </c>
      <c r="J588" s="11" t="s">
        <v>260</v>
      </c>
      <c r="K588" s="11" t="s">
        <v>450</v>
      </c>
    </row>
    <row r="589">
      <c r="A589" s="11" t="s">
        <v>1123</v>
      </c>
      <c r="B589" s="11" t="s">
        <v>1132</v>
      </c>
      <c r="C589" s="104" t="s">
        <v>1125</v>
      </c>
      <c r="D589" s="11" t="s">
        <v>1133</v>
      </c>
      <c r="E589" s="11">
        <v>2004.0</v>
      </c>
      <c r="F589" s="11">
        <v>115.0</v>
      </c>
      <c r="G589" s="11">
        <v>111.0</v>
      </c>
      <c r="H589" s="11">
        <v>119.0</v>
      </c>
      <c r="I589" s="11" t="s">
        <v>158</v>
      </c>
      <c r="J589" s="11" t="s">
        <v>260</v>
      </c>
      <c r="K589" s="11" t="s">
        <v>450</v>
      </c>
    </row>
    <row r="590">
      <c r="A590" s="11" t="s">
        <v>1123</v>
      </c>
      <c r="B590" s="11" t="s">
        <v>1132</v>
      </c>
      <c r="C590" s="104" t="s">
        <v>1125</v>
      </c>
      <c r="D590" s="11" t="s">
        <v>1133</v>
      </c>
      <c r="E590" s="11">
        <v>2005.0</v>
      </c>
      <c r="F590" s="11">
        <v>120.0</v>
      </c>
      <c r="G590" s="11">
        <v>116.0</v>
      </c>
      <c r="H590" s="11">
        <v>125.0</v>
      </c>
      <c r="I590" s="11" t="s">
        <v>158</v>
      </c>
      <c r="J590" s="11" t="s">
        <v>260</v>
      </c>
      <c r="K590" s="11" t="s">
        <v>450</v>
      </c>
    </row>
    <row r="591">
      <c r="A591" s="11" t="s">
        <v>1123</v>
      </c>
      <c r="B591" s="11" t="s">
        <v>1132</v>
      </c>
      <c r="C591" s="104" t="s">
        <v>1125</v>
      </c>
      <c r="D591" s="11" t="s">
        <v>1133</v>
      </c>
      <c r="E591" s="11">
        <v>2006.0</v>
      </c>
      <c r="F591" s="11">
        <v>126.0</v>
      </c>
      <c r="G591" s="11">
        <v>121.0</v>
      </c>
      <c r="H591" s="11">
        <v>131.0</v>
      </c>
      <c r="I591" s="11" t="s">
        <v>158</v>
      </c>
      <c r="J591" s="11" t="s">
        <v>260</v>
      </c>
      <c r="K591" s="11" t="s">
        <v>450</v>
      </c>
    </row>
    <row r="592">
      <c r="A592" s="11" t="s">
        <v>1123</v>
      </c>
      <c r="B592" s="11" t="s">
        <v>1132</v>
      </c>
      <c r="C592" s="104" t="s">
        <v>1125</v>
      </c>
      <c r="D592" s="11" t="s">
        <v>1133</v>
      </c>
      <c r="E592" s="11">
        <v>2007.0</v>
      </c>
      <c r="F592" s="11">
        <v>128.0</v>
      </c>
      <c r="G592" s="11">
        <v>123.0</v>
      </c>
      <c r="H592" s="11">
        <v>133.0</v>
      </c>
      <c r="I592" s="11" t="s">
        <v>158</v>
      </c>
      <c r="J592" s="11" t="s">
        <v>260</v>
      </c>
      <c r="K592" s="11" t="s">
        <v>450</v>
      </c>
    </row>
    <row r="593">
      <c r="A593" s="11" t="s">
        <v>1123</v>
      </c>
      <c r="B593" s="11" t="s">
        <v>1132</v>
      </c>
      <c r="C593" s="104" t="s">
        <v>1125</v>
      </c>
      <c r="D593" s="11" t="s">
        <v>1133</v>
      </c>
      <c r="E593" s="11">
        <v>2008.0</v>
      </c>
      <c r="F593" s="11">
        <v>129.0</v>
      </c>
      <c r="G593" s="11">
        <v>123.0</v>
      </c>
      <c r="H593" s="11">
        <v>134.0</v>
      </c>
      <c r="I593" s="11" t="s">
        <v>158</v>
      </c>
      <c r="J593" s="11" t="s">
        <v>260</v>
      </c>
      <c r="K593" s="11" t="s">
        <v>450</v>
      </c>
    </row>
    <row r="594">
      <c r="A594" s="11" t="s">
        <v>1123</v>
      </c>
      <c r="B594" s="11" t="s">
        <v>1132</v>
      </c>
      <c r="C594" s="104" t="s">
        <v>1125</v>
      </c>
      <c r="D594" s="11" t="s">
        <v>1133</v>
      </c>
      <c r="E594" s="11">
        <v>2009.0</v>
      </c>
      <c r="F594" s="11">
        <v>131.0</v>
      </c>
      <c r="G594" s="11">
        <v>125.0</v>
      </c>
      <c r="H594" s="11">
        <v>137.0</v>
      </c>
      <c r="I594" s="11" t="s">
        <v>158</v>
      </c>
      <c r="J594" s="11" t="s">
        <v>260</v>
      </c>
      <c r="K594" s="11" t="s">
        <v>450</v>
      </c>
    </row>
    <row r="595">
      <c r="A595" s="11" t="s">
        <v>1123</v>
      </c>
      <c r="B595" s="11" t="s">
        <v>1132</v>
      </c>
      <c r="C595" s="104" t="s">
        <v>1125</v>
      </c>
      <c r="D595" s="11" t="s">
        <v>1133</v>
      </c>
      <c r="E595" s="11">
        <v>2010.0</v>
      </c>
      <c r="F595" s="11">
        <v>137.0</v>
      </c>
      <c r="G595" s="11">
        <v>129.0</v>
      </c>
      <c r="H595" s="11">
        <v>145.0</v>
      </c>
      <c r="I595" s="11" t="s">
        <v>158</v>
      </c>
      <c r="J595" s="11" t="s">
        <v>260</v>
      </c>
      <c r="K595" s="11" t="s">
        <v>450</v>
      </c>
    </row>
    <row r="596">
      <c r="A596" s="11" t="s">
        <v>1123</v>
      </c>
      <c r="B596" s="11" t="s">
        <v>1132</v>
      </c>
      <c r="C596" s="104" t="s">
        <v>1125</v>
      </c>
      <c r="D596" s="11" t="s">
        <v>1133</v>
      </c>
      <c r="E596" s="11">
        <v>2011.0</v>
      </c>
      <c r="F596" s="11">
        <v>141.0</v>
      </c>
      <c r="G596" s="11">
        <v>134.0</v>
      </c>
      <c r="H596" s="11">
        <v>148.0</v>
      </c>
      <c r="I596" s="11" t="s">
        <v>158</v>
      </c>
      <c r="J596" s="11" t="s">
        <v>260</v>
      </c>
      <c r="K596" s="11" t="s">
        <v>450</v>
      </c>
    </row>
    <row r="597">
      <c r="A597" s="11" t="s">
        <v>1123</v>
      </c>
      <c r="B597" s="11" t="s">
        <v>1132</v>
      </c>
      <c r="C597" s="104" t="s">
        <v>1125</v>
      </c>
      <c r="D597" s="11" t="s">
        <v>1133</v>
      </c>
      <c r="E597" s="11">
        <v>2012.0</v>
      </c>
      <c r="F597" s="11">
        <v>152.0</v>
      </c>
      <c r="G597" s="11">
        <v>144.0</v>
      </c>
      <c r="H597" s="11">
        <v>161.0</v>
      </c>
      <c r="I597" s="11" t="s">
        <v>158</v>
      </c>
      <c r="J597" s="11" t="s">
        <v>260</v>
      </c>
      <c r="K597" s="11" t="s">
        <v>450</v>
      </c>
    </row>
    <row r="598">
      <c r="A598" s="11" t="s">
        <v>1123</v>
      </c>
      <c r="B598" s="11" t="s">
        <v>1132</v>
      </c>
      <c r="C598" s="104" t="s">
        <v>1125</v>
      </c>
      <c r="D598" s="11" t="s">
        <v>1133</v>
      </c>
      <c r="E598" s="11">
        <v>2013.0</v>
      </c>
      <c r="F598" s="11">
        <v>156.0</v>
      </c>
      <c r="G598" s="11">
        <v>145.0</v>
      </c>
      <c r="H598" s="11">
        <v>166.0</v>
      </c>
      <c r="I598" s="11" t="s">
        <v>158</v>
      </c>
      <c r="J598" s="11" t="s">
        <v>260</v>
      </c>
      <c r="K598" s="11" t="s">
        <v>450</v>
      </c>
    </row>
    <row r="599">
      <c r="A599" s="11" t="s">
        <v>1123</v>
      </c>
      <c r="B599" s="11" t="s">
        <v>1132</v>
      </c>
      <c r="C599" s="104" t="s">
        <v>1125</v>
      </c>
      <c r="D599" s="11" t="s">
        <v>1133</v>
      </c>
      <c r="E599" s="11">
        <v>2014.0</v>
      </c>
      <c r="F599" s="11">
        <v>164.0</v>
      </c>
      <c r="G599" s="11">
        <v>152.0</v>
      </c>
      <c r="H599" s="11">
        <v>177.0</v>
      </c>
      <c r="I599" s="11" t="s">
        <v>158</v>
      </c>
      <c r="J599" s="11" t="s">
        <v>260</v>
      </c>
      <c r="K599" s="11" t="s">
        <v>450</v>
      </c>
    </row>
    <row r="600">
      <c r="A600" s="11" t="s">
        <v>461</v>
      </c>
      <c r="B600" s="11" t="s">
        <v>460</v>
      </c>
      <c r="C600" s="104" t="s">
        <v>1134</v>
      </c>
      <c r="D600" s="11" t="s">
        <v>1135</v>
      </c>
      <c r="E600" s="11">
        <v>1975.0</v>
      </c>
      <c r="F600" s="11">
        <v>73.0</v>
      </c>
      <c r="G600" s="11" t="s">
        <v>188</v>
      </c>
      <c r="H600" s="11" t="s">
        <v>188</v>
      </c>
      <c r="I600" s="11" t="s">
        <v>1136</v>
      </c>
      <c r="J600" s="11" t="s">
        <v>260</v>
      </c>
      <c r="K600" s="11" t="s">
        <v>468</v>
      </c>
      <c r="L600" s="11" t="s">
        <v>1137</v>
      </c>
    </row>
    <row r="601">
      <c r="A601" s="11" t="s">
        <v>461</v>
      </c>
      <c r="B601" s="11" t="s">
        <v>460</v>
      </c>
      <c r="C601" s="104" t="s">
        <v>1134</v>
      </c>
      <c r="D601" s="11" t="s">
        <v>1135</v>
      </c>
      <c r="E601" s="11">
        <v>1976.0</v>
      </c>
      <c r="F601" s="11">
        <v>76.0</v>
      </c>
      <c r="G601" s="11" t="s">
        <v>188</v>
      </c>
      <c r="H601" s="11" t="s">
        <v>188</v>
      </c>
      <c r="I601" s="11" t="s">
        <v>1136</v>
      </c>
      <c r="J601" s="11" t="s">
        <v>260</v>
      </c>
      <c r="K601" s="11" t="s">
        <v>468</v>
      </c>
    </row>
    <row r="602">
      <c r="A602" s="11" t="s">
        <v>461</v>
      </c>
      <c r="B602" s="11" t="s">
        <v>460</v>
      </c>
      <c r="C602" s="104" t="s">
        <v>1134</v>
      </c>
      <c r="D602" s="11" t="s">
        <v>1135</v>
      </c>
      <c r="E602" s="11">
        <v>1977.0</v>
      </c>
      <c r="F602" s="11">
        <v>76.0</v>
      </c>
      <c r="G602" s="11" t="s">
        <v>188</v>
      </c>
      <c r="H602" s="11" t="s">
        <v>188</v>
      </c>
      <c r="I602" s="11" t="s">
        <v>1136</v>
      </c>
      <c r="J602" s="11" t="s">
        <v>260</v>
      </c>
      <c r="K602" s="11" t="s">
        <v>468</v>
      </c>
    </row>
    <row r="603">
      <c r="A603" s="11" t="s">
        <v>461</v>
      </c>
      <c r="B603" s="11" t="s">
        <v>460</v>
      </c>
      <c r="C603" s="104" t="s">
        <v>1134</v>
      </c>
      <c r="D603" s="11" t="s">
        <v>1135</v>
      </c>
      <c r="E603" s="11">
        <v>1978.0</v>
      </c>
      <c r="F603" s="11">
        <v>81.0</v>
      </c>
      <c r="G603" s="11" t="s">
        <v>188</v>
      </c>
      <c r="H603" s="11" t="s">
        <v>188</v>
      </c>
      <c r="I603" s="11" t="s">
        <v>1136</v>
      </c>
      <c r="J603" s="11" t="s">
        <v>260</v>
      </c>
      <c r="K603" s="11" t="s">
        <v>468</v>
      </c>
    </row>
    <row r="604">
      <c r="A604" s="11" t="s">
        <v>461</v>
      </c>
      <c r="B604" s="11" t="s">
        <v>460</v>
      </c>
      <c r="C604" s="104" t="s">
        <v>1134</v>
      </c>
      <c r="D604" s="11" t="s">
        <v>1135</v>
      </c>
      <c r="E604" s="11">
        <v>1979.0</v>
      </c>
      <c r="F604" s="11">
        <v>85.0</v>
      </c>
      <c r="G604" s="11" t="s">
        <v>188</v>
      </c>
      <c r="H604" s="11" t="s">
        <v>188</v>
      </c>
      <c r="I604" s="11" t="s">
        <v>1136</v>
      </c>
      <c r="J604" s="11" t="s">
        <v>260</v>
      </c>
      <c r="K604" s="11" t="s">
        <v>468</v>
      </c>
    </row>
    <row r="605">
      <c r="A605" s="11" t="s">
        <v>461</v>
      </c>
      <c r="B605" s="11" t="s">
        <v>460</v>
      </c>
      <c r="C605" s="104" t="s">
        <v>1134</v>
      </c>
      <c r="D605" s="11" t="s">
        <v>1135</v>
      </c>
      <c r="E605" s="11">
        <v>1980.0</v>
      </c>
      <c r="F605" s="11">
        <v>84.0</v>
      </c>
      <c r="G605" s="11" t="s">
        <v>188</v>
      </c>
      <c r="H605" s="11" t="s">
        <v>188</v>
      </c>
      <c r="I605" s="11" t="s">
        <v>1136</v>
      </c>
      <c r="J605" s="11" t="s">
        <v>260</v>
      </c>
      <c r="K605" s="11" t="s">
        <v>468</v>
      </c>
    </row>
    <row r="606">
      <c r="A606" s="11" t="s">
        <v>461</v>
      </c>
      <c r="B606" s="11" t="s">
        <v>460</v>
      </c>
      <c r="C606" s="104" t="s">
        <v>1134</v>
      </c>
      <c r="D606" s="11" t="s">
        <v>1135</v>
      </c>
      <c r="E606" s="11">
        <v>1981.0</v>
      </c>
      <c r="F606" s="11">
        <v>83.0</v>
      </c>
      <c r="G606" s="11" t="s">
        <v>188</v>
      </c>
      <c r="H606" s="11" t="s">
        <v>188</v>
      </c>
      <c r="I606" s="11" t="s">
        <v>1136</v>
      </c>
      <c r="J606" s="11" t="s">
        <v>260</v>
      </c>
      <c r="K606" s="11" t="s">
        <v>468</v>
      </c>
    </row>
    <row r="607">
      <c r="A607" s="11" t="s">
        <v>461</v>
      </c>
      <c r="B607" s="11" t="s">
        <v>460</v>
      </c>
      <c r="C607" s="104" t="s">
        <v>1134</v>
      </c>
      <c r="D607" s="11" t="s">
        <v>1135</v>
      </c>
      <c r="E607" s="11">
        <v>1982.0</v>
      </c>
      <c r="F607" s="11">
        <v>84.0</v>
      </c>
      <c r="G607" s="11" t="s">
        <v>188</v>
      </c>
      <c r="H607" s="11" t="s">
        <v>188</v>
      </c>
      <c r="I607" s="11" t="s">
        <v>1136</v>
      </c>
      <c r="J607" s="11" t="s">
        <v>260</v>
      </c>
      <c r="K607" s="11" t="s">
        <v>468</v>
      </c>
    </row>
    <row r="608">
      <c r="A608" s="11" t="s">
        <v>461</v>
      </c>
      <c r="B608" s="11" t="s">
        <v>460</v>
      </c>
      <c r="C608" s="104" t="s">
        <v>1134</v>
      </c>
      <c r="D608" s="11" t="s">
        <v>1135</v>
      </c>
      <c r="E608" s="11">
        <v>1983.0</v>
      </c>
      <c r="F608" s="11">
        <v>84.0</v>
      </c>
      <c r="G608" s="11" t="s">
        <v>188</v>
      </c>
      <c r="H608" s="11" t="s">
        <v>188</v>
      </c>
      <c r="I608" s="11" t="s">
        <v>1136</v>
      </c>
      <c r="J608" s="11" t="s">
        <v>260</v>
      </c>
      <c r="K608" s="11" t="s">
        <v>468</v>
      </c>
    </row>
    <row r="609">
      <c r="A609" s="11" t="s">
        <v>461</v>
      </c>
      <c r="B609" s="11" t="s">
        <v>460</v>
      </c>
      <c r="C609" s="104" t="s">
        <v>1134</v>
      </c>
      <c r="D609" s="11" t="s">
        <v>1135</v>
      </c>
      <c r="E609" s="11">
        <v>1984.0</v>
      </c>
      <c r="F609" s="11">
        <v>84.0</v>
      </c>
      <c r="G609" s="11" t="s">
        <v>188</v>
      </c>
      <c r="H609" s="11" t="s">
        <v>188</v>
      </c>
      <c r="I609" s="11" t="s">
        <v>1136</v>
      </c>
      <c r="J609" s="11" t="s">
        <v>260</v>
      </c>
      <c r="K609" s="11" t="s">
        <v>468</v>
      </c>
    </row>
    <row r="610">
      <c r="A610" s="11" t="s">
        <v>461</v>
      </c>
      <c r="B610" s="11" t="s">
        <v>460</v>
      </c>
      <c r="C610" s="104" t="s">
        <v>1134</v>
      </c>
      <c r="D610" s="11" t="s">
        <v>1135</v>
      </c>
      <c r="E610" s="11">
        <v>1985.0</v>
      </c>
      <c r="F610" s="11">
        <v>85.0</v>
      </c>
      <c r="G610" s="11" t="s">
        <v>188</v>
      </c>
      <c r="H610" s="11" t="s">
        <v>188</v>
      </c>
      <c r="I610" s="11" t="s">
        <v>1136</v>
      </c>
      <c r="J610" s="11" t="s">
        <v>260</v>
      </c>
      <c r="K610" s="11" t="s">
        <v>468</v>
      </c>
    </row>
    <row r="611">
      <c r="A611" s="11" t="s">
        <v>461</v>
      </c>
      <c r="B611" s="11" t="s">
        <v>460</v>
      </c>
      <c r="C611" s="104" t="s">
        <v>1134</v>
      </c>
      <c r="D611" s="11" t="s">
        <v>1135</v>
      </c>
      <c r="E611" s="11">
        <v>1986.0</v>
      </c>
      <c r="F611" s="11">
        <v>89.0</v>
      </c>
      <c r="G611" s="11" t="s">
        <v>188</v>
      </c>
      <c r="H611" s="11" t="s">
        <v>188</v>
      </c>
      <c r="I611" s="11" t="s">
        <v>1136</v>
      </c>
      <c r="J611" s="11" t="s">
        <v>260</v>
      </c>
      <c r="K611" s="11" t="s">
        <v>468</v>
      </c>
    </row>
    <row r="612">
      <c r="A612" s="11" t="s">
        <v>461</v>
      </c>
      <c r="B612" s="11" t="s">
        <v>460</v>
      </c>
      <c r="C612" s="104" t="s">
        <v>1134</v>
      </c>
      <c r="D612" s="11" t="s">
        <v>1135</v>
      </c>
      <c r="E612" s="11">
        <v>1987.0</v>
      </c>
      <c r="F612" s="11">
        <v>95.0</v>
      </c>
      <c r="G612" s="11" t="s">
        <v>188</v>
      </c>
      <c r="H612" s="11" t="s">
        <v>188</v>
      </c>
      <c r="I612" s="11" t="s">
        <v>1136</v>
      </c>
      <c r="J612" s="11" t="s">
        <v>260</v>
      </c>
      <c r="K612" s="11" t="s">
        <v>468</v>
      </c>
    </row>
    <row r="613">
      <c r="A613" s="11" t="s">
        <v>461</v>
      </c>
      <c r="B613" s="11" t="s">
        <v>460</v>
      </c>
      <c r="C613" s="104" t="s">
        <v>1134</v>
      </c>
      <c r="D613" s="11" t="s">
        <v>1135</v>
      </c>
      <c r="E613" s="11">
        <v>1988.0</v>
      </c>
      <c r="F613" s="11">
        <v>104.0</v>
      </c>
      <c r="G613" s="11" t="s">
        <v>188</v>
      </c>
      <c r="H613" s="11" t="s">
        <v>188</v>
      </c>
      <c r="I613" s="11" t="s">
        <v>1136</v>
      </c>
      <c r="J613" s="11" t="s">
        <v>260</v>
      </c>
      <c r="K613" s="11" t="s">
        <v>468</v>
      </c>
    </row>
    <row r="614">
      <c r="A614" s="11" t="s">
        <v>461</v>
      </c>
      <c r="B614" s="11" t="s">
        <v>460</v>
      </c>
      <c r="C614" s="104" t="s">
        <v>1134</v>
      </c>
      <c r="D614" s="11" t="s">
        <v>1135</v>
      </c>
      <c r="E614" s="11">
        <v>1989.0</v>
      </c>
      <c r="F614" s="11">
        <v>104.0</v>
      </c>
      <c r="G614" s="11" t="s">
        <v>188</v>
      </c>
      <c r="H614" s="11" t="s">
        <v>188</v>
      </c>
      <c r="I614" s="11" t="s">
        <v>1136</v>
      </c>
      <c r="J614" s="11" t="s">
        <v>260</v>
      </c>
      <c r="K614" s="11" t="s">
        <v>468</v>
      </c>
    </row>
    <row r="615">
      <c r="A615" s="11" t="s">
        <v>461</v>
      </c>
      <c r="B615" s="11" t="s">
        <v>460</v>
      </c>
      <c r="C615" s="104" t="s">
        <v>1134</v>
      </c>
      <c r="D615" s="11" t="s">
        <v>1135</v>
      </c>
      <c r="E615" s="11">
        <v>1990.0</v>
      </c>
      <c r="F615" s="11">
        <v>108.0</v>
      </c>
      <c r="G615" s="11" t="s">
        <v>188</v>
      </c>
      <c r="H615" s="11" t="s">
        <v>188</v>
      </c>
      <c r="I615" s="11" t="s">
        <v>1136</v>
      </c>
      <c r="J615" s="11" t="s">
        <v>260</v>
      </c>
      <c r="K615" s="11" t="s">
        <v>468</v>
      </c>
    </row>
    <row r="616">
      <c r="A616" s="11" t="s">
        <v>461</v>
      </c>
      <c r="B616" s="11" t="s">
        <v>460</v>
      </c>
      <c r="C616" s="104" t="s">
        <v>1134</v>
      </c>
      <c r="D616" s="11" t="s">
        <v>1135</v>
      </c>
      <c r="E616" s="11">
        <v>1991.0</v>
      </c>
      <c r="F616" s="11">
        <v>108.0</v>
      </c>
      <c r="G616" s="11" t="s">
        <v>188</v>
      </c>
      <c r="H616" s="11" t="s">
        <v>188</v>
      </c>
      <c r="I616" s="11" t="s">
        <v>1136</v>
      </c>
      <c r="J616" s="11" t="s">
        <v>260</v>
      </c>
      <c r="K616" s="11" t="s">
        <v>468</v>
      </c>
    </row>
    <row r="617">
      <c r="A617" s="11" t="s">
        <v>461</v>
      </c>
      <c r="B617" s="11" t="s">
        <v>460</v>
      </c>
      <c r="C617" s="104" t="s">
        <v>1134</v>
      </c>
      <c r="D617" s="11" t="s">
        <v>1135</v>
      </c>
      <c r="E617" s="11">
        <v>1992.0</v>
      </c>
      <c r="F617" s="11">
        <v>114.0</v>
      </c>
      <c r="G617" s="11" t="s">
        <v>188</v>
      </c>
      <c r="H617" s="11" t="s">
        <v>188</v>
      </c>
      <c r="I617" s="11" t="s">
        <v>1136</v>
      </c>
      <c r="J617" s="11" t="s">
        <v>260</v>
      </c>
      <c r="K617" s="11" t="s">
        <v>468</v>
      </c>
    </row>
    <row r="618">
      <c r="A618" s="11" t="s">
        <v>461</v>
      </c>
      <c r="B618" s="11" t="s">
        <v>460</v>
      </c>
      <c r="C618" s="104" t="s">
        <v>1134</v>
      </c>
      <c r="D618" s="11" t="s">
        <v>1135</v>
      </c>
      <c r="E618" s="11">
        <v>1993.0</v>
      </c>
      <c r="F618" s="11">
        <v>113.0</v>
      </c>
      <c r="G618" s="11" t="s">
        <v>188</v>
      </c>
      <c r="H618" s="11" t="s">
        <v>188</v>
      </c>
      <c r="I618" s="11" t="s">
        <v>1136</v>
      </c>
      <c r="J618" s="11" t="s">
        <v>260</v>
      </c>
      <c r="K618" s="11" t="s">
        <v>468</v>
      </c>
    </row>
    <row r="619">
      <c r="A619" s="11" t="s">
        <v>461</v>
      </c>
      <c r="B619" s="11" t="s">
        <v>460</v>
      </c>
      <c r="C619" s="104" t="s">
        <v>1134</v>
      </c>
      <c r="D619" s="11" t="s">
        <v>1135</v>
      </c>
      <c r="E619" s="11">
        <v>1994.0</v>
      </c>
      <c r="F619" s="11">
        <v>114.0</v>
      </c>
      <c r="G619" s="11" t="s">
        <v>188</v>
      </c>
      <c r="H619" s="11" t="s">
        <v>188</v>
      </c>
      <c r="I619" s="11" t="s">
        <v>1136</v>
      </c>
      <c r="J619" s="11" t="s">
        <v>260</v>
      </c>
      <c r="K619" s="11" t="s">
        <v>468</v>
      </c>
    </row>
    <row r="620">
      <c r="A620" s="11" t="s">
        <v>461</v>
      </c>
      <c r="B620" s="11" t="s">
        <v>460</v>
      </c>
      <c r="C620" s="104" t="s">
        <v>1134</v>
      </c>
      <c r="D620" s="11" t="s">
        <v>1135</v>
      </c>
      <c r="E620" s="11">
        <v>1995.0</v>
      </c>
      <c r="F620" s="11">
        <v>116.0</v>
      </c>
      <c r="G620" s="11" t="s">
        <v>188</v>
      </c>
      <c r="H620" s="11" t="s">
        <v>188</v>
      </c>
      <c r="I620" s="11" t="s">
        <v>1136</v>
      </c>
      <c r="J620" s="11" t="s">
        <v>260</v>
      </c>
      <c r="K620" s="11" t="s">
        <v>468</v>
      </c>
    </row>
    <row r="621">
      <c r="A621" s="11" t="s">
        <v>461</v>
      </c>
      <c r="B621" s="11" t="s">
        <v>460</v>
      </c>
      <c r="C621" s="104" t="s">
        <v>1134</v>
      </c>
      <c r="D621" s="11" t="s">
        <v>1135</v>
      </c>
      <c r="E621" s="11">
        <v>1996.0</v>
      </c>
      <c r="F621" s="11">
        <v>120.0</v>
      </c>
      <c r="G621" s="11" t="s">
        <v>188</v>
      </c>
      <c r="H621" s="11" t="s">
        <v>188</v>
      </c>
      <c r="I621" s="11" t="s">
        <v>1136</v>
      </c>
      <c r="J621" s="11" t="s">
        <v>260</v>
      </c>
      <c r="K621" s="11" t="s">
        <v>468</v>
      </c>
    </row>
    <row r="622">
      <c r="A622" s="11" t="s">
        <v>461</v>
      </c>
      <c r="B622" s="11" t="s">
        <v>460</v>
      </c>
      <c r="C622" s="104" t="s">
        <v>1134</v>
      </c>
      <c r="D622" s="11" t="s">
        <v>1135</v>
      </c>
      <c r="E622" s="11">
        <v>1997.0</v>
      </c>
      <c r="F622" s="11">
        <v>119.0</v>
      </c>
      <c r="G622" s="11" t="s">
        <v>188</v>
      </c>
      <c r="H622" s="11" t="s">
        <v>188</v>
      </c>
      <c r="I622" s="11" t="s">
        <v>1136</v>
      </c>
      <c r="J622" s="11" t="s">
        <v>260</v>
      </c>
      <c r="K622" s="11" t="s">
        <v>468</v>
      </c>
    </row>
    <row r="623">
      <c r="A623" s="11" t="s">
        <v>461</v>
      </c>
      <c r="B623" s="11" t="s">
        <v>460</v>
      </c>
      <c r="C623" s="104" t="s">
        <v>1134</v>
      </c>
      <c r="D623" s="11" t="s">
        <v>1135</v>
      </c>
      <c r="E623" s="11">
        <v>1998.0</v>
      </c>
      <c r="F623" s="11">
        <v>119.0</v>
      </c>
      <c r="G623" s="11" t="s">
        <v>188</v>
      </c>
      <c r="H623" s="11" t="s">
        <v>188</v>
      </c>
      <c r="I623" s="11" t="s">
        <v>1136</v>
      </c>
      <c r="J623" s="11" t="s">
        <v>260</v>
      </c>
      <c r="K623" s="11" t="s">
        <v>468</v>
      </c>
    </row>
    <row r="624">
      <c r="A624" s="11" t="s">
        <v>461</v>
      </c>
      <c r="B624" s="11" t="s">
        <v>460</v>
      </c>
      <c r="C624" s="104" t="s">
        <v>1134</v>
      </c>
      <c r="D624" s="11" t="s">
        <v>1135</v>
      </c>
      <c r="E624" s="11">
        <v>1999.0</v>
      </c>
      <c r="F624" s="11">
        <v>123.0</v>
      </c>
      <c r="G624" s="11" t="s">
        <v>188</v>
      </c>
      <c r="H624" s="11" t="s">
        <v>188</v>
      </c>
      <c r="I624" s="11" t="s">
        <v>1136</v>
      </c>
      <c r="J624" s="11" t="s">
        <v>260</v>
      </c>
      <c r="K624" s="11" t="s">
        <v>468</v>
      </c>
    </row>
    <row r="625">
      <c r="A625" s="11" t="s">
        <v>461</v>
      </c>
      <c r="B625" s="11" t="s">
        <v>460</v>
      </c>
      <c r="C625" s="104" t="s">
        <v>1134</v>
      </c>
      <c r="D625" s="11" t="s">
        <v>1135</v>
      </c>
      <c r="E625" s="11">
        <v>2000.0</v>
      </c>
      <c r="F625" s="11">
        <v>113.0</v>
      </c>
      <c r="G625" s="11" t="s">
        <v>188</v>
      </c>
      <c r="H625" s="11" t="s">
        <v>188</v>
      </c>
      <c r="I625" s="11" t="s">
        <v>1136</v>
      </c>
      <c r="J625" s="11" t="s">
        <v>260</v>
      </c>
      <c r="K625" s="11" t="s">
        <v>468</v>
      </c>
    </row>
    <row r="626">
      <c r="A626" s="11" t="s">
        <v>461</v>
      </c>
      <c r="B626" s="11" t="s">
        <v>460</v>
      </c>
      <c r="C626" s="104" t="s">
        <v>1134</v>
      </c>
      <c r="D626" s="11" t="s">
        <v>1135</v>
      </c>
      <c r="E626" s="11">
        <v>2001.0</v>
      </c>
      <c r="F626" s="11">
        <v>105.0</v>
      </c>
      <c r="G626" s="11" t="s">
        <v>188</v>
      </c>
      <c r="H626" s="11" t="s">
        <v>188</v>
      </c>
      <c r="I626" s="11" t="s">
        <v>1136</v>
      </c>
      <c r="J626" s="11" t="s">
        <v>260</v>
      </c>
      <c r="K626" s="11" t="s">
        <v>468</v>
      </c>
    </row>
    <row r="627">
      <c r="A627" s="11" t="s">
        <v>461</v>
      </c>
      <c r="B627" s="11" t="s">
        <v>460</v>
      </c>
      <c r="C627" s="104" t="s">
        <v>1134</v>
      </c>
      <c r="D627" s="11" t="s">
        <v>1135</v>
      </c>
      <c r="E627" s="11">
        <v>2002.0</v>
      </c>
      <c r="F627" s="11">
        <v>108.0</v>
      </c>
      <c r="G627" s="11" t="s">
        <v>188</v>
      </c>
      <c r="H627" s="11" t="s">
        <v>188</v>
      </c>
      <c r="I627" s="11" t="s">
        <v>1136</v>
      </c>
      <c r="J627" s="11" t="s">
        <v>260</v>
      </c>
      <c r="K627" s="11" t="s">
        <v>468</v>
      </c>
    </row>
    <row r="628">
      <c r="A628" s="11" t="s">
        <v>461</v>
      </c>
      <c r="B628" s="11" t="s">
        <v>460</v>
      </c>
      <c r="C628" s="104" t="s">
        <v>1134</v>
      </c>
      <c r="D628" s="11" t="s">
        <v>1135</v>
      </c>
      <c r="E628" s="11">
        <v>2003.0</v>
      </c>
      <c r="F628" s="11">
        <v>110.0</v>
      </c>
      <c r="G628" s="11" t="s">
        <v>188</v>
      </c>
      <c r="H628" s="11" t="s">
        <v>188</v>
      </c>
      <c r="I628" s="11" t="s">
        <v>1136</v>
      </c>
      <c r="J628" s="11" t="s">
        <v>260</v>
      </c>
      <c r="K628" s="11" t="s">
        <v>468</v>
      </c>
    </row>
    <row r="629">
      <c r="A629" s="11" t="s">
        <v>461</v>
      </c>
      <c r="B629" s="11" t="s">
        <v>460</v>
      </c>
      <c r="C629" s="104" t="s">
        <v>1134</v>
      </c>
      <c r="D629" s="11" t="s">
        <v>1135</v>
      </c>
      <c r="E629" s="11">
        <v>2004.0</v>
      </c>
      <c r="F629" s="11">
        <v>112.0</v>
      </c>
      <c r="G629" s="11" t="s">
        <v>188</v>
      </c>
      <c r="H629" s="11" t="s">
        <v>188</v>
      </c>
      <c r="I629" s="11" t="s">
        <v>1136</v>
      </c>
      <c r="J629" s="11" t="s">
        <v>260</v>
      </c>
      <c r="K629" s="11" t="s">
        <v>468</v>
      </c>
    </row>
    <row r="630">
      <c r="A630" s="11" t="s">
        <v>461</v>
      </c>
      <c r="B630" s="11" t="s">
        <v>460</v>
      </c>
      <c r="C630" s="104" t="s">
        <v>1134</v>
      </c>
      <c r="D630" s="11" t="s">
        <v>1135</v>
      </c>
      <c r="E630" s="11">
        <v>2005.0</v>
      </c>
      <c r="F630" s="11">
        <v>124.0</v>
      </c>
      <c r="G630" s="11" t="s">
        <v>188</v>
      </c>
      <c r="H630" s="11" t="s">
        <v>188</v>
      </c>
      <c r="I630" s="11" t="s">
        <v>1136</v>
      </c>
      <c r="J630" s="11" t="s">
        <v>260</v>
      </c>
      <c r="K630" s="11" t="s">
        <v>468</v>
      </c>
    </row>
    <row r="631">
      <c r="A631" s="11" t="s">
        <v>461</v>
      </c>
      <c r="B631" s="11" t="s">
        <v>460</v>
      </c>
      <c r="C631" s="104" t="s">
        <v>1134</v>
      </c>
      <c r="D631" s="11" t="s">
        <v>1135</v>
      </c>
      <c r="E631" s="11">
        <v>2006.0</v>
      </c>
      <c r="F631" s="11">
        <v>127.0</v>
      </c>
      <c r="G631" s="11" t="s">
        <v>188</v>
      </c>
      <c r="H631" s="11" t="s">
        <v>188</v>
      </c>
      <c r="I631" s="11" t="s">
        <v>1136</v>
      </c>
      <c r="J631" s="11" t="s">
        <v>260</v>
      </c>
      <c r="K631" s="11" t="s">
        <v>468</v>
      </c>
    </row>
    <row r="632">
      <c r="A632" s="11" t="s">
        <v>461</v>
      </c>
      <c r="B632" s="11" t="s">
        <v>460</v>
      </c>
      <c r="C632" s="104" t="s">
        <v>1134</v>
      </c>
      <c r="D632" s="11" t="s">
        <v>1138</v>
      </c>
      <c r="E632" s="11">
        <v>1975.0</v>
      </c>
      <c r="F632" s="11">
        <v>132.0</v>
      </c>
      <c r="G632" s="11" t="s">
        <v>188</v>
      </c>
      <c r="H632" s="11" t="s">
        <v>188</v>
      </c>
      <c r="I632" s="11" t="s">
        <v>74</v>
      </c>
      <c r="J632" s="11" t="s">
        <v>260</v>
      </c>
      <c r="K632" s="11" t="s">
        <v>468</v>
      </c>
    </row>
    <row r="633">
      <c r="A633" s="11" t="s">
        <v>461</v>
      </c>
      <c r="B633" s="11" t="s">
        <v>460</v>
      </c>
      <c r="C633" s="104" t="s">
        <v>1134</v>
      </c>
      <c r="D633" s="11" t="s">
        <v>1138</v>
      </c>
      <c r="E633" s="11">
        <v>1975.0</v>
      </c>
      <c r="F633" s="11">
        <v>132.0</v>
      </c>
      <c r="G633" s="11" t="s">
        <v>188</v>
      </c>
      <c r="H633" s="11" t="s">
        <v>188</v>
      </c>
      <c r="I633" s="11" t="s">
        <v>74</v>
      </c>
      <c r="J633" s="11" t="s">
        <v>260</v>
      </c>
      <c r="K633" s="11" t="s">
        <v>468</v>
      </c>
    </row>
    <row r="634">
      <c r="A634" s="11" t="s">
        <v>461</v>
      </c>
      <c r="B634" s="11" t="s">
        <v>460</v>
      </c>
      <c r="C634" s="104" t="s">
        <v>1134</v>
      </c>
      <c r="D634" s="11" t="s">
        <v>1138</v>
      </c>
      <c r="E634" s="11">
        <v>1976.0</v>
      </c>
      <c r="F634" s="11">
        <v>132.0</v>
      </c>
      <c r="G634" s="11" t="s">
        <v>188</v>
      </c>
      <c r="H634" s="11" t="s">
        <v>188</v>
      </c>
      <c r="I634" s="11" t="s">
        <v>74</v>
      </c>
      <c r="J634" s="11" t="s">
        <v>260</v>
      </c>
      <c r="K634" s="11" t="s">
        <v>468</v>
      </c>
    </row>
    <row r="635">
      <c r="A635" s="11" t="s">
        <v>461</v>
      </c>
      <c r="B635" s="11" t="s">
        <v>460</v>
      </c>
      <c r="C635" s="104" t="s">
        <v>1134</v>
      </c>
      <c r="D635" s="11" t="s">
        <v>1138</v>
      </c>
      <c r="E635" s="11">
        <v>1977.0</v>
      </c>
      <c r="F635" s="11">
        <v>135.0</v>
      </c>
      <c r="G635" s="11" t="s">
        <v>188</v>
      </c>
      <c r="H635" s="11" t="s">
        <v>188</v>
      </c>
      <c r="I635" s="11" t="s">
        <v>74</v>
      </c>
      <c r="J635" s="11" t="s">
        <v>260</v>
      </c>
      <c r="K635" s="11" t="s">
        <v>468</v>
      </c>
    </row>
    <row r="636">
      <c r="A636" s="11" t="s">
        <v>461</v>
      </c>
      <c r="B636" s="11" t="s">
        <v>460</v>
      </c>
      <c r="C636" s="104" t="s">
        <v>1134</v>
      </c>
      <c r="D636" s="11" t="s">
        <v>1138</v>
      </c>
      <c r="E636" s="11">
        <v>1978.0</v>
      </c>
      <c r="F636" s="11">
        <v>137.0</v>
      </c>
      <c r="G636" s="11" t="s">
        <v>188</v>
      </c>
      <c r="H636" s="11" t="s">
        <v>188</v>
      </c>
      <c r="I636" s="11" t="s">
        <v>74</v>
      </c>
      <c r="J636" s="11" t="s">
        <v>260</v>
      </c>
      <c r="K636" s="11" t="s">
        <v>468</v>
      </c>
    </row>
    <row r="637">
      <c r="A637" s="11" t="s">
        <v>461</v>
      </c>
      <c r="B637" s="11" t="s">
        <v>460</v>
      </c>
      <c r="C637" s="104" t="s">
        <v>1134</v>
      </c>
      <c r="D637" s="11" t="s">
        <v>1138</v>
      </c>
      <c r="E637" s="11">
        <v>1979.0</v>
      </c>
      <c r="F637" s="11">
        <v>141.0</v>
      </c>
      <c r="G637" s="11" t="s">
        <v>188</v>
      </c>
      <c r="H637" s="11" t="s">
        <v>188</v>
      </c>
      <c r="I637" s="11" t="s">
        <v>74</v>
      </c>
      <c r="J637" s="11" t="s">
        <v>260</v>
      </c>
      <c r="K637" s="11" t="s">
        <v>468</v>
      </c>
    </row>
    <row r="638">
      <c r="A638" s="11" t="s">
        <v>461</v>
      </c>
      <c r="B638" s="11" t="s">
        <v>460</v>
      </c>
      <c r="C638" s="104" t="s">
        <v>1134</v>
      </c>
      <c r="D638" s="11" t="s">
        <v>1138</v>
      </c>
      <c r="E638" s="11">
        <v>1980.0</v>
      </c>
      <c r="F638" s="11">
        <v>147.0</v>
      </c>
      <c r="G638" s="11" t="s">
        <v>188</v>
      </c>
      <c r="H638" s="11" t="s">
        <v>188</v>
      </c>
      <c r="I638" s="11" t="s">
        <v>74</v>
      </c>
      <c r="J638" s="11" t="s">
        <v>260</v>
      </c>
      <c r="K638" s="11" t="s">
        <v>468</v>
      </c>
    </row>
    <row r="639">
      <c r="A639" s="11" t="s">
        <v>461</v>
      </c>
      <c r="B639" s="11" t="s">
        <v>460</v>
      </c>
      <c r="C639" s="104" t="s">
        <v>1134</v>
      </c>
      <c r="D639" s="11" t="s">
        <v>1138</v>
      </c>
      <c r="E639" s="11">
        <v>1981.0</v>
      </c>
      <c r="F639" s="11">
        <v>150.0</v>
      </c>
      <c r="G639" s="11" t="s">
        <v>188</v>
      </c>
      <c r="H639" s="11" t="s">
        <v>188</v>
      </c>
      <c r="I639" s="11" t="s">
        <v>74</v>
      </c>
      <c r="J639" s="11" t="s">
        <v>260</v>
      </c>
      <c r="K639" s="11" t="s">
        <v>468</v>
      </c>
    </row>
    <row r="640">
      <c r="A640" s="11" t="s">
        <v>461</v>
      </c>
      <c r="B640" s="11" t="s">
        <v>460</v>
      </c>
      <c r="C640" s="104" t="s">
        <v>1134</v>
      </c>
      <c r="D640" s="11" t="s">
        <v>1138</v>
      </c>
      <c r="E640" s="11">
        <v>1982.0</v>
      </c>
      <c r="F640" s="11">
        <v>151.0</v>
      </c>
      <c r="G640" s="11" t="s">
        <v>188</v>
      </c>
      <c r="H640" s="11" t="s">
        <v>188</v>
      </c>
      <c r="I640" s="11" t="s">
        <v>74</v>
      </c>
      <c r="J640" s="11" t="s">
        <v>260</v>
      </c>
      <c r="K640" s="11" t="s">
        <v>468</v>
      </c>
    </row>
    <row r="641">
      <c r="A641" s="11" t="s">
        <v>461</v>
      </c>
      <c r="B641" s="11" t="s">
        <v>460</v>
      </c>
      <c r="C641" s="104" t="s">
        <v>1134</v>
      </c>
      <c r="D641" s="11" t="s">
        <v>1138</v>
      </c>
      <c r="E641" s="11">
        <v>1983.0</v>
      </c>
      <c r="F641" s="11">
        <v>155.0</v>
      </c>
      <c r="G641" s="11" t="s">
        <v>188</v>
      </c>
      <c r="H641" s="11" t="s">
        <v>188</v>
      </c>
      <c r="I641" s="11" t="s">
        <v>74</v>
      </c>
      <c r="J641" s="11" t="s">
        <v>260</v>
      </c>
      <c r="K641" s="11" t="s">
        <v>468</v>
      </c>
    </row>
    <row r="642">
      <c r="A642" s="11" t="s">
        <v>461</v>
      </c>
      <c r="B642" s="11" t="s">
        <v>460</v>
      </c>
      <c r="C642" s="104" t="s">
        <v>1134</v>
      </c>
      <c r="D642" s="11" t="s">
        <v>1138</v>
      </c>
      <c r="E642" s="11">
        <v>1984.0</v>
      </c>
      <c r="F642" s="11">
        <v>157.0</v>
      </c>
      <c r="G642" s="11" t="s">
        <v>188</v>
      </c>
      <c r="H642" s="11" t="s">
        <v>188</v>
      </c>
      <c r="I642" s="11" t="s">
        <v>74</v>
      </c>
      <c r="J642" s="11" t="s">
        <v>260</v>
      </c>
      <c r="K642" s="11" t="s">
        <v>468</v>
      </c>
    </row>
    <row r="643">
      <c r="A643" s="11" t="s">
        <v>461</v>
      </c>
      <c r="B643" s="11" t="s">
        <v>460</v>
      </c>
      <c r="C643" s="104" t="s">
        <v>1134</v>
      </c>
      <c r="D643" s="11" t="s">
        <v>1138</v>
      </c>
      <c r="E643" s="11">
        <v>1985.0</v>
      </c>
      <c r="F643" s="11">
        <v>164.0</v>
      </c>
      <c r="G643" s="11" t="s">
        <v>188</v>
      </c>
      <c r="H643" s="11" t="s">
        <v>188</v>
      </c>
      <c r="I643" s="11" t="s">
        <v>74</v>
      </c>
      <c r="J643" s="11" t="s">
        <v>260</v>
      </c>
      <c r="K643" s="11" t="s">
        <v>468</v>
      </c>
    </row>
    <row r="644">
      <c r="A644" s="11" t="s">
        <v>461</v>
      </c>
      <c r="B644" s="11" t="s">
        <v>460</v>
      </c>
      <c r="C644" s="104" t="s">
        <v>1134</v>
      </c>
      <c r="D644" s="11" t="s">
        <v>1138</v>
      </c>
      <c r="E644" s="11">
        <v>1986.0</v>
      </c>
      <c r="F644" s="11">
        <v>171.0</v>
      </c>
      <c r="G644" s="11" t="s">
        <v>188</v>
      </c>
      <c r="H644" s="11" t="s">
        <v>188</v>
      </c>
      <c r="I644" s="11" t="s">
        <v>74</v>
      </c>
      <c r="J644" s="11" t="s">
        <v>260</v>
      </c>
      <c r="K644" s="11" t="s">
        <v>468</v>
      </c>
    </row>
    <row r="645">
      <c r="A645" s="11" t="s">
        <v>461</v>
      </c>
      <c r="B645" s="11" t="s">
        <v>460</v>
      </c>
      <c r="C645" s="104" t="s">
        <v>1134</v>
      </c>
      <c r="D645" s="11" t="s">
        <v>1138</v>
      </c>
      <c r="E645" s="11">
        <v>1987.0</v>
      </c>
      <c r="F645" s="11">
        <v>177.0</v>
      </c>
      <c r="G645" s="11" t="s">
        <v>188</v>
      </c>
      <c r="H645" s="11" t="s">
        <v>188</v>
      </c>
      <c r="I645" s="11" t="s">
        <v>74</v>
      </c>
      <c r="J645" s="11" t="s">
        <v>260</v>
      </c>
      <c r="K645" s="11" t="s">
        <v>468</v>
      </c>
    </row>
    <row r="646">
      <c r="A646" s="11" t="s">
        <v>461</v>
      </c>
      <c r="B646" s="11" t="s">
        <v>460</v>
      </c>
      <c r="C646" s="104" t="s">
        <v>1134</v>
      </c>
      <c r="D646" s="11" t="s">
        <v>1138</v>
      </c>
      <c r="E646" s="11">
        <v>1988.0</v>
      </c>
      <c r="F646" s="11">
        <v>180.0</v>
      </c>
      <c r="G646" s="11" t="s">
        <v>188</v>
      </c>
      <c r="H646" s="11" t="s">
        <v>188</v>
      </c>
      <c r="I646" s="11" t="s">
        <v>74</v>
      </c>
      <c r="J646" s="11" t="s">
        <v>260</v>
      </c>
      <c r="K646" s="11" t="s">
        <v>468</v>
      </c>
    </row>
    <row r="647">
      <c r="A647" s="11" t="s">
        <v>461</v>
      </c>
      <c r="B647" s="11" t="s">
        <v>460</v>
      </c>
      <c r="C647" s="104" t="s">
        <v>1134</v>
      </c>
      <c r="D647" s="11" t="s">
        <v>1138</v>
      </c>
      <c r="E647" s="11">
        <v>1989.0</v>
      </c>
      <c r="F647" s="11">
        <v>188.0</v>
      </c>
      <c r="G647" s="11" t="s">
        <v>188</v>
      </c>
      <c r="H647" s="11" t="s">
        <v>188</v>
      </c>
      <c r="I647" s="11" t="s">
        <v>74</v>
      </c>
      <c r="J647" s="11" t="s">
        <v>260</v>
      </c>
      <c r="K647" s="11" t="s">
        <v>468</v>
      </c>
    </row>
    <row r="648">
      <c r="A648" s="11" t="s">
        <v>461</v>
      </c>
      <c r="B648" s="11" t="s">
        <v>460</v>
      </c>
      <c r="C648" s="104" t="s">
        <v>1134</v>
      </c>
      <c r="D648" s="11" t="s">
        <v>1138</v>
      </c>
      <c r="E648" s="11">
        <v>1990.0</v>
      </c>
      <c r="F648" s="11">
        <v>195.0</v>
      </c>
      <c r="G648" s="11" t="s">
        <v>188</v>
      </c>
      <c r="H648" s="11" t="s">
        <v>188</v>
      </c>
      <c r="I648" s="11" t="s">
        <v>74</v>
      </c>
      <c r="J648" s="11" t="s">
        <v>260</v>
      </c>
      <c r="K648" s="11" t="s">
        <v>468</v>
      </c>
    </row>
    <row r="649">
      <c r="A649" s="11" t="s">
        <v>461</v>
      </c>
      <c r="B649" s="11" t="s">
        <v>460</v>
      </c>
      <c r="C649" s="104" t="s">
        <v>1134</v>
      </c>
      <c r="D649" s="11" t="s">
        <v>1138</v>
      </c>
      <c r="E649" s="11">
        <v>1991.0</v>
      </c>
      <c r="F649" s="11">
        <v>202.0</v>
      </c>
      <c r="G649" s="11" t="s">
        <v>188</v>
      </c>
      <c r="H649" s="11" t="s">
        <v>188</v>
      </c>
      <c r="I649" s="11" t="s">
        <v>74</v>
      </c>
      <c r="J649" s="11" t="s">
        <v>260</v>
      </c>
      <c r="K649" s="11" t="s">
        <v>468</v>
      </c>
    </row>
    <row r="650">
      <c r="A650" s="11" t="s">
        <v>461</v>
      </c>
      <c r="B650" s="11" t="s">
        <v>460</v>
      </c>
      <c r="C650" s="104" t="s">
        <v>1134</v>
      </c>
      <c r="D650" s="11" t="s">
        <v>1138</v>
      </c>
      <c r="E650" s="11">
        <v>1992.0</v>
      </c>
      <c r="F650" s="11">
        <v>199.0</v>
      </c>
      <c r="G650" s="11" t="s">
        <v>188</v>
      </c>
      <c r="H650" s="11" t="s">
        <v>188</v>
      </c>
      <c r="I650" s="11" t="s">
        <v>74</v>
      </c>
      <c r="J650" s="11" t="s">
        <v>260</v>
      </c>
      <c r="K650" s="11" t="s">
        <v>468</v>
      </c>
    </row>
    <row r="651">
      <c r="A651" s="11" t="s">
        <v>461</v>
      </c>
      <c r="B651" s="11" t="s">
        <v>460</v>
      </c>
      <c r="C651" s="104" t="s">
        <v>1134</v>
      </c>
      <c r="D651" s="11" t="s">
        <v>1138</v>
      </c>
      <c r="E651" s="11">
        <v>1993.0</v>
      </c>
      <c r="F651" s="11">
        <v>197.0</v>
      </c>
      <c r="G651" s="11" t="s">
        <v>188</v>
      </c>
      <c r="H651" s="11" t="s">
        <v>188</v>
      </c>
      <c r="I651" s="11" t="s">
        <v>74</v>
      </c>
      <c r="J651" s="11" t="s">
        <v>260</v>
      </c>
      <c r="K651" s="11" t="s">
        <v>468</v>
      </c>
    </row>
    <row r="652">
      <c r="A652" s="11" t="s">
        <v>461</v>
      </c>
      <c r="B652" s="11" t="s">
        <v>460</v>
      </c>
      <c r="C652" s="104" t="s">
        <v>1134</v>
      </c>
      <c r="D652" s="11" t="s">
        <v>1138</v>
      </c>
      <c r="E652" s="11">
        <v>1994.0</v>
      </c>
      <c r="F652" s="11">
        <v>202.0</v>
      </c>
      <c r="G652" s="11" t="s">
        <v>188</v>
      </c>
      <c r="H652" s="11" t="s">
        <v>188</v>
      </c>
      <c r="I652" s="11" t="s">
        <v>74</v>
      </c>
      <c r="J652" s="11" t="s">
        <v>260</v>
      </c>
      <c r="K652" s="11" t="s">
        <v>468</v>
      </c>
    </row>
    <row r="653">
      <c r="A653" s="11" t="s">
        <v>461</v>
      </c>
      <c r="B653" s="11" t="s">
        <v>460</v>
      </c>
      <c r="C653" s="104" t="s">
        <v>1134</v>
      </c>
      <c r="D653" s="11" t="s">
        <v>1138</v>
      </c>
      <c r="E653" s="11">
        <v>1995.0</v>
      </c>
      <c r="F653" s="11">
        <v>206.0</v>
      </c>
      <c r="G653" s="11" t="s">
        <v>188</v>
      </c>
      <c r="H653" s="11" t="s">
        <v>188</v>
      </c>
      <c r="I653" s="11" t="s">
        <v>74</v>
      </c>
      <c r="J653" s="11" t="s">
        <v>260</v>
      </c>
      <c r="K653" s="11" t="s">
        <v>468</v>
      </c>
    </row>
    <row r="654">
      <c r="A654" s="11" t="s">
        <v>461</v>
      </c>
      <c r="B654" s="11" t="s">
        <v>460</v>
      </c>
      <c r="C654" s="104" t="s">
        <v>1134</v>
      </c>
      <c r="D654" s="11" t="s">
        <v>1138</v>
      </c>
      <c r="E654" s="11">
        <v>1996.0</v>
      </c>
      <c r="F654" s="11">
        <v>212.0</v>
      </c>
      <c r="G654" s="11" t="s">
        <v>188</v>
      </c>
      <c r="H654" s="11" t="s">
        <v>188</v>
      </c>
      <c r="I654" s="11" t="s">
        <v>74</v>
      </c>
      <c r="J654" s="11" t="s">
        <v>260</v>
      </c>
      <c r="K654" s="11" t="s">
        <v>468</v>
      </c>
    </row>
    <row r="655">
      <c r="A655" s="11" t="s">
        <v>461</v>
      </c>
      <c r="B655" s="11" t="s">
        <v>460</v>
      </c>
      <c r="C655" s="104" t="s">
        <v>1134</v>
      </c>
      <c r="D655" s="11" t="s">
        <v>1138</v>
      </c>
      <c r="E655" s="11">
        <v>1997.0</v>
      </c>
      <c r="F655" s="11">
        <v>221.0</v>
      </c>
      <c r="G655" s="11" t="s">
        <v>188</v>
      </c>
      <c r="H655" s="11" t="s">
        <v>188</v>
      </c>
      <c r="I655" s="11" t="s">
        <v>74</v>
      </c>
      <c r="J655" s="11" t="s">
        <v>260</v>
      </c>
      <c r="K655" s="11" t="s">
        <v>468</v>
      </c>
    </row>
    <row r="656">
      <c r="A656" s="11" t="s">
        <v>461</v>
      </c>
      <c r="B656" s="11" t="s">
        <v>460</v>
      </c>
      <c r="C656" s="104" t="s">
        <v>1134</v>
      </c>
      <c r="D656" s="11" t="s">
        <v>1138</v>
      </c>
      <c r="E656" s="11">
        <v>1998.0</v>
      </c>
      <c r="F656" s="11">
        <v>217.0</v>
      </c>
      <c r="G656" s="11" t="s">
        <v>188</v>
      </c>
      <c r="H656" s="11" t="s">
        <v>188</v>
      </c>
      <c r="I656" s="11" t="s">
        <v>74</v>
      </c>
      <c r="J656" s="11" t="s">
        <v>260</v>
      </c>
      <c r="K656" s="11" t="s">
        <v>468</v>
      </c>
    </row>
    <row r="657">
      <c r="A657" s="11" t="s">
        <v>461</v>
      </c>
      <c r="B657" s="11" t="s">
        <v>460</v>
      </c>
      <c r="C657" s="104" t="s">
        <v>1134</v>
      </c>
      <c r="D657" s="11" t="s">
        <v>1138</v>
      </c>
      <c r="E657" s="11">
        <v>1999.0</v>
      </c>
      <c r="F657" s="11">
        <v>218.0</v>
      </c>
      <c r="G657" s="11" t="s">
        <v>188</v>
      </c>
      <c r="H657" s="11" t="s">
        <v>188</v>
      </c>
      <c r="I657" s="11" t="s">
        <v>74</v>
      </c>
      <c r="J657" s="11" t="s">
        <v>260</v>
      </c>
      <c r="K657" s="11" t="s">
        <v>468</v>
      </c>
    </row>
    <row r="658">
      <c r="A658" s="11" t="s">
        <v>461</v>
      </c>
      <c r="B658" s="11" t="s">
        <v>460</v>
      </c>
      <c r="C658" s="104" t="s">
        <v>1134</v>
      </c>
      <c r="D658" s="11" t="s">
        <v>1138</v>
      </c>
      <c r="E658" s="11">
        <v>2000.0</v>
      </c>
      <c r="F658" s="11">
        <v>210.0</v>
      </c>
      <c r="G658" s="11" t="s">
        <v>188</v>
      </c>
      <c r="H658" s="11" t="s">
        <v>188</v>
      </c>
      <c r="I658" s="11" t="s">
        <v>74</v>
      </c>
      <c r="J658" s="11" t="s">
        <v>260</v>
      </c>
      <c r="K658" s="11" t="s">
        <v>468</v>
      </c>
    </row>
    <row r="659">
      <c r="A659" s="11" t="s">
        <v>461</v>
      </c>
      <c r="B659" s="11" t="s">
        <v>460</v>
      </c>
      <c r="C659" s="104" t="s">
        <v>1134</v>
      </c>
      <c r="D659" s="11" t="s">
        <v>1138</v>
      </c>
      <c r="E659" s="11">
        <v>2001.0</v>
      </c>
      <c r="F659" s="11">
        <v>201.0</v>
      </c>
      <c r="G659" s="11" t="s">
        <v>188</v>
      </c>
      <c r="H659" s="11" t="s">
        <v>188</v>
      </c>
      <c r="I659" s="11" t="s">
        <v>74</v>
      </c>
      <c r="J659" s="11" t="s">
        <v>260</v>
      </c>
      <c r="K659" s="11" t="s">
        <v>468</v>
      </c>
    </row>
    <row r="660">
      <c r="A660" s="11" t="s">
        <v>461</v>
      </c>
      <c r="B660" s="11" t="s">
        <v>460</v>
      </c>
      <c r="C660" s="104" t="s">
        <v>1134</v>
      </c>
      <c r="D660" s="11" t="s">
        <v>1138</v>
      </c>
      <c r="E660" s="11">
        <v>2002.0</v>
      </c>
      <c r="F660" s="11">
        <v>205.0</v>
      </c>
      <c r="G660" s="11" t="s">
        <v>188</v>
      </c>
      <c r="H660" s="11" t="s">
        <v>188</v>
      </c>
      <c r="I660" s="11" t="s">
        <v>74</v>
      </c>
      <c r="J660" s="11" t="s">
        <v>260</v>
      </c>
      <c r="K660" s="11" t="s">
        <v>468</v>
      </c>
    </row>
    <row r="661">
      <c r="A661" s="11" t="s">
        <v>461</v>
      </c>
      <c r="B661" s="11" t="s">
        <v>460</v>
      </c>
      <c r="C661" s="104" t="s">
        <v>1134</v>
      </c>
      <c r="D661" s="11" t="s">
        <v>1138</v>
      </c>
      <c r="E661" s="11">
        <v>2003.0</v>
      </c>
      <c r="F661" s="11">
        <v>206.0</v>
      </c>
      <c r="G661" s="11" t="s">
        <v>188</v>
      </c>
      <c r="H661" s="11" t="s">
        <v>188</v>
      </c>
      <c r="I661" s="11" t="s">
        <v>74</v>
      </c>
      <c r="J661" s="11" t="s">
        <v>260</v>
      </c>
      <c r="K661" s="11" t="s">
        <v>468</v>
      </c>
    </row>
    <row r="662">
      <c r="A662" s="11" t="s">
        <v>461</v>
      </c>
      <c r="B662" s="11" t="s">
        <v>460</v>
      </c>
      <c r="C662" s="104" t="s">
        <v>1134</v>
      </c>
      <c r="D662" s="11" t="s">
        <v>1138</v>
      </c>
      <c r="E662" s="11">
        <v>2004.0</v>
      </c>
      <c r="F662" s="11">
        <v>224.0</v>
      </c>
      <c r="G662" s="11" t="s">
        <v>188</v>
      </c>
      <c r="H662" s="11" t="s">
        <v>188</v>
      </c>
      <c r="I662" s="11" t="s">
        <v>74</v>
      </c>
      <c r="J662" s="11" t="s">
        <v>260</v>
      </c>
      <c r="K662" s="11" t="s">
        <v>468</v>
      </c>
    </row>
    <row r="663">
      <c r="A663" s="11" t="s">
        <v>461</v>
      </c>
      <c r="B663" s="11" t="s">
        <v>460</v>
      </c>
      <c r="C663" s="104" t="s">
        <v>1134</v>
      </c>
      <c r="D663" s="11" t="s">
        <v>1138</v>
      </c>
      <c r="E663" s="11">
        <v>2005.0</v>
      </c>
      <c r="F663" s="11">
        <v>236.0</v>
      </c>
      <c r="G663" s="11" t="s">
        <v>188</v>
      </c>
      <c r="H663" s="11" t="s">
        <v>188</v>
      </c>
      <c r="I663" s="11" t="s">
        <v>74</v>
      </c>
      <c r="J663" s="11" t="s">
        <v>260</v>
      </c>
      <c r="K663" s="11" t="s">
        <v>468</v>
      </c>
    </row>
    <row r="664">
      <c r="A664" s="11" t="s">
        <v>461</v>
      </c>
      <c r="B664" s="11" t="s">
        <v>460</v>
      </c>
      <c r="C664" s="104" t="s">
        <v>1134</v>
      </c>
      <c r="D664" s="11" t="s">
        <v>1138</v>
      </c>
      <c r="E664" s="11">
        <v>2006.0</v>
      </c>
      <c r="F664" s="11">
        <v>245.0</v>
      </c>
      <c r="G664" s="11" t="s">
        <v>188</v>
      </c>
      <c r="H664" s="11" t="s">
        <v>188</v>
      </c>
      <c r="I664" s="11" t="s">
        <v>74</v>
      </c>
      <c r="J664" s="11" t="s">
        <v>260</v>
      </c>
      <c r="K664" s="11" t="s">
        <v>468</v>
      </c>
    </row>
    <row r="665">
      <c r="A665" s="11" t="s">
        <v>461</v>
      </c>
      <c r="B665" s="11" t="s">
        <v>460</v>
      </c>
      <c r="C665" s="104" t="s">
        <v>1140</v>
      </c>
      <c r="D665" s="11" t="s">
        <v>1138</v>
      </c>
      <c r="E665" s="11">
        <v>1974.0</v>
      </c>
      <c r="F665" s="11">
        <v>50.0</v>
      </c>
      <c r="G665" s="11" t="s">
        <v>188</v>
      </c>
      <c r="H665" s="11" t="s">
        <v>188</v>
      </c>
      <c r="I665" s="11" t="s">
        <v>1136</v>
      </c>
      <c r="J665" s="11" t="s">
        <v>260</v>
      </c>
      <c r="K665" s="11" t="s">
        <v>468</v>
      </c>
    </row>
    <row r="666">
      <c r="A666" s="11" t="s">
        <v>461</v>
      </c>
      <c r="B666" s="11" t="s">
        <v>460</v>
      </c>
      <c r="C666" s="104" t="s">
        <v>1140</v>
      </c>
      <c r="D666" s="11" t="s">
        <v>1138</v>
      </c>
      <c r="E666" s="11">
        <v>1975.0</v>
      </c>
      <c r="F666" s="11">
        <v>49.0</v>
      </c>
      <c r="G666" s="11" t="s">
        <v>188</v>
      </c>
      <c r="H666" s="11" t="s">
        <v>188</v>
      </c>
      <c r="I666" s="11" t="s">
        <v>1136</v>
      </c>
      <c r="J666" s="11" t="s">
        <v>260</v>
      </c>
      <c r="K666" s="11" t="s">
        <v>468</v>
      </c>
    </row>
    <row r="667">
      <c r="A667" s="11" t="s">
        <v>461</v>
      </c>
      <c r="B667" s="11" t="s">
        <v>460</v>
      </c>
      <c r="C667" s="104" t="s">
        <v>1140</v>
      </c>
      <c r="D667" s="11" t="s">
        <v>1138</v>
      </c>
      <c r="E667" s="11">
        <v>1976.0</v>
      </c>
      <c r="F667" s="11">
        <v>49.0</v>
      </c>
      <c r="G667" s="11" t="s">
        <v>188</v>
      </c>
      <c r="H667" s="11" t="s">
        <v>188</v>
      </c>
      <c r="I667" s="11" t="s">
        <v>1136</v>
      </c>
      <c r="J667" s="11" t="s">
        <v>260</v>
      </c>
      <c r="K667" s="11" t="s">
        <v>468</v>
      </c>
    </row>
    <row r="668">
      <c r="A668" s="11" t="s">
        <v>461</v>
      </c>
      <c r="B668" s="11" t="s">
        <v>460</v>
      </c>
      <c r="C668" s="104" t="s">
        <v>1140</v>
      </c>
      <c r="D668" s="11" t="s">
        <v>1138</v>
      </c>
      <c r="E668" s="11">
        <v>1977.0</v>
      </c>
      <c r="F668" s="11">
        <v>50.0</v>
      </c>
      <c r="G668" s="11" t="s">
        <v>188</v>
      </c>
      <c r="H668" s="11" t="s">
        <v>188</v>
      </c>
      <c r="I668" s="11" t="s">
        <v>1136</v>
      </c>
      <c r="J668" s="11" t="s">
        <v>260</v>
      </c>
      <c r="K668" s="11" t="s">
        <v>468</v>
      </c>
    </row>
    <row r="669">
      <c r="A669" s="11" t="s">
        <v>461</v>
      </c>
      <c r="B669" s="11" t="s">
        <v>460</v>
      </c>
      <c r="C669" s="104" t="s">
        <v>1140</v>
      </c>
      <c r="D669" s="11" t="s">
        <v>1138</v>
      </c>
      <c r="E669" s="11">
        <v>1978.0</v>
      </c>
      <c r="F669" s="11">
        <v>50.0</v>
      </c>
      <c r="G669" s="11" t="s">
        <v>188</v>
      </c>
      <c r="H669" s="11" t="s">
        <v>188</v>
      </c>
      <c r="I669" s="11" t="s">
        <v>1136</v>
      </c>
      <c r="J669" s="11" t="s">
        <v>260</v>
      </c>
      <c r="K669" s="11" t="s">
        <v>468</v>
      </c>
    </row>
    <row r="670">
      <c r="A670" s="11" t="s">
        <v>461</v>
      </c>
      <c r="B670" s="11" t="s">
        <v>460</v>
      </c>
      <c r="C670" s="104" t="s">
        <v>1140</v>
      </c>
      <c r="D670" s="11" t="s">
        <v>1138</v>
      </c>
      <c r="E670" s="11">
        <v>1979.0</v>
      </c>
      <c r="F670" s="11">
        <v>49.0</v>
      </c>
      <c r="G670" s="11" t="s">
        <v>188</v>
      </c>
      <c r="H670" s="11" t="s">
        <v>188</v>
      </c>
      <c r="I670" s="11" t="s">
        <v>1136</v>
      </c>
      <c r="J670" s="11" t="s">
        <v>260</v>
      </c>
      <c r="K670" s="11" t="s">
        <v>468</v>
      </c>
    </row>
    <row r="671">
      <c r="A671" s="11" t="s">
        <v>461</v>
      </c>
      <c r="B671" s="11" t="s">
        <v>460</v>
      </c>
      <c r="C671" s="104" t="s">
        <v>1140</v>
      </c>
      <c r="D671" s="11" t="s">
        <v>1138</v>
      </c>
      <c r="E671" s="11">
        <v>1980.0</v>
      </c>
      <c r="F671" s="11">
        <v>50.0</v>
      </c>
      <c r="G671" s="11" t="s">
        <v>188</v>
      </c>
      <c r="H671" s="11" t="s">
        <v>188</v>
      </c>
      <c r="I671" s="11" t="s">
        <v>1136</v>
      </c>
      <c r="J671" s="11" t="s">
        <v>260</v>
      </c>
      <c r="K671" s="11" t="s">
        <v>468</v>
      </c>
    </row>
    <row r="672">
      <c r="A672" s="11" t="s">
        <v>461</v>
      </c>
      <c r="B672" s="11" t="s">
        <v>460</v>
      </c>
      <c r="C672" s="104" t="s">
        <v>1140</v>
      </c>
      <c r="D672" s="11" t="s">
        <v>1138</v>
      </c>
      <c r="E672" s="11">
        <v>1981.0</v>
      </c>
      <c r="F672" s="11">
        <v>50.0</v>
      </c>
      <c r="G672" s="11" t="s">
        <v>188</v>
      </c>
      <c r="H672" s="11" t="s">
        <v>188</v>
      </c>
      <c r="I672" s="11" t="s">
        <v>1136</v>
      </c>
      <c r="J672" s="11" t="s">
        <v>260</v>
      </c>
      <c r="K672" s="11" t="s">
        <v>468</v>
      </c>
    </row>
    <row r="673">
      <c r="A673" s="11" t="s">
        <v>461</v>
      </c>
      <c r="B673" s="11" t="s">
        <v>460</v>
      </c>
      <c r="C673" s="104" t="s">
        <v>1140</v>
      </c>
      <c r="D673" s="11" t="s">
        <v>1138</v>
      </c>
      <c r="E673" s="11">
        <v>1982.0</v>
      </c>
      <c r="F673" s="11">
        <v>50.0</v>
      </c>
      <c r="G673" s="11" t="s">
        <v>188</v>
      </c>
      <c r="H673" s="11" t="s">
        <v>188</v>
      </c>
      <c r="I673" s="11" t="s">
        <v>1136</v>
      </c>
      <c r="J673" s="11" t="s">
        <v>260</v>
      </c>
      <c r="K673" s="11" t="s">
        <v>468</v>
      </c>
    </row>
    <row r="674">
      <c r="A674" s="11" t="s">
        <v>461</v>
      </c>
      <c r="B674" s="11" t="s">
        <v>460</v>
      </c>
      <c r="C674" s="104" t="s">
        <v>1140</v>
      </c>
      <c r="D674" s="11" t="s">
        <v>1138</v>
      </c>
      <c r="E674" s="11">
        <v>1983.0</v>
      </c>
      <c r="F674" s="11">
        <v>46.0</v>
      </c>
      <c r="G674" s="11" t="s">
        <v>188</v>
      </c>
      <c r="H674" s="11" t="s">
        <v>188</v>
      </c>
      <c r="I674" s="11" t="s">
        <v>1136</v>
      </c>
      <c r="J674" s="11" t="s">
        <v>260</v>
      </c>
      <c r="K674" s="11" t="s">
        <v>468</v>
      </c>
    </row>
    <row r="675">
      <c r="A675" s="11" t="s">
        <v>461</v>
      </c>
      <c r="B675" s="11" t="s">
        <v>460</v>
      </c>
      <c r="C675" s="104" t="s">
        <v>1140</v>
      </c>
      <c r="D675" s="11" t="s">
        <v>1138</v>
      </c>
      <c r="E675" s="11">
        <v>1984.0</v>
      </c>
      <c r="F675" s="11">
        <v>44.0</v>
      </c>
      <c r="G675" s="11" t="s">
        <v>188</v>
      </c>
      <c r="H675" s="11" t="s">
        <v>188</v>
      </c>
      <c r="I675" s="11" t="s">
        <v>1136</v>
      </c>
      <c r="J675" s="11" t="s">
        <v>260</v>
      </c>
      <c r="K675" s="11" t="s">
        <v>468</v>
      </c>
    </row>
    <row r="676">
      <c r="A676" s="11" t="s">
        <v>461</v>
      </c>
      <c r="B676" s="11" t="s">
        <v>460</v>
      </c>
      <c r="C676" s="104" t="s">
        <v>1140</v>
      </c>
      <c r="D676" s="11" t="s">
        <v>1138</v>
      </c>
      <c r="E676" s="11">
        <v>1985.0</v>
      </c>
      <c r="F676" s="11">
        <v>42.0</v>
      </c>
      <c r="G676" s="11" t="s">
        <v>188</v>
      </c>
      <c r="H676" s="11" t="s">
        <v>188</v>
      </c>
      <c r="I676" s="11" t="s">
        <v>1136</v>
      </c>
      <c r="J676" s="11" t="s">
        <v>260</v>
      </c>
      <c r="K676" s="11" t="s">
        <v>468</v>
      </c>
    </row>
    <row r="677">
      <c r="A677" s="11" t="s">
        <v>461</v>
      </c>
      <c r="B677" s="11" t="s">
        <v>460</v>
      </c>
      <c r="C677" s="104" t="s">
        <v>1140</v>
      </c>
      <c r="D677" s="11" t="s">
        <v>1138</v>
      </c>
      <c r="E677" s="11">
        <v>1986.0</v>
      </c>
      <c r="F677" s="11">
        <v>46.0</v>
      </c>
      <c r="G677" s="11" t="s">
        <v>188</v>
      </c>
      <c r="H677" s="11" t="s">
        <v>188</v>
      </c>
      <c r="I677" s="11" t="s">
        <v>1136</v>
      </c>
      <c r="J677" s="11" t="s">
        <v>260</v>
      </c>
      <c r="K677" s="11" t="s">
        <v>468</v>
      </c>
    </row>
    <row r="678">
      <c r="A678" s="11" t="s">
        <v>461</v>
      </c>
      <c r="B678" s="11" t="s">
        <v>460</v>
      </c>
      <c r="C678" s="104" t="s">
        <v>1140</v>
      </c>
      <c r="D678" s="11" t="s">
        <v>1138</v>
      </c>
      <c r="E678" s="11">
        <v>1987.0</v>
      </c>
      <c r="F678" s="11">
        <v>50.0</v>
      </c>
      <c r="G678" s="11" t="s">
        <v>188</v>
      </c>
      <c r="H678" s="11" t="s">
        <v>188</v>
      </c>
      <c r="I678" s="11" t="s">
        <v>1136</v>
      </c>
      <c r="J678" s="11" t="s">
        <v>260</v>
      </c>
      <c r="K678" s="11" t="s">
        <v>468</v>
      </c>
    </row>
    <row r="679">
      <c r="A679" s="11" t="s">
        <v>461</v>
      </c>
      <c r="B679" s="11" t="s">
        <v>460</v>
      </c>
      <c r="C679" s="104" t="s">
        <v>1140</v>
      </c>
      <c r="D679" s="11" t="s">
        <v>1138</v>
      </c>
      <c r="E679" s="11">
        <v>1988.0</v>
      </c>
      <c r="F679" s="11">
        <v>55.0</v>
      </c>
      <c r="G679" s="11" t="s">
        <v>188</v>
      </c>
      <c r="H679" s="11" t="s">
        <v>188</v>
      </c>
      <c r="I679" s="11" t="s">
        <v>1136</v>
      </c>
      <c r="J679" s="11" t="s">
        <v>260</v>
      </c>
      <c r="K679" s="11" t="s">
        <v>468</v>
      </c>
    </row>
    <row r="680">
      <c r="A680" s="11" t="s">
        <v>461</v>
      </c>
      <c r="B680" s="11" t="s">
        <v>460</v>
      </c>
      <c r="C680" s="104" t="s">
        <v>1140</v>
      </c>
      <c r="D680" s="11" t="s">
        <v>1138</v>
      </c>
      <c r="E680" s="11">
        <v>1989.0</v>
      </c>
      <c r="F680" s="11">
        <v>55.0</v>
      </c>
      <c r="G680" s="11" t="s">
        <v>188</v>
      </c>
      <c r="H680" s="11" t="s">
        <v>188</v>
      </c>
      <c r="I680" s="11" t="s">
        <v>1136</v>
      </c>
      <c r="J680" s="11" t="s">
        <v>260</v>
      </c>
      <c r="K680" s="11" t="s">
        <v>468</v>
      </c>
    </row>
    <row r="681">
      <c r="A681" s="11" t="s">
        <v>461</v>
      </c>
      <c r="B681" s="11" t="s">
        <v>460</v>
      </c>
      <c r="C681" s="104" t="s">
        <v>1140</v>
      </c>
      <c r="D681" s="11" t="s">
        <v>1138</v>
      </c>
      <c r="E681" s="11">
        <v>1990.0</v>
      </c>
      <c r="F681" s="11">
        <v>63.0</v>
      </c>
      <c r="G681" s="11" t="s">
        <v>188</v>
      </c>
      <c r="H681" s="11" t="s">
        <v>188</v>
      </c>
      <c r="I681" s="11" t="s">
        <v>1136</v>
      </c>
      <c r="J681" s="11" t="s">
        <v>260</v>
      </c>
      <c r="K681" s="11" t="s">
        <v>468</v>
      </c>
    </row>
    <row r="682">
      <c r="A682" s="11" t="s">
        <v>461</v>
      </c>
      <c r="B682" s="11" t="s">
        <v>460</v>
      </c>
      <c r="C682" s="104" t="s">
        <v>1140</v>
      </c>
      <c r="D682" s="11" t="s">
        <v>1138</v>
      </c>
      <c r="E682" s="11">
        <v>1991.0</v>
      </c>
      <c r="F682" s="11">
        <v>64.0</v>
      </c>
      <c r="G682" s="11" t="s">
        <v>188</v>
      </c>
      <c r="H682" s="11" t="s">
        <v>188</v>
      </c>
      <c r="I682" s="11" t="s">
        <v>1136</v>
      </c>
      <c r="J682" s="11" t="s">
        <v>260</v>
      </c>
      <c r="K682" s="11" t="s">
        <v>468</v>
      </c>
    </row>
    <row r="683">
      <c r="A683" s="11" t="s">
        <v>461</v>
      </c>
      <c r="B683" s="11" t="s">
        <v>460</v>
      </c>
      <c r="C683" s="104" t="s">
        <v>1140</v>
      </c>
      <c r="D683" s="11" t="s">
        <v>1138</v>
      </c>
      <c r="E683" s="11">
        <v>1992.0</v>
      </c>
      <c r="F683" s="11">
        <v>69.0</v>
      </c>
      <c r="G683" s="11" t="s">
        <v>188</v>
      </c>
      <c r="H683" s="11" t="s">
        <v>188</v>
      </c>
      <c r="I683" s="11" t="s">
        <v>1136</v>
      </c>
      <c r="J683" s="11" t="s">
        <v>260</v>
      </c>
      <c r="K683" s="11" t="s">
        <v>468</v>
      </c>
    </row>
    <row r="684">
      <c r="A684" s="11" t="s">
        <v>461</v>
      </c>
      <c r="B684" s="11" t="s">
        <v>460</v>
      </c>
      <c r="C684" s="104" t="s">
        <v>1140</v>
      </c>
      <c r="D684" s="11" t="s">
        <v>1138</v>
      </c>
      <c r="E684" s="11">
        <v>1993.0</v>
      </c>
      <c r="F684" s="11">
        <v>72.0</v>
      </c>
      <c r="G684" s="11" t="s">
        <v>188</v>
      </c>
      <c r="H684" s="11" t="s">
        <v>188</v>
      </c>
      <c r="I684" s="11" t="s">
        <v>1136</v>
      </c>
      <c r="J684" s="11" t="s">
        <v>260</v>
      </c>
      <c r="K684" s="11" t="s">
        <v>468</v>
      </c>
    </row>
    <row r="685">
      <c r="A685" s="11" t="s">
        <v>461</v>
      </c>
      <c r="B685" s="11" t="s">
        <v>460</v>
      </c>
      <c r="C685" s="104" t="s">
        <v>1140</v>
      </c>
      <c r="D685" s="11" t="s">
        <v>1138</v>
      </c>
      <c r="E685" s="11">
        <v>1994.0</v>
      </c>
      <c r="F685" s="11">
        <v>71.0</v>
      </c>
      <c r="G685" s="11" t="s">
        <v>188</v>
      </c>
      <c r="H685" s="11" t="s">
        <v>188</v>
      </c>
      <c r="I685" s="11" t="s">
        <v>1136</v>
      </c>
      <c r="J685" s="11" t="s">
        <v>260</v>
      </c>
      <c r="K685" s="11" t="s">
        <v>468</v>
      </c>
    </row>
    <row r="686">
      <c r="A686" s="11" t="s">
        <v>461</v>
      </c>
      <c r="B686" s="11" t="s">
        <v>460</v>
      </c>
      <c r="C686" s="104" t="s">
        <v>1140</v>
      </c>
      <c r="D686" s="11" t="s">
        <v>1138</v>
      </c>
      <c r="E686" s="11">
        <v>1995.0</v>
      </c>
      <c r="F686" s="11">
        <v>69.0</v>
      </c>
      <c r="G686" s="11" t="s">
        <v>188</v>
      </c>
      <c r="H686" s="11" t="s">
        <v>188</v>
      </c>
      <c r="I686" s="11" t="s">
        <v>1136</v>
      </c>
      <c r="J686" s="11" t="s">
        <v>260</v>
      </c>
      <c r="K686" s="11" t="s">
        <v>468</v>
      </c>
    </row>
    <row r="687">
      <c r="A687" s="11" t="s">
        <v>461</v>
      </c>
      <c r="B687" s="11" t="s">
        <v>460</v>
      </c>
      <c r="C687" s="104" t="s">
        <v>1140</v>
      </c>
      <c r="D687" s="11" t="s">
        <v>1138</v>
      </c>
      <c r="E687" s="11">
        <v>1996.0</v>
      </c>
      <c r="F687" s="11">
        <v>67.0</v>
      </c>
      <c r="G687" s="11" t="s">
        <v>188</v>
      </c>
      <c r="H687" s="11" t="s">
        <v>188</v>
      </c>
      <c r="I687" s="11" t="s">
        <v>1136</v>
      </c>
      <c r="J687" s="11" t="s">
        <v>260</v>
      </c>
      <c r="K687" s="11" t="s">
        <v>468</v>
      </c>
    </row>
    <row r="688">
      <c r="A688" s="11" t="s">
        <v>461</v>
      </c>
      <c r="B688" s="11" t="s">
        <v>460</v>
      </c>
      <c r="C688" s="104" t="s">
        <v>1140</v>
      </c>
      <c r="D688" s="11" t="s">
        <v>1138</v>
      </c>
      <c r="E688" s="11">
        <v>1997.0</v>
      </c>
      <c r="F688" s="11">
        <v>61.0</v>
      </c>
      <c r="G688" s="11" t="s">
        <v>188</v>
      </c>
      <c r="H688" s="11" t="s">
        <v>188</v>
      </c>
      <c r="I688" s="11" t="s">
        <v>1136</v>
      </c>
      <c r="J688" s="11" t="s">
        <v>260</v>
      </c>
      <c r="K688" s="11" t="s">
        <v>468</v>
      </c>
    </row>
    <row r="689">
      <c r="A689" s="11" t="s">
        <v>461</v>
      </c>
      <c r="B689" s="11" t="s">
        <v>460</v>
      </c>
      <c r="C689" s="104" t="s">
        <v>1140</v>
      </c>
      <c r="D689" s="11" t="s">
        <v>1138</v>
      </c>
      <c r="E689" s="11">
        <v>1998.0</v>
      </c>
      <c r="F689" s="11">
        <v>60.0</v>
      </c>
      <c r="G689" s="11" t="s">
        <v>188</v>
      </c>
      <c r="H689" s="11" t="s">
        <v>188</v>
      </c>
      <c r="I689" s="11" t="s">
        <v>1136</v>
      </c>
      <c r="J689" s="11" t="s">
        <v>260</v>
      </c>
      <c r="K689" s="11" t="s">
        <v>468</v>
      </c>
    </row>
    <row r="690">
      <c r="A690" s="11" t="s">
        <v>461</v>
      </c>
      <c r="B690" s="11" t="s">
        <v>460</v>
      </c>
      <c r="C690" s="104" t="s">
        <v>1140</v>
      </c>
      <c r="D690" s="11" t="s">
        <v>1138</v>
      </c>
      <c r="E690" s="11">
        <v>1999.0</v>
      </c>
      <c r="F690" s="11">
        <v>56.0</v>
      </c>
      <c r="G690" s="11" t="s">
        <v>188</v>
      </c>
      <c r="H690" s="11" t="s">
        <v>188</v>
      </c>
      <c r="I690" s="11" t="s">
        <v>1136</v>
      </c>
      <c r="J690" s="11" t="s">
        <v>260</v>
      </c>
      <c r="K690" s="11" t="s">
        <v>468</v>
      </c>
    </row>
    <row r="691">
      <c r="A691" s="11" t="s">
        <v>461</v>
      </c>
      <c r="B691" s="11" t="s">
        <v>460</v>
      </c>
      <c r="C691" s="104" t="s">
        <v>1140</v>
      </c>
      <c r="D691" s="11" t="s">
        <v>1138</v>
      </c>
      <c r="E691" s="11">
        <v>2000.0</v>
      </c>
      <c r="F691" s="11">
        <v>54.0</v>
      </c>
      <c r="G691" s="11" t="s">
        <v>188</v>
      </c>
      <c r="H691" s="11" t="s">
        <v>188</v>
      </c>
      <c r="I691" s="11" t="s">
        <v>1136</v>
      </c>
      <c r="J691" s="11" t="s">
        <v>260</v>
      </c>
      <c r="K691" s="11" t="s">
        <v>468</v>
      </c>
    </row>
    <row r="692">
      <c r="A692" s="11" t="s">
        <v>461</v>
      </c>
      <c r="B692" s="11" t="s">
        <v>460</v>
      </c>
      <c r="C692" s="104" t="s">
        <v>1140</v>
      </c>
      <c r="D692" s="11" t="s">
        <v>1138</v>
      </c>
      <c r="E692" s="11">
        <v>2001.0</v>
      </c>
      <c r="F692" s="11">
        <v>54.0</v>
      </c>
      <c r="G692" s="11" t="s">
        <v>188</v>
      </c>
      <c r="H692" s="11" t="s">
        <v>188</v>
      </c>
      <c r="I692" s="11" t="s">
        <v>1136</v>
      </c>
      <c r="J692" s="11" t="s">
        <v>260</v>
      </c>
      <c r="K692" s="11" t="s">
        <v>468</v>
      </c>
    </row>
    <row r="693">
      <c r="A693" s="11" t="s">
        <v>461</v>
      </c>
      <c r="B693" s="11" t="s">
        <v>460</v>
      </c>
      <c r="C693" s="104" t="s">
        <v>1140</v>
      </c>
      <c r="D693" s="11" t="s">
        <v>1138</v>
      </c>
      <c r="E693" s="11">
        <v>2002.0</v>
      </c>
      <c r="F693" s="11">
        <v>50.0</v>
      </c>
      <c r="G693" s="11" t="s">
        <v>188</v>
      </c>
      <c r="H693" s="11" t="s">
        <v>188</v>
      </c>
      <c r="I693" s="11" t="s">
        <v>1136</v>
      </c>
      <c r="J693" s="11" t="s">
        <v>260</v>
      </c>
      <c r="K693" s="11" t="s">
        <v>468</v>
      </c>
    </row>
    <row r="694">
      <c r="A694" s="11" t="s">
        <v>461</v>
      </c>
      <c r="B694" s="11" t="s">
        <v>460</v>
      </c>
      <c r="C694" s="104" t="s">
        <v>1140</v>
      </c>
      <c r="D694" s="11" t="s">
        <v>1138</v>
      </c>
      <c r="E694" s="11">
        <v>2003.0</v>
      </c>
      <c r="F694" s="11">
        <v>47.0</v>
      </c>
      <c r="G694" s="11" t="s">
        <v>188</v>
      </c>
      <c r="H694" s="11" t="s">
        <v>188</v>
      </c>
      <c r="I694" s="11" t="s">
        <v>1136</v>
      </c>
      <c r="J694" s="11" t="s">
        <v>260</v>
      </c>
      <c r="K694" s="11" t="s">
        <v>468</v>
      </c>
    </row>
    <row r="695">
      <c r="A695" s="11" t="s">
        <v>461</v>
      </c>
      <c r="B695" s="11" t="s">
        <v>460</v>
      </c>
      <c r="C695" s="104" t="s">
        <v>1140</v>
      </c>
      <c r="D695" s="11" t="s">
        <v>1138</v>
      </c>
      <c r="E695" s="11">
        <v>2004.0</v>
      </c>
      <c r="F695" s="11">
        <v>46.0</v>
      </c>
      <c r="G695" s="11" t="s">
        <v>188</v>
      </c>
      <c r="H695" s="11" t="s">
        <v>188</v>
      </c>
      <c r="I695" s="11" t="s">
        <v>1136</v>
      </c>
      <c r="J695" s="11" t="s">
        <v>260</v>
      </c>
      <c r="K695" s="11" t="s">
        <v>468</v>
      </c>
    </row>
    <row r="696">
      <c r="A696" s="11" t="s">
        <v>461</v>
      </c>
      <c r="B696" s="11" t="s">
        <v>460</v>
      </c>
      <c r="C696" s="104" t="s">
        <v>1140</v>
      </c>
      <c r="D696" s="11" t="s">
        <v>1138</v>
      </c>
      <c r="E696" s="11">
        <v>2005.0</v>
      </c>
      <c r="F696" s="11">
        <v>48.0</v>
      </c>
      <c r="G696" s="11" t="s">
        <v>188</v>
      </c>
      <c r="H696" s="11" t="s">
        <v>188</v>
      </c>
      <c r="I696" s="11" t="s">
        <v>1136</v>
      </c>
      <c r="J696" s="11" t="s">
        <v>260</v>
      </c>
      <c r="K696" s="11" t="s">
        <v>468</v>
      </c>
    </row>
    <row r="697">
      <c r="A697" s="11" t="s">
        <v>461</v>
      </c>
      <c r="B697" s="11" t="s">
        <v>460</v>
      </c>
      <c r="C697" s="104" t="s">
        <v>1140</v>
      </c>
      <c r="D697" s="11" t="s">
        <v>1138</v>
      </c>
      <c r="E697" s="11">
        <v>2006.0</v>
      </c>
      <c r="F697" s="11">
        <v>48.0</v>
      </c>
      <c r="G697" s="11" t="s">
        <v>188</v>
      </c>
      <c r="H697" s="11" t="s">
        <v>188</v>
      </c>
      <c r="I697" s="11" t="s">
        <v>1136</v>
      </c>
      <c r="J697" s="11" t="s">
        <v>260</v>
      </c>
      <c r="K697" s="11" t="s">
        <v>468</v>
      </c>
    </row>
    <row r="698">
      <c r="A698" s="11" t="s">
        <v>461</v>
      </c>
      <c r="B698" s="11" t="s">
        <v>460</v>
      </c>
      <c r="C698" s="104" t="s">
        <v>1140</v>
      </c>
      <c r="D698" s="11" t="s">
        <v>1138</v>
      </c>
      <c r="E698" s="11">
        <v>1974.0</v>
      </c>
      <c r="F698" s="11">
        <v>70.0</v>
      </c>
      <c r="G698" s="11" t="s">
        <v>188</v>
      </c>
      <c r="H698" s="11" t="s">
        <v>188</v>
      </c>
      <c r="I698" s="11" t="s">
        <v>74</v>
      </c>
      <c r="J698" s="11" t="s">
        <v>260</v>
      </c>
      <c r="K698" s="11" t="s">
        <v>468</v>
      </c>
    </row>
    <row r="699">
      <c r="A699" s="11" t="s">
        <v>461</v>
      </c>
      <c r="B699" s="11" t="s">
        <v>460</v>
      </c>
      <c r="C699" s="104" t="s">
        <v>1140</v>
      </c>
      <c r="D699" s="11" t="s">
        <v>1138</v>
      </c>
      <c r="E699" s="11">
        <v>1975.0</v>
      </c>
      <c r="F699" s="11">
        <v>71.0</v>
      </c>
      <c r="G699" s="11" t="s">
        <v>188</v>
      </c>
      <c r="H699" s="11" t="s">
        <v>188</v>
      </c>
      <c r="I699" s="11" t="s">
        <v>74</v>
      </c>
      <c r="J699" s="11" t="s">
        <v>260</v>
      </c>
      <c r="K699" s="11" t="s">
        <v>468</v>
      </c>
    </row>
    <row r="700">
      <c r="A700" s="11" t="s">
        <v>461</v>
      </c>
      <c r="B700" s="11" t="s">
        <v>460</v>
      </c>
      <c r="C700" s="104" t="s">
        <v>1140</v>
      </c>
      <c r="D700" s="11" t="s">
        <v>1138</v>
      </c>
      <c r="E700" s="11">
        <v>1976.0</v>
      </c>
      <c r="F700" s="11">
        <v>70.0</v>
      </c>
      <c r="G700" s="11" t="s">
        <v>188</v>
      </c>
      <c r="H700" s="11" t="s">
        <v>188</v>
      </c>
      <c r="I700" s="11" t="s">
        <v>74</v>
      </c>
      <c r="J700" s="11" t="s">
        <v>260</v>
      </c>
      <c r="K700" s="11" t="s">
        <v>468</v>
      </c>
    </row>
    <row r="701">
      <c r="A701" s="11" t="s">
        <v>461</v>
      </c>
      <c r="B701" s="11" t="s">
        <v>460</v>
      </c>
      <c r="C701" s="104" t="s">
        <v>1140</v>
      </c>
      <c r="D701" s="11" t="s">
        <v>1138</v>
      </c>
      <c r="E701" s="11">
        <v>1977.0</v>
      </c>
      <c r="F701" s="11">
        <v>79.0</v>
      </c>
      <c r="G701" s="11" t="s">
        <v>188</v>
      </c>
      <c r="H701" s="11" t="s">
        <v>188</v>
      </c>
      <c r="I701" s="11" t="s">
        <v>74</v>
      </c>
      <c r="J701" s="11" t="s">
        <v>260</v>
      </c>
      <c r="K701" s="11" t="s">
        <v>468</v>
      </c>
    </row>
    <row r="702">
      <c r="A702" s="11" t="s">
        <v>461</v>
      </c>
      <c r="B702" s="11" t="s">
        <v>460</v>
      </c>
      <c r="C702" s="104" t="s">
        <v>1140</v>
      </c>
      <c r="D702" s="11" t="s">
        <v>1138</v>
      </c>
      <c r="E702" s="11">
        <v>1978.0</v>
      </c>
      <c r="F702" s="11">
        <v>79.0</v>
      </c>
      <c r="G702" s="11" t="s">
        <v>188</v>
      </c>
      <c r="H702" s="11" t="s">
        <v>188</v>
      </c>
      <c r="I702" s="11" t="s">
        <v>74</v>
      </c>
      <c r="J702" s="11" t="s">
        <v>260</v>
      </c>
      <c r="K702" s="11" t="s">
        <v>468</v>
      </c>
    </row>
    <row r="703">
      <c r="A703" s="11" t="s">
        <v>461</v>
      </c>
      <c r="B703" s="11" t="s">
        <v>460</v>
      </c>
      <c r="C703" s="104" t="s">
        <v>1140</v>
      </c>
      <c r="D703" s="11" t="s">
        <v>1138</v>
      </c>
      <c r="E703" s="11">
        <v>1979.0</v>
      </c>
      <c r="F703" s="11">
        <v>81.0</v>
      </c>
      <c r="G703" s="11" t="s">
        <v>188</v>
      </c>
      <c r="H703" s="11" t="s">
        <v>188</v>
      </c>
      <c r="I703" s="11" t="s">
        <v>74</v>
      </c>
      <c r="J703" s="11" t="s">
        <v>260</v>
      </c>
      <c r="K703" s="11" t="s">
        <v>468</v>
      </c>
    </row>
    <row r="704">
      <c r="A704" s="11" t="s">
        <v>461</v>
      </c>
      <c r="B704" s="11" t="s">
        <v>460</v>
      </c>
      <c r="C704" s="104" t="s">
        <v>1140</v>
      </c>
      <c r="D704" s="11" t="s">
        <v>1138</v>
      </c>
      <c r="E704" s="11">
        <v>1980.0</v>
      </c>
      <c r="F704" s="11">
        <v>83.0</v>
      </c>
      <c r="G704" s="11" t="s">
        <v>188</v>
      </c>
      <c r="H704" s="11" t="s">
        <v>188</v>
      </c>
      <c r="I704" s="11" t="s">
        <v>74</v>
      </c>
      <c r="J704" s="11" t="s">
        <v>260</v>
      </c>
      <c r="K704" s="11" t="s">
        <v>468</v>
      </c>
    </row>
    <row r="705">
      <c r="A705" s="11" t="s">
        <v>461</v>
      </c>
      <c r="B705" s="11" t="s">
        <v>460</v>
      </c>
      <c r="C705" s="104" t="s">
        <v>1140</v>
      </c>
      <c r="D705" s="11" t="s">
        <v>1138</v>
      </c>
      <c r="E705" s="11">
        <v>1981.0</v>
      </c>
      <c r="F705" s="11">
        <v>81.0</v>
      </c>
      <c r="G705" s="11" t="s">
        <v>188</v>
      </c>
      <c r="H705" s="11" t="s">
        <v>188</v>
      </c>
      <c r="I705" s="11" t="s">
        <v>74</v>
      </c>
      <c r="J705" s="11" t="s">
        <v>260</v>
      </c>
      <c r="K705" s="11" t="s">
        <v>468</v>
      </c>
    </row>
    <row r="706">
      <c r="A706" s="11" t="s">
        <v>461</v>
      </c>
      <c r="B706" s="11" t="s">
        <v>460</v>
      </c>
      <c r="C706" s="104" t="s">
        <v>1140</v>
      </c>
      <c r="D706" s="11" t="s">
        <v>1138</v>
      </c>
      <c r="E706" s="11">
        <v>1982.0</v>
      </c>
      <c r="F706" s="11">
        <v>78.0</v>
      </c>
      <c r="G706" s="11" t="s">
        <v>188</v>
      </c>
      <c r="H706" s="11" t="s">
        <v>188</v>
      </c>
      <c r="I706" s="11" t="s">
        <v>74</v>
      </c>
      <c r="J706" s="11" t="s">
        <v>260</v>
      </c>
      <c r="K706" s="11" t="s">
        <v>468</v>
      </c>
    </row>
    <row r="707">
      <c r="A707" s="11" t="s">
        <v>461</v>
      </c>
      <c r="B707" s="11" t="s">
        <v>460</v>
      </c>
      <c r="C707" s="104" t="s">
        <v>1140</v>
      </c>
      <c r="D707" s="11" t="s">
        <v>1138</v>
      </c>
      <c r="E707" s="11">
        <v>1983.0</v>
      </c>
      <c r="F707" s="11">
        <v>75.0</v>
      </c>
      <c r="G707" s="11" t="s">
        <v>188</v>
      </c>
      <c r="H707" s="11" t="s">
        <v>188</v>
      </c>
      <c r="I707" s="11" t="s">
        <v>74</v>
      </c>
      <c r="J707" s="11" t="s">
        <v>260</v>
      </c>
      <c r="K707" s="11" t="s">
        <v>468</v>
      </c>
    </row>
    <row r="708">
      <c r="A708" s="11" t="s">
        <v>461</v>
      </c>
      <c r="B708" s="11" t="s">
        <v>460</v>
      </c>
      <c r="C708" s="104" t="s">
        <v>1140</v>
      </c>
      <c r="D708" s="11" t="s">
        <v>1138</v>
      </c>
      <c r="E708" s="11">
        <v>1984.0</v>
      </c>
      <c r="F708" s="11">
        <v>73.0</v>
      </c>
      <c r="G708" s="11" t="s">
        <v>188</v>
      </c>
      <c r="H708" s="11" t="s">
        <v>188</v>
      </c>
      <c r="I708" s="11" t="s">
        <v>74</v>
      </c>
      <c r="J708" s="11" t="s">
        <v>260</v>
      </c>
      <c r="K708" s="11" t="s">
        <v>468</v>
      </c>
    </row>
    <row r="709">
      <c r="A709" s="11" t="s">
        <v>461</v>
      </c>
      <c r="B709" s="11" t="s">
        <v>460</v>
      </c>
      <c r="C709" s="104" t="s">
        <v>1140</v>
      </c>
      <c r="D709" s="11" t="s">
        <v>1138</v>
      </c>
      <c r="E709" s="11">
        <v>1985.0</v>
      </c>
      <c r="F709" s="11">
        <v>76.0</v>
      </c>
      <c r="G709" s="11" t="s">
        <v>188</v>
      </c>
      <c r="H709" s="11" t="s">
        <v>188</v>
      </c>
      <c r="I709" s="11" t="s">
        <v>74</v>
      </c>
      <c r="J709" s="11" t="s">
        <v>260</v>
      </c>
      <c r="K709" s="11" t="s">
        <v>468</v>
      </c>
    </row>
    <row r="710">
      <c r="A710" s="11" t="s">
        <v>461</v>
      </c>
      <c r="B710" s="11" t="s">
        <v>460</v>
      </c>
      <c r="C710" s="104" t="s">
        <v>1140</v>
      </c>
      <c r="D710" s="11" t="s">
        <v>1138</v>
      </c>
      <c r="E710" s="11">
        <v>1986.0</v>
      </c>
      <c r="F710" s="11">
        <v>80.0</v>
      </c>
      <c r="G710" s="11" t="s">
        <v>188</v>
      </c>
      <c r="H710" s="11" t="s">
        <v>188</v>
      </c>
      <c r="I710" s="11" t="s">
        <v>74</v>
      </c>
      <c r="J710" s="11" t="s">
        <v>260</v>
      </c>
      <c r="K710" s="11" t="s">
        <v>468</v>
      </c>
    </row>
    <row r="711">
      <c r="A711" s="11" t="s">
        <v>461</v>
      </c>
      <c r="B711" s="11" t="s">
        <v>460</v>
      </c>
      <c r="C711" s="104" t="s">
        <v>1140</v>
      </c>
      <c r="D711" s="11" t="s">
        <v>1138</v>
      </c>
      <c r="E711" s="11">
        <v>1987.0</v>
      </c>
      <c r="F711" s="11">
        <v>83.0</v>
      </c>
      <c r="G711" s="11" t="s">
        <v>188</v>
      </c>
      <c r="H711" s="11" t="s">
        <v>188</v>
      </c>
      <c r="I711" s="11" t="s">
        <v>74</v>
      </c>
      <c r="J711" s="11" t="s">
        <v>260</v>
      </c>
      <c r="K711" s="11" t="s">
        <v>468</v>
      </c>
    </row>
    <row r="712">
      <c r="A712" s="11" t="s">
        <v>461</v>
      </c>
      <c r="B712" s="11" t="s">
        <v>460</v>
      </c>
      <c r="C712" s="104" t="s">
        <v>1140</v>
      </c>
      <c r="D712" s="11" t="s">
        <v>1138</v>
      </c>
      <c r="E712" s="11">
        <v>1988.0</v>
      </c>
      <c r="F712" s="11">
        <v>84.0</v>
      </c>
      <c r="G712" s="11" t="s">
        <v>188</v>
      </c>
      <c r="H712" s="11" t="s">
        <v>188</v>
      </c>
      <c r="I712" s="11" t="s">
        <v>74</v>
      </c>
      <c r="J712" s="11" t="s">
        <v>260</v>
      </c>
      <c r="K712" s="11" t="s">
        <v>468</v>
      </c>
    </row>
    <row r="713">
      <c r="A713" s="11" t="s">
        <v>461</v>
      </c>
      <c r="B713" s="11" t="s">
        <v>460</v>
      </c>
      <c r="C713" s="104" t="s">
        <v>1140</v>
      </c>
      <c r="D713" s="11" t="s">
        <v>1138</v>
      </c>
      <c r="E713" s="11">
        <v>1989.0</v>
      </c>
      <c r="F713" s="11">
        <v>84.0</v>
      </c>
      <c r="G713" s="11" t="s">
        <v>188</v>
      </c>
      <c r="H713" s="11" t="s">
        <v>188</v>
      </c>
      <c r="I713" s="11" t="s">
        <v>74</v>
      </c>
      <c r="J713" s="11" t="s">
        <v>260</v>
      </c>
      <c r="K713" s="11" t="s">
        <v>468</v>
      </c>
    </row>
    <row r="714">
      <c r="A714" s="11" t="s">
        <v>461</v>
      </c>
      <c r="B714" s="11" t="s">
        <v>460</v>
      </c>
      <c r="C714" s="104" t="s">
        <v>1140</v>
      </c>
      <c r="D714" s="11" t="s">
        <v>1138</v>
      </c>
      <c r="E714" s="11">
        <v>1990.0</v>
      </c>
      <c r="F714" s="11">
        <v>87.0</v>
      </c>
      <c r="G714" s="11" t="s">
        <v>188</v>
      </c>
      <c r="H714" s="11" t="s">
        <v>188</v>
      </c>
      <c r="I714" s="11" t="s">
        <v>74</v>
      </c>
      <c r="J714" s="11" t="s">
        <v>260</v>
      </c>
      <c r="K714" s="11" t="s">
        <v>468</v>
      </c>
    </row>
    <row r="715">
      <c r="A715" s="11" t="s">
        <v>461</v>
      </c>
      <c r="B715" s="11" t="s">
        <v>460</v>
      </c>
      <c r="C715" s="104" t="s">
        <v>1140</v>
      </c>
      <c r="D715" s="11" t="s">
        <v>1138</v>
      </c>
      <c r="E715" s="11">
        <v>1991.0</v>
      </c>
      <c r="F715" s="11">
        <v>91.0</v>
      </c>
      <c r="G715" s="11" t="s">
        <v>188</v>
      </c>
      <c r="H715" s="11" t="s">
        <v>188</v>
      </c>
      <c r="I715" s="11" t="s">
        <v>74</v>
      </c>
      <c r="J715" s="11" t="s">
        <v>260</v>
      </c>
      <c r="K715" s="11" t="s">
        <v>468</v>
      </c>
    </row>
    <row r="716">
      <c r="A716" s="11" t="s">
        <v>461</v>
      </c>
      <c r="B716" s="11" t="s">
        <v>460</v>
      </c>
      <c r="C716" s="104" t="s">
        <v>1140</v>
      </c>
      <c r="D716" s="11" t="s">
        <v>1138</v>
      </c>
      <c r="E716" s="11">
        <v>1992.0</v>
      </c>
      <c r="F716" s="11">
        <v>90.0</v>
      </c>
      <c r="G716" s="11" t="s">
        <v>188</v>
      </c>
      <c r="H716" s="11" t="s">
        <v>188</v>
      </c>
      <c r="I716" s="11" t="s">
        <v>74</v>
      </c>
      <c r="J716" s="11" t="s">
        <v>260</v>
      </c>
      <c r="K716" s="11" t="s">
        <v>468</v>
      </c>
    </row>
    <row r="717">
      <c r="A717" s="11" t="s">
        <v>461</v>
      </c>
      <c r="B717" s="11" t="s">
        <v>460</v>
      </c>
      <c r="C717" s="104" t="s">
        <v>1140</v>
      </c>
      <c r="D717" s="11" t="s">
        <v>1138</v>
      </c>
      <c r="E717" s="11">
        <v>1993.0</v>
      </c>
      <c r="F717" s="11">
        <v>96.0</v>
      </c>
      <c r="G717" s="11" t="s">
        <v>188</v>
      </c>
      <c r="H717" s="11" t="s">
        <v>188</v>
      </c>
      <c r="I717" s="11" t="s">
        <v>74</v>
      </c>
      <c r="J717" s="11" t="s">
        <v>260</v>
      </c>
      <c r="K717" s="11" t="s">
        <v>468</v>
      </c>
    </row>
    <row r="718">
      <c r="A718" s="11" t="s">
        <v>461</v>
      </c>
      <c r="B718" s="11" t="s">
        <v>460</v>
      </c>
      <c r="C718" s="104" t="s">
        <v>1140</v>
      </c>
      <c r="D718" s="11" t="s">
        <v>1138</v>
      </c>
      <c r="E718" s="11">
        <v>1994.0</v>
      </c>
      <c r="F718" s="11">
        <v>95.0</v>
      </c>
      <c r="G718" s="11" t="s">
        <v>188</v>
      </c>
      <c r="H718" s="11" t="s">
        <v>188</v>
      </c>
      <c r="I718" s="11" t="s">
        <v>74</v>
      </c>
      <c r="J718" s="11" t="s">
        <v>260</v>
      </c>
      <c r="K718" s="11" t="s">
        <v>468</v>
      </c>
    </row>
    <row r="719">
      <c r="A719" s="11" t="s">
        <v>461</v>
      </c>
      <c r="B719" s="11" t="s">
        <v>460</v>
      </c>
      <c r="C719" s="104" t="s">
        <v>1140</v>
      </c>
      <c r="D719" s="11" t="s">
        <v>1138</v>
      </c>
      <c r="E719" s="11">
        <v>1995.0</v>
      </c>
      <c r="F719" s="11">
        <v>97.0</v>
      </c>
      <c r="G719" s="11" t="s">
        <v>188</v>
      </c>
      <c r="H719" s="11" t="s">
        <v>188</v>
      </c>
      <c r="I719" s="11" t="s">
        <v>74</v>
      </c>
      <c r="J719" s="11" t="s">
        <v>260</v>
      </c>
      <c r="K719" s="11" t="s">
        <v>468</v>
      </c>
    </row>
    <row r="720">
      <c r="A720" s="11" t="s">
        <v>461</v>
      </c>
      <c r="B720" s="11" t="s">
        <v>460</v>
      </c>
      <c r="C720" s="104" t="s">
        <v>1140</v>
      </c>
      <c r="D720" s="11" t="s">
        <v>1138</v>
      </c>
      <c r="E720" s="11">
        <v>1996.0</v>
      </c>
      <c r="F720" s="11">
        <v>96.0</v>
      </c>
      <c r="G720" s="11" t="s">
        <v>188</v>
      </c>
      <c r="H720" s="11" t="s">
        <v>188</v>
      </c>
      <c r="I720" s="11" t="s">
        <v>74</v>
      </c>
      <c r="J720" s="11" t="s">
        <v>260</v>
      </c>
      <c r="K720" s="11" t="s">
        <v>468</v>
      </c>
    </row>
    <row r="721">
      <c r="A721" s="11" t="s">
        <v>461</v>
      </c>
      <c r="B721" s="11" t="s">
        <v>460</v>
      </c>
      <c r="C721" s="104" t="s">
        <v>1140</v>
      </c>
      <c r="D721" s="11" t="s">
        <v>1138</v>
      </c>
      <c r="E721" s="11">
        <v>1997.0</v>
      </c>
      <c r="F721" s="11">
        <v>91.0</v>
      </c>
      <c r="G721" s="11" t="s">
        <v>188</v>
      </c>
      <c r="H721" s="11" t="s">
        <v>188</v>
      </c>
      <c r="I721" s="11" t="s">
        <v>74</v>
      </c>
      <c r="J721" s="11" t="s">
        <v>260</v>
      </c>
      <c r="K721" s="11" t="s">
        <v>468</v>
      </c>
    </row>
    <row r="722">
      <c r="A722" s="11" t="s">
        <v>461</v>
      </c>
      <c r="B722" s="11" t="s">
        <v>460</v>
      </c>
      <c r="C722" s="104" t="s">
        <v>1140</v>
      </c>
      <c r="D722" s="11" t="s">
        <v>1138</v>
      </c>
      <c r="E722" s="11">
        <v>1998.0</v>
      </c>
      <c r="F722" s="11">
        <v>88.0</v>
      </c>
      <c r="G722" s="11" t="s">
        <v>188</v>
      </c>
      <c r="H722" s="11" t="s">
        <v>188</v>
      </c>
      <c r="I722" s="11" t="s">
        <v>74</v>
      </c>
      <c r="J722" s="11" t="s">
        <v>260</v>
      </c>
      <c r="K722" s="11" t="s">
        <v>468</v>
      </c>
    </row>
    <row r="723">
      <c r="A723" s="11" t="s">
        <v>461</v>
      </c>
      <c r="B723" s="11" t="s">
        <v>460</v>
      </c>
      <c r="C723" s="104" t="s">
        <v>1140</v>
      </c>
      <c r="D723" s="11" t="s">
        <v>1138</v>
      </c>
      <c r="E723" s="11">
        <v>1999.0</v>
      </c>
      <c r="F723" s="11">
        <v>85.0</v>
      </c>
      <c r="G723" s="11" t="s">
        <v>188</v>
      </c>
      <c r="H723" s="11" t="s">
        <v>188</v>
      </c>
      <c r="I723" s="11" t="s">
        <v>74</v>
      </c>
      <c r="J723" s="11" t="s">
        <v>260</v>
      </c>
      <c r="K723" s="11" t="s">
        <v>468</v>
      </c>
    </row>
    <row r="724">
      <c r="A724" s="11" t="s">
        <v>461</v>
      </c>
      <c r="B724" s="11" t="s">
        <v>460</v>
      </c>
      <c r="C724" s="104" t="s">
        <v>1140</v>
      </c>
      <c r="D724" s="11" t="s">
        <v>1138</v>
      </c>
      <c r="E724" s="11">
        <v>2000.0</v>
      </c>
      <c r="F724" s="11">
        <v>83.0</v>
      </c>
      <c r="G724" s="11" t="s">
        <v>188</v>
      </c>
      <c r="H724" s="11" t="s">
        <v>188</v>
      </c>
      <c r="I724" s="11" t="s">
        <v>74</v>
      </c>
      <c r="J724" s="11" t="s">
        <v>260</v>
      </c>
      <c r="K724" s="11" t="s">
        <v>468</v>
      </c>
    </row>
    <row r="725">
      <c r="A725" s="11" t="s">
        <v>461</v>
      </c>
      <c r="B725" s="11" t="s">
        <v>460</v>
      </c>
      <c r="C725" s="104" t="s">
        <v>1140</v>
      </c>
      <c r="D725" s="11" t="s">
        <v>1138</v>
      </c>
      <c r="E725" s="11">
        <v>2001.0</v>
      </c>
      <c r="F725" s="11">
        <v>79.0</v>
      </c>
      <c r="G725" s="11" t="s">
        <v>188</v>
      </c>
      <c r="H725" s="11" t="s">
        <v>188</v>
      </c>
      <c r="I725" s="11" t="s">
        <v>74</v>
      </c>
      <c r="J725" s="11" t="s">
        <v>260</v>
      </c>
      <c r="K725" s="11" t="s">
        <v>468</v>
      </c>
    </row>
    <row r="726">
      <c r="A726" s="11" t="s">
        <v>461</v>
      </c>
      <c r="B726" s="11" t="s">
        <v>460</v>
      </c>
      <c r="C726" s="104" t="s">
        <v>1140</v>
      </c>
      <c r="D726" s="11" t="s">
        <v>1138</v>
      </c>
      <c r="E726" s="11">
        <v>2002.0</v>
      </c>
      <c r="F726" s="11">
        <v>82.0</v>
      </c>
      <c r="G726" s="11" t="s">
        <v>188</v>
      </c>
      <c r="H726" s="11" t="s">
        <v>188</v>
      </c>
      <c r="I726" s="11" t="s">
        <v>74</v>
      </c>
      <c r="J726" s="11" t="s">
        <v>260</v>
      </c>
      <c r="K726" s="11" t="s">
        <v>468</v>
      </c>
    </row>
    <row r="727">
      <c r="A727" s="11" t="s">
        <v>461</v>
      </c>
      <c r="B727" s="11" t="s">
        <v>460</v>
      </c>
      <c r="C727" s="104" t="s">
        <v>1140</v>
      </c>
      <c r="D727" s="11" t="s">
        <v>1138</v>
      </c>
      <c r="E727" s="11">
        <v>2003.0</v>
      </c>
      <c r="F727" s="11">
        <v>82.0</v>
      </c>
      <c r="G727" s="11" t="s">
        <v>188</v>
      </c>
      <c r="H727" s="11" t="s">
        <v>188</v>
      </c>
      <c r="I727" s="11" t="s">
        <v>74</v>
      </c>
      <c r="J727" s="11" t="s">
        <v>260</v>
      </c>
      <c r="K727" s="11" t="s">
        <v>468</v>
      </c>
    </row>
    <row r="728">
      <c r="A728" s="11" t="s">
        <v>461</v>
      </c>
      <c r="B728" s="11" t="s">
        <v>460</v>
      </c>
      <c r="C728" s="104" t="s">
        <v>1140</v>
      </c>
      <c r="D728" s="11" t="s">
        <v>1138</v>
      </c>
      <c r="E728" s="11">
        <v>2004.0</v>
      </c>
      <c r="F728" s="11">
        <v>86.0</v>
      </c>
      <c r="G728" s="11" t="s">
        <v>188</v>
      </c>
      <c r="H728" s="11" t="s">
        <v>188</v>
      </c>
      <c r="I728" s="11" t="s">
        <v>74</v>
      </c>
      <c r="J728" s="11" t="s">
        <v>260</v>
      </c>
      <c r="K728" s="11" t="s">
        <v>468</v>
      </c>
    </row>
    <row r="729">
      <c r="A729" s="11" t="s">
        <v>461</v>
      </c>
      <c r="B729" s="11" t="s">
        <v>460</v>
      </c>
      <c r="C729" s="104" t="s">
        <v>1140</v>
      </c>
      <c r="D729" s="11" t="s">
        <v>1138</v>
      </c>
      <c r="E729" s="11">
        <v>2005.0</v>
      </c>
      <c r="F729" s="11">
        <v>86.0</v>
      </c>
      <c r="G729" s="11" t="s">
        <v>188</v>
      </c>
      <c r="H729" s="11" t="s">
        <v>188</v>
      </c>
      <c r="I729" s="11" t="s">
        <v>74</v>
      </c>
      <c r="J729" s="11" t="s">
        <v>260</v>
      </c>
      <c r="K729" s="11" t="s">
        <v>468</v>
      </c>
    </row>
    <row r="730">
      <c r="A730" s="11" t="s">
        <v>461</v>
      </c>
      <c r="B730" s="11" t="s">
        <v>460</v>
      </c>
      <c r="C730" s="104" t="s">
        <v>1140</v>
      </c>
      <c r="D730" s="11" t="s">
        <v>1138</v>
      </c>
      <c r="E730" s="11">
        <v>2006.0</v>
      </c>
      <c r="F730" s="11">
        <v>85.0</v>
      </c>
      <c r="G730" s="11" t="s">
        <v>188</v>
      </c>
      <c r="H730" s="11" t="s">
        <v>188</v>
      </c>
      <c r="I730" s="11" t="s">
        <v>74</v>
      </c>
      <c r="J730" s="11" t="s">
        <v>260</v>
      </c>
      <c r="K730" s="11" t="s">
        <v>468</v>
      </c>
    </row>
    <row r="731">
      <c r="A731" s="11" t="s">
        <v>91</v>
      </c>
      <c r="B731" s="11" t="s">
        <v>89</v>
      </c>
      <c r="C731" s="104" t="s">
        <v>1141</v>
      </c>
      <c r="D731" s="11" t="s">
        <v>1142</v>
      </c>
      <c r="E731" s="11">
        <v>1978.0</v>
      </c>
      <c r="F731" s="11">
        <v>4830.0</v>
      </c>
      <c r="G731" s="11">
        <v>3311.0</v>
      </c>
      <c r="H731" s="11">
        <v>6228.0</v>
      </c>
      <c r="I731" s="11" t="s">
        <v>74</v>
      </c>
      <c r="J731" s="11" t="s">
        <v>260</v>
      </c>
      <c r="K731" s="11" t="s">
        <v>476</v>
      </c>
      <c r="L731" s="11" t="s">
        <v>1143</v>
      </c>
    </row>
    <row r="732">
      <c r="A732" s="11" t="s">
        <v>91</v>
      </c>
      <c r="B732" s="11" t="s">
        <v>89</v>
      </c>
      <c r="C732" s="104" t="s">
        <v>1141</v>
      </c>
      <c r="D732" s="11" t="s">
        <v>1142</v>
      </c>
      <c r="E732" s="11">
        <v>1980.0</v>
      </c>
      <c r="F732" s="11">
        <v>3939.0</v>
      </c>
      <c r="G732" s="11">
        <v>2542.0</v>
      </c>
      <c r="H732" s="11">
        <v>5215.0</v>
      </c>
      <c r="I732" s="11" t="s">
        <v>74</v>
      </c>
      <c r="J732" s="11" t="s">
        <v>260</v>
      </c>
      <c r="K732" s="11" t="s">
        <v>476</v>
      </c>
    </row>
    <row r="733">
      <c r="A733" s="11" t="s">
        <v>91</v>
      </c>
      <c r="B733" s="11" t="s">
        <v>89</v>
      </c>
      <c r="C733" s="104" t="s">
        <v>1141</v>
      </c>
      <c r="D733" s="11" t="s">
        <v>1142</v>
      </c>
      <c r="E733" s="11">
        <v>1981.0</v>
      </c>
      <c r="F733" s="11">
        <v>4527.0</v>
      </c>
      <c r="G733" s="11">
        <v>3251.0</v>
      </c>
      <c r="H733" s="11">
        <v>5722.0</v>
      </c>
      <c r="I733" s="11" t="s">
        <v>74</v>
      </c>
      <c r="J733" s="11" t="s">
        <v>260</v>
      </c>
      <c r="K733" s="11" t="s">
        <v>476</v>
      </c>
    </row>
    <row r="734">
      <c r="A734" s="11" t="s">
        <v>91</v>
      </c>
      <c r="B734" s="11" t="s">
        <v>89</v>
      </c>
      <c r="C734" s="104" t="s">
        <v>1141</v>
      </c>
      <c r="D734" s="11" t="s">
        <v>1142</v>
      </c>
      <c r="E734" s="11">
        <v>1982.0</v>
      </c>
      <c r="F734" s="11">
        <v>7443.0</v>
      </c>
      <c r="G734" s="11">
        <v>5316.0</v>
      </c>
      <c r="H734" s="11">
        <v>9529.0</v>
      </c>
      <c r="I734" s="11" t="s">
        <v>74</v>
      </c>
      <c r="J734" s="11" t="s">
        <v>260</v>
      </c>
      <c r="K734" s="11" t="s">
        <v>476</v>
      </c>
    </row>
    <row r="735">
      <c r="A735" s="11" t="s">
        <v>91</v>
      </c>
      <c r="B735" s="11" t="s">
        <v>89</v>
      </c>
      <c r="C735" s="104" t="s">
        <v>1141</v>
      </c>
      <c r="D735" s="11" t="s">
        <v>1142</v>
      </c>
      <c r="E735" s="11">
        <v>1983.0</v>
      </c>
      <c r="F735" s="11">
        <v>6633.0</v>
      </c>
      <c r="G735" s="11">
        <v>4304.0</v>
      </c>
      <c r="H735" s="11">
        <v>8881.0</v>
      </c>
      <c r="I735" s="11" t="s">
        <v>74</v>
      </c>
      <c r="J735" s="11" t="s">
        <v>260</v>
      </c>
      <c r="K735" s="11" t="s">
        <v>476</v>
      </c>
    </row>
    <row r="736">
      <c r="A736" s="11" t="s">
        <v>91</v>
      </c>
      <c r="B736" s="11" t="s">
        <v>89</v>
      </c>
      <c r="C736" s="104" t="s">
        <v>1141</v>
      </c>
      <c r="D736" s="11" t="s">
        <v>1142</v>
      </c>
      <c r="E736" s="11">
        <v>1985.0</v>
      </c>
      <c r="F736" s="11">
        <v>5803.0</v>
      </c>
      <c r="G736" s="11">
        <v>4304.0</v>
      </c>
      <c r="H736" s="11">
        <v>7241.0</v>
      </c>
      <c r="I736" s="11" t="s">
        <v>74</v>
      </c>
      <c r="J736" s="11" t="s">
        <v>260</v>
      </c>
      <c r="K736" s="11" t="s">
        <v>476</v>
      </c>
    </row>
    <row r="737">
      <c r="A737" s="11" t="s">
        <v>91</v>
      </c>
      <c r="B737" s="11" t="s">
        <v>89</v>
      </c>
      <c r="C737" s="104" t="s">
        <v>1141</v>
      </c>
      <c r="D737" s="11" t="s">
        <v>1142</v>
      </c>
      <c r="E737" s="11">
        <v>1986.0</v>
      </c>
      <c r="F737" s="11">
        <v>8982.0</v>
      </c>
      <c r="G737" s="11">
        <v>7018.0</v>
      </c>
      <c r="H737" s="11">
        <v>10866.0</v>
      </c>
      <c r="I737" s="11" t="s">
        <v>74</v>
      </c>
      <c r="J737" s="11" t="s">
        <v>260</v>
      </c>
      <c r="K737" s="11" t="s">
        <v>476</v>
      </c>
    </row>
    <row r="738">
      <c r="A738" s="11" t="s">
        <v>91</v>
      </c>
      <c r="B738" s="11" t="s">
        <v>89</v>
      </c>
      <c r="C738" s="104" t="s">
        <v>1141</v>
      </c>
      <c r="D738" s="11" t="s">
        <v>1142</v>
      </c>
      <c r="E738" s="11">
        <v>1987.0</v>
      </c>
      <c r="F738" s="11">
        <v>5337.0</v>
      </c>
      <c r="G738" s="11">
        <v>3554.0</v>
      </c>
      <c r="H738" s="11">
        <v>7038.0</v>
      </c>
      <c r="I738" s="11" t="s">
        <v>74</v>
      </c>
      <c r="J738" s="11" t="s">
        <v>260</v>
      </c>
      <c r="K738" s="11" t="s">
        <v>476</v>
      </c>
    </row>
    <row r="739">
      <c r="A739" s="11" t="s">
        <v>91</v>
      </c>
      <c r="B739" s="11" t="s">
        <v>89</v>
      </c>
      <c r="C739" s="104" t="s">
        <v>1141</v>
      </c>
      <c r="D739" s="11" t="s">
        <v>1142</v>
      </c>
      <c r="E739" s="11">
        <v>1988.0</v>
      </c>
      <c r="F739" s="11">
        <v>6997.0</v>
      </c>
      <c r="G739" s="11">
        <v>6127.0</v>
      </c>
      <c r="H739" s="11">
        <v>7787.0</v>
      </c>
      <c r="I739" s="11" t="s">
        <v>74</v>
      </c>
      <c r="J739" s="11" t="s">
        <v>260</v>
      </c>
      <c r="K739" s="11" t="s">
        <v>476</v>
      </c>
    </row>
    <row r="740">
      <c r="A740" s="11" t="s">
        <v>91</v>
      </c>
      <c r="B740" s="11" t="s">
        <v>89</v>
      </c>
      <c r="C740" s="104" t="s">
        <v>1141</v>
      </c>
      <c r="D740" s="11" t="s">
        <v>1142</v>
      </c>
      <c r="E740" s="11">
        <v>1993.0</v>
      </c>
      <c r="F740" s="11">
        <v>8233.0</v>
      </c>
      <c r="G740" s="11">
        <v>7605.0</v>
      </c>
      <c r="H740" s="11">
        <v>8780.0</v>
      </c>
      <c r="I740" s="11" t="s">
        <v>74</v>
      </c>
      <c r="J740" s="11" t="s">
        <v>260</v>
      </c>
      <c r="K740" s="11" t="s">
        <v>476</v>
      </c>
    </row>
    <row r="741">
      <c r="A741" s="11" t="s">
        <v>91</v>
      </c>
      <c r="B741" s="11" t="s">
        <v>89</v>
      </c>
      <c r="C741" s="104" t="s">
        <v>1141</v>
      </c>
      <c r="D741" s="11" t="s">
        <v>1142</v>
      </c>
      <c r="E741" s="11">
        <v>2001.0</v>
      </c>
      <c r="F741" s="11">
        <v>10623.0</v>
      </c>
      <c r="G741" s="11">
        <v>9246.0</v>
      </c>
      <c r="H741" s="11">
        <v>11939.0</v>
      </c>
      <c r="I741" s="11" t="s">
        <v>74</v>
      </c>
      <c r="J741" s="11" t="s">
        <v>260</v>
      </c>
      <c r="K741" s="11" t="s">
        <v>476</v>
      </c>
    </row>
    <row r="742">
      <c r="A742" s="11" t="s">
        <v>268</v>
      </c>
      <c r="B742" s="11" t="s">
        <v>388</v>
      </c>
      <c r="C742" s="104" t="s">
        <v>1147</v>
      </c>
      <c r="D742" s="11" t="s">
        <v>1148</v>
      </c>
      <c r="E742" s="11">
        <v>1991.0</v>
      </c>
      <c r="F742" s="11">
        <v>37500.0</v>
      </c>
      <c r="G742" s="11" t="s">
        <v>188</v>
      </c>
      <c r="H742" s="11" t="s">
        <v>188</v>
      </c>
      <c r="I742" s="11" t="s">
        <v>74</v>
      </c>
      <c r="J742" s="11" t="s">
        <v>160</v>
      </c>
      <c r="K742" s="11" t="s">
        <v>486</v>
      </c>
      <c r="L742" s="11" t="s">
        <v>1149</v>
      </c>
    </row>
    <row r="743">
      <c r="A743" s="11" t="s">
        <v>268</v>
      </c>
      <c r="B743" s="11" t="s">
        <v>388</v>
      </c>
      <c r="C743" s="104" t="s">
        <v>1147</v>
      </c>
      <c r="D743" s="11" t="s">
        <v>1148</v>
      </c>
      <c r="E743" s="11">
        <v>1992.0</v>
      </c>
      <c r="F743" s="11">
        <v>67500.0</v>
      </c>
      <c r="G743" s="11" t="s">
        <v>188</v>
      </c>
      <c r="H743" s="11" t="s">
        <v>188</v>
      </c>
      <c r="I743" s="11" t="s">
        <v>74</v>
      </c>
      <c r="J743" s="11" t="s">
        <v>160</v>
      </c>
      <c r="K743" s="11" t="s">
        <v>486</v>
      </c>
    </row>
    <row r="744">
      <c r="A744" s="11" t="s">
        <v>268</v>
      </c>
      <c r="B744" s="11" t="s">
        <v>388</v>
      </c>
      <c r="C744" s="104" t="s">
        <v>1147</v>
      </c>
      <c r="D744" s="11" t="s">
        <v>1148</v>
      </c>
      <c r="E744" s="11">
        <v>1995.0</v>
      </c>
      <c r="F744" s="11">
        <v>74000.0</v>
      </c>
      <c r="G744" s="11" t="s">
        <v>188</v>
      </c>
      <c r="H744" s="11" t="s">
        <v>188</v>
      </c>
      <c r="I744" s="11" t="s">
        <v>74</v>
      </c>
      <c r="J744" s="11" t="s">
        <v>160</v>
      </c>
      <c r="K744" s="11" t="s">
        <v>486</v>
      </c>
    </row>
    <row r="745">
      <c r="A745" s="11" t="s">
        <v>268</v>
      </c>
      <c r="B745" s="11" t="s">
        <v>388</v>
      </c>
      <c r="C745" s="104" t="s">
        <v>1147</v>
      </c>
      <c r="D745" s="11" t="s">
        <v>1148</v>
      </c>
      <c r="E745" s="11">
        <v>1999.0</v>
      </c>
      <c r="F745" s="11">
        <v>89700.0</v>
      </c>
      <c r="G745" s="11" t="s">
        <v>188</v>
      </c>
      <c r="H745" s="11" t="s">
        <v>188</v>
      </c>
      <c r="I745" s="11" t="s">
        <v>74</v>
      </c>
      <c r="J745" s="11" t="s">
        <v>160</v>
      </c>
      <c r="K745" s="11" t="s">
        <v>486</v>
      </c>
    </row>
    <row r="746">
      <c r="A746" s="120" t="s">
        <v>381</v>
      </c>
      <c r="B746" s="120" t="s">
        <v>20</v>
      </c>
      <c r="C746" s="120" t="s">
        <v>1150</v>
      </c>
      <c r="D746" s="120" t="s">
        <v>235</v>
      </c>
      <c r="E746" s="120"/>
      <c r="F746" s="120" t="s">
        <v>1077</v>
      </c>
      <c r="G746" s="120" t="s">
        <v>555</v>
      </c>
      <c r="H746" s="121">
        <v>1996.0</v>
      </c>
      <c r="I746" s="122">
        <v>28.0</v>
      </c>
      <c r="J746" s="123" t="s">
        <v>188</v>
      </c>
      <c r="K746" s="120" t="s">
        <v>188</v>
      </c>
      <c r="L746" s="124" t="s">
        <v>260</v>
      </c>
      <c r="M746" s="125" t="s">
        <v>421</v>
      </c>
      <c r="N746" s="120" t="s">
        <v>428</v>
      </c>
      <c r="O746" s="120"/>
      <c r="P746" s="120"/>
      <c r="Q746" s="120"/>
      <c r="R746" s="120"/>
      <c r="S746" s="120"/>
      <c r="T746" s="120"/>
      <c r="U746" s="120"/>
      <c r="V746" s="120"/>
      <c r="W746" s="120"/>
      <c r="X746" s="120"/>
      <c r="Y746" s="120"/>
      <c r="Z746" s="120"/>
      <c r="AA746" s="120"/>
      <c r="AB746" s="120"/>
      <c r="AC746" s="120"/>
      <c r="AD746" s="120"/>
      <c r="AE746" s="120"/>
      <c r="AF746" s="120"/>
      <c r="AG746" s="120"/>
      <c r="AH746" s="120"/>
    </row>
    <row r="747">
      <c r="A747" s="120" t="s">
        <v>381</v>
      </c>
      <c r="B747" s="120" t="s">
        <v>20</v>
      </c>
      <c r="C747" s="120" t="s">
        <v>1150</v>
      </c>
      <c r="D747" s="120" t="s">
        <v>235</v>
      </c>
      <c r="E747" s="120"/>
      <c r="F747" s="120" t="s">
        <v>1077</v>
      </c>
      <c r="G747" s="120" t="s">
        <v>555</v>
      </c>
      <c r="H747" s="121">
        <v>1997.0</v>
      </c>
      <c r="I747" s="122">
        <v>28.0</v>
      </c>
      <c r="J747" s="123" t="s">
        <v>188</v>
      </c>
      <c r="K747" s="120" t="s">
        <v>188</v>
      </c>
      <c r="L747" s="124" t="s">
        <v>260</v>
      </c>
      <c r="M747" s="125" t="s">
        <v>421</v>
      </c>
      <c r="N747" s="120" t="s">
        <v>428</v>
      </c>
      <c r="O747" s="120"/>
      <c r="P747" s="120"/>
      <c r="Q747" s="120"/>
      <c r="R747" s="120"/>
      <c r="S747" s="120"/>
      <c r="T747" s="120"/>
      <c r="U747" s="120"/>
      <c r="V747" s="120"/>
      <c r="W747" s="120"/>
      <c r="X747" s="120"/>
      <c r="Y747" s="120"/>
      <c r="Z747" s="120"/>
      <c r="AA747" s="120"/>
      <c r="AB747" s="120"/>
      <c r="AC747" s="120"/>
      <c r="AD747" s="120"/>
      <c r="AE747" s="120"/>
      <c r="AF747" s="120"/>
      <c r="AG747" s="120"/>
      <c r="AH747" s="120"/>
    </row>
    <row r="748">
      <c r="A748" s="120" t="s">
        <v>381</v>
      </c>
      <c r="B748" s="120" t="s">
        <v>20</v>
      </c>
      <c r="C748" s="120" t="s">
        <v>1150</v>
      </c>
      <c r="D748" s="120" t="s">
        <v>235</v>
      </c>
      <c r="E748" s="120"/>
      <c r="F748" s="120" t="s">
        <v>1077</v>
      </c>
      <c r="G748" s="120" t="s">
        <v>555</v>
      </c>
      <c r="H748" s="121">
        <v>1998.0</v>
      </c>
      <c r="I748" s="122">
        <v>14.0</v>
      </c>
      <c r="J748" s="123" t="s">
        <v>188</v>
      </c>
      <c r="K748" s="120" t="s">
        <v>188</v>
      </c>
      <c r="L748" s="124" t="s">
        <v>260</v>
      </c>
      <c r="M748" s="125" t="s">
        <v>421</v>
      </c>
      <c r="N748" s="120" t="s">
        <v>428</v>
      </c>
      <c r="O748" s="120"/>
      <c r="P748" s="120"/>
      <c r="Q748" s="120"/>
      <c r="R748" s="120"/>
      <c r="S748" s="120"/>
      <c r="T748" s="120"/>
      <c r="U748" s="120"/>
      <c r="V748" s="120"/>
      <c r="W748" s="120"/>
      <c r="X748" s="120"/>
      <c r="Y748" s="120"/>
      <c r="Z748" s="120"/>
      <c r="AA748" s="120"/>
      <c r="AB748" s="120"/>
      <c r="AC748" s="120"/>
      <c r="AD748" s="120"/>
      <c r="AE748" s="120"/>
      <c r="AF748" s="120"/>
      <c r="AG748" s="120"/>
      <c r="AH748" s="120"/>
    </row>
    <row r="749">
      <c r="A749" s="120" t="s">
        <v>381</v>
      </c>
      <c r="B749" s="120" t="s">
        <v>20</v>
      </c>
      <c r="C749" s="120" t="s">
        <v>1150</v>
      </c>
      <c r="D749" s="120" t="s">
        <v>235</v>
      </c>
      <c r="E749" s="120"/>
      <c r="F749" s="120" t="s">
        <v>1077</v>
      </c>
      <c r="G749" s="120" t="s">
        <v>555</v>
      </c>
      <c r="H749" s="121">
        <v>1999.0</v>
      </c>
      <c r="I749" s="122">
        <v>28.0</v>
      </c>
      <c r="J749" s="123" t="s">
        <v>188</v>
      </c>
      <c r="K749" s="120" t="s">
        <v>188</v>
      </c>
      <c r="L749" s="124" t="s">
        <v>260</v>
      </c>
      <c r="M749" s="125" t="s">
        <v>421</v>
      </c>
      <c r="N749" s="120" t="s">
        <v>428</v>
      </c>
      <c r="O749" s="120"/>
      <c r="P749" s="120"/>
      <c r="Q749" s="120"/>
      <c r="R749" s="120"/>
      <c r="S749" s="120"/>
      <c r="T749" s="120"/>
      <c r="U749" s="120"/>
      <c r="V749" s="120"/>
      <c r="W749" s="120"/>
      <c r="X749" s="120"/>
      <c r="Y749" s="120"/>
      <c r="Z749" s="120"/>
      <c r="AA749" s="120"/>
      <c r="AB749" s="120"/>
      <c r="AC749" s="120"/>
      <c r="AD749" s="120"/>
      <c r="AE749" s="120"/>
      <c r="AF749" s="120"/>
      <c r="AG749" s="120"/>
      <c r="AH749" s="120"/>
    </row>
    <row r="750">
      <c r="A750" s="120" t="s">
        <v>381</v>
      </c>
      <c r="B750" s="120" t="s">
        <v>20</v>
      </c>
      <c r="C750" s="120" t="s">
        <v>1150</v>
      </c>
      <c r="D750" s="120" t="s">
        <v>235</v>
      </c>
      <c r="E750" s="120"/>
      <c r="F750" s="120" t="s">
        <v>1077</v>
      </c>
      <c r="G750" s="120" t="s">
        <v>555</v>
      </c>
      <c r="H750" s="121">
        <v>2000.0</v>
      </c>
      <c r="I750" s="122">
        <v>28.0</v>
      </c>
      <c r="J750" s="123" t="s">
        <v>188</v>
      </c>
      <c r="K750" s="120" t="s">
        <v>188</v>
      </c>
      <c r="L750" s="124" t="s">
        <v>260</v>
      </c>
      <c r="M750" s="125" t="s">
        <v>421</v>
      </c>
      <c r="N750" s="120" t="s">
        <v>428</v>
      </c>
      <c r="O750" s="120"/>
      <c r="P750" s="120"/>
      <c r="Q750" s="120"/>
      <c r="R750" s="120"/>
      <c r="S750" s="120"/>
      <c r="T750" s="120"/>
      <c r="U750" s="120"/>
      <c r="V750" s="120"/>
      <c r="W750" s="120"/>
      <c r="X750" s="120"/>
      <c r="Y750" s="120"/>
      <c r="Z750" s="120"/>
      <c r="AA750" s="120"/>
      <c r="AB750" s="120"/>
      <c r="AC750" s="120"/>
      <c r="AD750" s="120"/>
      <c r="AE750" s="120"/>
      <c r="AF750" s="120"/>
      <c r="AG750" s="120"/>
      <c r="AH750" s="120"/>
    </row>
    <row r="751">
      <c r="A751" s="120" t="s">
        <v>381</v>
      </c>
      <c r="B751" s="120" t="s">
        <v>20</v>
      </c>
      <c r="C751" s="120" t="s">
        <v>1150</v>
      </c>
      <c r="D751" s="120" t="s">
        <v>235</v>
      </c>
      <c r="E751" s="120"/>
      <c r="F751" s="120" t="s">
        <v>1077</v>
      </c>
      <c r="G751" s="120" t="s">
        <v>555</v>
      </c>
      <c r="H751" s="121">
        <v>2001.0</v>
      </c>
      <c r="I751" s="122">
        <v>28.0</v>
      </c>
      <c r="J751" s="123" t="s">
        <v>188</v>
      </c>
      <c r="K751" s="120" t="s">
        <v>188</v>
      </c>
      <c r="L751" s="124" t="s">
        <v>260</v>
      </c>
      <c r="M751" s="125" t="s">
        <v>421</v>
      </c>
      <c r="N751" s="120" t="s">
        <v>428</v>
      </c>
      <c r="O751" s="120"/>
      <c r="P751" s="120"/>
      <c r="Q751" s="120"/>
      <c r="R751" s="120"/>
      <c r="S751" s="120"/>
      <c r="T751" s="120"/>
      <c r="U751" s="120"/>
      <c r="V751" s="120"/>
      <c r="W751" s="120"/>
      <c r="X751" s="120"/>
      <c r="Y751" s="120"/>
      <c r="Z751" s="120"/>
      <c r="AA751" s="120"/>
      <c r="AB751" s="120"/>
      <c r="AC751" s="120"/>
      <c r="AD751" s="120"/>
      <c r="AE751" s="120"/>
      <c r="AF751" s="120"/>
      <c r="AG751" s="120"/>
      <c r="AH751" s="120"/>
    </row>
    <row r="752">
      <c r="A752" s="120" t="s">
        <v>381</v>
      </c>
      <c r="B752" s="120" t="s">
        <v>20</v>
      </c>
      <c r="C752" s="120" t="s">
        <v>1150</v>
      </c>
      <c r="D752" s="120" t="s">
        <v>235</v>
      </c>
      <c r="E752" s="120"/>
      <c r="F752" s="120" t="s">
        <v>1077</v>
      </c>
      <c r="G752" s="120" t="s">
        <v>555</v>
      </c>
      <c r="H752" s="121">
        <v>2002.0</v>
      </c>
      <c r="I752" s="122">
        <v>57.0</v>
      </c>
      <c r="J752" s="123" t="s">
        <v>188</v>
      </c>
      <c r="K752" s="120" t="s">
        <v>188</v>
      </c>
      <c r="L752" s="124" t="s">
        <v>260</v>
      </c>
      <c r="M752" s="125" t="s">
        <v>421</v>
      </c>
      <c r="N752" s="120" t="s">
        <v>428</v>
      </c>
      <c r="O752" s="120"/>
      <c r="P752" s="120"/>
      <c r="Q752" s="120"/>
      <c r="R752" s="120"/>
      <c r="S752" s="120"/>
      <c r="T752" s="120"/>
      <c r="U752" s="120"/>
      <c r="V752" s="120"/>
      <c r="W752" s="120"/>
      <c r="X752" s="120"/>
      <c r="Y752" s="120"/>
      <c r="Z752" s="120"/>
      <c r="AA752" s="120"/>
      <c r="AB752" s="120"/>
      <c r="AC752" s="120"/>
      <c r="AD752" s="120"/>
      <c r="AE752" s="120"/>
      <c r="AF752" s="120"/>
      <c r="AG752" s="120"/>
      <c r="AH752" s="120"/>
    </row>
    <row r="753">
      <c r="A753" s="120" t="s">
        <v>381</v>
      </c>
      <c r="B753" s="120" t="s">
        <v>20</v>
      </c>
      <c r="C753" s="120" t="s">
        <v>1150</v>
      </c>
      <c r="D753" s="120" t="s">
        <v>235</v>
      </c>
      <c r="E753" s="120"/>
      <c r="F753" s="120" t="s">
        <v>1077</v>
      </c>
      <c r="G753" s="120" t="s">
        <v>555</v>
      </c>
      <c r="H753" s="121">
        <v>2003.0</v>
      </c>
      <c r="I753" s="122">
        <v>28.0</v>
      </c>
      <c r="J753" s="123" t="s">
        <v>188</v>
      </c>
      <c r="K753" s="120" t="s">
        <v>188</v>
      </c>
      <c r="L753" s="124" t="s">
        <v>260</v>
      </c>
      <c r="M753" s="125" t="s">
        <v>421</v>
      </c>
      <c r="N753" s="120" t="s">
        <v>428</v>
      </c>
      <c r="O753" s="120"/>
      <c r="P753" s="120"/>
      <c r="Q753" s="120"/>
      <c r="R753" s="120"/>
      <c r="S753" s="120"/>
      <c r="T753" s="120"/>
      <c r="U753" s="120"/>
      <c r="V753" s="120"/>
      <c r="W753" s="120"/>
      <c r="X753" s="120"/>
      <c r="Y753" s="120"/>
      <c r="Z753" s="120"/>
      <c r="AA753" s="120"/>
      <c r="AB753" s="120"/>
      <c r="AC753" s="120"/>
      <c r="AD753" s="120"/>
      <c r="AE753" s="120"/>
      <c r="AF753" s="120"/>
      <c r="AG753" s="120"/>
      <c r="AH753" s="120"/>
    </row>
    <row r="754">
      <c r="A754" s="120" t="s">
        <v>381</v>
      </c>
      <c r="B754" s="120" t="s">
        <v>20</v>
      </c>
      <c r="C754" s="120" t="s">
        <v>1150</v>
      </c>
      <c r="D754" s="120" t="s">
        <v>235</v>
      </c>
      <c r="E754" s="120"/>
      <c r="F754" s="120" t="s">
        <v>1077</v>
      </c>
      <c r="G754" s="120" t="s">
        <v>555</v>
      </c>
      <c r="H754" s="121">
        <v>2004.0</v>
      </c>
      <c r="I754" s="122">
        <v>57.0</v>
      </c>
      <c r="J754" s="123" t="s">
        <v>188</v>
      </c>
      <c r="K754" s="120" t="s">
        <v>188</v>
      </c>
      <c r="L754" s="124" t="s">
        <v>260</v>
      </c>
      <c r="M754" s="125" t="s">
        <v>421</v>
      </c>
      <c r="N754" s="120" t="s">
        <v>428</v>
      </c>
      <c r="O754" s="120"/>
      <c r="P754" s="120"/>
      <c r="Q754" s="120"/>
      <c r="R754" s="120"/>
      <c r="S754" s="120"/>
      <c r="T754" s="120"/>
      <c r="U754" s="120"/>
      <c r="V754" s="120"/>
      <c r="W754" s="120"/>
      <c r="X754" s="120"/>
      <c r="Y754" s="120"/>
      <c r="Z754" s="120"/>
      <c r="AA754" s="120"/>
      <c r="AB754" s="120"/>
      <c r="AC754" s="120"/>
      <c r="AD754" s="120"/>
      <c r="AE754" s="120"/>
      <c r="AF754" s="120"/>
      <c r="AG754" s="120"/>
      <c r="AH754" s="120"/>
    </row>
    <row r="755">
      <c r="A755" s="120" t="s">
        <v>381</v>
      </c>
      <c r="B755" s="120" t="s">
        <v>20</v>
      </c>
      <c r="C755" s="120" t="s">
        <v>1150</v>
      </c>
      <c r="D755" s="120" t="s">
        <v>235</v>
      </c>
      <c r="E755" s="120"/>
      <c r="F755" s="120" t="s">
        <v>1077</v>
      </c>
      <c r="G755" s="120" t="s">
        <v>555</v>
      </c>
      <c r="H755" s="121">
        <v>2005.0</v>
      </c>
      <c r="I755" s="122">
        <v>85.0</v>
      </c>
      <c r="J755" s="123" t="s">
        <v>188</v>
      </c>
      <c r="K755" s="120" t="s">
        <v>188</v>
      </c>
      <c r="L755" s="124" t="s">
        <v>260</v>
      </c>
      <c r="M755" s="125" t="s">
        <v>421</v>
      </c>
      <c r="N755" s="120" t="s">
        <v>428</v>
      </c>
      <c r="O755" s="120"/>
      <c r="P755" s="120"/>
      <c r="Q755" s="120"/>
      <c r="R755" s="120"/>
      <c r="S755" s="120"/>
      <c r="T755" s="120"/>
      <c r="U755" s="120"/>
      <c r="V755" s="120"/>
      <c r="W755" s="120"/>
      <c r="X755" s="120"/>
      <c r="Y755" s="120"/>
      <c r="Z755" s="120"/>
      <c r="AA755" s="120"/>
      <c r="AB755" s="120"/>
      <c r="AC755" s="120"/>
      <c r="AD755" s="120"/>
      <c r="AE755" s="120"/>
      <c r="AF755" s="120"/>
      <c r="AG755" s="120"/>
      <c r="AH755" s="120"/>
    </row>
    <row r="756">
      <c r="A756" s="120" t="s">
        <v>381</v>
      </c>
      <c r="B756" s="120" t="s">
        <v>20</v>
      </c>
      <c r="C756" s="120" t="s">
        <v>1150</v>
      </c>
      <c r="D756" s="120" t="s">
        <v>235</v>
      </c>
      <c r="E756" s="120"/>
      <c r="F756" s="120" t="s">
        <v>1077</v>
      </c>
      <c r="G756" s="120" t="s">
        <v>555</v>
      </c>
      <c r="H756" s="121">
        <v>2006.0</v>
      </c>
      <c r="I756" s="122">
        <v>313.0</v>
      </c>
      <c r="J756" s="123" t="s">
        <v>188</v>
      </c>
      <c r="K756" s="120" t="s">
        <v>188</v>
      </c>
      <c r="L756" s="124" t="s">
        <v>260</v>
      </c>
      <c r="M756" s="125" t="s">
        <v>421</v>
      </c>
      <c r="N756" s="120" t="s">
        <v>428</v>
      </c>
      <c r="O756" s="120"/>
      <c r="P756" s="120"/>
      <c r="Q756" s="120"/>
      <c r="R756" s="120"/>
      <c r="S756" s="120"/>
      <c r="T756" s="120"/>
      <c r="U756" s="120"/>
      <c r="V756" s="120"/>
      <c r="W756" s="120"/>
      <c r="X756" s="120"/>
      <c r="Y756" s="120"/>
      <c r="Z756" s="120"/>
      <c r="AA756" s="120"/>
      <c r="AB756" s="120"/>
      <c r="AC756" s="120"/>
      <c r="AD756" s="120"/>
      <c r="AE756" s="120"/>
      <c r="AF756" s="120"/>
      <c r="AG756" s="120"/>
      <c r="AH756" s="120"/>
    </row>
    <row r="757">
      <c r="A757" s="120" t="s">
        <v>381</v>
      </c>
      <c r="B757" s="120" t="s">
        <v>20</v>
      </c>
      <c r="C757" s="120" t="s">
        <v>1150</v>
      </c>
      <c r="D757" s="120" t="s">
        <v>235</v>
      </c>
      <c r="E757" s="120"/>
      <c r="F757" s="120" t="s">
        <v>1077</v>
      </c>
      <c r="G757" s="120" t="s">
        <v>555</v>
      </c>
      <c r="H757" s="121">
        <v>2007.0</v>
      </c>
      <c r="I757" s="122">
        <v>199.0</v>
      </c>
      <c r="J757" s="123" t="s">
        <v>188</v>
      </c>
      <c r="K757" s="120" t="s">
        <v>188</v>
      </c>
      <c r="L757" s="124" t="s">
        <v>260</v>
      </c>
      <c r="M757" s="125" t="s">
        <v>421</v>
      </c>
      <c r="N757" s="120" t="s">
        <v>428</v>
      </c>
      <c r="O757" s="120"/>
      <c r="P757" s="120"/>
      <c r="Q757" s="120"/>
      <c r="R757" s="120"/>
      <c r="S757" s="120"/>
      <c r="T757" s="120"/>
      <c r="U757" s="120"/>
      <c r="V757" s="120"/>
      <c r="W757" s="120"/>
      <c r="X757" s="120"/>
      <c r="Y757" s="120"/>
      <c r="Z757" s="120"/>
      <c r="AA757" s="120"/>
      <c r="AB757" s="120"/>
      <c r="AC757" s="120"/>
      <c r="AD757" s="120"/>
      <c r="AE757" s="120"/>
      <c r="AF757" s="120"/>
      <c r="AG757" s="120"/>
      <c r="AH757" s="120"/>
    </row>
    <row r="758">
      <c r="A758" s="120" t="s">
        <v>381</v>
      </c>
      <c r="B758" s="120" t="s">
        <v>20</v>
      </c>
      <c r="C758" s="120" t="s">
        <v>1150</v>
      </c>
      <c r="D758" s="120" t="s">
        <v>235</v>
      </c>
      <c r="E758" s="120"/>
      <c r="F758" s="120" t="s">
        <v>1077</v>
      </c>
      <c r="G758" s="120" t="s">
        <v>555</v>
      </c>
      <c r="H758" s="121">
        <v>2008.0</v>
      </c>
      <c r="I758" s="122">
        <v>199.0</v>
      </c>
      <c r="J758" s="123" t="s">
        <v>188</v>
      </c>
      <c r="K758" s="120" t="s">
        <v>188</v>
      </c>
      <c r="L758" s="124" t="s">
        <v>260</v>
      </c>
      <c r="M758" s="125" t="s">
        <v>421</v>
      </c>
      <c r="N758" s="120" t="s">
        <v>428</v>
      </c>
      <c r="O758" s="120"/>
      <c r="P758" s="120"/>
      <c r="Q758" s="120"/>
      <c r="R758" s="120"/>
      <c r="S758" s="120"/>
      <c r="T758" s="120"/>
      <c r="U758" s="120"/>
      <c r="V758" s="120"/>
      <c r="W758" s="120"/>
      <c r="X758" s="120"/>
      <c r="Y758" s="120"/>
      <c r="Z758" s="120"/>
      <c r="AA758" s="120"/>
      <c r="AB758" s="120"/>
      <c r="AC758" s="120"/>
      <c r="AD758" s="120"/>
      <c r="AE758" s="120"/>
      <c r="AF758" s="120"/>
      <c r="AG758" s="120"/>
      <c r="AH758" s="120"/>
    </row>
    <row r="759">
      <c r="A759" s="120" t="s">
        <v>381</v>
      </c>
      <c r="B759" s="120" t="s">
        <v>20</v>
      </c>
      <c r="C759" s="120" t="s">
        <v>1150</v>
      </c>
      <c r="D759" s="120" t="s">
        <v>235</v>
      </c>
      <c r="E759" s="120"/>
      <c r="F759" s="120" t="s">
        <v>1077</v>
      </c>
      <c r="G759" s="120" t="s">
        <v>555</v>
      </c>
      <c r="H759" s="121">
        <v>2009.0</v>
      </c>
      <c r="I759" s="122">
        <v>227.0</v>
      </c>
      <c r="J759" s="123" t="s">
        <v>188</v>
      </c>
      <c r="K759" s="120" t="s">
        <v>188</v>
      </c>
      <c r="L759" s="124" t="s">
        <v>260</v>
      </c>
      <c r="M759" s="125" t="s">
        <v>421</v>
      </c>
      <c r="N759" s="120" t="s">
        <v>428</v>
      </c>
      <c r="O759" s="120"/>
      <c r="P759" s="120"/>
      <c r="Q759" s="120"/>
      <c r="R759" s="120"/>
      <c r="S759" s="120"/>
      <c r="T759" s="120"/>
      <c r="U759" s="120"/>
      <c r="V759" s="120"/>
      <c r="W759" s="120"/>
      <c r="X759" s="120"/>
      <c r="Y759" s="120"/>
      <c r="Z759" s="120"/>
      <c r="AA759" s="120"/>
      <c r="AB759" s="120"/>
      <c r="AC759" s="120"/>
      <c r="AD759" s="120"/>
      <c r="AE759" s="120"/>
      <c r="AF759" s="120"/>
      <c r="AG759" s="120"/>
      <c r="AH759" s="120"/>
    </row>
    <row r="760">
      <c r="A760" s="120" t="s">
        <v>381</v>
      </c>
      <c r="B760" s="120" t="s">
        <v>20</v>
      </c>
      <c r="C760" s="120" t="s">
        <v>1150</v>
      </c>
      <c r="D760" s="120" t="s">
        <v>235</v>
      </c>
      <c r="E760" s="120"/>
      <c r="F760" s="120" t="s">
        <v>1077</v>
      </c>
      <c r="G760" s="120" t="s">
        <v>555</v>
      </c>
      <c r="H760" s="121">
        <v>2010.0</v>
      </c>
      <c r="I760" s="122">
        <v>398.0</v>
      </c>
      <c r="J760" s="123" t="s">
        <v>188</v>
      </c>
      <c r="K760" s="120" t="s">
        <v>188</v>
      </c>
      <c r="L760" s="124" t="s">
        <v>260</v>
      </c>
      <c r="M760" s="125" t="s">
        <v>421</v>
      </c>
      <c r="N760" s="120" t="s">
        <v>428</v>
      </c>
      <c r="O760" s="120"/>
      <c r="P760" s="120"/>
      <c r="Q760" s="120"/>
      <c r="R760" s="120"/>
      <c r="S760" s="120"/>
      <c r="T760" s="120"/>
      <c r="U760" s="120"/>
      <c r="V760" s="120"/>
      <c r="W760" s="120"/>
      <c r="X760" s="120"/>
      <c r="Y760" s="120"/>
      <c r="Z760" s="120"/>
      <c r="AA760" s="120"/>
      <c r="AB760" s="120"/>
      <c r="AC760" s="120"/>
      <c r="AD760" s="120"/>
      <c r="AE760" s="120"/>
      <c r="AF760" s="120"/>
      <c r="AG760" s="120"/>
      <c r="AH760" s="120"/>
    </row>
    <row r="761">
      <c r="A761" s="120" t="s">
        <v>381</v>
      </c>
      <c r="B761" s="120" t="s">
        <v>20</v>
      </c>
      <c r="C761" s="120" t="s">
        <v>1150</v>
      </c>
      <c r="D761" s="120" t="s">
        <v>235</v>
      </c>
      <c r="E761" s="120"/>
      <c r="F761" s="120" t="s">
        <v>1077</v>
      </c>
      <c r="G761" s="120" t="s">
        <v>555</v>
      </c>
      <c r="H761" s="121">
        <v>2011.0</v>
      </c>
      <c r="I761" s="122">
        <v>512.0</v>
      </c>
      <c r="J761" s="123" t="s">
        <v>188</v>
      </c>
      <c r="K761" s="120" t="s">
        <v>188</v>
      </c>
      <c r="L761" s="124" t="s">
        <v>260</v>
      </c>
      <c r="M761" s="125" t="s">
        <v>421</v>
      </c>
      <c r="N761" s="120" t="s">
        <v>428</v>
      </c>
      <c r="O761" s="120"/>
      <c r="P761" s="120"/>
      <c r="Q761" s="120"/>
      <c r="R761" s="120"/>
      <c r="S761" s="120"/>
      <c r="T761" s="120"/>
      <c r="U761" s="120"/>
      <c r="V761" s="120"/>
      <c r="W761" s="120"/>
      <c r="X761" s="120"/>
      <c r="Y761" s="120"/>
      <c r="Z761" s="120"/>
      <c r="AA761" s="120"/>
      <c r="AB761" s="120"/>
      <c r="AC761" s="120"/>
      <c r="AD761" s="120"/>
      <c r="AE761" s="120"/>
      <c r="AF761" s="120"/>
      <c r="AG761" s="120"/>
      <c r="AH761" s="120"/>
    </row>
    <row r="762">
      <c r="A762" s="120" t="s">
        <v>381</v>
      </c>
      <c r="B762" s="120" t="s">
        <v>20</v>
      </c>
      <c r="C762" s="120" t="s">
        <v>1150</v>
      </c>
      <c r="D762" s="120" t="s">
        <v>235</v>
      </c>
      <c r="E762" s="120"/>
      <c r="F762" s="120" t="s">
        <v>1077</v>
      </c>
      <c r="G762" s="120" t="s">
        <v>555</v>
      </c>
      <c r="H762" s="121">
        <v>2012.0</v>
      </c>
      <c r="I762" s="122">
        <v>597.0</v>
      </c>
      <c r="J762" s="123" t="s">
        <v>188</v>
      </c>
      <c r="K762" s="120" t="s">
        <v>188</v>
      </c>
      <c r="L762" s="124" t="s">
        <v>260</v>
      </c>
      <c r="M762" s="125" t="s">
        <v>421</v>
      </c>
      <c r="N762" s="120" t="s">
        <v>428</v>
      </c>
      <c r="O762" s="120"/>
      <c r="P762" s="120"/>
      <c r="Q762" s="120"/>
      <c r="R762" s="120"/>
      <c r="S762" s="120"/>
      <c r="T762" s="120"/>
      <c r="U762" s="120"/>
      <c r="V762" s="120"/>
      <c r="W762" s="120"/>
      <c r="X762" s="120"/>
      <c r="Y762" s="120"/>
      <c r="Z762" s="120"/>
      <c r="AA762" s="120"/>
      <c r="AB762" s="120"/>
      <c r="AC762" s="120"/>
      <c r="AD762" s="120"/>
      <c r="AE762" s="120"/>
      <c r="AF762" s="120"/>
      <c r="AG762" s="120"/>
      <c r="AH762" s="120"/>
    </row>
    <row r="763">
      <c r="A763" s="120" t="s">
        <v>381</v>
      </c>
      <c r="B763" s="120" t="s">
        <v>20</v>
      </c>
      <c r="C763" s="120" t="s">
        <v>1150</v>
      </c>
      <c r="D763" s="120" t="s">
        <v>235</v>
      </c>
      <c r="E763" s="120"/>
      <c r="F763" s="120" t="s">
        <v>1077</v>
      </c>
      <c r="G763" s="120" t="s">
        <v>555</v>
      </c>
      <c r="H763" s="121">
        <v>2013.0</v>
      </c>
      <c r="I763" s="122">
        <v>398.0</v>
      </c>
      <c r="J763" s="123" t="s">
        <v>188</v>
      </c>
      <c r="K763" s="120" t="s">
        <v>188</v>
      </c>
      <c r="L763" s="124" t="s">
        <v>260</v>
      </c>
      <c r="M763" s="125" t="s">
        <v>421</v>
      </c>
      <c r="N763" s="120" t="s">
        <v>428</v>
      </c>
      <c r="O763" s="120"/>
      <c r="P763" s="120"/>
      <c r="Q763" s="120"/>
      <c r="R763" s="120"/>
      <c r="S763" s="120"/>
      <c r="T763" s="120"/>
      <c r="U763" s="120"/>
      <c r="V763" s="120"/>
      <c r="W763" s="120"/>
      <c r="X763" s="120"/>
      <c r="Y763" s="120"/>
      <c r="Z763" s="120"/>
      <c r="AA763" s="120"/>
      <c r="AB763" s="120"/>
      <c r="AC763" s="120"/>
      <c r="AD763" s="120"/>
      <c r="AE763" s="120"/>
      <c r="AF763" s="120"/>
      <c r="AG763" s="120"/>
      <c r="AH763" s="120"/>
    </row>
    <row r="764">
      <c r="A764" s="120" t="s">
        <v>381</v>
      </c>
      <c r="B764" s="120" t="s">
        <v>20</v>
      </c>
      <c r="C764" s="120" t="s">
        <v>1150</v>
      </c>
      <c r="D764" s="120" t="s">
        <v>235</v>
      </c>
      <c r="E764" s="120"/>
      <c r="F764" s="120" t="s">
        <v>1077</v>
      </c>
      <c r="G764" s="120" t="s">
        <v>555</v>
      </c>
      <c r="H764" s="121">
        <v>2014.0</v>
      </c>
      <c r="I764" s="122">
        <v>682.0</v>
      </c>
      <c r="J764" s="123" t="s">
        <v>188</v>
      </c>
      <c r="K764" s="120" t="s">
        <v>188</v>
      </c>
      <c r="L764" s="124" t="s">
        <v>260</v>
      </c>
      <c r="M764" s="125" t="s">
        <v>421</v>
      </c>
      <c r="N764" s="120" t="s">
        <v>428</v>
      </c>
      <c r="O764" s="120"/>
      <c r="P764" s="120"/>
      <c r="Q764" s="120"/>
      <c r="R764" s="120"/>
      <c r="S764" s="120"/>
      <c r="T764" s="120"/>
      <c r="U764" s="120"/>
      <c r="V764" s="120"/>
      <c r="W764" s="120"/>
      <c r="X764" s="120"/>
      <c r="Y764" s="120"/>
      <c r="Z764" s="120"/>
      <c r="AA764" s="120"/>
      <c r="AB764" s="120"/>
      <c r="AC764" s="120"/>
      <c r="AD764" s="120"/>
      <c r="AE764" s="120"/>
      <c r="AF764" s="120"/>
      <c r="AG764" s="120"/>
      <c r="AH764" s="120"/>
    </row>
    <row r="765">
      <c r="A765" s="120" t="s">
        <v>381</v>
      </c>
      <c r="B765" s="120" t="s">
        <v>20</v>
      </c>
      <c r="C765" s="120" t="s">
        <v>1150</v>
      </c>
      <c r="D765" s="120" t="s">
        <v>235</v>
      </c>
      <c r="E765" s="120"/>
      <c r="F765" s="120" t="s">
        <v>1077</v>
      </c>
      <c r="G765" s="120" t="s">
        <v>555</v>
      </c>
      <c r="H765" s="121">
        <v>2015.0</v>
      </c>
      <c r="I765" s="122">
        <v>1137.0</v>
      </c>
      <c r="J765" s="123" t="s">
        <v>188</v>
      </c>
      <c r="K765" s="120" t="s">
        <v>188</v>
      </c>
      <c r="L765" s="124" t="s">
        <v>260</v>
      </c>
      <c r="M765" s="125" t="s">
        <v>421</v>
      </c>
      <c r="N765" s="120" t="s">
        <v>428</v>
      </c>
      <c r="O765" s="120"/>
      <c r="P765" s="120"/>
      <c r="Q765" s="120"/>
      <c r="R765" s="120"/>
      <c r="S765" s="120"/>
      <c r="T765" s="120"/>
      <c r="U765" s="120"/>
      <c r="V765" s="120"/>
      <c r="W765" s="120"/>
      <c r="X765" s="120"/>
      <c r="Y765" s="120"/>
      <c r="Z765" s="120"/>
      <c r="AA765" s="120"/>
      <c r="AB765" s="120"/>
      <c r="AC765" s="120"/>
      <c r="AD765" s="120"/>
      <c r="AE765" s="120"/>
      <c r="AF765" s="120"/>
      <c r="AG765" s="120"/>
      <c r="AH765" s="120"/>
    </row>
    <row r="766">
      <c r="A766" s="120" t="s">
        <v>381</v>
      </c>
      <c r="B766" s="120" t="s">
        <v>20</v>
      </c>
      <c r="C766" s="120" t="s">
        <v>1150</v>
      </c>
      <c r="D766" s="120" t="s">
        <v>235</v>
      </c>
      <c r="E766" s="120"/>
      <c r="F766" s="120" t="s">
        <v>1077</v>
      </c>
      <c r="G766" s="120" t="s">
        <v>555</v>
      </c>
      <c r="H766" s="121">
        <v>2016.0</v>
      </c>
      <c r="I766" s="122">
        <v>1137.0</v>
      </c>
      <c r="J766" s="123" t="s">
        <v>188</v>
      </c>
      <c r="K766" s="120" t="s">
        <v>188</v>
      </c>
      <c r="L766" s="124" t="s">
        <v>260</v>
      </c>
      <c r="M766" s="125" t="s">
        <v>421</v>
      </c>
      <c r="N766" s="120" t="s">
        <v>428</v>
      </c>
      <c r="O766" s="120"/>
      <c r="P766" s="120"/>
      <c r="Q766" s="120"/>
      <c r="R766" s="120"/>
      <c r="S766" s="120"/>
      <c r="T766" s="120"/>
      <c r="U766" s="120"/>
      <c r="V766" s="120"/>
      <c r="W766" s="120"/>
      <c r="X766" s="120"/>
      <c r="Y766" s="120"/>
      <c r="Z766" s="120"/>
      <c r="AA766" s="120"/>
      <c r="AB766" s="120"/>
      <c r="AC766" s="120"/>
      <c r="AD766" s="120"/>
      <c r="AE766" s="120"/>
      <c r="AF766" s="120"/>
      <c r="AG766" s="120"/>
      <c r="AH766" s="120"/>
    </row>
    <row r="767">
      <c r="A767" s="120" t="s">
        <v>381</v>
      </c>
      <c r="B767" s="120" t="s">
        <v>20</v>
      </c>
      <c r="C767" s="120" t="s">
        <v>1150</v>
      </c>
      <c r="D767" s="120" t="s">
        <v>235</v>
      </c>
      <c r="E767" s="120"/>
      <c r="F767" s="120" t="s">
        <v>1077</v>
      </c>
      <c r="G767" s="120" t="s">
        <v>555</v>
      </c>
      <c r="H767" s="121">
        <v>2017.0</v>
      </c>
      <c r="I767" s="122">
        <v>1592.0</v>
      </c>
      <c r="J767" s="123" t="s">
        <v>188</v>
      </c>
      <c r="K767" s="120" t="s">
        <v>188</v>
      </c>
      <c r="L767" s="124" t="s">
        <v>260</v>
      </c>
      <c r="M767" s="125" t="s">
        <v>421</v>
      </c>
      <c r="N767" s="120" t="s">
        <v>428</v>
      </c>
      <c r="O767" s="120"/>
      <c r="P767" s="120"/>
      <c r="Q767" s="120"/>
      <c r="R767" s="120"/>
      <c r="S767" s="120"/>
      <c r="T767" s="120"/>
      <c r="U767" s="120"/>
      <c r="V767" s="120"/>
      <c r="W767" s="120"/>
      <c r="X767" s="120"/>
      <c r="Y767" s="120"/>
      <c r="Z767" s="120"/>
      <c r="AA767" s="120"/>
      <c r="AB767" s="120"/>
      <c r="AC767" s="120"/>
      <c r="AD767" s="120"/>
      <c r="AE767" s="120"/>
      <c r="AF767" s="120"/>
      <c r="AG767" s="120"/>
      <c r="AH767" s="120"/>
    </row>
    <row r="768">
      <c r="A768" s="120" t="s">
        <v>381</v>
      </c>
      <c r="B768" s="120" t="s">
        <v>20</v>
      </c>
      <c r="C768" s="120" t="s">
        <v>1150</v>
      </c>
      <c r="D768" s="120" t="s">
        <v>235</v>
      </c>
      <c r="E768" s="120"/>
      <c r="F768" s="120" t="s">
        <v>1077</v>
      </c>
      <c r="G768" s="120" t="s">
        <v>555</v>
      </c>
      <c r="H768" s="121">
        <v>2018.0</v>
      </c>
      <c r="I768" s="122">
        <v>1820.0</v>
      </c>
      <c r="J768" s="123" t="s">
        <v>188</v>
      </c>
      <c r="K768" s="120" t="s">
        <v>188</v>
      </c>
      <c r="L768" s="124" t="s">
        <v>260</v>
      </c>
      <c r="M768" s="125" t="s">
        <v>421</v>
      </c>
      <c r="N768" s="120" t="s">
        <v>428</v>
      </c>
      <c r="O768" s="120"/>
      <c r="P768" s="120"/>
      <c r="Q768" s="120"/>
      <c r="R768" s="120"/>
      <c r="S768" s="120"/>
      <c r="T768" s="120"/>
      <c r="U768" s="120"/>
      <c r="V768" s="120"/>
      <c r="W768" s="120"/>
      <c r="X768" s="120"/>
      <c r="Y768" s="120"/>
      <c r="Z768" s="120"/>
      <c r="AA768" s="120"/>
      <c r="AB768" s="120"/>
      <c r="AC768" s="120"/>
      <c r="AD768" s="120"/>
      <c r="AE768" s="120"/>
      <c r="AF768" s="120"/>
      <c r="AG768" s="120"/>
      <c r="AH768" s="120"/>
    </row>
    <row r="769">
      <c r="A769" s="120" t="s">
        <v>381</v>
      </c>
      <c r="B769" s="120" t="s">
        <v>20</v>
      </c>
      <c r="C769" s="120" t="s">
        <v>1150</v>
      </c>
      <c r="D769" s="120" t="s">
        <v>235</v>
      </c>
      <c r="E769" s="120"/>
      <c r="F769" s="120" t="s">
        <v>1077</v>
      </c>
      <c r="G769" s="120" t="s">
        <v>555</v>
      </c>
      <c r="H769" s="121">
        <v>2019.0</v>
      </c>
      <c r="I769" s="122">
        <v>1592.0</v>
      </c>
      <c r="J769" s="123" t="s">
        <v>188</v>
      </c>
      <c r="K769" s="120" t="s">
        <v>188</v>
      </c>
      <c r="L769" s="124" t="s">
        <v>260</v>
      </c>
      <c r="M769" s="125" t="s">
        <v>421</v>
      </c>
      <c r="N769" s="120" t="s">
        <v>428</v>
      </c>
      <c r="O769" s="120"/>
      <c r="P769" s="120"/>
      <c r="Q769" s="120"/>
      <c r="R769" s="120"/>
      <c r="S769" s="120"/>
      <c r="T769" s="120"/>
      <c r="U769" s="120"/>
      <c r="V769" s="120"/>
      <c r="W769" s="120"/>
      <c r="X769" s="120"/>
      <c r="Y769" s="120"/>
      <c r="Z769" s="120"/>
      <c r="AA769" s="120"/>
      <c r="AB769" s="120"/>
      <c r="AC769" s="120"/>
      <c r="AD769" s="120"/>
      <c r="AE769" s="120"/>
      <c r="AF769" s="120"/>
      <c r="AG769" s="120"/>
      <c r="AH769" s="120"/>
    </row>
    <row r="770">
      <c r="A770" s="120" t="s">
        <v>381</v>
      </c>
      <c r="B770" s="120" t="s">
        <v>20</v>
      </c>
      <c r="C770" s="120" t="s">
        <v>1150</v>
      </c>
      <c r="D770" s="120" t="s">
        <v>235</v>
      </c>
      <c r="E770" s="120"/>
      <c r="F770" s="120" t="s">
        <v>1077</v>
      </c>
      <c r="G770" s="120" t="s">
        <v>555</v>
      </c>
      <c r="H770" s="121">
        <v>2020.0</v>
      </c>
      <c r="I770" s="122">
        <v>2246.0</v>
      </c>
      <c r="J770" s="123" t="s">
        <v>188</v>
      </c>
      <c r="K770" s="120" t="s">
        <v>188</v>
      </c>
      <c r="L770" s="124" t="s">
        <v>260</v>
      </c>
      <c r="M770" s="125" t="s">
        <v>421</v>
      </c>
      <c r="N770" s="120" t="s">
        <v>428</v>
      </c>
      <c r="O770" s="120"/>
      <c r="P770" s="120"/>
      <c r="Q770" s="120"/>
      <c r="R770" s="120"/>
      <c r="S770" s="120"/>
      <c r="T770" s="120"/>
      <c r="U770" s="120"/>
      <c r="V770" s="120"/>
      <c r="W770" s="120"/>
      <c r="X770" s="120"/>
      <c r="Y770" s="120"/>
      <c r="Z770" s="120"/>
      <c r="AA770" s="120"/>
      <c r="AB770" s="120"/>
      <c r="AC770" s="120"/>
      <c r="AD770" s="120"/>
      <c r="AE770" s="120"/>
      <c r="AF770" s="120"/>
      <c r="AG770" s="120"/>
      <c r="AH770" s="120"/>
    </row>
    <row r="771">
      <c r="A771" s="120" t="s">
        <v>381</v>
      </c>
      <c r="B771" s="120" t="s">
        <v>20</v>
      </c>
      <c r="C771" s="120" t="s">
        <v>1155</v>
      </c>
      <c r="D771" s="120" t="s">
        <v>235</v>
      </c>
      <c r="E771" s="120"/>
      <c r="F771" s="120" t="s">
        <v>1077</v>
      </c>
      <c r="G771" s="120" t="s">
        <v>555</v>
      </c>
      <c r="H771" s="121">
        <v>1968.0</v>
      </c>
      <c r="I771" s="122">
        <v>55.0</v>
      </c>
      <c r="J771" s="123" t="s">
        <v>188</v>
      </c>
      <c r="K771" s="120" t="s">
        <v>188</v>
      </c>
      <c r="L771" s="124" t="s">
        <v>260</v>
      </c>
      <c r="M771" s="125" t="s">
        <v>421</v>
      </c>
      <c r="N771" s="120" t="s">
        <v>428</v>
      </c>
      <c r="O771" s="120"/>
      <c r="P771" s="120"/>
      <c r="Q771" s="120"/>
      <c r="R771" s="120"/>
      <c r="S771" s="120"/>
      <c r="T771" s="120"/>
      <c r="U771" s="120"/>
      <c r="V771" s="120"/>
      <c r="W771" s="120"/>
      <c r="X771" s="120"/>
      <c r="Y771" s="120"/>
      <c r="Z771" s="120"/>
      <c r="AA771" s="120"/>
      <c r="AB771" s="120"/>
      <c r="AC771" s="120"/>
      <c r="AD771" s="120"/>
      <c r="AE771" s="120"/>
      <c r="AF771" s="120"/>
      <c r="AG771" s="120"/>
      <c r="AH771" s="120"/>
    </row>
    <row r="772">
      <c r="A772" s="120" t="s">
        <v>381</v>
      </c>
      <c r="B772" s="120" t="s">
        <v>20</v>
      </c>
      <c r="C772" s="120" t="s">
        <v>1155</v>
      </c>
      <c r="D772" s="120" t="s">
        <v>235</v>
      </c>
      <c r="E772" s="120"/>
      <c r="F772" s="120" t="s">
        <v>1077</v>
      </c>
      <c r="G772" s="120" t="s">
        <v>555</v>
      </c>
      <c r="H772" s="121">
        <v>1969.0</v>
      </c>
      <c r="I772" s="122">
        <v>55.0</v>
      </c>
      <c r="J772" s="123" t="s">
        <v>188</v>
      </c>
      <c r="K772" s="120" t="s">
        <v>188</v>
      </c>
      <c r="L772" s="124" t="s">
        <v>260</v>
      </c>
      <c r="M772" s="125" t="s">
        <v>421</v>
      </c>
      <c r="N772" s="120" t="s">
        <v>428</v>
      </c>
      <c r="O772" s="120"/>
      <c r="P772" s="120"/>
      <c r="Q772" s="120"/>
      <c r="R772" s="120"/>
      <c r="S772" s="120"/>
      <c r="T772" s="120"/>
      <c r="U772" s="120"/>
      <c r="V772" s="120"/>
      <c r="W772" s="120"/>
      <c r="X772" s="120"/>
      <c r="Y772" s="120"/>
      <c r="Z772" s="120"/>
      <c r="AA772" s="120"/>
      <c r="AB772" s="120"/>
      <c r="AC772" s="120"/>
      <c r="AD772" s="120"/>
      <c r="AE772" s="120"/>
      <c r="AF772" s="120"/>
      <c r="AG772" s="120"/>
      <c r="AH772" s="120"/>
    </row>
    <row r="773">
      <c r="A773" s="120" t="s">
        <v>381</v>
      </c>
      <c r="B773" s="120" t="s">
        <v>20</v>
      </c>
      <c r="C773" s="120" t="s">
        <v>1155</v>
      </c>
      <c r="D773" s="120" t="s">
        <v>235</v>
      </c>
      <c r="E773" s="120"/>
      <c r="F773" s="120" t="s">
        <v>1077</v>
      </c>
      <c r="G773" s="120" t="s">
        <v>555</v>
      </c>
      <c r="H773" s="121">
        <v>1970.0</v>
      </c>
      <c r="I773" s="122">
        <v>55.0</v>
      </c>
      <c r="J773" s="123" t="s">
        <v>188</v>
      </c>
      <c r="K773" s="120" t="s">
        <v>188</v>
      </c>
      <c r="L773" s="124" t="s">
        <v>260</v>
      </c>
      <c r="M773" s="125" t="s">
        <v>421</v>
      </c>
      <c r="N773" s="120" t="s">
        <v>428</v>
      </c>
      <c r="O773" s="120"/>
      <c r="P773" s="120"/>
      <c r="Q773" s="120"/>
      <c r="R773" s="120"/>
      <c r="S773" s="120"/>
      <c r="T773" s="120"/>
      <c r="U773" s="120"/>
      <c r="V773" s="120"/>
      <c r="W773" s="120"/>
      <c r="X773" s="120"/>
      <c r="Y773" s="120"/>
      <c r="Z773" s="120"/>
      <c r="AA773" s="120"/>
      <c r="AB773" s="120"/>
      <c r="AC773" s="120"/>
      <c r="AD773" s="120"/>
      <c r="AE773" s="120"/>
      <c r="AF773" s="120"/>
      <c r="AG773" s="120"/>
      <c r="AH773" s="120"/>
    </row>
    <row r="774">
      <c r="A774" s="120" t="s">
        <v>381</v>
      </c>
      <c r="B774" s="120" t="s">
        <v>20</v>
      </c>
      <c r="C774" s="120" t="s">
        <v>1155</v>
      </c>
      <c r="D774" s="120" t="s">
        <v>235</v>
      </c>
      <c r="E774" s="120"/>
      <c r="F774" s="120" t="s">
        <v>1077</v>
      </c>
      <c r="G774" s="120" t="s">
        <v>555</v>
      </c>
      <c r="H774" s="121">
        <v>1971.0</v>
      </c>
      <c r="I774" s="122">
        <v>82.0</v>
      </c>
      <c r="J774" s="123" t="s">
        <v>188</v>
      </c>
      <c r="K774" s="120" t="s">
        <v>188</v>
      </c>
      <c r="L774" s="124" t="s">
        <v>260</v>
      </c>
      <c r="M774" s="125" t="s">
        <v>421</v>
      </c>
      <c r="N774" s="120" t="s">
        <v>428</v>
      </c>
      <c r="O774" s="120"/>
      <c r="P774" s="120"/>
      <c r="Q774" s="120"/>
      <c r="R774" s="120"/>
      <c r="S774" s="120"/>
      <c r="T774" s="120"/>
      <c r="U774" s="120"/>
      <c r="V774" s="120"/>
      <c r="W774" s="120"/>
      <c r="X774" s="120"/>
      <c r="Y774" s="120"/>
      <c r="Z774" s="120"/>
      <c r="AA774" s="120"/>
      <c r="AB774" s="120"/>
      <c r="AC774" s="120"/>
      <c r="AD774" s="120"/>
      <c r="AE774" s="120"/>
      <c r="AF774" s="120"/>
      <c r="AG774" s="120"/>
      <c r="AH774" s="120"/>
    </row>
    <row r="775">
      <c r="A775" s="120" t="s">
        <v>381</v>
      </c>
      <c r="B775" s="120" t="s">
        <v>20</v>
      </c>
      <c r="C775" s="120" t="s">
        <v>1155</v>
      </c>
      <c r="D775" s="120" t="s">
        <v>235</v>
      </c>
      <c r="E775" s="120"/>
      <c r="F775" s="120" t="s">
        <v>1077</v>
      </c>
      <c r="G775" s="120" t="s">
        <v>555</v>
      </c>
      <c r="H775" s="121">
        <v>1972.0</v>
      </c>
      <c r="I775" s="122">
        <v>109.0</v>
      </c>
      <c r="J775" s="123" t="s">
        <v>188</v>
      </c>
      <c r="K775" s="120" t="s">
        <v>188</v>
      </c>
      <c r="L775" s="124" t="s">
        <v>260</v>
      </c>
      <c r="M775" s="125" t="s">
        <v>421</v>
      </c>
      <c r="N775" s="120" t="s">
        <v>428</v>
      </c>
      <c r="O775" s="120"/>
      <c r="P775" s="120"/>
      <c r="Q775" s="120"/>
      <c r="R775" s="120"/>
      <c r="S775" s="120"/>
      <c r="T775" s="120"/>
      <c r="U775" s="120"/>
      <c r="V775" s="120"/>
      <c r="W775" s="120"/>
      <c r="X775" s="120"/>
      <c r="Y775" s="120"/>
      <c r="Z775" s="120"/>
      <c r="AA775" s="120"/>
      <c r="AB775" s="120"/>
      <c r="AC775" s="120"/>
      <c r="AD775" s="120"/>
      <c r="AE775" s="120"/>
      <c r="AF775" s="120"/>
      <c r="AG775" s="120"/>
      <c r="AH775" s="120"/>
    </row>
    <row r="776">
      <c r="A776" s="120" t="s">
        <v>381</v>
      </c>
      <c r="B776" s="120" t="s">
        <v>20</v>
      </c>
      <c r="C776" s="120" t="s">
        <v>1155</v>
      </c>
      <c r="D776" s="120" t="s">
        <v>235</v>
      </c>
      <c r="E776" s="120"/>
      <c r="F776" s="120" t="s">
        <v>1077</v>
      </c>
      <c r="G776" s="120" t="s">
        <v>555</v>
      </c>
      <c r="H776" s="121">
        <v>1973.0</v>
      </c>
      <c r="I776" s="122">
        <v>82.0</v>
      </c>
      <c r="J776" s="123" t="s">
        <v>188</v>
      </c>
      <c r="K776" s="120" t="s">
        <v>188</v>
      </c>
      <c r="L776" s="124" t="s">
        <v>260</v>
      </c>
      <c r="M776" s="125" t="s">
        <v>421</v>
      </c>
      <c r="N776" s="120" t="s">
        <v>428</v>
      </c>
      <c r="O776" s="120"/>
      <c r="P776" s="120"/>
      <c r="Q776" s="120"/>
      <c r="R776" s="120"/>
      <c r="S776" s="120"/>
      <c r="T776" s="120"/>
      <c r="U776" s="120"/>
      <c r="V776" s="120"/>
      <c r="W776" s="120"/>
      <c r="X776" s="120"/>
      <c r="Y776" s="120"/>
      <c r="Z776" s="120"/>
      <c r="AA776" s="120"/>
      <c r="AB776" s="120"/>
      <c r="AC776" s="120"/>
      <c r="AD776" s="120"/>
      <c r="AE776" s="120"/>
      <c r="AF776" s="120"/>
      <c r="AG776" s="120"/>
      <c r="AH776" s="120"/>
    </row>
    <row r="777">
      <c r="A777" s="120" t="s">
        <v>381</v>
      </c>
      <c r="B777" s="120" t="s">
        <v>20</v>
      </c>
      <c r="C777" s="120" t="s">
        <v>1155</v>
      </c>
      <c r="D777" s="120" t="s">
        <v>235</v>
      </c>
      <c r="E777" s="120"/>
      <c r="F777" s="120" t="s">
        <v>1077</v>
      </c>
      <c r="G777" s="120" t="s">
        <v>555</v>
      </c>
      <c r="H777" s="121">
        <v>1974.0</v>
      </c>
      <c r="I777" s="122">
        <v>245.0</v>
      </c>
      <c r="J777" s="123" t="s">
        <v>188</v>
      </c>
      <c r="K777" s="120" t="s">
        <v>188</v>
      </c>
      <c r="L777" s="124" t="s">
        <v>260</v>
      </c>
      <c r="M777" s="125" t="s">
        <v>421</v>
      </c>
      <c r="N777" s="120" t="s">
        <v>428</v>
      </c>
      <c r="O777" s="120"/>
      <c r="P777" s="120"/>
      <c r="Q777" s="120"/>
      <c r="R777" s="120"/>
      <c r="S777" s="120"/>
      <c r="T777" s="120"/>
      <c r="U777" s="120"/>
      <c r="V777" s="120"/>
      <c r="W777" s="120"/>
      <c r="X777" s="120"/>
      <c r="Y777" s="120"/>
      <c r="Z777" s="120"/>
      <c r="AA777" s="120"/>
      <c r="AB777" s="120"/>
      <c r="AC777" s="120"/>
      <c r="AD777" s="120"/>
      <c r="AE777" s="120"/>
      <c r="AF777" s="120"/>
      <c r="AG777" s="120"/>
      <c r="AH777" s="120"/>
    </row>
    <row r="778">
      <c r="A778" s="120" t="s">
        <v>381</v>
      </c>
      <c r="B778" s="120" t="s">
        <v>20</v>
      </c>
      <c r="C778" s="120" t="s">
        <v>1155</v>
      </c>
      <c r="D778" s="120" t="s">
        <v>235</v>
      </c>
      <c r="E778" s="120"/>
      <c r="F778" s="120" t="s">
        <v>1077</v>
      </c>
      <c r="G778" s="120" t="s">
        <v>555</v>
      </c>
      <c r="H778" s="121">
        <v>1975.0</v>
      </c>
      <c r="I778" s="122">
        <v>327.0</v>
      </c>
      <c r="J778" s="123" t="s">
        <v>188</v>
      </c>
      <c r="K778" s="120" t="s">
        <v>188</v>
      </c>
      <c r="L778" s="124" t="s">
        <v>260</v>
      </c>
      <c r="M778" s="125" t="s">
        <v>421</v>
      </c>
      <c r="N778" s="120" t="s">
        <v>428</v>
      </c>
      <c r="O778" s="120"/>
      <c r="P778" s="120"/>
      <c r="Q778" s="120"/>
      <c r="R778" s="120"/>
      <c r="S778" s="120"/>
      <c r="T778" s="120"/>
      <c r="U778" s="120"/>
      <c r="V778" s="120"/>
      <c r="W778" s="120"/>
      <c r="X778" s="120"/>
      <c r="Y778" s="120"/>
      <c r="Z778" s="120"/>
      <c r="AA778" s="120"/>
      <c r="AB778" s="120"/>
      <c r="AC778" s="120"/>
      <c r="AD778" s="120"/>
      <c r="AE778" s="120"/>
      <c r="AF778" s="120"/>
      <c r="AG778" s="120"/>
      <c r="AH778" s="120"/>
    </row>
    <row r="779">
      <c r="A779" s="120" t="s">
        <v>381</v>
      </c>
      <c r="B779" s="120" t="s">
        <v>20</v>
      </c>
      <c r="C779" s="120" t="s">
        <v>1155</v>
      </c>
      <c r="D779" s="120" t="s">
        <v>235</v>
      </c>
      <c r="E779" s="120"/>
      <c r="F779" s="120" t="s">
        <v>1077</v>
      </c>
      <c r="G779" s="120" t="s">
        <v>555</v>
      </c>
      <c r="H779" s="121">
        <v>1976.0</v>
      </c>
      <c r="I779" s="122">
        <v>409.0</v>
      </c>
      <c r="J779" s="123" t="s">
        <v>188</v>
      </c>
      <c r="K779" s="120" t="s">
        <v>188</v>
      </c>
      <c r="L779" s="124" t="s">
        <v>260</v>
      </c>
      <c r="M779" s="125" t="s">
        <v>421</v>
      </c>
      <c r="N779" s="120" t="s">
        <v>428</v>
      </c>
      <c r="O779" s="120"/>
      <c r="P779" s="120"/>
      <c r="Q779" s="120"/>
      <c r="R779" s="120"/>
      <c r="S779" s="120"/>
      <c r="T779" s="120"/>
      <c r="U779" s="120"/>
      <c r="V779" s="120"/>
      <c r="W779" s="120"/>
      <c r="X779" s="120"/>
      <c r="Y779" s="120"/>
      <c r="Z779" s="120"/>
      <c r="AA779" s="120"/>
      <c r="AB779" s="120"/>
      <c r="AC779" s="120"/>
      <c r="AD779" s="120"/>
      <c r="AE779" s="120"/>
      <c r="AF779" s="120"/>
      <c r="AG779" s="120"/>
      <c r="AH779" s="120"/>
    </row>
    <row r="780">
      <c r="A780" s="120" t="s">
        <v>381</v>
      </c>
      <c r="B780" s="120" t="s">
        <v>20</v>
      </c>
      <c r="C780" s="120" t="s">
        <v>1155</v>
      </c>
      <c r="D780" s="120" t="s">
        <v>235</v>
      </c>
      <c r="E780" s="120"/>
      <c r="F780" s="120" t="s">
        <v>1077</v>
      </c>
      <c r="G780" s="120" t="s">
        <v>555</v>
      </c>
      <c r="H780" s="121">
        <v>1977.0</v>
      </c>
      <c r="I780" s="122">
        <v>409.0</v>
      </c>
      <c r="J780" s="123" t="s">
        <v>188</v>
      </c>
      <c r="K780" s="120" t="s">
        <v>188</v>
      </c>
      <c r="L780" s="124" t="s">
        <v>260</v>
      </c>
      <c r="M780" s="125" t="s">
        <v>421</v>
      </c>
      <c r="N780" s="120" t="s">
        <v>428</v>
      </c>
      <c r="O780" s="120"/>
      <c r="P780" s="120"/>
      <c r="Q780" s="120"/>
      <c r="R780" s="120"/>
      <c r="S780" s="120"/>
      <c r="T780" s="120"/>
      <c r="U780" s="120"/>
      <c r="V780" s="120"/>
      <c r="W780" s="120"/>
      <c r="X780" s="120"/>
      <c r="Y780" s="120"/>
      <c r="Z780" s="120"/>
      <c r="AA780" s="120"/>
      <c r="AB780" s="120"/>
      <c r="AC780" s="120"/>
      <c r="AD780" s="120"/>
      <c r="AE780" s="120"/>
      <c r="AF780" s="120"/>
      <c r="AG780" s="120"/>
      <c r="AH780" s="120"/>
    </row>
    <row r="781">
      <c r="A781" s="120" t="s">
        <v>381</v>
      </c>
      <c r="B781" s="120" t="s">
        <v>20</v>
      </c>
      <c r="C781" s="120" t="s">
        <v>1155</v>
      </c>
      <c r="D781" s="120" t="s">
        <v>235</v>
      </c>
      <c r="E781" s="120"/>
      <c r="F781" s="120" t="s">
        <v>1077</v>
      </c>
      <c r="G781" s="120" t="s">
        <v>555</v>
      </c>
      <c r="H781" s="121">
        <v>1978.0</v>
      </c>
      <c r="I781" s="122">
        <v>655.0</v>
      </c>
      <c r="J781" s="123" t="s">
        <v>188</v>
      </c>
      <c r="K781" s="120" t="s">
        <v>188</v>
      </c>
      <c r="L781" s="124" t="s">
        <v>260</v>
      </c>
      <c r="M781" s="125" t="s">
        <v>421</v>
      </c>
      <c r="N781" s="120" t="s">
        <v>428</v>
      </c>
      <c r="O781" s="120"/>
      <c r="P781" s="120"/>
      <c r="Q781" s="120"/>
      <c r="R781" s="120"/>
      <c r="S781" s="120"/>
      <c r="T781" s="120"/>
      <c r="U781" s="120"/>
      <c r="V781" s="120"/>
      <c r="W781" s="120"/>
      <c r="X781" s="120"/>
      <c r="Y781" s="120"/>
      <c r="Z781" s="120"/>
      <c r="AA781" s="120"/>
      <c r="AB781" s="120"/>
      <c r="AC781" s="120"/>
      <c r="AD781" s="120"/>
      <c r="AE781" s="120"/>
      <c r="AF781" s="120"/>
      <c r="AG781" s="120"/>
      <c r="AH781" s="120"/>
    </row>
    <row r="782">
      <c r="A782" s="120" t="s">
        <v>381</v>
      </c>
      <c r="B782" s="120" t="s">
        <v>20</v>
      </c>
      <c r="C782" s="120" t="s">
        <v>1155</v>
      </c>
      <c r="D782" s="120" t="s">
        <v>235</v>
      </c>
      <c r="E782" s="120"/>
      <c r="F782" s="120" t="s">
        <v>1077</v>
      </c>
      <c r="G782" s="120" t="s">
        <v>555</v>
      </c>
      <c r="H782" s="121">
        <v>1979.0</v>
      </c>
      <c r="I782" s="122">
        <v>818.0</v>
      </c>
      <c r="J782" s="123" t="s">
        <v>188</v>
      </c>
      <c r="K782" s="120" t="s">
        <v>188</v>
      </c>
      <c r="L782" s="124" t="s">
        <v>260</v>
      </c>
      <c r="M782" s="125" t="s">
        <v>421</v>
      </c>
      <c r="N782" s="120" t="s">
        <v>428</v>
      </c>
      <c r="O782" s="120"/>
      <c r="P782" s="120"/>
      <c r="Q782" s="120"/>
      <c r="R782" s="120"/>
      <c r="S782" s="120"/>
      <c r="T782" s="120"/>
      <c r="U782" s="120"/>
      <c r="V782" s="120"/>
      <c r="W782" s="120"/>
      <c r="X782" s="120"/>
      <c r="Y782" s="120"/>
      <c r="Z782" s="120"/>
      <c r="AA782" s="120"/>
      <c r="AB782" s="120"/>
      <c r="AC782" s="120"/>
      <c r="AD782" s="120"/>
      <c r="AE782" s="120"/>
      <c r="AF782" s="120"/>
      <c r="AG782" s="120"/>
      <c r="AH782" s="120"/>
    </row>
    <row r="783">
      <c r="A783" s="120" t="s">
        <v>381</v>
      </c>
      <c r="B783" s="120" t="s">
        <v>20</v>
      </c>
      <c r="C783" s="120" t="s">
        <v>1155</v>
      </c>
      <c r="D783" s="120" t="s">
        <v>235</v>
      </c>
      <c r="E783" s="120"/>
      <c r="F783" s="120" t="s">
        <v>1077</v>
      </c>
      <c r="G783" s="120" t="s">
        <v>555</v>
      </c>
      <c r="H783" s="121">
        <v>1980.0</v>
      </c>
      <c r="I783" s="122">
        <v>900.0</v>
      </c>
      <c r="J783" s="123" t="s">
        <v>188</v>
      </c>
      <c r="K783" s="120" t="s">
        <v>188</v>
      </c>
      <c r="L783" s="124" t="s">
        <v>260</v>
      </c>
      <c r="M783" s="125" t="s">
        <v>421</v>
      </c>
      <c r="N783" s="120" t="s">
        <v>428</v>
      </c>
      <c r="O783" s="120"/>
      <c r="P783" s="120"/>
      <c r="Q783" s="120"/>
      <c r="R783" s="120"/>
      <c r="S783" s="120"/>
      <c r="T783" s="120"/>
      <c r="U783" s="120"/>
      <c r="V783" s="120"/>
      <c r="W783" s="120"/>
      <c r="X783" s="120"/>
      <c r="Y783" s="120"/>
      <c r="Z783" s="120"/>
      <c r="AA783" s="120"/>
      <c r="AB783" s="120"/>
      <c r="AC783" s="120"/>
      <c r="AD783" s="120"/>
      <c r="AE783" s="120"/>
      <c r="AF783" s="120"/>
      <c r="AG783" s="120"/>
      <c r="AH783" s="120"/>
    </row>
    <row r="784">
      <c r="A784" s="120" t="s">
        <v>381</v>
      </c>
      <c r="B784" s="120" t="s">
        <v>20</v>
      </c>
      <c r="C784" s="120" t="s">
        <v>1155</v>
      </c>
      <c r="D784" s="120" t="s">
        <v>235</v>
      </c>
      <c r="E784" s="120"/>
      <c r="F784" s="120" t="s">
        <v>1077</v>
      </c>
      <c r="G784" s="120" t="s">
        <v>555</v>
      </c>
      <c r="H784" s="121">
        <v>1981.0</v>
      </c>
      <c r="I784" s="122">
        <v>927.0</v>
      </c>
      <c r="J784" s="123" t="s">
        <v>188</v>
      </c>
      <c r="K784" s="120" t="s">
        <v>188</v>
      </c>
      <c r="L784" s="124" t="s">
        <v>260</v>
      </c>
      <c r="M784" s="125" t="s">
        <v>421</v>
      </c>
      <c r="N784" s="120" t="s">
        <v>428</v>
      </c>
      <c r="O784" s="120"/>
      <c r="P784" s="120"/>
      <c r="Q784" s="120"/>
      <c r="R784" s="120"/>
      <c r="S784" s="120"/>
      <c r="T784" s="120"/>
      <c r="U784" s="120"/>
      <c r="V784" s="120"/>
      <c r="W784" s="120"/>
      <c r="X784" s="120"/>
      <c r="Y784" s="120"/>
      <c r="Z784" s="120"/>
      <c r="AA784" s="120"/>
      <c r="AB784" s="120"/>
      <c r="AC784" s="120"/>
      <c r="AD784" s="120"/>
      <c r="AE784" s="120"/>
      <c r="AF784" s="120"/>
      <c r="AG784" s="120"/>
      <c r="AH784" s="120"/>
    </row>
    <row r="785">
      <c r="A785" s="120" t="s">
        <v>381</v>
      </c>
      <c r="B785" s="120" t="s">
        <v>20</v>
      </c>
      <c r="C785" s="120" t="s">
        <v>1155</v>
      </c>
      <c r="D785" s="120" t="s">
        <v>235</v>
      </c>
      <c r="E785" s="120"/>
      <c r="F785" s="120" t="s">
        <v>1077</v>
      </c>
      <c r="G785" s="120" t="s">
        <v>555</v>
      </c>
      <c r="H785" s="121">
        <v>1982.0</v>
      </c>
      <c r="I785" s="122">
        <v>1009.0</v>
      </c>
      <c r="J785" s="123" t="s">
        <v>188</v>
      </c>
      <c r="K785" s="120" t="s">
        <v>188</v>
      </c>
      <c r="L785" s="124" t="s">
        <v>260</v>
      </c>
      <c r="M785" s="125" t="s">
        <v>421</v>
      </c>
      <c r="N785" s="120" t="s">
        <v>428</v>
      </c>
      <c r="O785" s="120"/>
      <c r="P785" s="120"/>
      <c r="Q785" s="120"/>
      <c r="R785" s="120"/>
      <c r="S785" s="120"/>
      <c r="T785" s="120"/>
      <c r="U785" s="120"/>
      <c r="V785" s="120"/>
      <c r="W785" s="120"/>
      <c r="X785" s="120"/>
      <c r="Y785" s="120"/>
      <c r="Z785" s="120"/>
      <c r="AA785" s="120"/>
      <c r="AB785" s="120"/>
      <c r="AC785" s="120"/>
      <c r="AD785" s="120"/>
      <c r="AE785" s="120"/>
      <c r="AF785" s="120"/>
      <c r="AG785" s="120"/>
      <c r="AH785" s="120"/>
    </row>
    <row r="786">
      <c r="A786" s="120" t="s">
        <v>381</v>
      </c>
      <c r="B786" s="120" t="s">
        <v>20</v>
      </c>
      <c r="C786" s="120" t="s">
        <v>1155</v>
      </c>
      <c r="D786" s="120" t="s">
        <v>235</v>
      </c>
      <c r="E786" s="120"/>
      <c r="F786" s="120" t="s">
        <v>1077</v>
      </c>
      <c r="G786" s="120" t="s">
        <v>555</v>
      </c>
      <c r="H786" s="121">
        <v>1983.0</v>
      </c>
      <c r="I786" s="122">
        <v>382.0</v>
      </c>
      <c r="J786" s="123" t="s">
        <v>188</v>
      </c>
      <c r="K786" s="120" t="s">
        <v>188</v>
      </c>
      <c r="L786" s="124" t="s">
        <v>260</v>
      </c>
      <c r="M786" s="125" t="s">
        <v>421</v>
      </c>
      <c r="N786" s="120" t="s">
        <v>428</v>
      </c>
      <c r="O786" s="120"/>
      <c r="P786" s="120"/>
      <c r="Q786" s="120"/>
      <c r="R786" s="120"/>
      <c r="S786" s="120"/>
      <c r="T786" s="120"/>
      <c r="U786" s="120"/>
      <c r="V786" s="120"/>
      <c r="W786" s="120"/>
      <c r="X786" s="120"/>
      <c r="Y786" s="120"/>
      <c r="Z786" s="120"/>
      <c r="AA786" s="120"/>
      <c r="AB786" s="120"/>
      <c r="AC786" s="120"/>
      <c r="AD786" s="120"/>
      <c r="AE786" s="120"/>
      <c r="AF786" s="120"/>
      <c r="AG786" s="120"/>
      <c r="AH786" s="120"/>
    </row>
    <row r="787">
      <c r="A787" s="120" t="s">
        <v>381</v>
      </c>
      <c r="B787" s="120" t="s">
        <v>20</v>
      </c>
      <c r="C787" s="120" t="s">
        <v>1155</v>
      </c>
      <c r="D787" s="120" t="s">
        <v>235</v>
      </c>
      <c r="E787" s="120"/>
      <c r="F787" s="120" t="s">
        <v>1077</v>
      </c>
      <c r="G787" s="120" t="s">
        <v>555</v>
      </c>
      <c r="H787" s="121">
        <v>1984.0</v>
      </c>
      <c r="I787" s="122">
        <v>491.0</v>
      </c>
      <c r="J787" s="123" t="s">
        <v>188</v>
      </c>
      <c r="K787" s="120" t="s">
        <v>188</v>
      </c>
      <c r="L787" s="124" t="s">
        <v>260</v>
      </c>
      <c r="M787" s="125" t="s">
        <v>421</v>
      </c>
      <c r="N787" s="120" t="s">
        <v>428</v>
      </c>
      <c r="O787" s="120"/>
      <c r="P787" s="120"/>
      <c r="Q787" s="120"/>
      <c r="R787" s="120"/>
      <c r="S787" s="120"/>
      <c r="T787" s="120"/>
      <c r="U787" s="120"/>
      <c r="V787" s="120"/>
      <c r="W787" s="120"/>
      <c r="X787" s="120"/>
      <c r="Y787" s="120"/>
      <c r="Z787" s="120"/>
      <c r="AA787" s="120"/>
      <c r="AB787" s="120"/>
      <c r="AC787" s="120"/>
      <c r="AD787" s="120"/>
      <c r="AE787" s="120"/>
      <c r="AF787" s="120"/>
      <c r="AG787" s="120"/>
      <c r="AH787" s="120"/>
    </row>
    <row r="788">
      <c r="A788" s="120" t="s">
        <v>381</v>
      </c>
      <c r="B788" s="120" t="s">
        <v>20</v>
      </c>
      <c r="C788" s="120" t="s">
        <v>1155</v>
      </c>
      <c r="D788" s="120" t="s">
        <v>235</v>
      </c>
      <c r="E788" s="120"/>
      <c r="F788" s="120" t="s">
        <v>1077</v>
      </c>
      <c r="G788" s="120" t="s">
        <v>555</v>
      </c>
      <c r="H788" s="121">
        <v>1985.0</v>
      </c>
      <c r="I788" s="122">
        <v>436.0</v>
      </c>
      <c r="J788" s="123" t="s">
        <v>188</v>
      </c>
      <c r="K788" s="120" t="s">
        <v>188</v>
      </c>
      <c r="L788" s="124" t="s">
        <v>260</v>
      </c>
      <c r="M788" s="125" t="s">
        <v>421</v>
      </c>
      <c r="N788" s="120" t="s">
        <v>428</v>
      </c>
      <c r="O788" s="120"/>
      <c r="P788" s="120"/>
      <c r="Q788" s="120"/>
      <c r="R788" s="120"/>
      <c r="S788" s="120"/>
      <c r="T788" s="120"/>
      <c r="U788" s="120"/>
      <c r="V788" s="120"/>
      <c r="W788" s="120"/>
      <c r="X788" s="120"/>
      <c r="Y788" s="120"/>
      <c r="Z788" s="120"/>
      <c r="AA788" s="120"/>
      <c r="AB788" s="120"/>
      <c r="AC788" s="120"/>
      <c r="AD788" s="120"/>
      <c r="AE788" s="120"/>
      <c r="AF788" s="120"/>
      <c r="AG788" s="120"/>
      <c r="AH788" s="120"/>
    </row>
    <row r="789">
      <c r="A789" s="120" t="s">
        <v>381</v>
      </c>
      <c r="B789" s="120" t="s">
        <v>20</v>
      </c>
      <c r="C789" s="120" t="s">
        <v>1155</v>
      </c>
      <c r="D789" s="120" t="s">
        <v>235</v>
      </c>
      <c r="E789" s="120"/>
      <c r="F789" s="120" t="s">
        <v>1077</v>
      </c>
      <c r="G789" s="120" t="s">
        <v>555</v>
      </c>
      <c r="H789" s="121">
        <v>1986.0</v>
      </c>
      <c r="I789" s="122">
        <v>682.0</v>
      </c>
      <c r="J789" s="123" t="s">
        <v>188</v>
      </c>
      <c r="K789" s="120" t="s">
        <v>188</v>
      </c>
      <c r="L789" s="124" t="s">
        <v>260</v>
      </c>
      <c r="M789" s="125" t="s">
        <v>421</v>
      </c>
      <c r="N789" s="120" t="s">
        <v>428</v>
      </c>
      <c r="O789" s="120"/>
      <c r="P789" s="120"/>
      <c r="Q789" s="120"/>
      <c r="R789" s="120"/>
      <c r="S789" s="120"/>
      <c r="T789" s="120"/>
      <c r="U789" s="120"/>
      <c r="V789" s="120"/>
      <c r="W789" s="120"/>
      <c r="X789" s="120"/>
      <c r="Y789" s="120"/>
      <c r="Z789" s="120"/>
      <c r="AA789" s="120"/>
      <c r="AB789" s="120"/>
      <c r="AC789" s="120"/>
      <c r="AD789" s="120"/>
      <c r="AE789" s="120"/>
      <c r="AF789" s="120"/>
      <c r="AG789" s="120"/>
      <c r="AH789" s="120"/>
    </row>
    <row r="790">
      <c r="A790" s="120" t="s">
        <v>381</v>
      </c>
      <c r="B790" s="120" t="s">
        <v>20</v>
      </c>
      <c r="C790" s="120" t="s">
        <v>1155</v>
      </c>
      <c r="D790" s="120" t="s">
        <v>235</v>
      </c>
      <c r="E790" s="120"/>
      <c r="F790" s="120" t="s">
        <v>1077</v>
      </c>
      <c r="G790" s="120" t="s">
        <v>555</v>
      </c>
      <c r="H790" s="121">
        <v>1987.0</v>
      </c>
      <c r="I790" s="122">
        <v>736.0</v>
      </c>
      <c r="J790" s="123" t="s">
        <v>188</v>
      </c>
      <c r="K790" s="120" t="s">
        <v>188</v>
      </c>
      <c r="L790" s="124" t="s">
        <v>260</v>
      </c>
      <c r="M790" s="125" t="s">
        <v>421</v>
      </c>
      <c r="N790" s="120" t="s">
        <v>428</v>
      </c>
      <c r="O790" s="120"/>
      <c r="P790" s="120"/>
      <c r="Q790" s="120"/>
      <c r="R790" s="120"/>
      <c r="S790" s="120"/>
      <c r="T790" s="120"/>
      <c r="U790" s="120"/>
      <c r="V790" s="120"/>
      <c r="W790" s="120"/>
      <c r="X790" s="120"/>
      <c r="Y790" s="120"/>
      <c r="Z790" s="120"/>
      <c r="AA790" s="120"/>
      <c r="AB790" s="120"/>
      <c r="AC790" s="120"/>
      <c r="AD790" s="120"/>
      <c r="AE790" s="120"/>
      <c r="AF790" s="120"/>
      <c r="AG790" s="120"/>
      <c r="AH790" s="120"/>
    </row>
    <row r="791">
      <c r="A791" s="120" t="s">
        <v>381</v>
      </c>
      <c r="B791" s="120" t="s">
        <v>20</v>
      </c>
      <c r="C791" s="120" t="s">
        <v>1155</v>
      </c>
      <c r="D791" s="120" t="s">
        <v>235</v>
      </c>
      <c r="E791" s="120"/>
      <c r="F791" s="120" t="s">
        <v>1077</v>
      </c>
      <c r="G791" s="120" t="s">
        <v>555</v>
      </c>
      <c r="H791" s="121">
        <v>1988.0</v>
      </c>
      <c r="I791" s="122">
        <v>709.0</v>
      </c>
      <c r="J791" s="123" t="s">
        <v>188</v>
      </c>
      <c r="K791" s="120" t="s">
        <v>188</v>
      </c>
      <c r="L791" s="124" t="s">
        <v>260</v>
      </c>
      <c r="M791" s="125" t="s">
        <v>421</v>
      </c>
      <c r="N791" s="120" t="s">
        <v>428</v>
      </c>
      <c r="O791" s="120"/>
      <c r="P791" s="120"/>
      <c r="Q791" s="120"/>
      <c r="R791" s="120"/>
      <c r="S791" s="120"/>
      <c r="T791" s="120"/>
      <c r="U791" s="120"/>
      <c r="V791" s="120"/>
      <c r="W791" s="120"/>
      <c r="X791" s="120"/>
      <c r="Y791" s="120"/>
      <c r="Z791" s="120"/>
      <c r="AA791" s="120"/>
      <c r="AB791" s="120"/>
      <c r="AC791" s="120"/>
      <c r="AD791" s="120"/>
      <c r="AE791" s="120"/>
      <c r="AF791" s="120"/>
      <c r="AG791" s="120"/>
      <c r="AH791" s="120"/>
    </row>
    <row r="792">
      <c r="A792" s="120" t="s">
        <v>381</v>
      </c>
      <c r="B792" s="120" t="s">
        <v>20</v>
      </c>
      <c r="C792" s="120" t="s">
        <v>1155</v>
      </c>
      <c r="D792" s="120" t="s">
        <v>235</v>
      </c>
      <c r="E792" s="120"/>
      <c r="F792" s="120" t="s">
        <v>1077</v>
      </c>
      <c r="G792" s="120" t="s">
        <v>555</v>
      </c>
      <c r="H792" s="121">
        <v>1989.0</v>
      </c>
      <c r="I792" s="122">
        <v>736.0</v>
      </c>
      <c r="J792" s="123" t="s">
        <v>188</v>
      </c>
      <c r="K792" s="120" t="s">
        <v>188</v>
      </c>
      <c r="L792" s="124" t="s">
        <v>260</v>
      </c>
      <c r="M792" s="125" t="s">
        <v>421</v>
      </c>
      <c r="N792" s="120" t="s">
        <v>428</v>
      </c>
      <c r="O792" s="120"/>
      <c r="P792" s="120"/>
      <c r="Q792" s="120"/>
      <c r="R792" s="120"/>
      <c r="S792" s="120"/>
      <c r="T792" s="120"/>
      <c r="U792" s="120"/>
      <c r="V792" s="120"/>
      <c r="W792" s="120"/>
      <c r="X792" s="120"/>
      <c r="Y792" s="120"/>
      <c r="Z792" s="120"/>
      <c r="AA792" s="120"/>
      <c r="AB792" s="120"/>
      <c r="AC792" s="120"/>
      <c r="AD792" s="120"/>
      <c r="AE792" s="120"/>
      <c r="AF792" s="120"/>
      <c r="AG792" s="120"/>
      <c r="AH792" s="120"/>
    </row>
    <row r="793">
      <c r="A793" s="120" t="s">
        <v>381</v>
      </c>
      <c r="B793" s="120" t="s">
        <v>20</v>
      </c>
      <c r="C793" s="120" t="s">
        <v>1155</v>
      </c>
      <c r="D793" s="120" t="s">
        <v>235</v>
      </c>
      <c r="E793" s="120"/>
      <c r="F793" s="120" t="s">
        <v>1077</v>
      </c>
      <c r="G793" s="120" t="s">
        <v>555</v>
      </c>
      <c r="H793" s="121">
        <v>1990.0</v>
      </c>
      <c r="I793" s="122">
        <v>1064.0</v>
      </c>
      <c r="J793" s="123" t="s">
        <v>188</v>
      </c>
      <c r="K793" s="120" t="s">
        <v>188</v>
      </c>
      <c r="L793" s="124" t="s">
        <v>260</v>
      </c>
      <c r="M793" s="125" t="s">
        <v>421</v>
      </c>
      <c r="N793" s="120" t="s">
        <v>428</v>
      </c>
      <c r="O793" s="120"/>
      <c r="P793" s="120"/>
      <c r="Q793" s="120"/>
      <c r="R793" s="120"/>
      <c r="S793" s="120"/>
      <c r="T793" s="120"/>
      <c r="U793" s="120"/>
      <c r="V793" s="120"/>
      <c r="W793" s="120"/>
      <c r="X793" s="120"/>
      <c r="Y793" s="120"/>
      <c r="Z793" s="120"/>
      <c r="AA793" s="120"/>
      <c r="AB793" s="120"/>
      <c r="AC793" s="120"/>
      <c r="AD793" s="120"/>
      <c r="AE793" s="120"/>
      <c r="AF793" s="120"/>
      <c r="AG793" s="120"/>
      <c r="AH793" s="120"/>
    </row>
    <row r="794">
      <c r="A794" s="120" t="s">
        <v>381</v>
      </c>
      <c r="B794" s="120" t="s">
        <v>20</v>
      </c>
      <c r="C794" s="120" t="s">
        <v>1155</v>
      </c>
      <c r="D794" s="120" t="s">
        <v>235</v>
      </c>
      <c r="E794" s="120"/>
      <c r="F794" s="120" t="s">
        <v>1077</v>
      </c>
      <c r="G794" s="120" t="s">
        <v>555</v>
      </c>
      <c r="H794" s="121">
        <v>1991.0</v>
      </c>
      <c r="I794" s="122">
        <v>982.0</v>
      </c>
      <c r="J794" s="123" t="s">
        <v>188</v>
      </c>
      <c r="K794" s="120" t="s">
        <v>188</v>
      </c>
      <c r="L794" s="124" t="s">
        <v>260</v>
      </c>
      <c r="M794" s="125" t="s">
        <v>421</v>
      </c>
      <c r="N794" s="120" t="s">
        <v>428</v>
      </c>
      <c r="O794" s="120"/>
      <c r="P794" s="120"/>
      <c r="Q794" s="120"/>
      <c r="R794" s="120"/>
      <c r="S794" s="120"/>
      <c r="T794" s="120"/>
      <c r="U794" s="120"/>
      <c r="V794" s="120"/>
      <c r="W794" s="120"/>
      <c r="X794" s="120"/>
      <c r="Y794" s="120"/>
      <c r="Z794" s="120"/>
      <c r="AA794" s="120"/>
      <c r="AB794" s="120"/>
      <c r="AC794" s="120"/>
      <c r="AD794" s="120"/>
      <c r="AE794" s="120"/>
      <c r="AF794" s="120"/>
      <c r="AG794" s="120"/>
      <c r="AH794" s="120"/>
    </row>
    <row r="795">
      <c r="A795" s="120" t="s">
        <v>381</v>
      </c>
      <c r="B795" s="120" t="s">
        <v>20</v>
      </c>
      <c r="C795" s="120" t="s">
        <v>1155</v>
      </c>
      <c r="D795" s="120" t="s">
        <v>235</v>
      </c>
      <c r="E795" s="120"/>
      <c r="F795" s="120" t="s">
        <v>1077</v>
      </c>
      <c r="G795" s="120" t="s">
        <v>555</v>
      </c>
      <c r="H795" s="121">
        <v>1992.0</v>
      </c>
      <c r="I795" s="122">
        <v>927.0</v>
      </c>
      <c r="J795" s="123" t="s">
        <v>188</v>
      </c>
      <c r="K795" s="120" t="s">
        <v>188</v>
      </c>
      <c r="L795" s="124" t="s">
        <v>260</v>
      </c>
      <c r="M795" s="125" t="s">
        <v>421</v>
      </c>
      <c r="N795" s="120" t="s">
        <v>428</v>
      </c>
      <c r="O795" s="120"/>
      <c r="P795" s="120"/>
      <c r="Q795" s="120"/>
      <c r="R795" s="120"/>
      <c r="S795" s="120"/>
      <c r="T795" s="120"/>
      <c r="U795" s="120"/>
      <c r="V795" s="120"/>
      <c r="W795" s="120"/>
      <c r="X795" s="120"/>
      <c r="Y795" s="120"/>
      <c r="Z795" s="120"/>
      <c r="AA795" s="120"/>
      <c r="AB795" s="120"/>
      <c r="AC795" s="120"/>
      <c r="AD795" s="120"/>
      <c r="AE795" s="120"/>
      <c r="AF795" s="120"/>
      <c r="AG795" s="120"/>
      <c r="AH795" s="120"/>
    </row>
    <row r="796">
      <c r="A796" s="120" t="s">
        <v>381</v>
      </c>
      <c r="B796" s="120" t="s">
        <v>20</v>
      </c>
      <c r="C796" s="120" t="s">
        <v>1155</v>
      </c>
      <c r="D796" s="120" t="s">
        <v>235</v>
      </c>
      <c r="E796" s="120"/>
      <c r="F796" s="120" t="s">
        <v>1077</v>
      </c>
      <c r="G796" s="120" t="s">
        <v>555</v>
      </c>
      <c r="H796" s="121">
        <v>1993.0</v>
      </c>
      <c r="I796" s="122">
        <v>1255.0</v>
      </c>
      <c r="J796" s="123" t="s">
        <v>188</v>
      </c>
      <c r="K796" s="120" t="s">
        <v>188</v>
      </c>
      <c r="L796" s="124" t="s">
        <v>260</v>
      </c>
      <c r="M796" s="125" t="s">
        <v>421</v>
      </c>
      <c r="N796" s="120" t="s">
        <v>428</v>
      </c>
      <c r="O796" s="120"/>
      <c r="P796" s="120"/>
      <c r="Q796" s="120"/>
      <c r="R796" s="120"/>
      <c r="S796" s="120"/>
      <c r="T796" s="120"/>
      <c r="U796" s="120"/>
      <c r="V796" s="120"/>
      <c r="W796" s="120"/>
      <c r="X796" s="120"/>
      <c r="Y796" s="120"/>
      <c r="Z796" s="120"/>
      <c r="AA796" s="120"/>
      <c r="AB796" s="120"/>
      <c r="AC796" s="120"/>
      <c r="AD796" s="120"/>
      <c r="AE796" s="120"/>
      <c r="AF796" s="120"/>
      <c r="AG796" s="120"/>
      <c r="AH796" s="120"/>
    </row>
    <row r="797">
      <c r="A797" s="120" t="s">
        <v>381</v>
      </c>
      <c r="B797" s="120" t="s">
        <v>20</v>
      </c>
      <c r="C797" s="120" t="s">
        <v>1155</v>
      </c>
      <c r="D797" s="120" t="s">
        <v>235</v>
      </c>
      <c r="E797" s="120"/>
      <c r="F797" s="120" t="s">
        <v>1077</v>
      </c>
      <c r="G797" s="120" t="s">
        <v>555</v>
      </c>
      <c r="H797" s="121">
        <v>1994.0</v>
      </c>
      <c r="I797" s="122">
        <v>1473.0</v>
      </c>
      <c r="J797" s="123" t="s">
        <v>188</v>
      </c>
      <c r="K797" s="120" t="s">
        <v>188</v>
      </c>
      <c r="L797" s="124" t="s">
        <v>260</v>
      </c>
      <c r="M797" s="125" t="s">
        <v>421</v>
      </c>
      <c r="N797" s="120" t="s">
        <v>428</v>
      </c>
      <c r="O797" s="120"/>
      <c r="P797" s="120"/>
      <c r="Q797" s="120"/>
      <c r="R797" s="120"/>
      <c r="S797" s="120"/>
      <c r="T797" s="120"/>
      <c r="U797" s="120"/>
      <c r="V797" s="120"/>
      <c r="W797" s="120"/>
      <c r="X797" s="120"/>
      <c r="Y797" s="120"/>
      <c r="Z797" s="120"/>
      <c r="AA797" s="120"/>
      <c r="AB797" s="120"/>
      <c r="AC797" s="120"/>
      <c r="AD797" s="120"/>
      <c r="AE797" s="120"/>
      <c r="AF797" s="120"/>
      <c r="AG797" s="120"/>
      <c r="AH797" s="120"/>
    </row>
    <row r="798">
      <c r="A798" s="120" t="s">
        <v>381</v>
      </c>
      <c r="B798" s="120" t="s">
        <v>20</v>
      </c>
      <c r="C798" s="120" t="s">
        <v>1155</v>
      </c>
      <c r="D798" s="120" t="s">
        <v>235</v>
      </c>
      <c r="E798" s="120"/>
      <c r="F798" s="120" t="s">
        <v>1077</v>
      </c>
      <c r="G798" s="120" t="s">
        <v>555</v>
      </c>
      <c r="H798" s="121">
        <v>1995.0</v>
      </c>
      <c r="I798" s="122">
        <v>1555.0</v>
      </c>
      <c r="J798" s="123" t="s">
        <v>188</v>
      </c>
      <c r="K798" s="120" t="s">
        <v>188</v>
      </c>
      <c r="L798" s="124" t="s">
        <v>260</v>
      </c>
      <c r="M798" s="125" t="s">
        <v>421</v>
      </c>
      <c r="N798" s="120" t="s">
        <v>428</v>
      </c>
      <c r="O798" s="120"/>
      <c r="P798" s="120"/>
      <c r="Q798" s="120"/>
      <c r="R798" s="120"/>
      <c r="S798" s="120"/>
      <c r="T798" s="120"/>
      <c r="U798" s="120"/>
      <c r="V798" s="120"/>
      <c r="W798" s="120"/>
      <c r="X798" s="120"/>
      <c r="Y798" s="120"/>
      <c r="Z798" s="120"/>
      <c r="AA798" s="120"/>
      <c r="AB798" s="120"/>
      <c r="AC798" s="120"/>
      <c r="AD798" s="120"/>
      <c r="AE798" s="120"/>
      <c r="AF798" s="120"/>
      <c r="AG798" s="120"/>
      <c r="AH798" s="120"/>
    </row>
    <row r="799">
      <c r="A799" s="120" t="s">
        <v>381</v>
      </c>
      <c r="B799" s="120" t="s">
        <v>20</v>
      </c>
      <c r="C799" s="120" t="s">
        <v>1155</v>
      </c>
      <c r="D799" s="120" t="s">
        <v>235</v>
      </c>
      <c r="E799" s="120"/>
      <c r="F799" s="120" t="s">
        <v>1077</v>
      </c>
      <c r="G799" s="120" t="s">
        <v>555</v>
      </c>
      <c r="H799" s="121">
        <v>1996.0</v>
      </c>
      <c r="I799" s="122">
        <v>1773.0</v>
      </c>
      <c r="J799" s="123" t="s">
        <v>188</v>
      </c>
      <c r="K799" s="120" t="s">
        <v>188</v>
      </c>
      <c r="L799" s="124" t="s">
        <v>260</v>
      </c>
      <c r="M799" s="125" t="s">
        <v>421</v>
      </c>
      <c r="N799" s="120" t="s">
        <v>428</v>
      </c>
      <c r="O799" s="120"/>
      <c r="P799" s="120"/>
      <c r="Q799" s="120"/>
      <c r="R799" s="120"/>
      <c r="S799" s="120"/>
      <c r="T799" s="120"/>
      <c r="U799" s="120"/>
      <c r="V799" s="120"/>
      <c r="W799" s="120"/>
      <c r="X799" s="120"/>
      <c r="Y799" s="120"/>
      <c r="Z799" s="120"/>
      <c r="AA799" s="120"/>
      <c r="AB799" s="120"/>
      <c r="AC799" s="120"/>
      <c r="AD799" s="120"/>
      <c r="AE799" s="120"/>
      <c r="AF799" s="120"/>
      <c r="AG799" s="120"/>
      <c r="AH799" s="120"/>
    </row>
    <row r="800">
      <c r="A800" s="120" t="s">
        <v>381</v>
      </c>
      <c r="B800" s="120" t="s">
        <v>20</v>
      </c>
      <c r="C800" s="120" t="s">
        <v>1155</v>
      </c>
      <c r="D800" s="120" t="s">
        <v>235</v>
      </c>
      <c r="E800" s="120"/>
      <c r="F800" s="120" t="s">
        <v>1077</v>
      </c>
      <c r="G800" s="120" t="s">
        <v>555</v>
      </c>
      <c r="H800" s="121">
        <v>1997.0</v>
      </c>
      <c r="I800" s="122">
        <v>1718.0</v>
      </c>
      <c r="J800" s="123" t="s">
        <v>188</v>
      </c>
      <c r="K800" s="120" t="s">
        <v>188</v>
      </c>
      <c r="L800" s="124" t="s">
        <v>260</v>
      </c>
      <c r="M800" s="125" t="s">
        <v>421</v>
      </c>
      <c r="N800" s="120" t="s">
        <v>428</v>
      </c>
      <c r="O800" s="120"/>
      <c r="P800" s="120"/>
      <c r="Q800" s="120"/>
      <c r="R800" s="120"/>
      <c r="S800" s="120"/>
      <c r="T800" s="120"/>
      <c r="U800" s="120"/>
      <c r="V800" s="120"/>
      <c r="W800" s="120"/>
      <c r="X800" s="120"/>
      <c r="Y800" s="120"/>
      <c r="Z800" s="120"/>
      <c r="AA800" s="120"/>
      <c r="AB800" s="120"/>
      <c r="AC800" s="120"/>
      <c r="AD800" s="120"/>
      <c r="AE800" s="120"/>
      <c r="AF800" s="120"/>
      <c r="AG800" s="120"/>
      <c r="AH800" s="120"/>
    </row>
    <row r="801">
      <c r="A801" s="120" t="s">
        <v>381</v>
      </c>
      <c r="B801" s="120" t="s">
        <v>20</v>
      </c>
      <c r="C801" s="120" t="s">
        <v>1155</v>
      </c>
      <c r="D801" s="120" t="s">
        <v>235</v>
      </c>
      <c r="E801" s="120"/>
      <c r="F801" s="120" t="s">
        <v>1077</v>
      </c>
      <c r="G801" s="120" t="s">
        <v>555</v>
      </c>
      <c r="H801" s="121">
        <v>1998.0</v>
      </c>
      <c r="I801" s="122">
        <v>327.0</v>
      </c>
      <c r="J801" s="123" t="s">
        <v>188</v>
      </c>
      <c r="K801" s="120" t="s">
        <v>188</v>
      </c>
      <c r="L801" s="124" t="s">
        <v>260</v>
      </c>
      <c r="M801" s="125" t="s">
        <v>421</v>
      </c>
      <c r="N801" s="120" t="s">
        <v>428</v>
      </c>
      <c r="O801" s="120"/>
      <c r="P801" s="120"/>
      <c r="Q801" s="120"/>
      <c r="R801" s="120"/>
      <c r="S801" s="120"/>
      <c r="T801" s="120"/>
      <c r="U801" s="120"/>
      <c r="V801" s="120"/>
      <c r="W801" s="120"/>
      <c r="X801" s="120"/>
      <c r="Y801" s="120"/>
      <c r="Z801" s="120"/>
      <c r="AA801" s="120"/>
      <c r="AB801" s="120"/>
      <c r="AC801" s="120"/>
      <c r="AD801" s="120"/>
      <c r="AE801" s="120"/>
      <c r="AF801" s="120"/>
      <c r="AG801" s="120"/>
      <c r="AH801" s="120"/>
    </row>
    <row r="802">
      <c r="A802" s="120" t="s">
        <v>381</v>
      </c>
      <c r="B802" s="120" t="s">
        <v>20</v>
      </c>
      <c r="C802" s="120" t="s">
        <v>1155</v>
      </c>
      <c r="D802" s="120" t="s">
        <v>235</v>
      </c>
      <c r="E802" s="120"/>
      <c r="F802" s="120" t="s">
        <v>1077</v>
      </c>
      <c r="G802" s="120" t="s">
        <v>555</v>
      </c>
      <c r="H802" s="121">
        <v>1999.0</v>
      </c>
      <c r="I802" s="122">
        <v>600.0</v>
      </c>
      <c r="J802" s="123" t="s">
        <v>188</v>
      </c>
      <c r="K802" s="120" t="s">
        <v>188</v>
      </c>
      <c r="L802" s="124" t="s">
        <v>260</v>
      </c>
      <c r="M802" s="125" t="s">
        <v>421</v>
      </c>
      <c r="N802" s="120" t="s">
        <v>428</v>
      </c>
      <c r="O802" s="120"/>
      <c r="P802" s="120"/>
      <c r="Q802" s="120"/>
      <c r="R802" s="120"/>
      <c r="S802" s="120"/>
      <c r="T802" s="120"/>
      <c r="U802" s="120"/>
      <c r="V802" s="120"/>
      <c r="W802" s="120"/>
      <c r="X802" s="120"/>
      <c r="Y802" s="120"/>
      <c r="Z802" s="120"/>
      <c r="AA802" s="120"/>
      <c r="AB802" s="120"/>
      <c r="AC802" s="120"/>
      <c r="AD802" s="120"/>
      <c r="AE802" s="120"/>
      <c r="AF802" s="120"/>
      <c r="AG802" s="120"/>
      <c r="AH802" s="120"/>
    </row>
    <row r="803">
      <c r="A803" s="120" t="s">
        <v>381</v>
      </c>
      <c r="B803" s="120" t="s">
        <v>20</v>
      </c>
      <c r="C803" s="120" t="s">
        <v>1155</v>
      </c>
      <c r="D803" s="120" t="s">
        <v>235</v>
      </c>
      <c r="E803" s="120"/>
      <c r="F803" s="120" t="s">
        <v>1077</v>
      </c>
      <c r="G803" s="120" t="s">
        <v>555</v>
      </c>
      <c r="H803" s="121">
        <v>2000.0</v>
      </c>
      <c r="I803" s="122">
        <v>927.0</v>
      </c>
      <c r="J803" s="123" t="s">
        <v>188</v>
      </c>
      <c r="K803" s="120" t="s">
        <v>188</v>
      </c>
      <c r="L803" s="124" t="s">
        <v>260</v>
      </c>
      <c r="M803" s="125" t="s">
        <v>421</v>
      </c>
      <c r="N803" s="120" t="s">
        <v>428</v>
      </c>
      <c r="O803" s="120"/>
      <c r="P803" s="120"/>
      <c r="Q803" s="120"/>
      <c r="R803" s="120"/>
      <c r="S803" s="120"/>
      <c r="T803" s="120"/>
      <c r="U803" s="120"/>
      <c r="V803" s="120"/>
      <c r="W803" s="120"/>
      <c r="X803" s="120"/>
      <c r="Y803" s="120"/>
      <c r="Z803" s="120"/>
      <c r="AA803" s="120"/>
      <c r="AB803" s="120"/>
      <c r="AC803" s="120"/>
      <c r="AD803" s="120"/>
      <c r="AE803" s="120"/>
      <c r="AF803" s="120"/>
      <c r="AG803" s="120"/>
      <c r="AH803" s="120"/>
    </row>
    <row r="804">
      <c r="A804" s="120" t="s">
        <v>381</v>
      </c>
      <c r="B804" s="120" t="s">
        <v>20</v>
      </c>
      <c r="C804" s="120" t="s">
        <v>1155</v>
      </c>
      <c r="D804" s="120" t="s">
        <v>235</v>
      </c>
      <c r="E804" s="120"/>
      <c r="F804" s="120" t="s">
        <v>1077</v>
      </c>
      <c r="G804" s="120" t="s">
        <v>555</v>
      </c>
      <c r="H804" s="121">
        <v>2001.0</v>
      </c>
      <c r="I804" s="122">
        <v>1173.0</v>
      </c>
      <c r="J804" s="123" t="s">
        <v>188</v>
      </c>
      <c r="K804" s="120" t="s">
        <v>188</v>
      </c>
      <c r="L804" s="124" t="s">
        <v>260</v>
      </c>
      <c r="M804" s="125" t="s">
        <v>421</v>
      </c>
      <c r="N804" s="120" t="s">
        <v>428</v>
      </c>
      <c r="O804" s="120"/>
      <c r="P804" s="120"/>
      <c r="Q804" s="120"/>
      <c r="R804" s="120"/>
      <c r="S804" s="120"/>
      <c r="T804" s="120"/>
      <c r="U804" s="120"/>
      <c r="V804" s="120"/>
      <c r="W804" s="120"/>
      <c r="X804" s="120"/>
      <c r="Y804" s="120"/>
      <c r="Z804" s="120"/>
      <c r="AA804" s="120"/>
      <c r="AB804" s="120"/>
      <c r="AC804" s="120"/>
      <c r="AD804" s="120"/>
      <c r="AE804" s="120"/>
      <c r="AF804" s="120"/>
      <c r="AG804" s="120"/>
      <c r="AH804" s="120"/>
    </row>
    <row r="805">
      <c r="A805" s="120" t="s">
        <v>381</v>
      </c>
      <c r="B805" s="120" t="s">
        <v>20</v>
      </c>
      <c r="C805" s="120" t="s">
        <v>1155</v>
      </c>
      <c r="D805" s="120" t="s">
        <v>235</v>
      </c>
      <c r="E805" s="120"/>
      <c r="F805" s="120" t="s">
        <v>1077</v>
      </c>
      <c r="G805" s="120" t="s">
        <v>555</v>
      </c>
      <c r="H805" s="121">
        <v>2002.0</v>
      </c>
      <c r="I805" s="122">
        <v>1091.0</v>
      </c>
      <c r="J805" s="123" t="s">
        <v>188</v>
      </c>
      <c r="K805" s="120" t="s">
        <v>188</v>
      </c>
      <c r="L805" s="124" t="s">
        <v>260</v>
      </c>
      <c r="M805" s="125" t="s">
        <v>421</v>
      </c>
      <c r="N805" s="120" t="s">
        <v>428</v>
      </c>
      <c r="O805" s="120"/>
      <c r="P805" s="120"/>
      <c r="Q805" s="120"/>
      <c r="R805" s="120"/>
      <c r="S805" s="120"/>
      <c r="T805" s="120"/>
      <c r="U805" s="120"/>
      <c r="V805" s="120"/>
      <c r="W805" s="120"/>
      <c r="X805" s="120"/>
      <c r="Y805" s="120"/>
      <c r="Z805" s="120"/>
      <c r="AA805" s="120"/>
      <c r="AB805" s="120"/>
      <c r="AC805" s="120"/>
      <c r="AD805" s="120"/>
      <c r="AE805" s="120"/>
      <c r="AF805" s="120"/>
      <c r="AG805" s="120"/>
      <c r="AH805" s="120"/>
    </row>
    <row r="806">
      <c r="A806" s="120" t="s">
        <v>381</v>
      </c>
      <c r="B806" s="120" t="s">
        <v>20</v>
      </c>
      <c r="C806" s="120" t="s">
        <v>1155</v>
      </c>
      <c r="D806" s="120" t="s">
        <v>235</v>
      </c>
      <c r="E806" s="120"/>
      <c r="F806" s="120" t="s">
        <v>1077</v>
      </c>
      <c r="G806" s="120" t="s">
        <v>555</v>
      </c>
      <c r="H806" s="121">
        <v>2003.0</v>
      </c>
      <c r="I806" s="122">
        <v>1064.0</v>
      </c>
      <c r="J806" s="123" t="s">
        <v>188</v>
      </c>
      <c r="K806" s="120" t="s">
        <v>188</v>
      </c>
      <c r="L806" s="124" t="s">
        <v>260</v>
      </c>
      <c r="M806" s="125" t="s">
        <v>421</v>
      </c>
      <c r="N806" s="120" t="s">
        <v>428</v>
      </c>
      <c r="O806" s="120"/>
      <c r="P806" s="120"/>
      <c r="Q806" s="120"/>
      <c r="R806" s="120"/>
      <c r="S806" s="120"/>
      <c r="T806" s="120"/>
      <c r="U806" s="120"/>
      <c r="V806" s="120"/>
      <c r="W806" s="120"/>
      <c r="X806" s="120"/>
      <c r="Y806" s="120"/>
      <c r="Z806" s="120"/>
      <c r="AA806" s="120"/>
      <c r="AB806" s="120"/>
      <c r="AC806" s="120"/>
      <c r="AD806" s="120"/>
      <c r="AE806" s="120"/>
      <c r="AF806" s="120"/>
      <c r="AG806" s="120"/>
      <c r="AH806" s="120"/>
    </row>
    <row r="807">
      <c r="A807" s="120" t="s">
        <v>381</v>
      </c>
      <c r="B807" s="120" t="s">
        <v>20</v>
      </c>
      <c r="C807" s="120" t="s">
        <v>1155</v>
      </c>
      <c r="D807" s="120" t="s">
        <v>235</v>
      </c>
      <c r="E807" s="120"/>
      <c r="F807" s="120" t="s">
        <v>1077</v>
      </c>
      <c r="G807" s="120" t="s">
        <v>555</v>
      </c>
      <c r="H807" s="121">
        <v>2004.0</v>
      </c>
      <c r="I807" s="122">
        <v>818.0</v>
      </c>
      <c r="J807" s="123" t="s">
        <v>188</v>
      </c>
      <c r="K807" s="120" t="s">
        <v>188</v>
      </c>
      <c r="L807" s="124" t="s">
        <v>260</v>
      </c>
      <c r="M807" s="125" t="s">
        <v>421</v>
      </c>
      <c r="N807" s="120" t="s">
        <v>428</v>
      </c>
      <c r="O807" s="120"/>
      <c r="P807" s="120"/>
      <c r="Q807" s="120"/>
      <c r="R807" s="120"/>
      <c r="S807" s="120"/>
      <c r="T807" s="120"/>
      <c r="U807" s="120"/>
      <c r="V807" s="120"/>
      <c r="W807" s="120"/>
      <c r="X807" s="120"/>
      <c r="Y807" s="120"/>
      <c r="Z807" s="120"/>
      <c r="AA807" s="120"/>
      <c r="AB807" s="120"/>
      <c r="AC807" s="120"/>
      <c r="AD807" s="120"/>
      <c r="AE807" s="120"/>
      <c r="AF807" s="120"/>
      <c r="AG807" s="120"/>
      <c r="AH807" s="120"/>
    </row>
    <row r="808">
      <c r="A808" s="120" t="s">
        <v>381</v>
      </c>
      <c r="B808" s="120" t="s">
        <v>20</v>
      </c>
      <c r="C808" s="120" t="s">
        <v>1155</v>
      </c>
      <c r="D808" s="120" t="s">
        <v>235</v>
      </c>
      <c r="E808" s="120"/>
      <c r="F808" s="120" t="s">
        <v>1077</v>
      </c>
      <c r="G808" s="120" t="s">
        <v>555</v>
      </c>
      <c r="H808" s="121">
        <v>2005.0</v>
      </c>
      <c r="I808" s="122">
        <v>1118.0</v>
      </c>
      <c r="J808" s="123" t="s">
        <v>188</v>
      </c>
      <c r="K808" s="120" t="s">
        <v>188</v>
      </c>
      <c r="L808" s="124" t="s">
        <v>260</v>
      </c>
      <c r="M808" s="125" t="s">
        <v>421</v>
      </c>
      <c r="N808" s="120" t="s">
        <v>428</v>
      </c>
      <c r="O808" s="120"/>
      <c r="P808" s="120"/>
      <c r="Q808" s="120"/>
      <c r="R808" s="120"/>
      <c r="S808" s="120"/>
      <c r="T808" s="120"/>
      <c r="U808" s="120"/>
      <c r="V808" s="120"/>
      <c r="W808" s="120"/>
      <c r="X808" s="120"/>
      <c r="Y808" s="120"/>
      <c r="Z808" s="120"/>
      <c r="AA808" s="120"/>
      <c r="AB808" s="120"/>
      <c r="AC808" s="120"/>
      <c r="AD808" s="120"/>
      <c r="AE808" s="120"/>
      <c r="AF808" s="120"/>
      <c r="AG808" s="120"/>
      <c r="AH808" s="120"/>
    </row>
    <row r="809">
      <c r="A809" s="120" t="s">
        <v>381</v>
      </c>
      <c r="B809" s="120" t="s">
        <v>20</v>
      </c>
      <c r="C809" s="120" t="s">
        <v>1155</v>
      </c>
      <c r="D809" s="120" t="s">
        <v>235</v>
      </c>
      <c r="E809" s="120"/>
      <c r="F809" s="120" t="s">
        <v>1077</v>
      </c>
      <c r="G809" s="120" t="s">
        <v>555</v>
      </c>
      <c r="H809" s="121">
        <v>2006.0</v>
      </c>
      <c r="I809" s="122">
        <v>1118.0</v>
      </c>
      <c r="J809" s="123" t="s">
        <v>188</v>
      </c>
      <c r="K809" s="120" t="s">
        <v>188</v>
      </c>
      <c r="L809" s="124" t="s">
        <v>260</v>
      </c>
      <c r="M809" s="125" t="s">
        <v>421</v>
      </c>
      <c r="N809" s="120" t="s">
        <v>428</v>
      </c>
      <c r="O809" s="120"/>
      <c r="P809" s="120"/>
      <c r="Q809" s="120"/>
      <c r="R809" s="120"/>
      <c r="S809" s="120"/>
      <c r="T809" s="120"/>
      <c r="U809" s="120"/>
      <c r="V809" s="120"/>
      <c r="W809" s="120"/>
      <c r="X809" s="120"/>
      <c r="Y809" s="120"/>
      <c r="Z809" s="120"/>
      <c r="AA809" s="120"/>
      <c r="AB809" s="120"/>
      <c r="AC809" s="120"/>
      <c r="AD809" s="120"/>
      <c r="AE809" s="120"/>
      <c r="AF809" s="120"/>
      <c r="AG809" s="120"/>
      <c r="AH809" s="120"/>
    </row>
    <row r="810">
      <c r="A810" s="120" t="s">
        <v>381</v>
      </c>
      <c r="B810" s="120" t="s">
        <v>20</v>
      </c>
      <c r="C810" s="120" t="s">
        <v>1155</v>
      </c>
      <c r="D810" s="120" t="s">
        <v>235</v>
      </c>
      <c r="E810" s="120"/>
      <c r="F810" s="120" t="s">
        <v>1077</v>
      </c>
      <c r="G810" s="120" t="s">
        <v>555</v>
      </c>
      <c r="H810" s="121">
        <v>2007.0</v>
      </c>
      <c r="I810" s="122">
        <v>955.0</v>
      </c>
      <c r="J810" s="123" t="s">
        <v>188</v>
      </c>
      <c r="K810" s="120" t="s">
        <v>188</v>
      </c>
      <c r="L810" s="124" t="s">
        <v>260</v>
      </c>
      <c r="M810" s="125" t="s">
        <v>421</v>
      </c>
      <c r="N810" s="120" t="s">
        <v>428</v>
      </c>
      <c r="O810" s="120"/>
      <c r="P810" s="120"/>
      <c r="Q810" s="120"/>
      <c r="R810" s="120"/>
      <c r="S810" s="120"/>
      <c r="T810" s="120"/>
      <c r="U810" s="120"/>
      <c r="V810" s="120"/>
      <c r="W810" s="120"/>
      <c r="X810" s="120"/>
      <c r="Y810" s="120"/>
      <c r="Z810" s="120"/>
      <c r="AA810" s="120"/>
      <c r="AB810" s="120"/>
      <c r="AC810" s="120"/>
      <c r="AD810" s="120"/>
      <c r="AE810" s="120"/>
      <c r="AF810" s="120"/>
      <c r="AG810" s="120"/>
      <c r="AH810" s="120"/>
    </row>
    <row r="811">
      <c r="A811" s="120" t="s">
        <v>381</v>
      </c>
      <c r="B811" s="120" t="s">
        <v>20</v>
      </c>
      <c r="C811" s="120" t="s">
        <v>1155</v>
      </c>
      <c r="D811" s="120" t="s">
        <v>235</v>
      </c>
      <c r="E811" s="120"/>
      <c r="F811" s="120" t="s">
        <v>1077</v>
      </c>
      <c r="G811" s="120" t="s">
        <v>555</v>
      </c>
      <c r="H811" s="121">
        <v>2008.0</v>
      </c>
      <c r="I811" s="122">
        <v>1364.0</v>
      </c>
      <c r="J811" s="123" t="s">
        <v>188</v>
      </c>
      <c r="K811" s="120" t="s">
        <v>188</v>
      </c>
      <c r="L811" s="124" t="s">
        <v>260</v>
      </c>
      <c r="M811" s="125" t="s">
        <v>421</v>
      </c>
      <c r="N811" s="120" t="s">
        <v>428</v>
      </c>
      <c r="O811" s="120"/>
      <c r="P811" s="120"/>
      <c r="Q811" s="120"/>
      <c r="R811" s="120"/>
      <c r="S811" s="120"/>
      <c r="T811" s="120"/>
      <c r="U811" s="120"/>
      <c r="V811" s="120"/>
      <c r="W811" s="120"/>
      <c r="X811" s="120"/>
      <c r="Y811" s="120"/>
      <c r="Z811" s="120"/>
      <c r="AA811" s="120"/>
      <c r="AB811" s="120"/>
      <c r="AC811" s="120"/>
      <c r="AD811" s="120"/>
      <c r="AE811" s="120"/>
      <c r="AF811" s="120"/>
      <c r="AG811" s="120"/>
      <c r="AH811" s="120"/>
    </row>
    <row r="812">
      <c r="A812" s="120" t="s">
        <v>381</v>
      </c>
      <c r="B812" s="120" t="s">
        <v>20</v>
      </c>
      <c r="C812" s="120" t="s">
        <v>1155</v>
      </c>
      <c r="D812" s="120" t="s">
        <v>235</v>
      </c>
      <c r="E812" s="120"/>
      <c r="F812" s="120" t="s">
        <v>1077</v>
      </c>
      <c r="G812" s="120" t="s">
        <v>555</v>
      </c>
      <c r="H812" s="121">
        <v>2009.0</v>
      </c>
      <c r="I812" s="122">
        <v>1227.0</v>
      </c>
      <c r="J812" s="123" t="s">
        <v>188</v>
      </c>
      <c r="K812" s="120" t="s">
        <v>188</v>
      </c>
      <c r="L812" s="124" t="s">
        <v>260</v>
      </c>
      <c r="M812" s="125" t="s">
        <v>421</v>
      </c>
      <c r="N812" s="120" t="s">
        <v>428</v>
      </c>
      <c r="O812" s="120"/>
      <c r="P812" s="120"/>
      <c r="Q812" s="120"/>
      <c r="R812" s="120"/>
      <c r="S812" s="120"/>
      <c r="T812" s="120"/>
      <c r="U812" s="120"/>
      <c r="V812" s="120"/>
      <c r="W812" s="120"/>
      <c r="X812" s="120"/>
      <c r="Y812" s="120"/>
      <c r="Z812" s="120"/>
      <c r="AA812" s="120"/>
      <c r="AB812" s="120"/>
      <c r="AC812" s="120"/>
      <c r="AD812" s="120"/>
      <c r="AE812" s="120"/>
      <c r="AF812" s="120"/>
      <c r="AG812" s="120"/>
      <c r="AH812" s="120"/>
    </row>
    <row r="813">
      <c r="A813" s="120" t="s">
        <v>381</v>
      </c>
      <c r="B813" s="120" t="s">
        <v>20</v>
      </c>
      <c r="C813" s="120" t="s">
        <v>1155</v>
      </c>
      <c r="D813" s="120" t="s">
        <v>235</v>
      </c>
      <c r="E813" s="120"/>
      <c r="F813" s="120" t="s">
        <v>1077</v>
      </c>
      <c r="G813" s="120" t="s">
        <v>555</v>
      </c>
      <c r="H813" s="121">
        <v>2010.0</v>
      </c>
      <c r="I813" s="122">
        <v>1500.0</v>
      </c>
      <c r="J813" s="123" t="s">
        <v>188</v>
      </c>
      <c r="K813" s="120" t="s">
        <v>188</v>
      </c>
      <c r="L813" s="124" t="s">
        <v>260</v>
      </c>
      <c r="M813" s="125" t="s">
        <v>421</v>
      </c>
      <c r="N813" s="120" t="s">
        <v>428</v>
      </c>
      <c r="O813" s="120"/>
      <c r="P813" s="120"/>
      <c r="Q813" s="120"/>
      <c r="R813" s="120"/>
      <c r="S813" s="120"/>
      <c r="T813" s="120"/>
      <c r="U813" s="120"/>
      <c r="V813" s="120"/>
      <c r="W813" s="120"/>
      <c r="X813" s="120"/>
      <c r="Y813" s="120"/>
      <c r="Z813" s="120"/>
      <c r="AA813" s="120"/>
      <c r="AB813" s="120"/>
      <c r="AC813" s="120"/>
      <c r="AD813" s="120"/>
      <c r="AE813" s="120"/>
      <c r="AF813" s="120"/>
      <c r="AG813" s="120"/>
      <c r="AH813" s="120"/>
    </row>
    <row r="814">
      <c r="A814" s="120" t="s">
        <v>381</v>
      </c>
      <c r="B814" s="120" t="s">
        <v>20</v>
      </c>
      <c r="C814" s="120" t="s">
        <v>1155</v>
      </c>
      <c r="D814" s="120" t="s">
        <v>235</v>
      </c>
      <c r="E814" s="120"/>
      <c r="F814" s="120" t="s">
        <v>1077</v>
      </c>
      <c r="G814" s="120" t="s">
        <v>555</v>
      </c>
      <c r="H814" s="121">
        <v>2011.0</v>
      </c>
      <c r="I814" s="122">
        <v>1364.0</v>
      </c>
      <c r="J814" s="123" t="s">
        <v>188</v>
      </c>
      <c r="K814" s="120" t="s">
        <v>188</v>
      </c>
      <c r="L814" s="124" t="s">
        <v>260</v>
      </c>
      <c r="M814" s="125" t="s">
        <v>421</v>
      </c>
      <c r="N814" s="120" t="s">
        <v>428</v>
      </c>
      <c r="O814" s="120"/>
      <c r="P814" s="120"/>
      <c r="Q814" s="120"/>
      <c r="R814" s="120"/>
      <c r="S814" s="120"/>
      <c r="T814" s="120"/>
      <c r="U814" s="120"/>
      <c r="V814" s="120"/>
      <c r="W814" s="120"/>
      <c r="X814" s="120"/>
      <c r="Y814" s="120"/>
      <c r="Z814" s="120"/>
      <c r="AA814" s="120"/>
      <c r="AB814" s="120"/>
      <c r="AC814" s="120"/>
      <c r="AD814" s="120"/>
      <c r="AE814" s="120"/>
      <c r="AF814" s="120"/>
      <c r="AG814" s="120"/>
      <c r="AH814" s="120"/>
    </row>
    <row r="815">
      <c r="A815" s="120" t="s">
        <v>381</v>
      </c>
      <c r="B815" s="120" t="s">
        <v>20</v>
      </c>
      <c r="C815" s="120" t="s">
        <v>1155</v>
      </c>
      <c r="D815" s="120" t="s">
        <v>235</v>
      </c>
      <c r="E815" s="120"/>
      <c r="F815" s="120" t="s">
        <v>1077</v>
      </c>
      <c r="G815" s="120" t="s">
        <v>555</v>
      </c>
      <c r="H815" s="121">
        <v>2012.0</v>
      </c>
      <c r="I815" s="122">
        <v>1636.0</v>
      </c>
      <c r="J815" s="123" t="s">
        <v>188</v>
      </c>
      <c r="K815" s="120" t="s">
        <v>188</v>
      </c>
      <c r="L815" s="124" t="s">
        <v>260</v>
      </c>
      <c r="M815" s="125" t="s">
        <v>421</v>
      </c>
      <c r="N815" s="120" t="s">
        <v>428</v>
      </c>
      <c r="O815" s="120"/>
      <c r="P815" s="120"/>
      <c r="Q815" s="120"/>
      <c r="R815" s="120"/>
      <c r="S815" s="120"/>
      <c r="T815" s="120"/>
      <c r="U815" s="120"/>
      <c r="V815" s="120"/>
      <c r="W815" s="120"/>
      <c r="X815" s="120"/>
      <c r="Y815" s="120"/>
      <c r="Z815" s="120"/>
      <c r="AA815" s="120"/>
      <c r="AB815" s="120"/>
      <c r="AC815" s="120"/>
      <c r="AD815" s="120"/>
      <c r="AE815" s="120"/>
      <c r="AF815" s="120"/>
      <c r="AG815" s="120"/>
      <c r="AH815" s="120"/>
    </row>
    <row r="816">
      <c r="A816" s="120" t="s">
        <v>381</v>
      </c>
      <c r="B816" s="120" t="s">
        <v>20</v>
      </c>
      <c r="C816" s="120" t="s">
        <v>1155</v>
      </c>
      <c r="D816" s="120" t="s">
        <v>235</v>
      </c>
      <c r="E816" s="120"/>
      <c r="F816" s="120" t="s">
        <v>1077</v>
      </c>
      <c r="G816" s="120" t="s">
        <v>555</v>
      </c>
      <c r="H816" s="121">
        <v>2013.0</v>
      </c>
      <c r="I816" s="122">
        <v>1227.0</v>
      </c>
      <c r="J816" s="123" t="s">
        <v>188</v>
      </c>
      <c r="K816" s="120" t="s">
        <v>188</v>
      </c>
      <c r="L816" s="124" t="s">
        <v>260</v>
      </c>
      <c r="M816" s="125" t="s">
        <v>421</v>
      </c>
      <c r="N816" s="120" t="s">
        <v>428</v>
      </c>
      <c r="O816" s="120"/>
      <c r="P816" s="120"/>
      <c r="Q816" s="120"/>
      <c r="R816" s="120"/>
      <c r="S816" s="120"/>
      <c r="T816" s="120"/>
      <c r="U816" s="120"/>
      <c r="V816" s="120"/>
      <c r="W816" s="120"/>
      <c r="X816" s="120"/>
      <c r="Y816" s="120"/>
      <c r="Z816" s="120"/>
      <c r="AA816" s="120"/>
      <c r="AB816" s="120"/>
      <c r="AC816" s="120"/>
      <c r="AD816" s="120"/>
      <c r="AE816" s="120"/>
      <c r="AF816" s="120"/>
      <c r="AG816" s="120"/>
      <c r="AH816" s="120"/>
    </row>
    <row r="817">
      <c r="A817" s="120" t="s">
        <v>381</v>
      </c>
      <c r="B817" s="120" t="s">
        <v>20</v>
      </c>
      <c r="C817" s="120" t="s">
        <v>1155</v>
      </c>
      <c r="D817" s="120" t="s">
        <v>235</v>
      </c>
      <c r="E817" s="120"/>
      <c r="F817" s="120" t="s">
        <v>1077</v>
      </c>
      <c r="G817" s="120" t="s">
        <v>555</v>
      </c>
      <c r="H817" s="121">
        <v>2014.0</v>
      </c>
      <c r="I817" s="122">
        <v>1609.0</v>
      </c>
      <c r="J817" s="123" t="s">
        <v>188</v>
      </c>
      <c r="K817" s="120" t="s">
        <v>188</v>
      </c>
      <c r="L817" s="124" t="s">
        <v>260</v>
      </c>
      <c r="M817" s="125" t="s">
        <v>421</v>
      </c>
      <c r="N817" s="120" t="s">
        <v>428</v>
      </c>
      <c r="O817" s="120"/>
      <c r="P817" s="120"/>
      <c r="Q817" s="120"/>
      <c r="R817" s="120"/>
      <c r="S817" s="120"/>
      <c r="T817" s="120"/>
      <c r="U817" s="120"/>
      <c r="V817" s="120"/>
      <c r="W817" s="120"/>
      <c r="X817" s="120"/>
      <c r="Y817" s="120"/>
      <c r="Z817" s="120"/>
      <c r="AA817" s="120"/>
      <c r="AB817" s="120"/>
      <c r="AC817" s="120"/>
      <c r="AD817" s="120"/>
      <c r="AE817" s="120"/>
      <c r="AF817" s="120"/>
      <c r="AG817" s="120"/>
      <c r="AH817" s="120"/>
    </row>
    <row r="818">
      <c r="A818" s="120" t="s">
        <v>381</v>
      </c>
      <c r="B818" s="120" t="s">
        <v>20</v>
      </c>
      <c r="C818" s="120" t="s">
        <v>1155</v>
      </c>
      <c r="D818" s="120" t="s">
        <v>235</v>
      </c>
      <c r="E818" s="120"/>
      <c r="F818" s="120" t="s">
        <v>1077</v>
      </c>
      <c r="G818" s="120" t="s">
        <v>555</v>
      </c>
      <c r="H818" s="121">
        <v>2015.0</v>
      </c>
      <c r="I818" s="122">
        <v>1636.0</v>
      </c>
      <c r="J818" s="123" t="s">
        <v>188</v>
      </c>
      <c r="K818" s="120" t="s">
        <v>188</v>
      </c>
      <c r="L818" s="124" t="s">
        <v>260</v>
      </c>
      <c r="M818" s="125" t="s">
        <v>421</v>
      </c>
      <c r="N818" s="120" t="s">
        <v>428</v>
      </c>
      <c r="O818" s="120"/>
      <c r="P818" s="120"/>
      <c r="Q818" s="120"/>
      <c r="R818" s="120"/>
      <c r="S818" s="120"/>
      <c r="T818" s="120"/>
      <c r="U818" s="120"/>
      <c r="V818" s="120"/>
      <c r="W818" s="120"/>
      <c r="X818" s="120"/>
      <c r="Y818" s="120"/>
      <c r="Z818" s="120"/>
      <c r="AA818" s="120"/>
      <c r="AB818" s="120"/>
      <c r="AC818" s="120"/>
      <c r="AD818" s="120"/>
      <c r="AE818" s="120"/>
      <c r="AF818" s="120"/>
      <c r="AG818" s="120"/>
      <c r="AH818" s="120"/>
    </row>
    <row r="819">
      <c r="A819" s="120" t="s">
        <v>381</v>
      </c>
      <c r="B819" s="120" t="s">
        <v>20</v>
      </c>
      <c r="C819" s="120" t="s">
        <v>1155</v>
      </c>
      <c r="D819" s="120" t="s">
        <v>235</v>
      </c>
      <c r="E819" s="120"/>
      <c r="F819" s="120" t="s">
        <v>1077</v>
      </c>
      <c r="G819" s="120" t="s">
        <v>555</v>
      </c>
      <c r="H819" s="121">
        <v>2016.0</v>
      </c>
      <c r="I819" s="122">
        <v>2182.0</v>
      </c>
      <c r="J819" s="123" t="s">
        <v>188</v>
      </c>
      <c r="K819" s="120" t="s">
        <v>188</v>
      </c>
      <c r="L819" s="124" t="s">
        <v>260</v>
      </c>
      <c r="M819" s="125" t="s">
        <v>421</v>
      </c>
      <c r="N819" s="120" t="s">
        <v>428</v>
      </c>
      <c r="O819" s="120"/>
      <c r="P819" s="120"/>
      <c r="Q819" s="120"/>
      <c r="R819" s="120"/>
      <c r="S819" s="120"/>
      <c r="T819" s="120"/>
      <c r="U819" s="120"/>
      <c r="V819" s="120"/>
      <c r="W819" s="120"/>
      <c r="X819" s="120"/>
      <c r="Y819" s="120"/>
      <c r="Z819" s="120"/>
      <c r="AA819" s="120"/>
      <c r="AB819" s="120"/>
      <c r="AC819" s="120"/>
      <c r="AD819" s="120"/>
      <c r="AE819" s="120"/>
      <c r="AF819" s="120"/>
      <c r="AG819" s="120"/>
      <c r="AH819" s="120"/>
    </row>
    <row r="820">
      <c r="A820" s="120" t="s">
        <v>381</v>
      </c>
      <c r="B820" s="120" t="s">
        <v>20</v>
      </c>
      <c r="C820" s="120" t="s">
        <v>1155</v>
      </c>
      <c r="D820" s="120" t="s">
        <v>235</v>
      </c>
      <c r="E820" s="120"/>
      <c r="F820" s="120" t="s">
        <v>1077</v>
      </c>
      <c r="G820" s="120" t="s">
        <v>555</v>
      </c>
      <c r="H820" s="121">
        <v>2017.0</v>
      </c>
      <c r="I820" s="122">
        <v>2564.0</v>
      </c>
      <c r="J820" s="123" t="s">
        <v>188</v>
      </c>
      <c r="K820" s="120" t="s">
        <v>188</v>
      </c>
      <c r="L820" s="124" t="s">
        <v>260</v>
      </c>
      <c r="M820" s="125" t="s">
        <v>421</v>
      </c>
      <c r="N820" s="120" t="s">
        <v>428</v>
      </c>
      <c r="O820" s="120"/>
      <c r="P820" s="120"/>
      <c r="Q820" s="120"/>
      <c r="R820" s="120"/>
      <c r="S820" s="120"/>
      <c r="T820" s="120"/>
      <c r="U820" s="120"/>
      <c r="V820" s="120"/>
      <c r="W820" s="120"/>
      <c r="X820" s="120"/>
      <c r="Y820" s="120"/>
      <c r="Z820" s="120"/>
      <c r="AA820" s="120"/>
      <c r="AB820" s="120"/>
      <c r="AC820" s="120"/>
      <c r="AD820" s="120"/>
      <c r="AE820" s="120"/>
      <c r="AF820" s="120"/>
      <c r="AG820" s="120"/>
      <c r="AH820" s="120"/>
    </row>
    <row r="821">
      <c r="A821" s="120" t="s">
        <v>381</v>
      </c>
      <c r="B821" s="120" t="s">
        <v>20</v>
      </c>
      <c r="C821" s="120" t="s">
        <v>1155</v>
      </c>
      <c r="D821" s="120" t="s">
        <v>235</v>
      </c>
      <c r="E821" s="120"/>
      <c r="F821" s="120" t="s">
        <v>1077</v>
      </c>
      <c r="G821" s="120" t="s">
        <v>555</v>
      </c>
      <c r="H821" s="121">
        <v>2018.0</v>
      </c>
      <c r="I821" s="122">
        <v>1902.0</v>
      </c>
      <c r="J821" s="123" t="s">
        <v>188</v>
      </c>
      <c r="K821" s="120" t="s">
        <v>188</v>
      </c>
      <c r="L821" s="124" t="s">
        <v>260</v>
      </c>
      <c r="M821" s="125" t="s">
        <v>421</v>
      </c>
      <c r="N821" s="120" t="s">
        <v>428</v>
      </c>
      <c r="O821" s="120"/>
      <c r="P821" s="120"/>
      <c r="Q821" s="120"/>
      <c r="R821" s="120"/>
      <c r="S821" s="120"/>
      <c r="T821" s="120"/>
      <c r="U821" s="120"/>
      <c r="V821" s="120"/>
      <c r="W821" s="120"/>
      <c r="X821" s="120"/>
      <c r="Y821" s="120"/>
      <c r="Z821" s="120"/>
      <c r="AA821" s="120"/>
      <c r="AB821" s="120"/>
      <c r="AC821" s="120"/>
      <c r="AD821" s="120"/>
      <c r="AE821" s="120"/>
      <c r="AF821" s="120"/>
      <c r="AG821" s="120"/>
      <c r="AH821" s="120"/>
    </row>
    <row r="822">
      <c r="A822" s="120" t="s">
        <v>381</v>
      </c>
      <c r="B822" s="120" t="s">
        <v>20</v>
      </c>
      <c r="C822" s="120" t="s">
        <v>1155</v>
      </c>
      <c r="D822" s="120" t="s">
        <v>235</v>
      </c>
      <c r="E822" s="120"/>
      <c r="F822" s="120" t="s">
        <v>1077</v>
      </c>
      <c r="G822" s="120" t="s">
        <v>555</v>
      </c>
      <c r="H822" s="121">
        <v>2019.0</v>
      </c>
      <c r="I822" s="122">
        <v>1909.0</v>
      </c>
      <c r="J822" s="123" t="s">
        <v>188</v>
      </c>
      <c r="K822" s="120" t="s">
        <v>188</v>
      </c>
      <c r="L822" s="124" t="s">
        <v>260</v>
      </c>
      <c r="M822" s="125" t="s">
        <v>421</v>
      </c>
      <c r="N822" s="120" t="s">
        <v>428</v>
      </c>
      <c r="O822" s="120"/>
      <c r="P822" s="120"/>
      <c r="Q822" s="120"/>
      <c r="R822" s="120"/>
      <c r="S822" s="120"/>
      <c r="T822" s="120"/>
      <c r="U822" s="120"/>
      <c r="V822" s="120"/>
      <c r="W822" s="120"/>
      <c r="X822" s="120"/>
      <c r="Y822" s="120"/>
      <c r="Z822" s="120"/>
      <c r="AA822" s="120"/>
      <c r="AB822" s="120"/>
      <c r="AC822" s="120"/>
      <c r="AD822" s="120"/>
      <c r="AE822" s="120"/>
      <c r="AF822" s="120"/>
      <c r="AG822" s="120"/>
      <c r="AH822" s="120"/>
    </row>
    <row r="823">
      <c r="A823" s="120" t="s">
        <v>381</v>
      </c>
      <c r="B823" s="120" t="s">
        <v>20</v>
      </c>
      <c r="C823" s="120" t="s">
        <v>1228</v>
      </c>
      <c r="D823" s="120" t="s">
        <v>235</v>
      </c>
      <c r="E823" s="120"/>
      <c r="F823" s="120" t="s">
        <v>1077</v>
      </c>
      <c r="G823" s="120" t="s">
        <v>555</v>
      </c>
      <c r="H823" s="121">
        <v>1972.0</v>
      </c>
      <c r="I823" s="122">
        <v>167.0</v>
      </c>
      <c r="J823" s="123" t="s">
        <v>188</v>
      </c>
      <c r="K823" s="120" t="s">
        <v>188</v>
      </c>
      <c r="L823" s="124" t="s">
        <v>260</v>
      </c>
      <c r="M823" s="125" t="s">
        <v>421</v>
      </c>
      <c r="N823" s="120" t="s">
        <v>428</v>
      </c>
      <c r="O823" s="120"/>
      <c r="P823" s="120"/>
      <c r="Q823" s="120"/>
      <c r="R823" s="120"/>
      <c r="S823" s="120"/>
      <c r="T823" s="120"/>
      <c r="U823" s="120"/>
      <c r="V823" s="120"/>
      <c r="W823" s="120"/>
      <c r="X823" s="120"/>
      <c r="Y823" s="120"/>
      <c r="Z823" s="120"/>
      <c r="AA823" s="120"/>
      <c r="AB823" s="120"/>
      <c r="AC823" s="120"/>
      <c r="AD823" s="120"/>
      <c r="AE823" s="120"/>
      <c r="AF823" s="120"/>
      <c r="AG823" s="120"/>
      <c r="AH823" s="120"/>
    </row>
    <row r="824">
      <c r="A824" s="120" t="s">
        <v>381</v>
      </c>
      <c r="B824" s="120" t="s">
        <v>20</v>
      </c>
      <c r="C824" s="120" t="s">
        <v>1228</v>
      </c>
      <c r="D824" s="120" t="s">
        <v>235</v>
      </c>
      <c r="E824" s="120"/>
      <c r="F824" s="120" t="s">
        <v>1077</v>
      </c>
      <c r="G824" s="120" t="s">
        <v>555</v>
      </c>
      <c r="H824" s="121">
        <v>1973.0</v>
      </c>
      <c r="I824" s="122">
        <v>250.0</v>
      </c>
      <c r="J824" s="123" t="s">
        <v>188</v>
      </c>
      <c r="K824" s="120" t="s">
        <v>188</v>
      </c>
      <c r="L824" s="124" t="s">
        <v>260</v>
      </c>
      <c r="M824" s="125" t="s">
        <v>421</v>
      </c>
      <c r="N824" s="120" t="s">
        <v>428</v>
      </c>
      <c r="O824" s="120"/>
      <c r="P824" s="120"/>
      <c r="Q824" s="120"/>
      <c r="R824" s="120"/>
      <c r="S824" s="120"/>
      <c r="T824" s="120"/>
      <c r="U824" s="120"/>
      <c r="V824" s="120"/>
      <c r="W824" s="120"/>
      <c r="X824" s="120"/>
      <c r="Y824" s="120"/>
      <c r="Z824" s="120"/>
      <c r="AA824" s="120"/>
      <c r="AB824" s="120"/>
      <c r="AC824" s="120"/>
      <c r="AD824" s="120"/>
      <c r="AE824" s="120"/>
      <c r="AF824" s="120"/>
      <c r="AG824" s="120"/>
      <c r="AH824" s="120"/>
    </row>
    <row r="825">
      <c r="A825" s="120" t="s">
        <v>381</v>
      </c>
      <c r="B825" s="120" t="s">
        <v>20</v>
      </c>
      <c r="C825" s="120" t="s">
        <v>1228</v>
      </c>
      <c r="D825" s="120" t="s">
        <v>235</v>
      </c>
      <c r="E825" s="120"/>
      <c r="F825" s="120" t="s">
        <v>1077</v>
      </c>
      <c r="G825" s="120" t="s">
        <v>555</v>
      </c>
      <c r="H825" s="121">
        <v>1974.0</v>
      </c>
      <c r="I825" s="122">
        <v>278.0</v>
      </c>
      <c r="J825" s="123" t="s">
        <v>188</v>
      </c>
      <c r="K825" s="120" t="s">
        <v>188</v>
      </c>
      <c r="L825" s="124" t="s">
        <v>260</v>
      </c>
      <c r="M825" s="125" t="s">
        <v>421</v>
      </c>
      <c r="N825" s="120" t="s">
        <v>428</v>
      </c>
      <c r="O825" s="120"/>
      <c r="P825" s="120"/>
      <c r="Q825" s="120"/>
      <c r="R825" s="120"/>
      <c r="S825" s="120"/>
      <c r="T825" s="120"/>
      <c r="U825" s="120"/>
      <c r="V825" s="120"/>
      <c r="W825" s="120"/>
      <c r="X825" s="120"/>
      <c r="Y825" s="120"/>
      <c r="Z825" s="120"/>
      <c r="AA825" s="120"/>
      <c r="AB825" s="120"/>
      <c r="AC825" s="120"/>
      <c r="AD825" s="120"/>
      <c r="AE825" s="120"/>
      <c r="AF825" s="120"/>
      <c r="AG825" s="120"/>
      <c r="AH825" s="120"/>
    </row>
    <row r="826">
      <c r="A826" s="120" t="s">
        <v>381</v>
      </c>
      <c r="B826" s="120" t="s">
        <v>20</v>
      </c>
      <c r="C826" s="120" t="s">
        <v>1228</v>
      </c>
      <c r="D826" s="120" t="s">
        <v>235</v>
      </c>
      <c r="E826" s="120"/>
      <c r="F826" s="120" t="s">
        <v>1077</v>
      </c>
      <c r="G826" s="120" t="s">
        <v>555</v>
      </c>
      <c r="H826" s="121">
        <v>1975.0</v>
      </c>
      <c r="I826" s="122">
        <v>389.0</v>
      </c>
      <c r="J826" s="123" t="s">
        <v>188</v>
      </c>
      <c r="K826" s="120" t="s">
        <v>188</v>
      </c>
      <c r="L826" s="124" t="s">
        <v>260</v>
      </c>
      <c r="M826" s="125" t="s">
        <v>421</v>
      </c>
      <c r="N826" s="120" t="s">
        <v>428</v>
      </c>
      <c r="O826" s="120"/>
      <c r="P826" s="120"/>
      <c r="Q826" s="120"/>
      <c r="R826" s="120"/>
      <c r="S826" s="120"/>
      <c r="T826" s="120"/>
      <c r="U826" s="120"/>
      <c r="V826" s="120"/>
      <c r="W826" s="120"/>
      <c r="X826" s="120"/>
      <c r="Y826" s="120"/>
      <c r="Z826" s="120"/>
      <c r="AA826" s="120"/>
      <c r="AB826" s="120"/>
      <c r="AC826" s="120"/>
      <c r="AD826" s="120"/>
      <c r="AE826" s="120"/>
      <c r="AF826" s="120"/>
      <c r="AG826" s="120"/>
      <c r="AH826" s="120"/>
    </row>
    <row r="827">
      <c r="A827" s="120" t="s">
        <v>381</v>
      </c>
      <c r="B827" s="120" t="s">
        <v>20</v>
      </c>
      <c r="C827" s="120" t="s">
        <v>1228</v>
      </c>
      <c r="D827" s="120" t="s">
        <v>235</v>
      </c>
      <c r="E827" s="120"/>
      <c r="F827" s="120" t="s">
        <v>1077</v>
      </c>
      <c r="G827" s="120" t="s">
        <v>555</v>
      </c>
      <c r="H827" s="121">
        <v>1976.0</v>
      </c>
      <c r="I827" s="122">
        <v>500.0</v>
      </c>
      <c r="J827" s="123" t="s">
        <v>188</v>
      </c>
      <c r="K827" s="120" t="s">
        <v>188</v>
      </c>
      <c r="L827" s="124" t="s">
        <v>260</v>
      </c>
      <c r="M827" s="125" t="s">
        <v>421</v>
      </c>
      <c r="N827" s="120" t="s">
        <v>428</v>
      </c>
      <c r="O827" s="120"/>
      <c r="P827" s="120"/>
      <c r="Q827" s="120"/>
      <c r="R827" s="120"/>
      <c r="S827" s="120"/>
      <c r="T827" s="120"/>
      <c r="U827" s="120"/>
      <c r="V827" s="120"/>
      <c r="W827" s="120"/>
      <c r="X827" s="120"/>
      <c r="Y827" s="120"/>
      <c r="Z827" s="120"/>
      <c r="AA827" s="120"/>
      <c r="AB827" s="120"/>
      <c r="AC827" s="120"/>
      <c r="AD827" s="120"/>
      <c r="AE827" s="120"/>
      <c r="AF827" s="120"/>
      <c r="AG827" s="120"/>
      <c r="AH827" s="120"/>
    </row>
    <row r="828">
      <c r="A828" s="120" t="s">
        <v>381</v>
      </c>
      <c r="B828" s="120" t="s">
        <v>20</v>
      </c>
      <c r="C828" s="120" t="s">
        <v>1228</v>
      </c>
      <c r="D828" s="120" t="s">
        <v>235</v>
      </c>
      <c r="E828" s="120"/>
      <c r="F828" s="120" t="s">
        <v>1077</v>
      </c>
      <c r="G828" s="120" t="s">
        <v>555</v>
      </c>
      <c r="H828" s="121">
        <v>1977.0</v>
      </c>
      <c r="I828" s="122">
        <v>639.0</v>
      </c>
      <c r="J828" s="123" t="s">
        <v>188</v>
      </c>
      <c r="K828" s="120" t="s">
        <v>188</v>
      </c>
      <c r="L828" s="124" t="s">
        <v>260</v>
      </c>
      <c r="M828" s="125" t="s">
        <v>421</v>
      </c>
      <c r="N828" s="120" t="s">
        <v>428</v>
      </c>
      <c r="O828" s="120"/>
      <c r="P828" s="120"/>
      <c r="Q828" s="120"/>
      <c r="R828" s="120"/>
      <c r="S828" s="120"/>
      <c r="T828" s="120"/>
      <c r="U828" s="120"/>
      <c r="V828" s="120"/>
      <c r="W828" s="120"/>
      <c r="X828" s="120"/>
      <c r="Y828" s="120"/>
      <c r="Z828" s="120"/>
      <c r="AA828" s="120"/>
      <c r="AB828" s="120"/>
      <c r="AC828" s="120"/>
      <c r="AD828" s="120"/>
      <c r="AE828" s="120"/>
      <c r="AF828" s="120"/>
      <c r="AG828" s="120"/>
      <c r="AH828" s="120"/>
    </row>
    <row r="829">
      <c r="A829" s="120" t="s">
        <v>381</v>
      </c>
      <c r="B829" s="120" t="s">
        <v>20</v>
      </c>
      <c r="C829" s="120" t="s">
        <v>1228</v>
      </c>
      <c r="D829" s="120" t="s">
        <v>235</v>
      </c>
      <c r="E829" s="120"/>
      <c r="F829" s="120" t="s">
        <v>1077</v>
      </c>
      <c r="G829" s="120" t="s">
        <v>555</v>
      </c>
      <c r="H829" s="121">
        <v>1978.0</v>
      </c>
      <c r="I829" s="122">
        <v>528.0</v>
      </c>
      <c r="J829" s="123" t="s">
        <v>188</v>
      </c>
      <c r="K829" s="120" t="s">
        <v>188</v>
      </c>
      <c r="L829" s="124" t="s">
        <v>260</v>
      </c>
      <c r="M829" s="125" t="s">
        <v>421</v>
      </c>
      <c r="N829" s="120" t="s">
        <v>428</v>
      </c>
      <c r="O829" s="120"/>
      <c r="P829" s="120"/>
      <c r="Q829" s="120"/>
      <c r="R829" s="120"/>
      <c r="S829" s="120"/>
      <c r="T829" s="120"/>
      <c r="U829" s="120"/>
      <c r="V829" s="120"/>
      <c r="W829" s="120"/>
      <c r="X829" s="120"/>
      <c r="Y829" s="120"/>
      <c r="Z829" s="120"/>
      <c r="AA829" s="120"/>
      <c r="AB829" s="120"/>
      <c r="AC829" s="120"/>
      <c r="AD829" s="120"/>
      <c r="AE829" s="120"/>
      <c r="AF829" s="120"/>
      <c r="AG829" s="120"/>
      <c r="AH829" s="120"/>
    </row>
    <row r="830">
      <c r="A830" s="120" t="s">
        <v>381</v>
      </c>
      <c r="B830" s="120" t="s">
        <v>20</v>
      </c>
      <c r="C830" s="120" t="s">
        <v>1228</v>
      </c>
      <c r="D830" s="120" t="s">
        <v>235</v>
      </c>
      <c r="E830" s="120"/>
      <c r="F830" s="120" t="s">
        <v>1077</v>
      </c>
      <c r="G830" s="120" t="s">
        <v>555</v>
      </c>
      <c r="H830" s="121">
        <v>1979.0</v>
      </c>
      <c r="I830" s="122">
        <v>667.0</v>
      </c>
      <c r="J830" s="123" t="s">
        <v>188</v>
      </c>
      <c r="K830" s="120" t="s">
        <v>188</v>
      </c>
      <c r="L830" s="124" t="s">
        <v>260</v>
      </c>
      <c r="M830" s="125" t="s">
        <v>421</v>
      </c>
      <c r="N830" s="120" t="s">
        <v>428</v>
      </c>
      <c r="O830" s="120"/>
      <c r="P830" s="120"/>
      <c r="Q830" s="120"/>
      <c r="R830" s="120"/>
      <c r="S830" s="120"/>
      <c r="T830" s="120"/>
      <c r="U830" s="120"/>
      <c r="V830" s="120"/>
      <c r="W830" s="120"/>
      <c r="X830" s="120"/>
      <c r="Y830" s="120"/>
      <c r="Z830" s="120"/>
      <c r="AA830" s="120"/>
      <c r="AB830" s="120"/>
      <c r="AC830" s="120"/>
      <c r="AD830" s="120"/>
      <c r="AE830" s="120"/>
      <c r="AF830" s="120"/>
      <c r="AG830" s="120"/>
      <c r="AH830" s="120"/>
    </row>
    <row r="831">
      <c r="A831" s="120" t="s">
        <v>381</v>
      </c>
      <c r="B831" s="120" t="s">
        <v>20</v>
      </c>
      <c r="C831" s="120" t="s">
        <v>1228</v>
      </c>
      <c r="D831" s="120" t="s">
        <v>235</v>
      </c>
      <c r="E831" s="120"/>
      <c r="F831" s="120" t="s">
        <v>1077</v>
      </c>
      <c r="G831" s="120" t="s">
        <v>555</v>
      </c>
      <c r="H831" s="121">
        <v>1980.0</v>
      </c>
      <c r="I831" s="122">
        <v>583.0</v>
      </c>
      <c r="J831" s="123" t="s">
        <v>188</v>
      </c>
      <c r="K831" s="120" t="s">
        <v>188</v>
      </c>
      <c r="L831" s="124" t="s">
        <v>260</v>
      </c>
      <c r="M831" s="125" t="s">
        <v>421</v>
      </c>
      <c r="N831" s="120" t="s">
        <v>428</v>
      </c>
      <c r="O831" s="120"/>
      <c r="P831" s="120"/>
      <c r="Q831" s="120"/>
      <c r="R831" s="120"/>
      <c r="S831" s="120"/>
      <c r="T831" s="120"/>
      <c r="U831" s="120"/>
      <c r="V831" s="120"/>
      <c r="W831" s="120"/>
      <c r="X831" s="120"/>
      <c r="Y831" s="120"/>
      <c r="Z831" s="120"/>
      <c r="AA831" s="120"/>
      <c r="AB831" s="120"/>
      <c r="AC831" s="120"/>
      <c r="AD831" s="120"/>
      <c r="AE831" s="120"/>
      <c r="AF831" s="120"/>
      <c r="AG831" s="120"/>
      <c r="AH831" s="120"/>
    </row>
    <row r="832">
      <c r="A832" s="120" t="s">
        <v>381</v>
      </c>
      <c r="B832" s="120" t="s">
        <v>20</v>
      </c>
      <c r="C832" s="120" t="s">
        <v>1228</v>
      </c>
      <c r="D832" s="120" t="s">
        <v>235</v>
      </c>
      <c r="E832" s="120"/>
      <c r="F832" s="120" t="s">
        <v>1077</v>
      </c>
      <c r="G832" s="120" t="s">
        <v>555</v>
      </c>
      <c r="H832" s="121">
        <v>1981.0</v>
      </c>
      <c r="I832" s="122">
        <v>611.0</v>
      </c>
      <c r="J832" s="123" t="s">
        <v>188</v>
      </c>
      <c r="K832" s="120" t="s">
        <v>188</v>
      </c>
      <c r="L832" s="124" t="s">
        <v>260</v>
      </c>
      <c r="M832" s="125" t="s">
        <v>421</v>
      </c>
      <c r="N832" s="120" t="s">
        <v>428</v>
      </c>
      <c r="O832" s="120"/>
      <c r="P832" s="120"/>
      <c r="Q832" s="120"/>
      <c r="R832" s="120"/>
      <c r="S832" s="120"/>
      <c r="T832" s="120"/>
      <c r="U832" s="120"/>
      <c r="V832" s="120"/>
      <c r="W832" s="120"/>
      <c r="X832" s="120"/>
      <c r="Y832" s="120"/>
      <c r="Z832" s="120"/>
      <c r="AA832" s="120"/>
      <c r="AB832" s="120"/>
      <c r="AC832" s="120"/>
      <c r="AD832" s="120"/>
      <c r="AE832" s="120"/>
      <c r="AF832" s="120"/>
      <c r="AG832" s="120"/>
      <c r="AH832" s="120"/>
    </row>
    <row r="833">
      <c r="A833" s="120" t="s">
        <v>381</v>
      </c>
      <c r="B833" s="120" t="s">
        <v>20</v>
      </c>
      <c r="C833" s="120" t="s">
        <v>1228</v>
      </c>
      <c r="D833" s="120" t="s">
        <v>235</v>
      </c>
      <c r="E833" s="120"/>
      <c r="F833" s="120" t="s">
        <v>1077</v>
      </c>
      <c r="G833" s="120" t="s">
        <v>555</v>
      </c>
      <c r="H833" s="121">
        <v>1982.0</v>
      </c>
      <c r="I833" s="122">
        <v>694.0</v>
      </c>
      <c r="J833" s="123" t="s">
        <v>188</v>
      </c>
      <c r="K833" s="120" t="s">
        <v>188</v>
      </c>
      <c r="L833" s="124" t="s">
        <v>260</v>
      </c>
      <c r="M833" s="125" t="s">
        <v>421</v>
      </c>
      <c r="N833" s="120" t="s">
        <v>428</v>
      </c>
      <c r="O833" s="120"/>
      <c r="P833" s="120"/>
      <c r="Q833" s="120"/>
      <c r="R833" s="120"/>
      <c r="S833" s="120"/>
      <c r="T833" s="120"/>
      <c r="U833" s="120"/>
      <c r="V833" s="120"/>
      <c r="W833" s="120"/>
      <c r="X833" s="120"/>
      <c r="Y833" s="120"/>
      <c r="Z833" s="120"/>
      <c r="AA833" s="120"/>
      <c r="AB833" s="120"/>
      <c r="AC833" s="120"/>
      <c r="AD833" s="120"/>
      <c r="AE833" s="120"/>
      <c r="AF833" s="120"/>
      <c r="AG833" s="120"/>
      <c r="AH833" s="120"/>
    </row>
    <row r="834">
      <c r="A834" s="120" t="s">
        <v>381</v>
      </c>
      <c r="B834" s="120" t="s">
        <v>20</v>
      </c>
      <c r="C834" s="120" t="s">
        <v>1228</v>
      </c>
      <c r="D834" s="120" t="s">
        <v>235</v>
      </c>
      <c r="E834" s="120"/>
      <c r="F834" s="120" t="s">
        <v>1077</v>
      </c>
      <c r="G834" s="120" t="s">
        <v>555</v>
      </c>
      <c r="H834" s="121">
        <v>1983.0</v>
      </c>
      <c r="I834" s="122">
        <v>222.0</v>
      </c>
      <c r="J834" s="123" t="s">
        <v>188</v>
      </c>
      <c r="K834" s="120" t="s">
        <v>188</v>
      </c>
      <c r="L834" s="124" t="s">
        <v>260</v>
      </c>
      <c r="M834" s="125" t="s">
        <v>421</v>
      </c>
      <c r="N834" s="120" t="s">
        <v>428</v>
      </c>
      <c r="O834" s="120"/>
      <c r="P834" s="120"/>
      <c r="Q834" s="120"/>
      <c r="R834" s="120"/>
      <c r="S834" s="120"/>
      <c r="T834" s="120"/>
      <c r="U834" s="120"/>
      <c r="V834" s="120"/>
      <c r="W834" s="120"/>
      <c r="X834" s="120"/>
      <c r="Y834" s="120"/>
      <c r="Z834" s="120"/>
      <c r="AA834" s="120"/>
      <c r="AB834" s="120"/>
      <c r="AC834" s="120"/>
      <c r="AD834" s="120"/>
      <c r="AE834" s="120"/>
      <c r="AF834" s="120"/>
      <c r="AG834" s="120"/>
      <c r="AH834" s="120"/>
    </row>
    <row r="835">
      <c r="A835" s="120" t="s">
        <v>381</v>
      </c>
      <c r="B835" s="120" t="s">
        <v>20</v>
      </c>
      <c r="C835" s="120" t="s">
        <v>1228</v>
      </c>
      <c r="D835" s="120" t="s">
        <v>235</v>
      </c>
      <c r="E835" s="120"/>
      <c r="F835" s="120" t="s">
        <v>1077</v>
      </c>
      <c r="G835" s="120" t="s">
        <v>555</v>
      </c>
      <c r="H835" s="121">
        <v>1984.0</v>
      </c>
      <c r="I835" s="122">
        <v>417.0</v>
      </c>
      <c r="J835" s="123" t="s">
        <v>188</v>
      </c>
      <c r="K835" s="120" t="s">
        <v>188</v>
      </c>
      <c r="L835" s="124" t="s">
        <v>260</v>
      </c>
      <c r="M835" s="125" t="s">
        <v>421</v>
      </c>
      <c r="N835" s="120" t="s">
        <v>428</v>
      </c>
      <c r="O835" s="120"/>
      <c r="P835" s="120"/>
      <c r="Q835" s="120"/>
      <c r="R835" s="120"/>
      <c r="S835" s="120"/>
      <c r="T835" s="120"/>
      <c r="U835" s="120"/>
      <c r="V835" s="120"/>
      <c r="W835" s="120"/>
      <c r="X835" s="120"/>
      <c r="Y835" s="120"/>
      <c r="Z835" s="120"/>
      <c r="AA835" s="120"/>
      <c r="AB835" s="120"/>
      <c r="AC835" s="120"/>
      <c r="AD835" s="120"/>
      <c r="AE835" s="120"/>
      <c r="AF835" s="120"/>
      <c r="AG835" s="120"/>
      <c r="AH835" s="120"/>
    </row>
    <row r="836">
      <c r="A836" s="120" t="s">
        <v>381</v>
      </c>
      <c r="B836" s="120" t="s">
        <v>20</v>
      </c>
      <c r="C836" s="120" t="s">
        <v>1228</v>
      </c>
      <c r="D836" s="120" t="s">
        <v>235</v>
      </c>
      <c r="E836" s="120"/>
      <c r="F836" s="120" t="s">
        <v>1077</v>
      </c>
      <c r="G836" s="120" t="s">
        <v>555</v>
      </c>
      <c r="H836" s="121">
        <v>1985.0</v>
      </c>
      <c r="I836" s="122">
        <v>333.0</v>
      </c>
      <c r="J836" s="123" t="s">
        <v>188</v>
      </c>
      <c r="K836" s="120" t="s">
        <v>188</v>
      </c>
      <c r="L836" s="124" t="s">
        <v>260</v>
      </c>
      <c r="M836" s="125" t="s">
        <v>421</v>
      </c>
      <c r="N836" s="120" t="s">
        <v>428</v>
      </c>
      <c r="O836" s="120"/>
      <c r="P836" s="120"/>
      <c r="Q836" s="120"/>
      <c r="R836" s="120"/>
      <c r="S836" s="120"/>
      <c r="T836" s="120"/>
      <c r="U836" s="120"/>
      <c r="V836" s="120"/>
      <c r="W836" s="120"/>
      <c r="X836" s="120"/>
      <c r="Y836" s="120"/>
      <c r="Z836" s="120"/>
      <c r="AA836" s="120"/>
      <c r="AB836" s="120"/>
      <c r="AC836" s="120"/>
      <c r="AD836" s="120"/>
      <c r="AE836" s="120"/>
      <c r="AF836" s="120"/>
      <c r="AG836" s="120"/>
      <c r="AH836" s="120"/>
    </row>
    <row r="837">
      <c r="A837" s="120" t="s">
        <v>381</v>
      </c>
      <c r="B837" s="120" t="s">
        <v>20</v>
      </c>
      <c r="C837" s="120" t="s">
        <v>1228</v>
      </c>
      <c r="D837" s="120" t="s">
        <v>235</v>
      </c>
      <c r="E837" s="120"/>
      <c r="F837" s="120" t="s">
        <v>1077</v>
      </c>
      <c r="G837" s="120" t="s">
        <v>555</v>
      </c>
      <c r="H837" s="121">
        <v>1986.0</v>
      </c>
      <c r="I837" s="122">
        <v>556.0</v>
      </c>
      <c r="J837" s="123" t="s">
        <v>188</v>
      </c>
      <c r="K837" s="120" t="s">
        <v>188</v>
      </c>
      <c r="L837" s="124" t="s">
        <v>260</v>
      </c>
      <c r="M837" s="125" t="s">
        <v>421</v>
      </c>
      <c r="N837" s="120" t="s">
        <v>428</v>
      </c>
      <c r="O837" s="120"/>
      <c r="P837" s="120"/>
      <c r="Q837" s="120"/>
      <c r="R837" s="120"/>
      <c r="S837" s="120"/>
      <c r="T837" s="120"/>
      <c r="U837" s="120"/>
      <c r="V837" s="120"/>
      <c r="W837" s="120"/>
      <c r="X837" s="120"/>
      <c r="Y837" s="120"/>
      <c r="Z837" s="120"/>
      <c r="AA837" s="120"/>
      <c r="AB837" s="120"/>
      <c r="AC837" s="120"/>
      <c r="AD837" s="120"/>
      <c r="AE837" s="120"/>
      <c r="AF837" s="120"/>
      <c r="AG837" s="120"/>
      <c r="AH837" s="120"/>
    </row>
    <row r="838">
      <c r="A838" s="120" t="s">
        <v>381</v>
      </c>
      <c r="B838" s="120" t="s">
        <v>20</v>
      </c>
      <c r="C838" s="120" t="s">
        <v>1228</v>
      </c>
      <c r="D838" s="120" t="s">
        <v>235</v>
      </c>
      <c r="E838" s="120"/>
      <c r="F838" s="120" t="s">
        <v>1077</v>
      </c>
      <c r="G838" s="120" t="s">
        <v>555</v>
      </c>
      <c r="H838" s="121">
        <v>1987.0</v>
      </c>
      <c r="I838" s="122">
        <v>500.0</v>
      </c>
      <c r="J838" s="123" t="s">
        <v>188</v>
      </c>
      <c r="K838" s="120" t="s">
        <v>188</v>
      </c>
      <c r="L838" s="124" t="s">
        <v>260</v>
      </c>
      <c r="M838" s="125" t="s">
        <v>421</v>
      </c>
      <c r="N838" s="120" t="s">
        <v>428</v>
      </c>
      <c r="O838" s="120"/>
      <c r="P838" s="120"/>
      <c r="Q838" s="120"/>
      <c r="R838" s="120"/>
      <c r="S838" s="120"/>
      <c r="T838" s="120"/>
      <c r="U838" s="120"/>
      <c r="V838" s="120"/>
      <c r="W838" s="120"/>
      <c r="X838" s="120"/>
      <c r="Y838" s="120"/>
      <c r="Z838" s="120"/>
      <c r="AA838" s="120"/>
      <c r="AB838" s="120"/>
      <c r="AC838" s="120"/>
      <c r="AD838" s="120"/>
      <c r="AE838" s="120"/>
      <c r="AF838" s="120"/>
      <c r="AG838" s="120"/>
      <c r="AH838" s="120"/>
    </row>
    <row r="839">
      <c r="A839" s="120" t="s">
        <v>381</v>
      </c>
      <c r="B839" s="120" t="s">
        <v>20</v>
      </c>
      <c r="C839" s="120" t="s">
        <v>1228</v>
      </c>
      <c r="D839" s="120" t="s">
        <v>235</v>
      </c>
      <c r="E839" s="120"/>
      <c r="F839" s="120" t="s">
        <v>1077</v>
      </c>
      <c r="G839" s="120" t="s">
        <v>555</v>
      </c>
      <c r="H839" s="121">
        <v>1988.0</v>
      </c>
      <c r="I839" s="122">
        <v>500.0</v>
      </c>
      <c r="J839" s="123" t="s">
        <v>188</v>
      </c>
      <c r="K839" s="120" t="s">
        <v>188</v>
      </c>
      <c r="L839" s="124" t="s">
        <v>260</v>
      </c>
      <c r="M839" s="125" t="s">
        <v>421</v>
      </c>
      <c r="N839" s="120" t="s">
        <v>428</v>
      </c>
      <c r="O839" s="120"/>
      <c r="P839" s="120"/>
      <c r="Q839" s="120"/>
      <c r="R839" s="120"/>
      <c r="S839" s="120"/>
      <c r="T839" s="120"/>
      <c r="U839" s="120"/>
      <c r="V839" s="120"/>
      <c r="W839" s="120"/>
      <c r="X839" s="120"/>
      <c r="Y839" s="120"/>
      <c r="Z839" s="120"/>
      <c r="AA839" s="120"/>
      <c r="AB839" s="120"/>
      <c r="AC839" s="120"/>
      <c r="AD839" s="120"/>
      <c r="AE839" s="120"/>
      <c r="AF839" s="120"/>
      <c r="AG839" s="120"/>
      <c r="AH839" s="120"/>
    </row>
    <row r="840">
      <c r="A840" s="120" t="s">
        <v>381</v>
      </c>
      <c r="B840" s="120" t="s">
        <v>20</v>
      </c>
      <c r="C840" s="120" t="s">
        <v>1228</v>
      </c>
      <c r="D840" s="120" t="s">
        <v>235</v>
      </c>
      <c r="E840" s="120"/>
      <c r="F840" s="120" t="s">
        <v>1077</v>
      </c>
      <c r="G840" s="120" t="s">
        <v>555</v>
      </c>
      <c r="H840" s="121">
        <v>1989.0</v>
      </c>
      <c r="I840" s="122">
        <v>639.0</v>
      </c>
      <c r="J840" s="123" t="s">
        <v>188</v>
      </c>
      <c r="K840" s="120" t="s">
        <v>188</v>
      </c>
      <c r="L840" s="124" t="s">
        <v>260</v>
      </c>
      <c r="M840" s="125" t="s">
        <v>421</v>
      </c>
      <c r="N840" s="120" t="s">
        <v>428</v>
      </c>
      <c r="O840" s="120"/>
      <c r="P840" s="120"/>
      <c r="Q840" s="120"/>
      <c r="R840" s="120"/>
      <c r="S840" s="120"/>
      <c r="T840" s="120"/>
      <c r="U840" s="120"/>
      <c r="V840" s="120"/>
      <c r="W840" s="120"/>
      <c r="X840" s="120"/>
      <c r="Y840" s="120"/>
      <c r="Z840" s="120"/>
      <c r="AA840" s="120"/>
      <c r="AB840" s="120"/>
      <c r="AC840" s="120"/>
      <c r="AD840" s="120"/>
      <c r="AE840" s="120"/>
      <c r="AF840" s="120"/>
      <c r="AG840" s="120"/>
      <c r="AH840" s="120"/>
    </row>
    <row r="841">
      <c r="A841" s="120" t="s">
        <v>381</v>
      </c>
      <c r="B841" s="120" t="s">
        <v>20</v>
      </c>
      <c r="C841" s="120" t="s">
        <v>1228</v>
      </c>
      <c r="D841" s="120" t="s">
        <v>235</v>
      </c>
      <c r="E841" s="120"/>
      <c r="F841" s="120" t="s">
        <v>1077</v>
      </c>
      <c r="G841" s="120" t="s">
        <v>555</v>
      </c>
      <c r="H841" s="121">
        <v>1990.0</v>
      </c>
      <c r="I841" s="122">
        <v>639.0</v>
      </c>
      <c r="J841" s="123" t="s">
        <v>188</v>
      </c>
      <c r="K841" s="120" t="s">
        <v>188</v>
      </c>
      <c r="L841" s="124" t="s">
        <v>260</v>
      </c>
      <c r="M841" s="125" t="s">
        <v>421</v>
      </c>
      <c r="N841" s="120" t="s">
        <v>428</v>
      </c>
      <c r="O841" s="120"/>
      <c r="P841" s="120"/>
      <c r="Q841" s="120"/>
      <c r="R841" s="120"/>
      <c r="S841" s="120"/>
      <c r="T841" s="120"/>
      <c r="U841" s="120"/>
      <c r="V841" s="120"/>
      <c r="W841" s="120"/>
      <c r="X841" s="120"/>
      <c r="Y841" s="120"/>
      <c r="Z841" s="120"/>
      <c r="AA841" s="120"/>
      <c r="AB841" s="120"/>
      <c r="AC841" s="120"/>
      <c r="AD841" s="120"/>
      <c r="AE841" s="120"/>
      <c r="AF841" s="120"/>
      <c r="AG841" s="120"/>
      <c r="AH841" s="120"/>
    </row>
    <row r="842">
      <c r="A842" s="120" t="s">
        <v>381</v>
      </c>
      <c r="B842" s="120" t="s">
        <v>20</v>
      </c>
      <c r="C842" s="120" t="s">
        <v>1228</v>
      </c>
      <c r="D842" s="120" t="s">
        <v>235</v>
      </c>
      <c r="E842" s="120"/>
      <c r="F842" s="120" t="s">
        <v>1077</v>
      </c>
      <c r="G842" s="120" t="s">
        <v>555</v>
      </c>
      <c r="H842" s="121">
        <v>1991.0</v>
      </c>
      <c r="I842" s="122">
        <v>528.0</v>
      </c>
      <c r="J842" s="123" t="s">
        <v>188</v>
      </c>
      <c r="K842" s="120" t="s">
        <v>188</v>
      </c>
      <c r="L842" s="124" t="s">
        <v>260</v>
      </c>
      <c r="M842" s="125" t="s">
        <v>421</v>
      </c>
      <c r="N842" s="120" t="s">
        <v>428</v>
      </c>
      <c r="O842" s="120"/>
      <c r="P842" s="120"/>
      <c r="Q842" s="120"/>
      <c r="R842" s="120"/>
      <c r="S842" s="120"/>
      <c r="T842" s="120"/>
      <c r="U842" s="120"/>
      <c r="V842" s="120"/>
      <c r="W842" s="120"/>
      <c r="X842" s="120"/>
      <c r="Y842" s="120"/>
      <c r="Z842" s="120"/>
      <c r="AA842" s="120"/>
      <c r="AB842" s="120"/>
      <c r="AC842" s="120"/>
      <c r="AD842" s="120"/>
      <c r="AE842" s="120"/>
      <c r="AF842" s="120"/>
      <c r="AG842" s="120"/>
      <c r="AH842" s="120"/>
    </row>
    <row r="843">
      <c r="A843" s="120" t="s">
        <v>381</v>
      </c>
      <c r="B843" s="120" t="s">
        <v>20</v>
      </c>
      <c r="C843" s="120" t="s">
        <v>1228</v>
      </c>
      <c r="D843" s="120" t="s">
        <v>235</v>
      </c>
      <c r="E843" s="120"/>
      <c r="F843" s="120" t="s">
        <v>1077</v>
      </c>
      <c r="G843" s="120" t="s">
        <v>555</v>
      </c>
      <c r="H843" s="121">
        <v>1992.0</v>
      </c>
      <c r="I843" s="122">
        <v>472.0</v>
      </c>
      <c r="J843" s="123" t="s">
        <v>188</v>
      </c>
      <c r="K843" s="120" t="s">
        <v>188</v>
      </c>
      <c r="L843" s="124" t="s">
        <v>260</v>
      </c>
      <c r="M843" s="125" t="s">
        <v>421</v>
      </c>
      <c r="N843" s="120" t="s">
        <v>428</v>
      </c>
      <c r="O843" s="120"/>
      <c r="P843" s="120"/>
      <c r="Q843" s="120"/>
      <c r="R843" s="120"/>
      <c r="S843" s="120"/>
      <c r="T843" s="120"/>
      <c r="U843" s="120"/>
      <c r="V843" s="120"/>
      <c r="W843" s="120"/>
      <c r="X843" s="120"/>
      <c r="Y843" s="120"/>
      <c r="Z843" s="120"/>
      <c r="AA843" s="120"/>
      <c r="AB843" s="120"/>
      <c r="AC843" s="120"/>
      <c r="AD843" s="120"/>
      <c r="AE843" s="120"/>
      <c r="AF843" s="120"/>
      <c r="AG843" s="120"/>
      <c r="AH843" s="120"/>
    </row>
    <row r="844">
      <c r="A844" s="120" t="s">
        <v>381</v>
      </c>
      <c r="B844" s="120" t="s">
        <v>20</v>
      </c>
      <c r="C844" s="120" t="s">
        <v>1228</v>
      </c>
      <c r="D844" s="120" t="s">
        <v>235</v>
      </c>
      <c r="E844" s="120"/>
      <c r="F844" s="120" t="s">
        <v>1077</v>
      </c>
      <c r="G844" s="120" t="s">
        <v>555</v>
      </c>
      <c r="H844" s="121">
        <v>1993.0</v>
      </c>
      <c r="I844" s="122">
        <v>750.0</v>
      </c>
      <c r="J844" s="123" t="s">
        <v>188</v>
      </c>
      <c r="K844" s="120" t="s">
        <v>188</v>
      </c>
      <c r="L844" s="124" t="s">
        <v>260</v>
      </c>
      <c r="M844" s="125" t="s">
        <v>421</v>
      </c>
      <c r="N844" s="120" t="s">
        <v>428</v>
      </c>
      <c r="O844" s="120"/>
      <c r="P844" s="120"/>
      <c r="Q844" s="120"/>
      <c r="R844" s="120"/>
      <c r="S844" s="120"/>
      <c r="T844" s="120"/>
      <c r="U844" s="120"/>
      <c r="V844" s="120"/>
      <c r="W844" s="120"/>
      <c r="X844" s="120"/>
      <c r="Y844" s="120"/>
      <c r="Z844" s="120"/>
      <c r="AA844" s="120"/>
      <c r="AB844" s="120"/>
      <c r="AC844" s="120"/>
      <c r="AD844" s="120"/>
      <c r="AE844" s="120"/>
      <c r="AF844" s="120"/>
      <c r="AG844" s="120"/>
      <c r="AH844" s="120"/>
    </row>
    <row r="845">
      <c r="A845" s="120" t="s">
        <v>381</v>
      </c>
      <c r="B845" s="120" t="s">
        <v>20</v>
      </c>
      <c r="C845" s="120" t="s">
        <v>1228</v>
      </c>
      <c r="D845" s="120" t="s">
        <v>235</v>
      </c>
      <c r="E845" s="120"/>
      <c r="F845" s="120" t="s">
        <v>1077</v>
      </c>
      <c r="G845" s="120" t="s">
        <v>555</v>
      </c>
      <c r="H845" s="121">
        <v>1994.0</v>
      </c>
      <c r="I845" s="122">
        <v>833.0</v>
      </c>
      <c r="J845" s="123" t="s">
        <v>188</v>
      </c>
      <c r="K845" s="120" t="s">
        <v>188</v>
      </c>
      <c r="L845" s="124" t="s">
        <v>260</v>
      </c>
      <c r="M845" s="125" t="s">
        <v>421</v>
      </c>
      <c r="N845" s="120" t="s">
        <v>428</v>
      </c>
      <c r="O845" s="120"/>
      <c r="P845" s="120"/>
      <c r="Q845" s="120"/>
      <c r="R845" s="120"/>
      <c r="S845" s="120"/>
      <c r="T845" s="120"/>
      <c r="U845" s="120"/>
      <c r="V845" s="120"/>
      <c r="W845" s="120"/>
      <c r="X845" s="120"/>
      <c r="Y845" s="120"/>
      <c r="Z845" s="120"/>
      <c r="AA845" s="120"/>
      <c r="AB845" s="120"/>
      <c r="AC845" s="120"/>
      <c r="AD845" s="120"/>
      <c r="AE845" s="120"/>
      <c r="AF845" s="120"/>
      <c r="AG845" s="120"/>
      <c r="AH845" s="120"/>
    </row>
    <row r="846">
      <c r="A846" s="120" t="s">
        <v>381</v>
      </c>
      <c r="B846" s="120" t="s">
        <v>20</v>
      </c>
      <c r="C846" s="120" t="s">
        <v>1228</v>
      </c>
      <c r="D846" s="120" t="s">
        <v>235</v>
      </c>
      <c r="E846" s="120"/>
      <c r="F846" s="120" t="s">
        <v>1077</v>
      </c>
      <c r="G846" s="120" t="s">
        <v>555</v>
      </c>
      <c r="H846" s="121">
        <v>1995.0</v>
      </c>
      <c r="I846" s="122">
        <v>806.0</v>
      </c>
      <c r="J846" s="123" t="s">
        <v>188</v>
      </c>
      <c r="K846" s="120" t="s">
        <v>188</v>
      </c>
      <c r="L846" s="124" t="s">
        <v>260</v>
      </c>
      <c r="M846" s="125" t="s">
        <v>421</v>
      </c>
      <c r="N846" s="120" t="s">
        <v>428</v>
      </c>
      <c r="O846" s="120"/>
      <c r="P846" s="120"/>
      <c r="Q846" s="120"/>
      <c r="R846" s="120"/>
      <c r="S846" s="120"/>
      <c r="T846" s="120"/>
      <c r="U846" s="120"/>
      <c r="V846" s="120"/>
      <c r="W846" s="120"/>
      <c r="X846" s="120"/>
      <c r="Y846" s="120"/>
      <c r="Z846" s="120"/>
      <c r="AA846" s="120"/>
      <c r="AB846" s="120"/>
      <c r="AC846" s="120"/>
      <c r="AD846" s="120"/>
      <c r="AE846" s="120"/>
      <c r="AF846" s="120"/>
      <c r="AG846" s="120"/>
      <c r="AH846" s="120"/>
    </row>
    <row r="847">
      <c r="A847" s="120" t="s">
        <v>381</v>
      </c>
      <c r="B847" s="120" t="s">
        <v>20</v>
      </c>
      <c r="C847" s="120" t="s">
        <v>1228</v>
      </c>
      <c r="D847" s="120" t="s">
        <v>235</v>
      </c>
      <c r="E847" s="120"/>
      <c r="F847" s="120" t="s">
        <v>1077</v>
      </c>
      <c r="G847" s="120" t="s">
        <v>555</v>
      </c>
      <c r="H847" s="121">
        <v>1997.0</v>
      </c>
      <c r="I847" s="122">
        <v>944.0</v>
      </c>
      <c r="J847" s="123" t="s">
        <v>188</v>
      </c>
      <c r="K847" s="120" t="s">
        <v>188</v>
      </c>
      <c r="L847" s="124" t="s">
        <v>260</v>
      </c>
      <c r="M847" s="125" t="s">
        <v>421</v>
      </c>
      <c r="N847" s="120" t="s">
        <v>428</v>
      </c>
      <c r="O847" s="120"/>
      <c r="P847" s="120"/>
      <c r="Q847" s="120"/>
      <c r="R847" s="120"/>
      <c r="S847" s="120"/>
      <c r="T847" s="120"/>
      <c r="U847" s="120"/>
      <c r="V847" s="120"/>
      <c r="W847" s="120"/>
      <c r="X847" s="120"/>
      <c r="Y847" s="120"/>
      <c r="Z847" s="120"/>
      <c r="AA847" s="120"/>
      <c r="AB847" s="120"/>
      <c r="AC847" s="120"/>
      <c r="AD847" s="120"/>
      <c r="AE847" s="120"/>
      <c r="AF847" s="120"/>
      <c r="AG847" s="120"/>
      <c r="AH847" s="120"/>
    </row>
    <row r="848">
      <c r="A848" s="120" t="s">
        <v>381</v>
      </c>
      <c r="B848" s="120" t="s">
        <v>20</v>
      </c>
      <c r="C848" s="120" t="s">
        <v>1228</v>
      </c>
      <c r="D848" s="120" t="s">
        <v>235</v>
      </c>
      <c r="E848" s="120"/>
      <c r="F848" s="120" t="s">
        <v>1077</v>
      </c>
      <c r="G848" s="120" t="s">
        <v>555</v>
      </c>
      <c r="H848" s="121">
        <v>1998.0</v>
      </c>
      <c r="I848" s="122">
        <v>222.0</v>
      </c>
      <c r="J848" s="123" t="s">
        <v>188</v>
      </c>
      <c r="K848" s="120" t="s">
        <v>188</v>
      </c>
      <c r="L848" s="124" t="s">
        <v>260</v>
      </c>
      <c r="M848" s="125" t="s">
        <v>421</v>
      </c>
      <c r="N848" s="120" t="s">
        <v>428</v>
      </c>
      <c r="O848" s="120"/>
      <c r="P848" s="120"/>
      <c r="Q848" s="120"/>
      <c r="R848" s="120"/>
      <c r="S848" s="120"/>
      <c r="T848" s="120"/>
      <c r="U848" s="120"/>
      <c r="V848" s="120"/>
      <c r="W848" s="120"/>
      <c r="X848" s="120"/>
      <c r="Y848" s="120"/>
      <c r="Z848" s="120"/>
      <c r="AA848" s="120"/>
      <c r="AB848" s="120"/>
      <c r="AC848" s="120"/>
      <c r="AD848" s="120"/>
      <c r="AE848" s="120"/>
      <c r="AF848" s="120"/>
      <c r="AG848" s="120"/>
      <c r="AH848" s="120"/>
    </row>
    <row r="849">
      <c r="A849" s="120" t="s">
        <v>381</v>
      </c>
      <c r="B849" s="120" t="s">
        <v>20</v>
      </c>
      <c r="C849" s="120" t="s">
        <v>1228</v>
      </c>
      <c r="D849" s="120" t="s">
        <v>235</v>
      </c>
      <c r="E849" s="120"/>
      <c r="F849" s="120" t="s">
        <v>1077</v>
      </c>
      <c r="G849" s="120" t="s">
        <v>555</v>
      </c>
      <c r="H849" s="121">
        <v>1999.0</v>
      </c>
      <c r="I849" s="122">
        <v>333.0</v>
      </c>
      <c r="J849" s="123" t="s">
        <v>188</v>
      </c>
      <c r="K849" s="120" t="s">
        <v>188</v>
      </c>
      <c r="L849" s="124" t="s">
        <v>260</v>
      </c>
      <c r="M849" s="125" t="s">
        <v>421</v>
      </c>
      <c r="N849" s="120" t="s">
        <v>428</v>
      </c>
      <c r="O849" s="120"/>
      <c r="P849" s="120"/>
      <c r="Q849" s="120"/>
      <c r="R849" s="120"/>
      <c r="S849" s="120"/>
      <c r="T849" s="120"/>
      <c r="U849" s="120"/>
      <c r="V849" s="120"/>
      <c r="W849" s="120"/>
      <c r="X849" s="120"/>
      <c r="Y849" s="120"/>
      <c r="Z849" s="120"/>
      <c r="AA849" s="120"/>
      <c r="AB849" s="120"/>
      <c r="AC849" s="120"/>
      <c r="AD849" s="120"/>
      <c r="AE849" s="120"/>
      <c r="AF849" s="120"/>
      <c r="AG849" s="120"/>
      <c r="AH849" s="120"/>
    </row>
    <row r="850">
      <c r="A850" s="120" t="s">
        <v>381</v>
      </c>
      <c r="B850" s="120" t="s">
        <v>20</v>
      </c>
      <c r="C850" s="120" t="s">
        <v>1228</v>
      </c>
      <c r="D850" s="120" t="s">
        <v>235</v>
      </c>
      <c r="E850" s="120"/>
      <c r="F850" s="120" t="s">
        <v>1077</v>
      </c>
      <c r="G850" s="120" t="s">
        <v>555</v>
      </c>
      <c r="H850" s="121">
        <v>2000.0</v>
      </c>
      <c r="I850" s="122">
        <v>583.0</v>
      </c>
      <c r="J850" s="123" t="s">
        <v>188</v>
      </c>
      <c r="K850" s="120" t="s">
        <v>188</v>
      </c>
      <c r="L850" s="124" t="s">
        <v>260</v>
      </c>
      <c r="M850" s="125" t="s">
        <v>421</v>
      </c>
      <c r="N850" s="120" t="s">
        <v>428</v>
      </c>
      <c r="O850" s="120"/>
      <c r="P850" s="120"/>
      <c r="Q850" s="120"/>
      <c r="R850" s="120"/>
      <c r="S850" s="120"/>
      <c r="T850" s="120"/>
      <c r="U850" s="120"/>
      <c r="V850" s="120"/>
      <c r="W850" s="120"/>
      <c r="X850" s="120"/>
      <c r="Y850" s="120"/>
      <c r="Z850" s="120"/>
      <c r="AA850" s="120"/>
      <c r="AB850" s="120"/>
      <c r="AC850" s="120"/>
      <c r="AD850" s="120"/>
      <c r="AE850" s="120"/>
      <c r="AF850" s="120"/>
      <c r="AG850" s="120"/>
      <c r="AH850" s="120"/>
    </row>
    <row r="851">
      <c r="A851" s="120" t="s">
        <v>381</v>
      </c>
      <c r="B851" s="120" t="s">
        <v>20</v>
      </c>
      <c r="C851" s="120" t="s">
        <v>1228</v>
      </c>
      <c r="D851" s="120" t="s">
        <v>235</v>
      </c>
      <c r="E851" s="120"/>
      <c r="F851" s="120" t="s">
        <v>1077</v>
      </c>
      <c r="G851" s="120" t="s">
        <v>555</v>
      </c>
      <c r="H851" s="121">
        <v>2001.0</v>
      </c>
      <c r="I851" s="122">
        <v>722.0</v>
      </c>
      <c r="J851" s="123" t="s">
        <v>188</v>
      </c>
      <c r="K851" s="120" t="s">
        <v>188</v>
      </c>
      <c r="L851" s="124" t="s">
        <v>260</v>
      </c>
      <c r="M851" s="125" t="s">
        <v>421</v>
      </c>
      <c r="N851" s="120" t="s">
        <v>428</v>
      </c>
      <c r="O851" s="120"/>
      <c r="P851" s="120"/>
      <c r="Q851" s="120"/>
      <c r="R851" s="120"/>
      <c r="S851" s="120"/>
      <c r="T851" s="120"/>
      <c r="U851" s="120"/>
      <c r="V851" s="120"/>
      <c r="W851" s="120"/>
      <c r="X851" s="120"/>
      <c r="Y851" s="120"/>
      <c r="Z851" s="120"/>
      <c r="AA851" s="120"/>
      <c r="AB851" s="120"/>
      <c r="AC851" s="120"/>
      <c r="AD851" s="120"/>
      <c r="AE851" s="120"/>
      <c r="AF851" s="120"/>
      <c r="AG851" s="120"/>
      <c r="AH851" s="120"/>
    </row>
    <row r="852">
      <c r="A852" s="120" t="s">
        <v>381</v>
      </c>
      <c r="B852" s="120" t="s">
        <v>20</v>
      </c>
      <c r="C852" s="120" t="s">
        <v>1228</v>
      </c>
      <c r="D852" s="120" t="s">
        <v>235</v>
      </c>
      <c r="E852" s="120"/>
      <c r="F852" s="120" t="s">
        <v>1077</v>
      </c>
      <c r="G852" s="120" t="s">
        <v>555</v>
      </c>
      <c r="H852" s="121">
        <v>2002.0</v>
      </c>
      <c r="I852" s="122">
        <v>722.0</v>
      </c>
      <c r="J852" s="123" t="s">
        <v>188</v>
      </c>
      <c r="K852" s="120" t="s">
        <v>188</v>
      </c>
      <c r="L852" s="124" t="s">
        <v>260</v>
      </c>
      <c r="M852" s="125" t="s">
        <v>421</v>
      </c>
      <c r="N852" s="120" t="s">
        <v>428</v>
      </c>
      <c r="O852" s="120"/>
      <c r="P852" s="120"/>
      <c r="Q852" s="120"/>
      <c r="R852" s="120"/>
      <c r="S852" s="120"/>
      <c r="T852" s="120"/>
      <c r="U852" s="120"/>
      <c r="V852" s="120"/>
      <c r="W852" s="120"/>
      <c r="X852" s="120"/>
      <c r="Y852" s="120"/>
      <c r="Z852" s="120"/>
      <c r="AA852" s="120"/>
      <c r="AB852" s="120"/>
      <c r="AC852" s="120"/>
      <c r="AD852" s="120"/>
      <c r="AE852" s="120"/>
      <c r="AF852" s="120"/>
      <c r="AG852" s="120"/>
      <c r="AH852" s="120"/>
    </row>
    <row r="853">
      <c r="A853" s="120" t="s">
        <v>381</v>
      </c>
      <c r="B853" s="120" t="s">
        <v>20</v>
      </c>
      <c r="C853" s="120" t="s">
        <v>1228</v>
      </c>
      <c r="D853" s="120" t="s">
        <v>235</v>
      </c>
      <c r="E853" s="120"/>
      <c r="F853" s="120" t="s">
        <v>1077</v>
      </c>
      <c r="G853" s="120" t="s">
        <v>555</v>
      </c>
      <c r="H853" s="121">
        <v>2004.0</v>
      </c>
      <c r="I853" s="122">
        <v>806.0</v>
      </c>
      <c r="J853" s="123" t="s">
        <v>188</v>
      </c>
      <c r="K853" s="120" t="s">
        <v>188</v>
      </c>
      <c r="L853" s="124" t="s">
        <v>260</v>
      </c>
      <c r="M853" s="125" t="s">
        <v>421</v>
      </c>
      <c r="N853" s="120" t="s">
        <v>428</v>
      </c>
      <c r="O853" s="120"/>
      <c r="P853" s="120"/>
      <c r="Q853" s="120"/>
      <c r="R853" s="120"/>
      <c r="S853" s="120"/>
      <c r="T853" s="120"/>
      <c r="U853" s="120"/>
      <c r="V853" s="120"/>
      <c r="W853" s="120"/>
      <c r="X853" s="120"/>
      <c r="Y853" s="120"/>
      <c r="Z853" s="120"/>
      <c r="AA853" s="120"/>
      <c r="AB853" s="120"/>
      <c r="AC853" s="120"/>
      <c r="AD853" s="120"/>
      <c r="AE853" s="120"/>
      <c r="AF853" s="120"/>
      <c r="AG853" s="120"/>
      <c r="AH853" s="120"/>
    </row>
    <row r="854">
      <c r="A854" s="120" t="s">
        <v>381</v>
      </c>
      <c r="B854" s="120" t="s">
        <v>20</v>
      </c>
      <c r="C854" s="120" t="s">
        <v>1228</v>
      </c>
      <c r="D854" s="120" t="s">
        <v>235</v>
      </c>
      <c r="E854" s="120"/>
      <c r="F854" s="120" t="s">
        <v>1077</v>
      </c>
      <c r="G854" s="120" t="s">
        <v>555</v>
      </c>
      <c r="H854" s="121">
        <v>2005.0</v>
      </c>
      <c r="I854" s="122">
        <v>778.0</v>
      </c>
      <c r="J854" s="123" t="s">
        <v>188</v>
      </c>
      <c r="K854" s="120" t="s">
        <v>188</v>
      </c>
      <c r="L854" s="124" t="s">
        <v>260</v>
      </c>
      <c r="M854" s="125" t="s">
        <v>421</v>
      </c>
      <c r="N854" s="120" t="s">
        <v>428</v>
      </c>
      <c r="O854" s="120"/>
      <c r="P854" s="120"/>
      <c r="Q854" s="120"/>
      <c r="R854" s="120"/>
      <c r="S854" s="120"/>
      <c r="T854" s="120"/>
      <c r="U854" s="120"/>
      <c r="V854" s="120"/>
      <c r="W854" s="120"/>
      <c r="X854" s="120"/>
      <c r="Y854" s="120"/>
      <c r="Z854" s="120"/>
      <c r="AA854" s="120"/>
      <c r="AB854" s="120"/>
      <c r="AC854" s="120"/>
      <c r="AD854" s="120"/>
      <c r="AE854" s="120"/>
      <c r="AF854" s="120"/>
      <c r="AG854" s="120"/>
      <c r="AH854" s="120"/>
    </row>
    <row r="855">
      <c r="A855" s="120" t="s">
        <v>381</v>
      </c>
      <c r="B855" s="120" t="s">
        <v>20</v>
      </c>
      <c r="C855" s="120" t="s">
        <v>1228</v>
      </c>
      <c r="D855" s="120" t="s">
        <v>235</v>
      </c>
      <c r="E855" s="120"/>
      <c r="F855" s="120" t="s">
        <v>1077</v>
      </c>
      <c r="G855" s="120" t="s">
        <v>555</v>
      </c>
      <c r="H855" s="121">
        <v>2006.0</v>
      </c>
      <c r="I855" s="122">
        <v>639.0</v>
      </c>
      <c r="J855" s="123" t="s">
        <v>188</v>
      </c>
      <c r="K855" s="120" t="s">
        <v>188</v>
      </c>
      <c r="L855" s="124" t="s">
        <v>260</v>
      </c>
      <c r="M855" s="125" t="s">
        <v>421</v>
      </c>
      <c r="N855" s="120" t="s">
        <v>428</v>
      </c>
      <c r="O855" s="120"/>
      <c r="P855" s="120"/>
      <c r="Q855" s="120"/>
      <c r="R855" s="120"/>
      <c r="S855" s="120"/>
      <c r="T855" s="120"/>
      <c r="U855" s="120"/>
      <c r="V855" s="120"/>
      <c r="W855" s="120"/>
      <c r="X855" s="120"/>
      <c r="Y855" s="120"/>
      <c r="Z855" s="120"/>
      <c r="AA855" s="120"/>
      <c r="AB855" s="120"/>
      <c r="AC855" s="120"/>
      <c r="AD855" s="120"/>
      <c r="AE855" s="120"/>
      <c r="AF855" s="120"/>
      <c r="AG855" s="120"/>
      <c r="AH855" s="120"/>
    </row>
    <row r="856">
      <c r="A856" s="120" t="s">
        <v>381</v>
      </c>
      <c r="B856" s="120" t="s">
        <v>20</v>
      </c>
      <c r="C856" s="120" t="s">
        <v>1228</v>
      </c>
      <c r="D856" s="120" t="s">
        <v>235</v>
      </c>
      <c r="E856" s="120"/>
      <c r="F856" s="120" t="s">
        <v>1077</v>
      </c>
      <c r="G856" s="120" t="s">
        <v>555</v>
      </c>
      <c r="H856" s="121">
        <v>2007.0</v>
      </c>
      <c r="I856" s="122">
        <v>750.0</v>
      </c>
      <c r="J856" s="123" t="s">
        <v>188</v>
      </c>
      <c r="K856" s="120" t="s">
        <v>188</v>
      </c>
      <c r="L856" s="124" t="s">
        <v>260</v>
      </c>
      <c r="M856" s="125" t="s">
        <v>421</v>
      </c>
      <c r="N856" s="120" t="s">
        <v>428</v>
      </c>
      <c r="O856" s="120"/>
      <c r="P856" s="120"/>
      <c r="Q856" s="120"/>
      <c r="R856" s="120"/>
      <c r="S856" s="120"/>
      <c r="T856" s="120"/>
      <c r="U856" s="120"/>
      <c r="V856" s="120"/>
      <c r="W856" s="120"/>
      <c r="X856" s="120"/>
      <c r="Y856" s="120"/>
      <c r="Z856" s="120"/>
      <c r="AA856" s="120"/>
      <c r="AB856" s="120"/>
      <c r="AC856" s="120"/>
      <c r="AD856" s="120"/>
      <c r="AE856" s="120"/>
      <c r="AF856" s="120"/>
      <c r="AG856" s="120"/>
      <c r="AH856" s="120"/>
    </row>
    <row r="857">
      <c r="A857" s="120" t="s">
        <v>381</v>
      </c>
      <c r="B857" s="120" t="s">
        <v>20</v>
      </c>
      <c r="C857" s="120" t="s">
        <v>1228</v>
      </c>
      <c r="D857" s="120" t="s">
        <v>235</v>
      </c>
      <c r="E857" s="120"/>
      <c r="F857" s="120" t="s">
        <v>1077</v>
      </c>
      <c r="G857" s="120" t="s">
        <v>555</v>
      </c>
      <c r="H857" s="121">
        <v>2008.0</v>
      </c>
      <c r="I857" s="122">
        <v>1056.0</v>
      </c>
      <c r="J857" s="123" t="s">
        <v>188</v>
      </c>
      <c r="K857" s="120" t="s">
        <v>188</v>
      </c>
      <c r="L857" s="124" t="s">
        <v>260</v>
      </c>
      <c r="M857" s="125" t="s">
        <v>421</v>
      </c>
      <c r="N857" s="120" t="s">
        <v>428</v>
      </c>
      <c r="O857" s="120"/>
      <c r="P857" s="120"/>
      <c r="Q857" s="120"/>
      <c r="R857" s="120"/>
      <c r="S857" s="120"/>
      <c r="T857" s="120"/>
      <c r="U857" s="120"/>
      <c r="V857" s="120"/>
      <c r="W857" s="120"/>
      <c r="X857" s="120"/>
      <c r="Y857" s="120"/>
      <c r="Z857" s="120"/>
      <c r="AA857" s="120"/>
      <c r="AB857" s="120"/>
      <c r="AC857" s="120"/>
      <c r="AD857" s="120"/>
      <c r="AE857" s="120"/>
      <c r="AF857" s="120"/>
      <c r="AG857" s="120"/>
      <c r="AH857" s="120"/>
    </row>
    <row r="858">
      <c r="A858" s="120" t="s">
        <v>381</v>
      </c>
      <c r="B858" s="120" t="s">
        <v>20</v>
      </c>
      <c r="C858" s="120" t="s">
        <v>1228</v>
      </c>
      <c r="D858" s="120" t="s">
        <v>235</v>
      </c>
      <c r="E858" s="120"/>
      <c r="F858" s="120" t="s">
        <v>1077</v>
      </c>
      <c r="G858" s="120" t="s">
        <v>555</v>
      </c>
      <c r="H858" s="121">
        <v>2009.0</v>
      </c>
      <c r="I858" s="122">
        <v>778.0</v>
      </c>
      <c r="J858" s="123" t="s">
        <v>188</v>
      </c>
      <c r="K858" s="120" t="s">
        <v>188</v>
      </c>
      <c r="L858" s="124" t="s">
        <v>260</v>
      </c>
      <c r="M858" s="125" t="s">
        <v>421</v>
      </c>
      <c r="N858" s="120" t="s">
        <v>428</v>
      </c>
      <c r="O858" s="120"/>
      <c r="P858" s="120"/>
      <c r="Q858" s="120"/>
      <c r="R858" s="120"/>
      <c r="S858" s="120"/>
      <c r="T858" s="120"/>
      <c r="U858" s="120"/>
      <c r="V858" s="120"/>
      <c r="W858" s="120"/>
      <c r="X858" s="120"/>
      <c r="Y858" s="120"/>
      <c r="Z858" s="120"/>
      <c r="AA858" s="120"/>
      <c r="AB858" s="120"/>
      <c r="AC858" s="120"/>
      <c r="AD858" s="120"/>
      <c r="AE858" s="120"/>
      <c r="AF858" s="120"/>
      <c r="AG858" s="120"/>
      <c r="AH858" s="120"/>
    </row>
    <row r="859">
      <c r="A859" s="120" t="s">
        <v>381</v>
      </c>
      <c r="B859" s="120" t="s">
        <v>20</v>
      </c>
      <c r="C859" s="120" t="s">
        <v>1228</v>
      </c>
      <c r="D859" s="120" t="s">
        <v>235</v>
      </c>
      <c r="E859" s="120"/>
      <c r="F859" s="120" t="s">
        <v>1077</v>
      </c>
      <c r="G859" s="120" t="s">
        <v>555</v>
      </c>
      <c r="H859" s="121">
        <v>2010.0</v>
      </c>
      <c r="I859" s="122">
        <v>1139.0</v>
      </c>
      <c r="J859" s="123" t="s">
        <v>188</v>
      </c>
      <c r="K859" s="120" t="s">
        <v>188</v>
      </c>
      <c r="L859" s="124" t="s">
        <v>260</v>
      </c>
      <c r="M859" s="125" t="s">
        <v>421</v>
      </c>
      <c r="N859" s="120" t="s">
        <v>428</v>
      </c>
      <c r="O859" s="120"/>
      <c r="P859" s="120"/>
      <c r="Q859" s="120"/>
      <c r="R859" s="120"/>
      <c r="S859" s="120"/>
      <c r="T859" s="120"/>
      <c r="U859" s="120"/>
      <c r="V859" s="120"/>
      <c r="W859" s="120"/>
      <c r="X859" s="120"/>
      <c r="Y859" s="120"/>
      <c r="Z859" s="120"/>
      <c r="AA859" s="120"/>
      <c r="AB859" s="120"/>
      <c r="AC859" s="120"/>
      <c r="AD859" s="120"/>
      <c r="AE859" s="120"/>
      <c r="AF859" s="120"/>
      <c r="AG859" s="120"/>
      <c r="AH859" s="120"/>
    </row>
    <row r="860">
      <c r="A860" s="120" t="s">
        <v>381</v>
      </c>
      <c r="B860" s="120" t="s">
        <v>20</v>
      </c>
      <c r="C860" s="120" t="s">
        <v>1228</v>
      </c>
      <c r="D860" s="120" t="s">
        <v>235</v>
      </c>
      <c r="E860" s="120"/>
      <c r="F860" s="120" t="s">
        <v>1077</v>
      </c>
      <c r="G860" s="120" t="s">
        <v>555</v>
      </c>
      <c r="H860" s="121">
        <v>2011.0</v>
      </c>
      <c r="I860" s="122">
        <v>1139.0</v>
      </c>
      <c r="J860" s="123" t="s">
        <v>188</v>
      </c>
      <c r="K860" s="120" t="s">
        <v>188</v>
      </c>
      <c r="L860" s="124" t="s">
        <v>260</v>
      </c>
      <c r="M860" s="125" t="s">
        <v>421</v>
      </c>
      <c r="N860" s="120" t="s">
        <v>428</v>
      </c>
      <c r="O860" s="120"/>
      <c r="P860" s="120"/>
      <c r="Q860" s="120"/>
      <c r="R860" s="120"/>
      <c r="S860" s="120"/>
      <c r="T860" s="120"/>
      <c r="U860" s="120"/>
      <c r="V860" s="120"/>
      <c r="W860" s="120"/>
      <c r="X860" s="120"/>
      <c r="Y860" s="120"/>
      <c r="Z860" s="120"/>
      <c r="AA860" s="120"/>
      <c r="AB860" s="120"/>
      <c r="AC860" s="120"/>
      <c r="AD860" s="120"/>
      <c r="AE860" s="120"/>
      <c r="AF860" s="120"/>
      <c r="AG860" s="120"/>
      <c r="AH860" s="120"/>
    </row>
    <row r="861">
      <c r="A861" s="120" t="s">
        <v>381</v>
      </c>
      <c r="B861" s="120" t="s">
        <v>20</v>
      </c>
      <c r="C861" s="120" t="s">
        <v>1228</v>
      </c>
      <c r="D861" s="120" t="s">
        <v>235</v>
      </c>
      <c r="E861" s="120"/>
      <c r="F861" s="120" t="s">
        <v>1077</v>
      </c>
      <c r="G861" s="120" t="s">
        <v>555</v>
      </c>
      <c r="H861" s="121">
        <v>2012.0</v>
      </c>
      <c r="I861" s="122">
        <v>1167.0</v>
      </c>
      <c r="J861" s="123" t="s">
        <v>188</v>
      </c>
      <c r="K861" s="120" t="s">
        <v>188</v>
      </c>
      <c r="L861" s="124" t="s">
        <v>260</v>
      </c>
      <c r="M861" s="125" t="s">
        <v>421</v>
      </c>
      <c r="N861" s="120" t="s">
        <v>428</v>
      </c>
      <c r="O861" s="120"/>
      <c r="P861" s="120"/>
      <c r="Q861" s="120"/>
      <c r="R861" s="120"/>
      <c r="S861" s="120"/>
      <c r="T861" s="120"/>
      <c r="U861" s="120"/>
      <c r="V861" s="120"/>
      <c r="W861" s="120"/>
      <c r="X861" s="120"/>
      <c r="Y861" s="120"/>
      <c r="Z861" s="120"/>
      <c r="AA861" s="120"/>
      <c r="AB861" s="120"/>
      <c r="AC861" s="120"/>
      <c r="AD861" s="120"/>
      <c r="AE861" s="120"/>
      <c r="AF861" s="120"/>
      <c r="AG861" s="120"/>
      <c r="AH861" s="120"/>
    </row>
    <row r="862">
      <c r="A862" s="120" t="s">
        <v>381</v>
      </c>
      <c r="B862" s="120" t="s">
        <v>20</v>
      </c>
      <c r="C862" s="120" t="s">
        <v>1228</v>
      </c>
      <c r="D862" s="120" t="s">
        <v>235</v>
      </c>
      <c r="E862" s="120"/>
      <c r="F862" s="120" t="s">
        <v>1077</v>
      </c>
      <c r="G862" s="120" t="s">
        <v>555</v>
      </c>
      <c r="H862" s="121">
        <v>2013.0</v>
      </c>
      <c r="I862" s="122">
        <v>1250.0</v>
      </c>
      <c r="J862" s="123" t="s">
        <v>188</v>
      </c>
      <c r="K862" s="120" t="s">
        <v>188</v>
      </c>
      <c r="L862" s="124" t="s">
        <v>260</v>
      </c>
      <c r="M862" s="125" t="s">
        <v>421</v>
      </c>
      <c r="N862" s="120" t="s">
        <v>428</v>
      </c>
      <c r="O862" s="120"/>
      <c r="P862" s="120"/>
      <c r="Q862" s="120"/>
      <c r="R862" s="120"/>
      <c r="S862" s="120"/>
      <c r="T862" s="120"/>
      <c r="U862" s="120"/>
      <c r="V862" s="120"/>
      <c r="W862" s="120"/>
      <c r="X862" s="120"/>
      <c r="Y862" s="120"/>
      <c r="Z862" s="120"/>
      <c r="AA862" s="120"/>
      <c r="AB862" s="120"/>
      <c r="AC862" s="120"/>
      <c r="AD862" s="120"/>
      <c r="AE862" s="120"/>
      <c r="AF862" s="120"/>
      <c r="AG862" s="120"/>
      <c r="AH862" s="120"/>
    </row>
    <row r="863">
      <c r="A863" s="120" t="s">
        <v>381</v>
      </c>
      <c r="B863" s="120" t="s">
        <v>20</v>
      </c>
      <c r="C863" s="120" t="s">
        <v>1228</v>
      </c>
      <c r="D863" s="120" t="s">
        <v>235</v>
      </c>
      <c r="E863" s="120"/>
      <c r="F863" s="120" t="s">
        <v>1077</v>
      </c>
      <c r="G863" s="120" t="s">
        <v>555</v>
      </c>
      <c r="H863" s="121">
        <v>2015.0</v>
      </c>
      <c r="I863" s="122">
        <v>917.0</v>
      </c>
      <c r="J863" s="123" t="s">
        <v>188</v>
      </c>
      <c r="K863" s="120" t="s">
        <v>188</v>
      </c>
      <c r="L863" s="124" t="s">
        <v>260</v>
      </c>
      <c r="M863" s="125" t="s">
        <v>421</v>
      </c>
      <c r="N863" s="120" t="s">
        <v>428</v>
      </c>
      <c r="O863" s="120"/>
      <c r="P863" s="120"/>
      <c r="Q863" s="120"/>
      <c r="R863" s="120"/>
      <c r="S863" s="120"/>
      <c r="T863" s="120"/>
      <c r="U863" s="120"/>
      <c r="V863" s="120"/>
      <c r="W863" s="120"/>
      <c r="X863" s="120"/>
      <c r="Y863" s="120"/>
      <c r="Z863" s="120"/>
      <c r="AA863" s="120"/>
      <c r="AB863" s="120"/>
      <c r="AC863" s="120"/>
      <c r="AD863" s="120"/>
      <c r="AE863" s="120"/>
      <c r="AF863" s="120"/>
      <c r="AG863" s="120"/>
      <c r="AH863" s="120"/>
    </row>
    <row r="864">
      <c r="A864" s="120" t="s">
        <v>381</v>
      </c>
      <c r="B864" s="120" t="s">
        <v>20</v>
      </c>
      <c r="C864" s="120" t="s">
        <v>1228</v>
      </c>
      <c r="D864" s="120" t="s">
        <v>235</v>
      </c>
      <c r="E864" s="120"/>
      <c r="F864" s="120" t="s">
        <v>1077</v>
      </c>
      <c r="G864" s="120" t="s">
        <v>555</v>
      </c>
      <c r="H864" s="121">
        <v>2016.0</v>
      </c>
      <c r="I864" s="122">
        <v>1694.0</v>
      </c>
      <c r="J864" s="123" t="s">
        <v>188</v>
      </c>
      <c r="K864" s="120" t="s">
        <v>188</v>
      </c>
      <c r="L864" s="124" t="s">
        <v>260</v>
      </c>
      <c r="M864" s="125" t="s">
        <v>421</v>
      </c>
      <c r="N864" s="120" t="s">
        <v>428</v>
      </c>
      <c r="O864" s="120"/>
      <c r="P864" s="120"/>
      <c r="Q864" s="120"/>
      <c r="R864" s="120"/>
      <c r="S864" s="120"/>
      <c r="T864" s="120"/>
      <c r="U864" s="120"/>
      <c r="V864" s="120"/>
      <c r="W864" s="120"/>
      <c r="X864" s="120"/>
      <c r="Y864" s="120"/>
      <c r="Z864" s="120"/>
      <c r="AA864" s="120"/>
      <c r="AB864" s="120"/>
      <c r="AC864" s="120"/>
      <c r="AD864" s="120"/>
      <c r="AE864" s="120"/>
      <c r="AF864" s="120"/>
      <c r="AG864" s="120"/>
      <c r="AH864" s="120"/>
    </row>
    <row r="865">
      <c r="A865" s="120" t="s">
        <v>381</v>
      </c>
      <c r="B865" s="120" t="s">
        <v>20</v>
      </c>
      <c r="C865" s="120" t="s">
        <v>1228</v>
      </c>
      <c r="D865" s="120" t="s">
        <v>235</v>
      </c>
      <c r="E865" s="120"/>
      <c r="F865" s="120" t="s">
        <v>1077</v>
      </c>
      <c r="G865" s="120" t="s">
        <v>555</v>
      </c>
      <c r="H865" s="121">
        <v>2017.0</v>
      </c>
      <c r="I865" s="122">
        <v>1778.0</v>
      </c>
      <c r="J865" s="123" t="s">
        <v>188</v>
      </c>
      <c r="K865" s="120" t="s">
        <v>188</v>
      </c>
      <c r="L865" s="124" t="s">
        <v>260</v>
      </c>
      <c r="M865" s="125" t="s">
        <v>421</v>
      </c>
      <c r="N865" s="120" t="s">
        <v>428</v>
      </c>
      <c r="O865" s="120"/>
      <c r="P865" s="120"/>
      <c r="Q865" s="120"/>
      <c r="R865" s="120"/>
      <c r="S865" s="120"/>
      <c r="T865" s="120"/>
      <c r="U865" s="120"/>
      <c r="V865" s="120"/>
      <c r="W865" s="120"/>
      <c r="X865" s="120"/>
      <c r="Y865" s="120"/>
      <c r="Z865" s="120"/>
      <c r="AA865" s="120"/>
      <c r="AB865" s="120"/>
      <c r="AC865" s="120"/>
      <c r="AD865" s="120"/>
      <c r="AE865" s="120"/>
      <c r="AF865" s="120"/>
      <c r="AG865" s="120"/>
      <c r="AH865" s="120"/>
    </row>
    <row r="866">
      <c r="A866" s="120" t="s">
        <v>381</v>
      </c>
      <c r="B866" s="120" t="s">
        <v>20</v>
      </c>
      <c r="C866" s="120" t="s">
        <v>1228</v>
      </c>
      <c r="D866" s="120" t="s">
        <v>235</v>
      </c>
      <c r="E866" s="120"/>
      <c r="F866" s="120" t="s">
        <v>1077</v>
      </c>
      <c r="G866" s="120" t="s">
        <v>555</v>
      </c>
      <c r="H866" s="121">
        <v>2019.0</v>
      </c>
      <c r="I866" s="122">
        <v>1167.0</v>
      </c>
      <c r="J866" s="123" t="s">
        <v>188</v>
      </c>
      <c r="K866" s="120" t="s">
        <v>188</v>
      </c>
      <c r="L866" s="124" t="s">
        <v>260</v>
      </c>
      <c r="M866" s="125" t="s">
        <v>421</v>
      </c>
      <c r="N866" s="120" t="s">
        <v>428</v>
      </c>
      <c r="O866" s="120"/>
      <c r="P866" s="120"/>
      <c r="Q866" s="120"/>
      <c r="R866" s="120"/>
      <c r="S866" s="120"/>
      <c r="T866" s="120"/>
      <c r="U866" s="120"/>
      <c r="V866" s="120"/>
      <c r="W866" s="120"/>
      <c r="X866" s="120"/>
      <c r="Y866" s="120"/>
      <c r="Z866" s="120"/>
      <c r="AA866" s="120"/>
      <c r="AB866" s="120"/>
      <c r="AC866" s="120"/>
      <c r="AD866" s="120"/>
      <c r="AE866" s="120"/>
      <c r="AF866" s="120"/>
      <c r="AG866" s="120"/>
      <c r="AH866" s="120"/>
    </row>
    <row r="867">
      <c r="C867" s="118"/>
    </row>
    <row r="868">
      <c r="C868" s="118"/>
    </row>
    <row r="869">
      <c r="C869" s="118"/>
    </row>
    <row r="870">
      <c r="C870" s="118"/>
    </row>
    <row r="871">
      <c r="C871" s="118"/>
    </row>
    <row r="872">
      <c r="C872" s="118"/>
    </row>
    <row r="873">
      <c r="C873" s="118"/>
    </row>
    <row r="874">
      <c r="C874" s="118"/>
    </row>
    <row r="875">
      <c r="C875" s="118"/>
    </row>
    <row r="876">
      <c r="C876" s="118"/>
    </row>
    <row r="877">
      <c r="C877" s="118"/>
    </row>
    <row r="878">
      <c r="C878" s="118"/>
    </row>
    <row r="879">
      <c r="C879" s="118"/>
    </row>
    <row r="880">
      <c r="C880" s="118"/>
    </row>
    <row r="881">
      <c r="C881" s="118"/>
    </row>
    <row r="882">
      <c r="C882" s="118"/>
    </row>
    <row r="883">
      <c r="C883" s="118"/>
    </row>
    <row r="884">
      <c r="C884" s="118"/>
    </row>
    <row r="885">
      <c r="C885" s="118"/>
    </row>
    <row r="886">
      <c r="C886" s="118"/>
    </row>
    <row r="887">
      <c r="C887" s="118"/>
    </row>
    <row r="888">
      <c r="C888" s="118"/>
    </row>
    <row r="889">
      <c r="C889" s="118"/>
    </row>
    <row r="890">
      <c r="C890" s="118"/>
    </row>
    <row r="891">
      <c r="C891" s="118"/>
    </row>
    <row r="892">
      <c r="C892" s="118"/>
    </row>
    <row r="893">
      <c r="C893" s="118"/>
    </row>
    <row r="894">
      <c r="C894" s="118"/>
    </row>
    <row r="895">
      <c r="C895" s="118"/>
    </row>
    <row r="896">
      <c r="C896" s="118"/>
    </row>
    <row r="897">
      <c r="C897" s="118"/>
    </row>
    <row r="898">
      <c r="C898" s="118"/>
    </row>
    <row r="899">
      <c r="C899" s="118"/>
    </row>
    <row r="900">
      <c r="C900" s="118"/>
    </row>
    <row r="901">
      <c r="C901" s="118"/>
    </row>
    <row r="902">
      <c r="C902" s="118"/>
    </row>
    <row r="903">
      <c r="C903" s="118"/>
    </row>
    <row r="904">
      <c r="C904" s="118"/>
    </row>
    <row r="905">
      <c r="C905" s="118"/>
    </row>
    <row r="906">
      <c r="C906" s="118"/>
    </row>
    <row r="907">
      <c r="C907" s="118"/>
    </row>
    <row r="908">
      <c r="C908" s="118"/>
    </row>
    <row r="909">
      <c r="C909" s="118"/>
    </row>
    <row r="910">
      <c r="C910" s="118"/>
    </row>
    <row r="911">
      <c r="C911" s="118"/>
    </row>
    <row r="912">
      <c r="C912" s="118"/>
    </row>
    <row r="913">
      <c r="C913" s="118"/>
    </row>
    <row r="914">
      <c r="C914" s="118"/>
    </row>
    <row r="915">
      <c r="C915" s="118"/>
    </row>
    <row r="916">
      <c r="C916" s="118"/>
    </row>
    <row r="917">
      <c r="C917" s="118"/>
    </row>
    <row r="918">
      <c r="C918" s="118"/>
    </row>
    <row r="919">
      <c r="C919" s="118"/>
    </row>
    <row r="920">
      <c r="C920" s="118"/>
    </row>
    <row r="921">
      <c r="C921" s="118"/>
    </row>
    <row r="922">
      <c r="C922" s="118"/>
    </row>
    <row r="923">
      <c r="C923" s="118"/>
    </row>
    <row r="924">
      <c r="C924" s="118"/>
    </row>
    <row r="925">
      <c r="C925" s="118"/>
    </row>
    <row r="926">
      <c r="C926" s="118"/>
    </row>
    <row r="927">
      <c r="C927" s="118"/>
    </row>
    <row r="928">
      <c r="C928" s="118"/>
    </row>
    <row r="929">
      <c r="C929" s="118"/>
    </row>
    <row r="930">
      <c r="C930" s="118"/>
    </row>
    <row r="931">
      <c r="C931" s="118"/>
    </row>
    <row r="932">
      <c r="C932" s="118"/>
    </row>
    <row r="933">
      <c r="C933" s="118"/>
    </row>
    <row r="934">
      <c r="C934" s="118"/>
    </row>
    <row r="935">
      <c r="C935" s="118"/>
    </row>
    <row r="936">
      <c r="C936" s="118"/>
    </row>
    <row r="937">
      <c r="C937" s="118"/>
    </row>
    <row r="938">
      <c r="C938" s="118"/>
    </row>
    <row r="939">
      <c r="C939" s="118"/>
    </row>
    <row r="940">
      <c r="C940" s="118"/>
    </row>
    <row r="941">
      <c r="C941" s="118"/>
    </row>
    <row r="942">
      <c r="C942" s="118"/>
    </row>
    <row r="943">
      <c r="C943" s="118"/>
    </row>
    <row r="944">
      <c r="C944" s="118"/>
    </row>
    <row r="945">
      <c r="C945" s="118"/>
    </row>
    <row r="946">
      <c r="C946" s="118"/>
    </row>
    <row r="947">
      <c r="C947" s="118"/>
    </row>
    <row r="948">
      <c r="C948" s="118"/>
    </row>
    <row r="949">
      <c r="C949" s="118"/>
    </row>
    <row r="950">
      <c r="C950" s="118"/>
    </row>
    <row r="951">
      <c r="C951" s="118"/>
    </row>
    <row r="952">
      <c r="C952" s="118"/>
    </row>
    <row r="953">
      <c r="C953" s="118"/>
    </row>
    <row r="954">
      <c r="C954" s="118"/>
    </row>
    <row r="955">
      <c r="C955" s="118"/>
    </row>
    <row r="956">
      <c r="C956" s="118"/>
    </row>
    <row r="957">
      <c r="C957" s="118"/>
    </row>
    <row r="958">
      <c r="C958" s="118"/>
    </row>
    <row r="959">
      <c r="C959" s="118"/>
    </row>
    <row r="960">
      <c r="C960" s="118"/>
    </row>
    <row r="961">
      <c r="C961" s="118"/>
    </row>
    <row r="962">
      <c r="C962" s="118"/>
    </row>
    <row r="963">
      <c r="C963" s="118"/>
    </row>
    <row r="964">
      <c r="C964" s="118"/>
    </row>
    <row r="965">
      <c r="C965" s="118"/>
    </row>
    <row r="966">
      <c r="C966" s="118"/>
    </row>
    <row r="967">
      <c r="C967" s="118"/>
    </row>
    <row r="968">
      <c r="C968" s="118"/>
    </row>
    <row r="969">
      <c r="C969" s="118"/>
    </row>
    <row r="970">
      <c r="C970" s="118"/>
    </row>
    <row r="971">
      <c r="C971" s="118"/>
    </row>
    <row r="972">
      <c r="C972" s="118"/>
    </row>
    <row r="973">
      <c r="C973" s="118"/>
    </row>
    <row r="974">
      <c r="C974" s="118"/>
    </row>
    <row r="975">
      <c r="C975" s="118"/>
    </row>
    <row r="976">
      <c r="C976" s="118"/>
    </row>
    <row r="977">
      <c r="C977" s="118"/>
    </row>
    <row r="978">
      <c r="C978" s="118"/>
    </row>
    <row r="979">
      <c r="C979" s="118"/>
    </row>
    <row r="980">
      <c r="C980" s="118"/>
    </row>
    <row r="981">
      <c r="C981" s="118"/>
    </row>
    <row r="982">
      <c r="C982" s="118"/>
    </row>
  </sheetData>
  <autoFilter ref="$A$1:$A$982"/>
  <hyperlinks>
    <hyperlink r:id="rId1" ref="M746"/>
    <hyperlink r:id="rId2" ref="M747"/>
    <hyperlink r:id="rId3" ref="M748"/>
    <hyperlink r:id="rId4" ref="M749"/>
    <hyperlink r:id="rId5" ref="M750"/>
    <hyperlink r:id="rId6" ref="M751"/>
    <hyperlink r:id="rId7" ref="M752"/>
    <hyperlink r:id="rId8" ref="M753"/>
    <hyperlink r:id="rId9" ref="M754"/>
    <hyperlink r:id="rId10" ref="M755"/>
    <hyperlink r:id="rId11" ref="M756"/>
    <hyperlink r:id="rId12" ref="M757"/>
    <hyperlink r:id="rId13" ref="M758"/>
    <hyperlink r:id="rId14" ref="M759"/>
    <hyperlink r:id="rId15" ref="M760"/>
    <hyperlink r:id="rId16" ref="M761"/>
    <hyperlink r:id="rId17" ref="M762"/>
    <hyperlink r:id="rId18" ref="M763"/>
    <hyperlink r:id="rId19" ref="M764"/>
    <hyperlink r:id="rId20" ref="M765"/>
    <hyperlink r:id="rId21" ref="M766"/>
    <hyperlink r:id="rId22" ref="M767"/>
    <hyperlink r:id="rId23" ref="M768"/>
    <hyperlink r:id="rId24" ref="M769"/>
    <hyperlink r:id="rId25" ref="M770"/>
    <hyperlink r:id="rId26" ref="M771"/>
    <hyperlink r:id="rId27" ref="M772"/>
    <hyperlink r:id="rId28" ref="M773"/>
    <hyperlink r:id="rId29" ref="M774"/>
    <hyperlink r:id="rId30" ref="M775"/>
    <hyperlink r:id="rId31" ref="M776"/>
    <hyperlink r:id="rId32" ref="M777"/>
    <hyperlink r:id="rId33" ref="M778"/>
    <hyperlink r:id="rId34" ref="M779"/>
    <hyperlink r:id="rId35" ref="M780"/>
    <hyperlink r:id="rId36" ref="M781"/>
    <hyperlink r:id="rId37" ref="M782"/>
    <hyperlink r:id="rId38" ref="M783"/>
    <hyperlink r:id="rId39" ref="M784"/>
    <hyperlink r:id="rId40" ref="M785"/>
    <hyperlink r:id="rId41" ref="M786"/>
    <hyperlink r:id="rId42" ref="M787"/>
    <hyperlink r:id="rId43" ref="M788"/>
    <hyperlink r:id="rId44" ref="M789"/>
    <hyperlink r:id="rId45" ref="M790"/>
    <hyperlink r:id="rId46" ref="M791"/>
    <hyperlink r:id="rId47" ref="M792"/>
    <hyperlink r:id="rId48" ref="M793"/>
    <hyperlink r:id="rId49" ref="M794"/>
    <hyperlink r:id="rId50" ref="M795"/>
    <hyperlink r:id="rId51" ref="M796"/>
    <hyperlink r:id="rId52" ref="M797"/>
    <hyperlink r:id="rId53" ref="M798"/>
    <hyperlink r:id="rId54" ref="M799"/>
    <hyperlink r:id="rId55" ref="M800"/>
    <hyperlink r:id="rId56" ref="M801"/>
    <hyperlink r:id="rId57" ref="M802"/>
    <hyperlink r:id="rId58" ref="M803"/>
    <hyperlink r:id="rId59" ref="M804"/>
    <hyperlink r:id="rId60" ref="M805"/>
    <hyperlink r:id="rId61" ref="M806"/>
    <hyperlink r:id="rId62" ref="M807"/>
    <hyperlink r:id="rId63" ref="M808"/>
    <hyperlink r:id="rId64" ref="M809"/>
    <hyperlink r:id="rId65" ref="M810"/>
    <hyperlink r:id="rId66" ref="M811"/>
    <hyperlink r:id="rId67" ref="M812"/>
    <hyperlink r:id="rId68" ref="M813"/>
    <hyperlink r:id="rId69" ref="M814"/>
    <hyperlink r:id="rId70" ref="M815"/>
    <hyperlink r:id="rId71" ref="M816"/>
    <hyperlink r:id="rId72" ref="M817"/>
    <hyperlink r:id="rId73" ref="M818"/>
    <hyperlink r:id="rId74" ref="M819"/>
    <hyperlink r:id="rId75" ref="M820"/>
    <hyperlink r:id="rId76" ref="M821"/>
    <hyperlink r:id="rId77" ref="M822"/>
    <hyperlink r:id="rId78" ref="M823"/>
    <hyperlink r:id="rId79" ref="M824"/>
    <hyperlink r:id="rId80" ref="M825"/>
    <hyperlink r:id="rId81" ref="M826"/>
    <hyperlink r:id="rId82" ref="M827"/>
    <hyperlink r:id="rId83" ref="M828"/>
    <hyperlink r:id="rId84" ref="M829"/>
    <hyperlink r:id="rId85" ref="M830"/>
    <hyperlink r:id="rId86" ref="M831"/>
    <hyperlink r:id="rId87" ref="M832"/>
    <hyperlink r:id="rId88" ref="M833"/>
    <hyperlink r:id="rId89" ref="M834"/>
    <hyperlink r:id="rId90" ref="M835"/>
    <hyperlink r:id="rId91" ref="M836"/>
    <hyperlink r:id="rId92" ref="M837"/>
    <hyperlink r:id="rId93" ref="M838"/>
    <hyperlink r:id="rId94" ref="M839"/>
    <hyperlink r:id="rId95" ref="M840"/>
    <hyperlink r:id="rId96" ref="M841"/>
    <hyperlink r:id="rId97" ref="M842"/>
    <hyperlink r:id="rId98" ref="M843"/>
    <hyperlink r:id="rId99" ref="M844"/>
    <hyperlink r:id="rId100" ref="M845"/>
    <hyperlink r:id="rId101" ref="M846"/>
    <hyperlink r:id="rId102" ref="M847"/>
    <hyperlink r:id="rId103" ref="M848"/>
    <hyperlink r:id="rId104" ref="M849"/>
    <hyperlink r:id="rId105" ref="M850"/>
    <hyperlink r:id="rId106" ref="M851"/>
    <hyperlink r:id="rId107" ref="M852"/>
    <hyperlink r:id="rId108" ref="M853"/>
    <hyperlink r:id="rId109" ref="M854"/>
    <hyperlink r:id="rId110" ref="M855"/>
    <hyperlink r:id="rId111" ref="M856"/>
    <hyperlink r:id="rId112" ref="M857"/>
    <hyperlink r:id="rId113" ref="M858"/>
    <hyperlink r:id="rId114" ref="M859"/>
    <hyperlink r:id="rId115" ref="M860"/>
    <hyperlink r:id="rId116" ref="M861"/>
    <hyperlink r:id="rId117" ref="M862"/>
    <hyperlink r:id="rId118" ref="M863"/>
    <hyperlink r:id="rId119" ref="M864"/>
    <hyperlink r:id="rId120" ref="M865"/>
    <hyperlink r:id="rId121" ref="M866"/>
  </hyperlinks>
  <drawing r:id="rId12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20.5"/>
    <col customWidth="1" min="4" max="4" width="21.38"/>
    <col customWidth="1" min="9" max="10" width="20.38"/>
    <col customWidth="1" min="11" max="11" width="20.5"/>
  </cols>
  <sheetData>
    <row r="1">
      <c r="A1" s="1" t="s">
        <v>6</v>
      </c>
      <c r="B1" s="1" t="s">
        <v>728</v>
      </c>
      <c r="C1" s="1" t="s">
        <v>729</v>
      </c>
      <c r="D1" s="1" t="s">
        <v>730</v>
      </c>
      <c r="E1" s="1" t="s">
        <v>39</v>
      </c>
      <c r="F1" s="1" t="s">
        <v>40</v>
      </c>
      <c r="G1" s="1" t="s">
        <v>731</v>
      </c>
      <c r="H1" s="1" t="s">
        <v>733</v>
      </c>
      <c r="I1" s="1" t="s">
        <v>1158</v>
      </c>
      <c r="J1" s="1" t="s">
        <v>734</v>
      </c>
      <c r="K1" s="1" t="s">
        <v>1</v>
      </c>
      <c r="L1" s="1" t="s">
        <v>13</v>
      </c>
      <c r="M1" s="6"/>
      <c r="N1" s="6"/>
      <c r="O1" s="6"/>
      <c r="P1" s="6"/>
      <c r="Q1" s="6"/>
      <c r="R1" s="6"/>
      <c r="S1" s="6"/>
      <c r="T1" s="6"/>
      <c r="U1" s="6"/>
      <c r="V1" s="6"/>
      <c r="W1" s="6"/>
      <c r="X1" s="6"/>
      <c r="Y1" s="6"/>
      <c r="Z1" s="6"/>
      <c r="AA1" s="6"/>
      <c r="AB1" s="6"/>
      <c r="AC1" s="6"/>
    </row>
    <row r="2">
      <c r="A2" s="11" t="s">
        <v>610</v>
      </c>
      <c r="B2" s="11" t="s">
        <v>1159</v>
      </c>
      <c r="C2" s="11" t="s">
        <v>1160</v>
      </c>
      <c r="D2" s="11" t="s">
        <v>1161</v>
      </c>
      <c r="E2" s="11" t="s">
        <v>1162</v>
      </c>
      <c r="F2" s="11">
        <v>7305.0</v>
      </c>
      <c r="G2" s="11" t="s">
        <v>188</v>
      </c>
      <c r="H2" s="11" t="s">
        <v>188</v>
      </c>
      <c r="I2" s="11" t="s">
        <v>160</v>
      </c>
      <c r="J2" s="11" t="s">
        <v>158</v>
      </c>
      <c r="K2" s="11" t="s">
        <v>623</v>
      </c>
      <c r="L2" s="11" t="s">
        <v>1163</v>
      </c>
    </row>
    <row r="3">
      <c r="A3" s="11" t="s">
        <v>610</v>
      </c>
      <c r="B3" s="11" t="s">
        <v>1159</v>
      </c>
      <c r="C3" s="11" t="s">
        <v>1160</v>
      </c>
      <c r="D3" s="11" t="s">
        <v>1161</v>
      </c>
      <c r="E3" s="11" t="s">
        <v>1164</v>
      </c>
      <c r="F3" s="11">
        <v>4362.0</v>
      </c>
      <c r="G3" s="11" t="s">
        <v>188</v>
      </c>
      <c r="H3" s="11" t="s">
        <v>188</v>
      </c>
      <c r="I3" s="11" t="s">
        <v>160</v>
      </c>
      <c r="J3" s="11" t="s">
        <v>158</v>
      </c>
      <c r="K3" s="11" t="s">
        <v>1165</v>
      </c>
    </row>
    <row r="4">
      <c r="A4" s="11" t="s">
        <v>610</v>
      </c>
      <c r="B4" s="11" t="s">
        <v>1159</v>
      </c>
      <c r="C4" s="11" t="s">
        <v>1160</v>
      </c>
      <c r="D4" s="11" t="s">
        <v>1161</v>
      </c>
      <c r="E4" s="11" t="s">
        <v>1166</v>
      </c>
      <c r="F4" s="11">
        <v>10311.0</v>
      </c>
      <c r="G4" s="11" t="s">
        <v>188</v>
      </c>
      <c r="H4" s="11" t="s">
        <v>188</v>
      </c>
      <c r="I4" s="11" t="s">
        <v>160</v>
      </c>
      <c r="J4" s="11" t="s">
        <v>158</v>
      </c>
      <c r="K4" s="11" t="s">
        <v>1167</v>
      </c>
    </row>
    <row r="5">
      <c r="A5" s="11" t="s">
        <v>610</v>
      </c>
      <c r="B5" s="11" t="s">
        <v>1159</v>
      </c>
      <c r="C5" s="11" t="s">
        <v>1160</v>
      </c>
      <c r="D5" s="11" t="s">
        <v>1161</v>
      </c>
      <c r="E5" s="126">
        <v>36923.0</v>
      </c>
      <c r="F5" s="11">
        <v>53619.0</v>
      </c>
      <c r="G5" s="11" t="s">
        <v>188</v>
      </c>
      <c r="H5" s="11" t="s">
        <v>188</v>
      </c>
      <c r="I5" s="11" t="s">
        <v>160</v>
      </c>
      <c r="J5" s="11" t="s">
        <v>158</v>
      </c>
      <c r="K5" s="11" t="s">
        <v>1168</v>
      </c>
    </row>
    <row r="6">
      <c r="A6" s="11" t="s">
        <v>610</v>
      </c>
      <c r="B6" s="11" t="s">
        <v>1159</v>
      </c>
      <c r="C6" s="11" t="s">
        <v>1160</v>
      </c>
      <c r="D6" s="11" t="s">
        <v>1161</v>
      </c>
      <c r="E6" s="126">
        <v>37712.0</v>
      </c>
      <c r="F6" s="11">
        <v>19402.0</v>
      </c>
      <c r="G6" s="11" t="s">
        <v>188</v>
      </c>
      <c r="H6" s="11" t="s">
        <v>188</v>
      </c>
      <c r="I6" s="11" t="s">
        <v>160</v>
      </c>
      <c r="J6" s="11" t="s">
        <v>158</v>
      </c>
      <c r="K6" s="11" t="s">
        <v>1171</v>
      </c>
    </row>
    <row r="7">
      <c r="A7" s="11" t="s">
        <v>610</v>
      </c>
      <c r="B7" s="11" t="s">
        <v>1159</v>
      </c>
      <c r="C7" s="11" t="s">
        <v>1160</v>
      </c>
      <c r="D7" s="11" t="s">
        <v>1161</v>
      </c>
      <c r="E7" s="126">
        <v>38504.0</v>
      </c>
      <c r="F7" s="11">
        <v>42535.0</v>
      </c>
      <c r="G7" s="11" t="s">
        <v>188</v>
      </c>
      <c r="H7" s="11" t="s">
        <v>188</v>
      </c>
      <c r="I7" s="11" t="s">
        <v>160</v>
      </c>
      <c r="J7" s="11" t="s">
        <v>158</v>
      </c>
      <c r="K7" s="11" t="s">
        <v>1172</v>
      </c>
    </row>
    <row r="8">
      <c r="A8" s="11" t="s">
        <v>610</v>
      </c>
      <c r="B8" s="11" t="s">
        <v>1159</v>
      </c>
      <c r="C8" s="11" t="s">
        <v>1160</v>
      </c>
      <c r="D8" s="11" t="s">
        <v>1161</v>
      </c>
      <c r="E8" s="126">
        <v>39295.0</v>
      </c>
      <c r="F8" s="11">
        <v>10952.0</v>
      </c>
      <c r="G8" s="11" t="s">
        <v>188</v>
      </c>
      <c r="H8" s="11" t="s">
        <v>188</v>
      </c>
      <c r="I8" s="11" t="s">
        <v>160</v>
      </c>
      <c r="J8" s="11" t="s">
        <v>158</v>
      </c>
      <c r="K8" s="11" t="s">
        <v>1173</v>
      </c>
    </row>
    <row r="9">
      <c r="A9" s="11" t="s">
        <v>610</v>
      </c>
      <c r="B9" s="11" t="s">
        <v>1159</v>
      </c>
      <c r="C9" s="11" t="s">
        <v>1174</v>
      </c>
      <c r="D9" s="11" t="s">
        <v>1161</v>
      </c>
      <c r="E9" s="11" t="s">
        <v>1175</v>
      </c>
      <c r="F9" s="11">
        <v>50736.0</v>
      </c>
      <c r="G9" s="11" t="s">
        <v>188</v>
      </c>
      <c r="H9" s="11" t="s">
        <v>188</v>
      </c>
      <c r="I9" s="11" t="s">
        <v>160</v>
      </c>
      <c r="J9" s="11" t="s">
        <v>158</v>
      </c>
      <c r="K9" s="11" t="s">
        <v>1176</v>
      </c>
    </row>
    <row r="10">
      <c r="A10" s="11" t="s">
        <v>610</v>
      </c>
      <c r="B10" s="11" t="s">
        <v>1159</v>
      </c>
      <c r="C10" s="11" t="s">
        <v>1174</v>
      </c>
      <c r="D10" s="11" t="s">
        <v>1161</v>
      </c>
      <c r="E10" s="11" t="s">
        <v>1177</v>
      </c>
      <c r="F10" s="11">
        <v>55878.0</v>
      </c>
      <c r="G10" s="11" t="s">
        <v>188</v>
      </c>
      <c r="H10" s="11" t="s">
        <v>188</v>
      </c>
      <c r="I10" s="11" t="s">
        <v>160</v>
      </c>
      <c r="J10" s="11" t="s">
        <v>158</v>
      </c>
      <c r="K10" s="11" t="s">
        <v>1178</v>
      </c>
    </row>
    <row r="11">
      <c r="A11" s="11" t="s">
        <v>610</v>
      </c>
      <c r="B11" s="11" t="s">
        <v>1159</v>
      </c>
      <c r="C11" s="11" t="s">
        <v>1174</v>
      </c>
      <c r="D11" s="11" t="s">
        <v>1161</v>
      </c>
      <c r="E11" s="11" t="s">
        <v>1179</v>
      </c>
      <c r="F11" s="11">
        <v>44286.0</v>
      </c>
      <c r="G11" s="11" t="s">
        <v>188</v>
      </c>
      <c r="H11" s="11" t="s">
        <v>188</v>
      </c>
      <c r="I11" s="11" t="s">
        <v>160</v>
      </c>
      <c r="J11" s="11" t="s">
        <v>158</v>
      </c>
      <c r="K11" s="11" t="s">
        <v>1180</v>
      </c>
    </row>
    <row r="12">
      <c r="A12" s="11" t="s">
        <v>610</v>
      </c>
      <c r="B12" s="11" t="s">
        <v>1159</v>
      </c>
      <c r="C12" s="11" t="s">
        <v>1174</v>
      </c>
      <c r="D12" s="11" t="s">
        <v>1161</v>
      </c>
      <c r="E12" s="11" t="s">
        <v>1162</v>
      </c>
      <c r="F12" s="11">
        <v>48751.0</v>
      </c>
      <c r="G12" s="11" t="s">
        <v>188</v>
      </c>
      <c r="H12" s="11" t="s">
        <v>188</v>
      </c>
      <c r="I12" s="11" t="s">
        <v>160</v>
      </c>
      <c r="J12" s="11" t="s">
        <v>158</v>
      </c>
      <c r="K12" s="11" t="s">
        <v>1181</v>
      </c>
    </row>
    <row r="13">
      <c r="A13" s="11" t="s">
        <v>610</v>
      </c>
      <c r="B13" s="11" t="s">
        <v>1159</v>
      </c>
      <c r="C13" s="11" t="s">
        <v>1174</v>
      </c>
      <c r="D13" s="11" t="s">
        <v>1161</v>
      </c>
      <c r="E13" s="11" t="s">
        <v>1164</v>
      </c>
      <c r="F13" s="11">
        <v>30637.0</v>
      </c>
      <c r="G13" s="11" t="s">
        <v>188</v>
      </c>
      <c r="H13" s="11" t="s">
        <v>188</v>
      </c>
      <c r="I13" s="11" t="s">
        <v>160</v>
      </c>
      <c r="J13" s="11" t="s">
        <v>158</v>
      </c>
      <c r="K13" s="11" t="s">
        <v>1182</v>
      </c>
      <c r="L13" s="11" t="s">
        <v>1183</v>
      </c>
    </row>
    <row r="14">
      <c r="A14" s="11" t="s">
        <v>610</v>
      </c>
      <c r="B14" s="11" t="s">
        <v>1159</v>
      </c>
      <c r="C14" s="11" t="s">
        <v>1174</v>
      </c>
      <c r="D14" s="11" t="s">
        <v>1161</v>
      </c>
      <c r="E14" s="11" t="s">
        <v>1166</v>
      </c>
      <c r="F14" s="11">
        <v>87345.0</v>
      </c>
      <c r="G14" s="11" t="s">
        <v>188</v>
      </c>
      <c r="H14" s="11" t="s">
        <v>188</v>
      </c>
      <c r="I14" s="11" t="s">
        <v>160</v>
      </c>
      <c r="J14" s="11" t="s">
        <v>158</v>
      </c>
      <c r="K14" s="11" t="s">
        <v>1184</v>
      </c>
    </row>
    <row r="15">
      <c r="A15" s="11" t="s">
        <v>610</v>
      </c>
      <c r="B15" s="11" t="s">
        <v>1159</v>
      </c>
      <c r="C15" s="11" t="s">
        <v>1174</v>
      </c>
      <c r="D15" s="11" t="s">
        <v>1161</v>
      </c>
      <c r="E15" s="126">
        <v>36923.0</v>
      </c>
      <c r="F15" s="11">
        <v>91811.0</v>
      </c>
      <c r="G15" s="11" t="s">
        <v>188</v>
      </c>
      <c r="H15" s="11" t="s">
        <v>188</v>
      </c>
      <c r="I15" s="11" t="s">
        <v>160</v>
      </c>
      <c r="J15" s="11" t="s">
        <v>158</v>
      </c>
      <c r="K15" s="11" t="s">
        <v>1185</v>
      </c>
    </row>
    <row r="16">
      <c r="A16" s="11" t="s">
        <v>610</v>
      </c>
      <c r="B16" s="11" t="s">
        <v>1159</v>
      </c>
      <c r="C16" s="11" t="s">
        <v>1174</v>
      </c>
      <c r="D16" s="11" t="s">
        <v>1161</v>
      </c>
      <c r="E16" s="126">
        <v>37712.0</v>
      </c>
      <c r="F16" s="11">
        <v>53434.0</v>
      </c>
      <c r="G16" s="11" t="s">
        <v>188</v>
      </c>
      <c r="H16" s="11" t="s">
        <v>188</v>
      </c>
      <c r="I16" s="11" t="s">
        <v>160</v>
      </c>
      <c r="J16" s="11" t="s">
        <v>158</v>
      </c>
      <c r="K16" s="11" t="s">
        <v>1186</v>
      </c>
    </row>
    <row r="17">
      <c r="A17" s="11" t="s">
        <v>610</v>
      </c>
      <c r="B17" s="11" t="s">
        <v>1159</v>
      </c>
      <c r="C17" s="11" t="s">
        <v>1174</v>
      </c>
      <c r="D17" s="11" t="s">
        <v>1161</v>
      </c>
      <c r="E17" s="126">
        <v>38504.0</v>
      </c>
      <c r="F17" s="11">
        <v>46628.0</v>
      </c>
      <c r="G17" s="11" t="s">
        <v>188</v>
      </c>
      <c r="H17" s="11" t="s">
        <v>188</v>
      </c>
      <c r="I17" s="11" t="s">
        <v>160</v>
      </c>
      <c r="J17" s="11" t="s">
        <v>158</v>
      </c>
      <c r="K17" s="11" t="s">
        <v>1187</v>
      </c>
    </row>
    <row r="18">
      <c r="A18" s="11" t="s">
        <v>610</v>
      </c>
      <c r="B18" s="11" t="s">
        <v>1159</v>
      </c>
      <c r="C18" s="11" t="s">
        <v>1174</v>
      </c>
      <c r="D18" s="11" t="s">
        <v>1161</v>
      </c>
      <c r="E18" s="126">
        <v>39295.0</v>
      </c>
      <c r="F18" s="11">
        <v>40243.0</v>
      </c>
      <c r="G18" s="11" t="s">
        <v>188</v>
      </c>
      <c r="H18" s="11" t="s">
        <v>188</v>
      </c>
      <c r="I18" s="11" t="s">
        <v>160</v>
      </c>
      <c r="J18" s="11" t="s">
        <v>158</v>
      </c>
      <c r="K18" s="11" t="s">
        <v>1188</v>
      </c>
    </row>
    <row r="19">
      <c r="A19" s="11" t="s">
        <v>610</v>
      </c>
      <c r="B19" s="11" t="s">
        <v>1159</v>
      </c>
      <c r="C19" s="11" t="s">
        <v>1189</v>
      </c>
      <c r="D19" s="11" t="s">
        <v>1161</v>
      </c>
      <c r="E19" s="11" t="s">
        <v>1190</v>
      </c>
      <c r="F19" s="11">
        <v>91870.0</v>
      </c>
      <c r="G19" s="11" t="s">
        <v>188</v>
      </c>
      <c r="H19" s="11" t="s">
        <v>188</v>
      </c>
      <c r="I19" s="11" t="s">
        <v>160</v>
      </c>
      <c r="J19" s="11" t="s">
        <v>158</v>
      </c>
      <c r="K19" s="11" t="s">
        <v>1188</v>
      </c>
    </row>
    <row r="20">
      <c r="A20" s="11" t="s">
        <v>610</v>
      </c>
      <c r="B20" s="11" t="s">
        <v>1159</v>
      </c>
      <c r="C20" s="11" t="s">
        <v>1189</v>
      </c>
      <c r="D20" s="11" t="s">
        <v>1161</v>
      </c>
      <c r="E20" s="11" t="s">
        <v>1191</v>
      </c>
      <c r="F20" s="41">
        <v>61918.0</v>
      </c>
      <c r="G20" s="11" t="s">
        <v>188</v>
      </c>
      <c r="H20" s="11" t="s">
        <v>188</v>
      </c>
      <c r="I20" s="11" t="s">
        <v>160</v>
      </c>
      <c r="J20" s="11" t="s">
        <v>158</v>
      </c>
      <c r="K20" s="11" t="s">
        <v>1192</v>
      </c>
    </row>
    <row r="21">
      <c r="A21" s="11" t="s">
        <v>610</v>
      </c>
      <c r="B21" s="11" t="s">
        <v>1159</v>
      </c>
      <c r="C21" s="11" t="s">
        <v>1189</v>
      </c>
      <c r="D21" s="11" t="s">
        <v>1161</v>
      </c>
      <c r="E21" s="11" t="s">
        <v>1193</v>
      </c>
      <c r="F21" s="11">
        <v>31972.0</v>
      </c>
      <c r="G21" s="11" t="s">
        <v>188</v>
      </c>
      <c r="H21" s="11" t="s">
        <v>188</v>
      </c>
      <c r="I21" s="11" t="s">
        <v>160</v>
      </c>
      <c r="J21" s="11" t="s">
        <v>158</v>
      </c>
      <c r="K21" s="11" t="s">
        <v>1194</v>
      </c>
    </row>
    <row r="22">
      <c r="A22" s="11" t="s">
        <v>610</v>
      </c>
      <c r="B22" s="11" t="s">
        <v>1159</v>
      </c>
      <c r="C22" s="11" t="s">
        <v>1189</v>
      </c>
      <c r="D22" s="11" t="s">
        <v>1161</v>
      </c>
      <c r="E22" s="11" t="s">
        <v>1195</v>
      </c>
      <c r="F22" s="11">
        <v>41475.0</v>
      </c>
      <c r="G22" s="11" t="s">
        <v>188</v>
      </c>
      <c r="H22" s="11" t="s">
        <v>188</v>
      </c>
      <c r="I22" s="11" t="s">
        <v>160</v>
      </c>
      <c r="J22" s="11" t="s">
        <v>158</v>
      </c>
      <c r="K22" s="11" t="s">
        <v>1196</v>
      </c>
    </row>
    <row r="23">
      <c r="A23" s="11" t="s">
        <v>610</v>
      </c>
      <c r="B23" s="11" t="s">
        <v>1159</v>
      </c>
      <c r="C23" s="11" t="s">
        <v>1189</v>
      </c>
      <c r="D23" s="11" t="s">
        <v>1161</v>
      </c>
      <c r="E23" s="11" t="s">
        <v>1197</v>
      </c>
      <c r="F23" s="11">
        <v>133867.0</v>
      </c>
      <c r="G23" s="11" t="s">
        <v>188</v>
      </c>
      <c r="H23" s="11" t="s">
        <v>188</v>
      </c>
      <c r="I23" s="11" t="s">
        <v>160</v>
      </c>
      <c r="J23" s="11" t="s">
        <v>158</v>
      </c>
      <c r="K23" s="11" t="s">
        <v>1198</v>
      </c>
    </row>
    <row r="24">
      <c r="A24" s="11" t="s">
        <v>610</v>
      </c>
      <c r="B24" s="11" t="s">
        <v>1159</v>
      </c>
      <c r="C24" s="11" t="s">
        <v>1189</v>
      </c>
      <c r="D24" s="11" t="s">
        <v>1161</v>
      </c>
      <c r="E24" s="126">
        <v>36526.0</v>
      </c>
      <c r="F24" s="11">
        <v>43038.0</v>
      </c>
      <c r="G24" s="11" t="s">
        <v>188</v>
      </c>
      <c r="H24" s="11" t="s">
        <v>188</v>
      </c>
      <c r="I24" s="11" t="s">
        <v>160</v>
      </c>
      <c r="J24" s="11" t="s">
        <v>158</v>
      </c>
      <c r="K24" s="11" t="s">
        <v>1199</v>
      </c>
    </row>
    <row r="25">
      <c r="A25" s="11" t="s">
        <v>610</v>
      </c>
      <c r="B25" s="11" t="s">
        <v>1159</v>
      </c>
      <c r="C25" s="11" t="s">
        <v>1189</v>
      </c>
      <c r="D25" s="11" t="s">
        <v>1161</v>
      </c>
      <c r="E25" s="126">
        <v>37316.0</v>
      </c>
      <c r="F25" s="11">
        <v>122469.0</v>
      </c>
      <c r="G25" s="11" t="s">
        <v>188</v>
      </c>
      <c r="H25" s="11" t="s">
        <v>188</v>
      </c>
      <c r="I25" s="11" t="s">
        <v>160</v>
      </c>
      <c r="J25" s="11" t="s">
        <v>158</v>
      </c>
      <c r="K25" s="11" t="s">
        <v>1200</v>
      </c>
    </row>
    <row r="26">
      <c r="A26" s="11" t="s">
        <v>610</v>
      </c>
      <c r="B26" s="11" t="s">
        <v>1159</v>
      </c>
      <c r="C26" s="11" t="s">
        <v>1189</v>
      </c>
      <c r="D26" s="11" t="s">
        <v>1161</v>
      </c>
      <c r="E26" s="126">
        <v>38108.0</v>
      </c>
      <c r="F26" s="11">
        <v>34026.0</v>
      </c>
      <c r="G26" s="11" t="s">
        <v>188</v>
      </c>
      <c r="H26" s="11" t="s">
        <v>188</v>
      </c>
      <c r="I26" s="11" t="s">
        <v>160</v>
      </c>
      <c r="J26" s="11" t="s">
        <v>158</v>
      </c>
      <c r="K26" s="11" t="s">
        <v>1201</v>
      </c>
    </row>
    <row r="27">
      <c r="A27" s="11" t="s">
        <v>610</v>
      </c>
      <c r="B27" s="11" t="s">
        <v>1159</v>
      </c>
      <c r="C27" s="11" t="s">
        <v>1189</v>
      </c>
      <c r="D27" s="11" t="s">
        <v>1161</v>
      </c>
      <c r="E27" s="126">
        <v>38504.0</v>
      </c>
      <c r="F27" s="11">
        <v>119437.0</v>
      </c>
      <c r="G27" s="11" t="s">
        <v>188</v>
      </c>
      <c r="H27" s="11" t="s">
        <v>188</v>
      </c>
      <c r="I27" s="11" t="s">
        <v>160</v>
      </c>
      <c r="J27" s="11" t="s">
        <v>158</v>
      </c>
      <c r="K27" s="11" t="s">
        <v>1202</v>
      </c>
    </row>
    <row r="28">
      <c r="A28" s="11" t="s">
        <v>610</v>
      </c>
      <c r="B28" s="11" t="s">
        <v>1159</v>
      </c>
      <c r="C28" s="11" t="s">
        <v>1189</v>
      </c>
      <c r="D28" s="11" t="s">
        <v>1161</v>
      </c>
      <c r="E28" s="126">
        <v>38899.0</v>
      </c>
      <c r="F28" s="11">
        <v>98346.0</v>
      </c>
      <c r="G28" s="11" t="s">
        <v>188</v>
      </c>
      <c r="H28" s="11" t="s">
        <v>188</v>
      </c>
      <c r="I28" s="11" t="s">
        <v>160</v>
      </c>
      <c r="J28" s="11" t="s">
        <v>158</v>
      </c>
      <c r="K28" s="11" t="s">
        <v>1203</v>
      </c>
    </row>
    <row r="29">
      <c r="A29" s="11" t="s">
        <v>610</v>
      </c>
      <c r="B29" s="11" t="s">
        <v>1159</v>
      </c>
      <c r="C29" s="11" t="s">
        <v>1189</v>
      </c>
      <c r="D29" s="11" t="s">
        <v>1161</v>
      </c>
      <c r="E29" s="126">
        <v>39295.0</v>
      </c>
      <c r="F29" s="11">
        <v>85943.0</v>
      </c>
      <c r="G29" s="11" t="s">
        <v>188</v>
      </c>
      <c r="H29" s="11" t="s">
        <v>188</v>
      </c>
      <c r="I29" s="11" t="s">
        <v>160</v>
      </c>
      <c r="J29" s="11" t="s">
        <v>158</v>
      </c>
      <c r="K29" s="11" t="s">
        <v>1204</v>
      </c>
    </row>
    <row r="30">
      <c r="A30" s="11" t="s">
        <v>610</v>
      </c>
      <c r="B30" s="11" t="s">
        <v>1159</v>
      </c>
      <c r="C30" s="11" t="s">
        <v>1189</v>
      </c>
      <c r="D30" s="11" t="s">
        <v>1161</v>
      </c>
      <c r="E30" s="126">
        <v>39692.0</v>
      </c>
      <c r="F30" s="11">
        <v>143255.0</v>
      </c>
      <c r="G30" s="11" t="s">
        <v>188</v>
      </c>
      <c r="H30" s="11" t="s">
        <v>188</v>
      </c>
      <c r="I30" s="11" t="s">
        <v>160</v>
      </c>
      <c r="J30" s="11" t="s">
        <v>158</v>
      </c>
      <c r="K30" s="11" t="s">
        <v>1205</v>
      </c>
    </row>
    <row r="31">
      <c r="A31" s="11" t="s">
        <v>619</v>
      </c>
      <c r="B31" s="11" t="s">
        <v>1206</v>
      </c>
      <c r="C31" s="11" t="s">
        <v>1207</v>
      </c>
      <c r="D31" s="11" t="s">
        <v>1161</v>
      </c>
      <c r="E31" s="11" t="s">
        <v>1190</v>
      </c>
      <c r="F31" s="11">
        <v>132914.0</v>
      </c>
      <c r="G31" s="11" t="s">
        <v>188</v>
      </c>
      <c r="H31" s="11" t="s">
        <v>188</v>
      </c>
      <c r="I31" s="11" t="s">
        <v>160</v>
      </c>
      <c r="J31" s="11" t="s">
        <v>158</v>
      </c>
      <c r="K31" s="11" t="s">
        <v>1208</v>
      </c>
    </row>
    <row r="32">
      <c r="A32" s="11" t="s">
        <v>619</v>
      </c>
      <c r="B32" s="11" t="s">
        <v>1206</v>
      </c>
      <c r="C32" s="11" t="s">
        <v>1207</v>
      </c>
      <c r="D32" s="11" t="s">
        <v>1161</v>
      </c>
      <c r="E32" s="11" t="s">
        <v>1191</v>
      </c>
      <c r="F32" s="11">
        <v>63837.0</v>
      </c>
      <c r="G32" s="11" t="s">
        <v>188</v>
      </c>
      <c r="H32" s="11" t="s">
        <v>188</v>
      </c>
      <c r="I32" s="11" t="s">
        <v>160</v>
      </c>
      <c r="J32" s="11" t="s">
        <v>158</v>
      </c>
      <c r="K32" s="11" t="s">
        <v>1209</v>
      </c>
    </row>
    <row r="33">
      <c r="A33" s="11" t="s">
        <v>619</v>
      </c>
      <c r="B33" s="11" t="s">
        <v>1206</v>
      </c>
      <c r="C33" s="11" t="s">
        <v>1207</v>
      </c>
      <c r="D33" s="11" t="s">
        <v>1161</v>
      </c>
      <c r="E33" s="11" t="s">
        <v>1193</v>
      </c>
      <c r="F33" s="11">
        <v>153534.0</v>
      </c>
      <c r="G33" s="11" t="s">
        <v>188</v>
      </c>
      <c r="H33" s="11" t="s">
        <v>188</v>
      </c>
      <c r="I33" s="11" t="s">
        <v>160</v>
      </c>
      <c r="J33" s="11" t="s">
        <v>158</v>
      </c>
      <c r="K33" s="11" t="s">
        <v>1210</v>
      </c>
    </row>
    <row r="34">
      <c r="A34" s="11" t="s">
        <v>619</v>
      </c>
      <c r="B34" s="11" t="s">
        <v>1206</v>
      </c>
      <c r="C34" s="11" t="s">
        <v>1207</v>
      </c>
      <c r="D34" s="11" t="s">
        <v>1161</v>
      </c>
      <c r="E34" s="11" t="s">
        <v>1195</v>
      </c>
      <c r="F34" s="11">
        <v>231597.0</v>
      </c>
      <c r="G34" s="11" t="s">
        <v>188</v>
      </c>
      <c r="H34" s="11" t="s">
        <v>188</v>
      </c>
      <c r="I34" s="11" t="s">
        <v>160</v>
      </c>
      <c r="J34" s="11" t="s">
        <v>158</v>
      </c>
      <c r="K34" s="11" t="s">
        <v>1211</v>
      </c>
    </row>
    <row r="35">
      <c r="A35" s="11" t="s">
        <v>619</v>
      </c>
      <c r="B35" s="11" t="s">
        <v>1206</v>
      </c>
      <c r="C35" s="11" t="s">
        <v>1207</v>
      </c>
      <c r="D35" s="11" t="s">
        <v>1161</v>
      </c>
      <c r="E35" s="11" t="s">
        <v>1197</v>
      </c>
      <c r="F35" s="11">
        <v>67442.0</v>
      </c>
      <c r="G35" s="11" t="s">
        <v>188</v>
      </c>
      <c r="H35" s="11" t="s">
        <v>188</v>
      </c>
      <c r="I35" s="11" t="s">
        <v>160</v>
      </c>
      <c r="J35" s="11" t="s">
        <v>158</v>
      </c>
      <c r="K35" s="11" t="s">
        <v>1212</v>
      </c>
    </row>
    <row r="36">
      <c r="A36" s="11" t="s">
        <v>619</v>
      </c>
      <c r="B36" s="11" t="s">
        <v>1206</v>
      </c>
      <c r="C36" s="11" t="s">
        <v>1207</v>
      </c>
      <c r="D36" s="11" t="s">
        <v>1161</v>
      </c>
      <c r="E36" s="126">
        <v>36526.0</v>
      </c>
      <c r="F36" s="11">
        <v>160411.0</v>
      </c>
      <c r="G36" s="11" t="s">
        <v>188</v>
      </c>
      <c r="H36" s="11" t="s">
        <v>188</v>
      </c>
      <c r="I36" s="11" t="s">
        <v>160</v>
      </c>
      <c r="J36" s="11" t="s">
        <v>158</v>
      </c>
      <c r="K36" s="11" t="s">
        <v>1213</v>
      </c>
    </row>
    <row r="37">
      <c r="A37" s="11" t="s">
        <v>619</v>
      </c>
      <c r="B37" s="11" t="s">
        <v>1206</v>
      </c>
      <c r="C37" s="11" t="s">
        <v>1207</v>
      </c>
      <c r="D37" s="11" t="s">
        <v>1161</v>
      </c>
      <c r="E37" s="126">
        <v>37316.0</v>
      </c>
      <c r="F37" s="11">
        <v>65040.0</v>
      </c>
      <c r="G37" s="11" t="s">
        <v>188</v>
      </c>
      <c r="H37" s="11" t="s">
        <v>188</v>
      </c>
      <c r="I37" s="11" t="s">
        <v>160</v>
      </c>
      <c r="J37" s="11" t="s">
        <v>158</v>
      </c>
      <c r="K37" s="11" t="s">
        <v>1214</v>
      </c>
    </row>
    <row r="38">
      <c r="A38" s="11" t="s">
        <v>619</v>
      </c>
      <c r="B38" s="11" t="s">
        <v>1206</v>
      </c>
      <c r="C38" s="11" t="s">
        <v>1207</v>
      </c>
      <c r="D38" s="11" t="s">
        <v>1161</v>
      </c>
      <c r="E38" s="126">
        <v>38108.0</v>
      </c>
      <c r="F38" s="11">
        <v>99155.0</v>
      </c>
      <c r="G38" s="11" t="s">
        <v>188</v>
      </c>
      <c r="H38" s="11" t="s">
        <v>188</v>
      </c>
      <c r="I38" s="11" t="s">
        <v>160</v>
      </c>
      <c r="J38" s="11" t="s">
        <v>158</v>
      </c>
      <c r="K38" s="11" t="s">
        <v>1215</v>
      </c>
    </row>
    <row r="39">
      <c r="A39" s="11" t="s">
        <v>619</v>
      </c>
      <c r="B39" s="11" t="s">
        <v>1206</v>
      </c>
      <c r="C39" s="11" t="s">
        <v>1207</v>
      </c>
      <c r="D39" s="11" t="s">
        <v>1161</v>
      </c>
      <c r="E39" s="126">
        <v>38899.0</v>
      </c>
      <c r="F39" s="11">
        <v>16384.0</v>
      </c>
      <c r="G39" s="11" t="s">
        <v>188</v>
      </c>
      <c r="H39" s="11" t="s">
        <v>188</v>
      </c>
      <c r="I39" s="11" t="s">
        <v>160</v>
      </c>
      <c r="J39" s="11" t="s">
        <v>158</v>
      </c>
      <c r="K39" s="11" t="s">
        <v>1218</v>
      </c>
    </row>
    <row r="40">
      <c r="A40" s="11" t="s">
        <v>619</v>
      </c>
      <c r="B40" s="11" t="s">
        <v>1206</v>
      </c>
      <c r="C40" s="11" t="s">
        <v>1207</v>
      </c>
      <c r="D40" s="11" t="s">
        <v>1161</v>
      </c>
      <c r="E40" s="126">
        <v>39692.0</v>
      </c>
      <c r="F40" s="11">
        <v>58483.0</v>
      </c>
      <c r="G40" s="11" t="s">
        <v>188</v>
      </c>
      <c r="H40" s="11" t="s">
        <v>188</v>
      </c>
      <c r="I40" s="11" t="s">
        <v>160</v>
      </c>
      <c r="J40" s="11" t="s">
        <v>158</v>
      </c>
      <c r="K40" s="11" t="s">
        <v>1219</v>
      </c>
    </row>
    <row r="41">
      <c r="A41" s="11" t="s">
        <v>619</v>
      </c>
      <c r="B41" s="11" t="s">
        <v>1206</v>
      </c>
      <c r="C41" s="11" t="s">
        <v>1220</v>
      </c>
      <c r="D41" s="11" t="s">
        <v>1161</v>
      </c>
      <c r="E41" s="11" t="s">
        <v>1195</v>
      </c>
      <c r="F41" s="11">
        <v>26703.0</v>
      </c>
      <c r="G41" s="11" t="s">
        <v>188</v>
      </c>
      <c r="H41" s="11" t="s">
        <v>188</v>
      </c>
      <c r="I41" s="11" t="s">
        <v>160</v>
      </c>
      <c r="J41" s="11" t="s">
        <v>158</v>
      </c>
      <c r="K41" s="11" t="s">
        <v>1221</v>
      </c>
    </row>
    <row r="42">
      <c r="A42" s="11" t="s">
        <v>619</v>
      </c>
      <c r="B42" s="11" t="s">
        <v>1206</v>
      </c>
      <c r="C42" s="11" t="s">
        <v>1220</v>
      </c>
      <c r="D42" s="11" t="s">
        <v>1161</v>
      </c>
      <c r="E42" s="11" t="s">
        <v>1197</v>
      </c>
      <c r="F42" s="11">
        <v>39866.0</v>
      </c>
      <c r="G42" s="11" t="s">
        <v>188</v>
      </c>
      <c r="H42" s="11" t="s">
        <v>188</v>
      </c>
      <c r="I42" s="11" t="s">
        <v>160</v>
      </c>
      <c r="J42" s="11" t="s">
        <v>158</v>
      </c>
      <c r="K42" s="11" t="s">
        <v>1222</v>
      </c>
    </row>
    <row r="43">
      <c r="A43" s="11" t="s">
        <v>619</v>
      </c>
      <c r="B43" s="11" t="s">
        <v>1206</v>
      </c>
      <c r="C43" s="11" t="s">
        <v>1220</v>
      </c>
      <c r="D43" s="11" t="s">
        <v>1161</v>
      </c>
      <c r="E43" s="126">
        <v>36526.0</v>
      </c>
      <c r="F43" s="11">
        <v>48532.0</v>
      </c>
      <c r="G43" s="11" t="s">
        <v>188</v>
      </c>
      <c r="H43" s="11" t="s">
        <v>188</v>
      </c>
      <c r="I43" s="11" t="s">
        <v>160</v>
      </c>
      <c r="J43" s="11" t="s">
        <v>158</v>
      </c>
      <c r="K43" s="11" t="s">
        <v>1223</v>
      </c>
    </row>
    <row r="44">
      <c r="A44" s="11" t="s">
        <v>619</v>
      </c>
      <c r="B44" s="11" t="s">
        <v>1206</v>
      </c>
      <c r="C44" s="11" t="s">
        <v>1220</v>
      </c>
      <c r="D44" s="11" t="s">
        <v>1161</v>
      </c>
      <c r="E44" s="126">
        <v>37316.0</v>
      </c>
      <c r="F44" s="11">
        <v>25483.0</v>
      </c>
      <c r="G44" s="11" t="s">
        <v>188</v>
      </c>
      <c r="H44" s="11" t="s">
        <v>188</v>
      </c>
      <c r="I44" s="11" t="s">
        <v>160</v>
      </c>
      <c r="J44" s="11" t="s">
        <v>158</v>
      </c>
      <c r="K44" s="11" t="s">
        <v>1224</v>
      </c>
    </row>
    <row r="45">
      <c r="A45" s="11" t="s">
        <v>619</v>
      </c>
      <c r="B45" s="11" t="s">
        <v>1206</v>
      </c>
      <c r="C45" s="11" t="s">
        <v>1220</v>
      </c>
      <c r="D45" s="11" t="s">
        <v>1161</v>
      </c>
      <c r="E45" s="126">
        <v>38108.0</v>
      </c>
      <c r="F45" s="11">
        <v>42453.0</v>
      </c>
      <c r="G45" s="11" t="s">
        <v>188</v>
      </c>
      <c r="H45" s="11" t="s">
        <v>188</v>
      </c>
      <c r="I45" s="11" t="s">
        <v>160</v>
      </c>
      <c r="J45" s="11" t="s">
        <v>158</v>
      </c>
      <c r="K45" s="11" t="s">
        <v>1225</v>
      </c>
    </row>
    <row r="46">
      <c r="A46" s="11" t="s">
        <v>619</v>
      </c>
      <c r="B46" s="11" t="s">
        <v>1206</v>
      </c>
      <c r="C46" s="11" t="s">
        <v>1220</v>
      </c>
      <c r="D46" s="11" t="s">
        <v>1161</v>
      </c>
      <c r="E46" s="126">
        <v>38899.0</v>
      </c>
      <c r="F46" s="11">
        <v>36540.0</v>
      </c>
      <c r="G46" s="11" t="s">
        <v>188</v>
      </c>
      <c r="H46" s="11" t="s">
        <v>188</v>
      </c>
      <c r="I46" s="11" t="s">
        <v>160</v>
      </c>
      <c r="J46" s="11" t="s">
        <v>158</v>
      </c>
      <c r="K46" s="11" t="s">
        <v>1226</v>
      </c>
    </row>
    <row r="47">
      <c r="A47" s="11" t="s">
        <v>619</v>
      </c>
      <c r="B47" s="11" t="s">
        <v>1206</v>
      </c>
      <c r="C47" s="11" t="s">
        <v>1220</v>
      </c>
      <c r="D47" s="11" t="s">
        <v>1161</v>
      </c>
      <c r="E47" s="126">
        <v>39692.0</v>
      </c>
      <c r="F47" s="11">
        <v>40565.0</v>
      </c>
      <c r="G47" s="11" t="s">
        <v>188</v>
      </c>
      <c r="H47" s="11" t="s">
        <v>188</v>
      </c>
      <c r="I47" s="11" t="s">
        <v>160</v>
      </c>
      <c r="J47" s="11" t="s">
        <v>158</v>
      </c>
      <c r="K47" s="11" t="s">
        <v>1227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346</v>
      </c>
      <c r="B1" s="11" t="s">
        <v>20</v>
      </c>
      <c r="C1" s="11" t="s">
        <v>1239</v>
      </c>
      <c r="D1" s="11" t="s">
        <v>317</v>
      </c>
      <c r="E1" s="129" t="s">
        <v>1240</v>
      </c>
      <c r="F1" s="11" t="s">
        <v>74</v>
      </c>
      <c r="G1" s="11">
        <v>1980.0</v>
      </c>
      <c r="H1" s="40">
        <v>5876.0</v>
      </c>
      <c r="I1" s="111" t="s">
        <v>188</v>
      </c>
      <c r="J1" s="11" t="s">
        <v>188</v>
      </c>
      <c r="K1" s="11"/>
      <c r="L1" s="130" t="s">
        <v>348</v>
      </c>
      <c r="M1" s="54" t="s">
        <v>350</v>
      </c>
    </row>
    <row r="2">
      <c r="A2" s="11" t="s">
        <v>346</v>
      </c>
      <c r="B2" s="11" t="s">
        <v>20</v>
      </c>
      <c r="C2" s="11" t="s">
        <v>1239</v>
      </c>
      <c r="D2" s="11" t="s">
        <v>317</v>
      </c>
      <c r="E2" s="129" t="s">
        <v>1240</v>
      </c>
      <c r="F2" s="11" t="s">
        <v>74</v>
      </c>
      <c r="G2" s="11">
        <v>1981.0</v>
      </c>
      <c r="H2" s="40">
        <v>7237.0</v>
      </c>
      <c r="I2" s="111" t="s">
        <v>188</v>
      </c>
      <c r="J2" s="11" t="s">
        <v>188</v>
      </c>
      <c r="K2" s="11"/>
      <c r="L2" s="130" t="s">
        <v>348</v>
      </c>
      <c r="M2" s="54" t="s">
        <v>350</v>
      </c>
    </row>
    <row r="3">
      <c r="A3" s="11" t="s">
        <v>346</v>
      </c>
      <c r="B3" s="11" t="s">
        <v>20</v>
      </c>
      <c r="C3" s="11" t="s">
        <v>1239</v>
      </c>
      <c r="D3" s="11" t="s">
        <v>317</v>
      </c>
      <c r="E3" s="129" t="s">
        <v>1240</v>
      </c>
      <c r="F3" s="11" t="s">
        <v>74</v>
      </c>
      <c r="G3" s="11">
        <v>1983.0</v>
      </c>
      <c r="H3" s="40">
        <v>7814.0</v>
      </c>
      <c r="I3" s="111" t="s">
        <v>188</v>
      </c>
      <c r="J3" s="11" t="s">
        <v>188</v>
      </c>
      <c r="K3" s="11"/>
      <c r="L3" s="130" t="s">
        <v>348</v>
      </c>
      <c r="M3" s="54" t="s">
        <v>350</v>
      </c>
    </row>
    <row r="4">
      <c r="A4" s="11" t="s">
        <v>346</v>
      </c>
      <c r="B4" s="11" t="s">
        <v>20</v>
      </c>
      <c r="C4" s="11" t="s">
        <v>1239</v>
      </c>
      <c r="D4" s="11" t="s">
        <v>317</v>
      </c>
      <c r="E4" s="129" t="s">
        <v>1240</v>
      </c>
      <c r="F4" s="11" t="s">
        <v>74</v>
      </c>
      <c r="G4" s="11">
        <v>1986.0</v>
      </c>
      <c r="H4" s="40">
        <v>7649.0</v>
      </c>
      <c r="I4" s="111" t="s">
        <v>188</v>
      </c>
      <c r="J4" s="11" t="s">
        <v>188</v>
      </c>
      <c r="K4" s="11"/>
      <c r="L4" s="130" t="s">
        <v>348</v>
      </c>
      <c r="M4" s="54" t="s">
        <v>350</v>
      </c>
    </row>
    <row r="5">
      <c r="A5" s="11" t="s">
        <v>346</v>
      </c>
      <c r="B5" s="11" t="s">
        <v>20</v>
      </c>
      <c r="C5" s="11" t="s">
        <v>1239</v>
      </c>
      <c r="D5" s="11" t="s">
        <v>317</v>
      </c>
      <c r="E5" s="129" t="s">
        <v>1240</v>
      </c>
      <c r="F5" s="11" t="s">
        <v>74</v>
      </c>
      <c r="G5" s="11">
        <v>1987.0</v>
      </c>
      <c r="H5" s="40">
        <v>11278.0</v>
      </c>
      <c r="I5" s="111" t="s">
        <v>188</v>
      </c>
      <c r="J5" s="11" t="s">
        <v>188</v>
      </c>
      <c r="K5" s="11"/>
      <c r="L5" s="130" t="s">
        <v>348</v>
      </c>
      <c r="M5" s="54" t="s">
        <v>350</v>
      </c>
    </row>
    <row r="6">
      <c r="A6" s="11" t="s">
        <v>346</v>
      </c>
      <c r="B6" s="11" t="s">
        <v>20</v>
      </c>
      <c r="C6" s="11" t="s">
        <v>1239</v>
      </c>
      <c r="D6" s="11" t="s">
        <v>317</v>
      </c>
      <c r="E6" s="129" t="s">
        <v>1240</v>
      </c>
      <c r="F6" s="11" t="s">
        <v>74</v>
      </c>
      <c r="G6" s="11">
        <v>1989.0</v>
      </c>
      <c r="H6" s="40">
        <v>10701.0</v>
      </c>
      <c r="I6" s="111" t="s">
        <v>188</v>
      </c>
      <c r="J6" s="11" t="s">
        <v>188</v>
      </c>
      <c r="K6" s="11"/>
      <c r="L6" s="130" t="s">
        <v>348</v>
      </c>
      <c r="M6" s="54" t="s">
        <v>350</v>
      </c>
    </row>
    <row r="7">
      <c r="A7" s="11" t="s">
        <v>346</v>
      </c>
      <c r="B7" s="11" t="s">
        <v>20</v>
      </c>
      <c r="C7" s="11" t="s">
        <v>1239</v>
      </c>
      <c r="D7" s="11" t="s">
        <v>317</v>
      </c>
      <c r="E7" s="129" t="s">
        <v>1240</v>
      </c>
      <c r="F7" s="11" t="s">
        <v>74</v>
      </c>
      <c r="G7" s="11">
        <v>1991.0</v>
      </c>
      <c r="H7" s="40">
        <v>12722.0</v>
      </c>
      <c r="I7" s="111" t="s">
        <v>188</v>
      </c>
      <c r="J7" s="11" t="s">
        <v>188</v>
      </c>
      <c r="K7" s="11"/>
      <c r="L7" s="130" t="s">
        <v>348</v>
      </c>
      <c r="M7" s="54" t="s">
        <v>350</v>
      </c>
    </row>
    <row r="8">
      <c r="A8" s="11" t="s">
        <v>346</v>
      </c>
      <c r="B8" s="11" t="s">
        <v>20</v>
      </c>
      <c r="C8" s="11" t="s">
        <v>1239</v>
      </c>
      <c r="D8" s="11" t="s">
        <v>317</v>
      </c>
      <c r="E8" s="129" t="s">
        <v>1240</v>
      </c>
      <c r="F8" s="11" t="s">
        <v>74</v>
      </c>
      <c r="G8" s="11">
        <v>1992.0</v>
      </c>
      <c r="H8" s="40">
        <v>12227.0</v>
      </c>
      <c r="I8" s="111" t="s">
        <v>188</v>
      </c>
      <c r="J8" s="11" t="s">
        <v>188</v>
      </c>
      <c r="K8" s="11"/>
      <c r="L8" s="130" t="s">
        <v>348</v>
      </c>
      <c r="M8" s="54" t="s">
        <v>350</v>
      </c>
    </row>
    <row r="9">
      <c r="A9" s="11" t="s">
        <v>346</v>
      </c>
      <c r="B9" s="11" t="s">
        <v>20</v>
      </c>
      <c r="C9" s="11" t="s">
        <v>1239</v>
      </c>
      <c r="D9" s="11" t="s">
        <v>317</v>
      </c>
      <c r="E9" s="129" t="s">
        <v>1240</v>
      </c>
      <c r="F9" s="11" t="s">
        <v>74</v>
      </c>
      <c r="G9" s="11">
        <v>1993.0</v>
      </c>
      <c r="H9" s="40">
        <v>12021.0</v>
      </c>
      <c r="I9" s="111" t="s">
        <v>188</v>
      </c>
      <c r="J9" s="11" t="s">
        <v>188</v>
      </c>
      <c r="K9" s="11"/>
      <c r="L9" s="130" t="s">
        <v>348</v>
      </c>
      <c r="M9" s="54" t="s">
        <v>350</v>
      </c>
    </row>
    <row r="10">
      <c r="A10" s="11" t="s">
        <v>346</v>
      </c>
      <c r="B10" s="11" t="s">
        <v>20</v>
      </c>
      <c r="C10" s="11" t="s">
        <v>1239</v>
      </c>
      <c r="D10" s="11" t="s">
        <v>317</v>
      </c>
      <c r="E10" s="129" t="s">
        <v>1240</v>
      </c>
      <c r="F10" s="11" t="s">
        <v>74</v>
      </c>
      <c r="G10" s="11">
        <v>1994.0</v>
      </c>
      <c r="H10" s="40">
        <v>10000.0</v>
      </c>
      <c r="I10" s="111" t="s">
        <v>188</v>
      </c>
      <c r="J10" s="11" t="s">
        <v>188</v>
      </c>
      <c r="K10" s="11"/>
      <c r="L10" s="130" t="s">
        <v>348</v>
      </c>
      <c r="M10" s="54" t="s">
        <v>350</v>
      </c>
    </row>
    <row r="11">
      <c r="A11" s="11" t="s">
        <v>346</v>
      </c>
      <c r="B11" s="11" t="s">
        <v>20</v>
      </c>
      <c r="C11" s="11" t="s">
        <v>1239</v>
      </c>
      <c r="D11" s="11" t="s">
        <v>317</v>
      </c>
      <c r="E11" s="129" t="s">
        <v>1240</v>
      </c>
      <c r="F11" s="11" t="s">
        <v>74</v>
      </c>
      <c r="G11" s="11">
        <v>1995.0</v>
      </c>
      <c r="H11" s="40">
        <v>11732.0</v>
      </c>
      <c r="I11" s="111" t="s">
        <v>188</v>
      </c>
      <c r="J11" s="11" t="s">
        <v>188</v>
      </c>
      <c r="K11" s="11"/>
      <c r="L11" s="130" t="s">
        <v>348</v>
      </c>
      <c r="M11" s="54" t="s">
        <v>350</v>
      </c>
    </row>
    <row r="12">
      <c r="A12" s="11" t="s">
        <v>346</v>
      </c>
      <c r="B12" s="11" t="s">
        <v>20</v>
      </c>
      <c r="C12" s="11" t="s">
        <v>1239</v>
      </c>
      <c r="D12" s="11" t="s">
        <v>317</v>
      </c>
      <c r="E12" s="129" t="s">
        <v>1240</v>
      </c>
      <c r="F12" s="11" t="s">
        <v>74</v>
      </c>
      <c r="G12" s="11">
        <v>1996.0</v>
      </c>
      <c r="H12" s="40">
        <v>10866.0</v>
      </c>
      <c r="I12" s="111" t="s">
        <v>188</v>
      </c>
      <c r="J12" s="11" t="s">
        <v>188</v>
      </c>
      <c r="K12" s="11"/>
      <c r="L12" s="130" t="s">
        <v>348</v>
      </c>
      <c r="M12" s="54" t="s">
        <v>350</v>
      </c>
    </row>
    <row r="13">
      <c r="A13" s="11" t="s">
        <v>346</v>
      </c>
      <c r="B13" s="11" t="s">
        <v>20</v>
      </c>
      <c r="C13" s="11" t="s">
        <v>1239</v>
      </c>
      <c r="D13" s="11" t="s">
        <v>317</v>
      </c>
      <c r="E13" s="129" t="s">
        <v>1240</v>
      </c>
      <c r="F13" s="11" t="s">
        <v>74</v>
      </c>
      <c r="G13" s="11">
        <v>1997.0</v>
      </c>
      <c r="H13" s="40">
        <v>12186.0</v>
      </c>
      <c r="I13" s="111" t="s">
        <v>188</v>
      </c>
      <c r="J13" s="11" t="s">
        <v>188</v>
      </c>
      <c r="K13" s="11"/>
      <c r="L13" s="130" t="s">
        <v>348</v>
      </c>
      <c r="M13" s="54" t="s">
        <v>350</v>
      </c>
    </row>
    <row r="14">
      <c r="A14" s="11" t="s">
        <v>346</v>
      </c>
      <c r="B14" s="11" t="s">
        <v>20</v>
      </c>
      <c r="C14" s="11" t="s">
        <v>1239</v>
      </c>
      <c r="D14" s="11" t="s">
        <v>317</v>
      </c>
      <c r="E14" s="129" t="s">
        <v>1240</v>
      </c>
      <c r="F14" s="11" t="s">
        <v>74</v>
      </c>
      <c r="G14" s="11">
        <v>1999.0</v>
      </c>
      <c r="H14" s="40">
        <v>10948.0</v>
      </c>
      <c r="I14" s="111" t="s">
        <v>188</v>
      </c>
      <c r="J14" s="11" t="s">
        <v>188</v>
      </c>
      <c r="K14" s="11"/>
      <c r="L14" s="130" t="s">
        <v>348</v>
      </c>
      <c r="M14" s="54" t="s">
        <v>350</v>
      </c>
    </row>
    <row r="15">
      <c r="A15" s="11" t="s">
        <v>346</v>
      </c>
      <c r="B15" s="11" t="s">
        <v>20</v>
      </c>
      <c r="C15" s="11" t="s">
        <v>1244</v>
      </c>
      <c r="D15" s="11" t="s">
        <v>317</v>
      </c>
      <c r="E15" s="129" t="s">
        <v>1240</v>
      </c>
      <c r="F15" s="11" t="s">
        <v>74</v>
      </c>
      <c r="G15" s="11">
        <v>1982.0</v>
      </c>
      <c r="H15" s="40">
        <v>2720.0</v>
      </c>
      <c r="I15" s="111" t="s">
        <v>188</v>
      </c>
      <c r="J15" s="11" t="s">
        <v>188</v>
      </c>
      <c r="K15" s="11"/>
      <c r="L15" s="130" t="s">
        <v>348</v>
      </c>
      <c r="M15" s="54" t="s">
        <v>350</v>
      </c>
    </row>
    <row r="16">
      <c r="A16" s="11" t="s">
        <v>346</v>
      </c>
      <c r="B16" s="11" t="s">
        <v>20</v>
      </c>
      <c r="C16" s="11" t="s">
        <v>1244</v>
      </c>
      <c r="D16" s="11" t="s">
        <v>317</v>
      </c>
      <c r="E16" s="129" t="s">
        <v>1240</v>
      </c>
      <c r="F16" s="11" t="s">
        <v>74</v>
      </c>
      <c r="G16" s="11">
        <v>1983.0</v>
      </c>
      <c r="H16" s="40">
        <v>3413.0</v>
      </c>
      <c r="I16" s="40" t="s">
        <v>188</v>
      </c>
      <c r="J16" s="11" t="s">
        <v>188</v>
      </c>
      <c r="K16" s="11"/>
      <c r="L16" s="130" t="s">
        <v>348</v>
      </c>
      <c r="M16" s="54" t="s">
        <v>350</v>
      </c>
    </row>
    <row r="17">
      <c r="A17" s="11" t="s">
        <v>346</v>
      </c>
      <c r="B17" s="11" t="s">
        <v>20</v>
      </c>
      <c r="C17" s="11" t="s">
        <v>1244</v>
      </c>
      <c r="D17" s="11" t="s">
        <v>317</v>
      </c>
      <c r="E17" s="129" t="s">
        <v>1240</v>
      </c>
      <c r="F17" s="11" t="s">
        <v>74</v>
      </c>
      <c r="G17" s="11">
        <v>1985.0</v>
      </c>
      <c r="H17" s="40">
        <v>3771.0</v>
      </c>
      <c r="I17" s="40" t="s">
        <v>188</v>
      </c>
      <c r="J17" s="11" t="s">
        <v>188</v>
      </c>
      <c r="K17" s="11"/>
      <c r="L17" s="130" t="s">
        <v>348</v>
      </c>
      <c r="M17" s="54" t="s">
        <v>350</v>
      </c>
    </row>
    <row r="18">
      <c r="A18" s="11" t="s">
        <v>346</v>
      </c>
      <c r="B18" s="11" t="s">
        <v>20</v>
      </c>
      <c r="C18" s="11" t="s">
        <v>1244</v>
      </c>
      <c r="D18" s="11" t="s">
        <v>317</v>
      </c>
      <c r="E18" s="129" t="s">
        <v>1240</v>
      </c>
      <c r="F18" s="11" t="s">
        <v>74</v>
      </c>
      <c r="G18" s="11">
        <v>1986.0</v>
      </c>
      <c r="H18" s="40">
        <v>3336.0</v>
      </c>
      <c r="I18" s="40" t="s">
        <v>188</v>
      </c>
      <c r="J18" s="11" t="s">
        <v>188</v>
      </c>
      <c r="K18" s="11"/>
      <c r="L18" s="130" t="s">
        <v>348</v>
      </c>
      <c r="M18" s="54" t="s">
        <v>350</v>
      </c>
    </row>
    <row r="19">
      <c r="A19" s="11" t="s">
        <v>346</v>
      </c>
      <c r="B19" s="11" t="s">
        <v>20</v>
      </c>
      <c r="C19" s="11" t="s">
        <v>1244</v>
      </c>
      <c r="D19" s="11" t="s">
        <v>317</v>
      </c>
      <c r="E19" s="129" t="s">
        <v>1240</v>
      </c>
      <c r="F19" s="11" t="s">
        <v>74</v>
      </c>
      <c r="G19" s="11">
        <v>1987.0</v>
      </c>
      <c r="H19" s="40">
        <v>3990.0</v>
      </c>
      <c r="I19" s="40" t="s">
        <v>188</v>
      </c>
      <c r="J19" s="11" t="s">
        <v>188</v>
      </c>
      <c r="K19" s="11"/>
      <c r="L19" s="130" t="s">
        <v>348</v>
      </c>
      <c r="M19" s="54" t="s">
        <v>350</v>
      </c>
    </row>
    <row r="20">
      <c r="A20" s="11" t="s">
        <v>346</v>
      </c>
      <c r="B20" s="11" t="s">
        <v>20</v>
      </c>
      <c r="C20" s="11" t="s">
        <v>1244</v>
      </c>
      <c r="D20" s="11" t="s">
        <v>317</v>
      </c>
      <c r="E20" s="129" t="s">
        <v>1240</v>
      </c>
      <c r="F20" s="11" t="s">
        <v>74</v>
      </c>
      <c r="G20" s="11">
        <v>1988.0</v>
      </c>
      <c r="H20" s="40">
        <v>4485.0</v>
      </c>
      <c r="I20" s="40" t="s">
        <v>188</v>
      </c>
      <c r="J20" s="11" t="s">
        <v>188</v>
      </c>
      <c r="K20" s="11"/>
      <c r="L20" s="130" t="s">
        <v>348</v>
      </c>
      <c r="M20" s="54" t="s">
        <v>350</v>
      </c>
    </row>
    <row r="21">
      <c r="A21" s="11" t="s">
        <v>346</v>
      </c>
      <c r="B21" s="11" t="s">
        <v>20</v>
      </c>
      <c r="C21" s="11" t="s">
        <v>1244</v>
      </c>
      <c r="D21" s="11" t="s">
        <v>317</v>
      </c>
      <c r="E21" s="129" t="s">
        <v>1240</v>
      </c>
      <c r="F21" s="11" t="s">
        <v>74</v>
      </c>
      <c r="G21" s="11">
        <v>1989.0</v>
      </c>
      <c r="H21" s="40">
        <v>5040.0</v>
      </c>
      <c r="I21" s="40" t="s">
        <v>188</v>
      </c>
      <c r="J21" s="11" t="s">
        <v>188</v>
      </c>
      <c r="K21" s="11"/>
      <c r="L21" s="130" t="s">
        <v>348</v>
      </c>
      <c r="M21" s="54" t="s">
        <v>350</v>
      </c>
    </row>
    <row r="22">
      <c r="A22" s="11" t="s">
        <v>346</v>
      </c>
      <c r="B22" s="11" t="s">
        <v>20</v>
      </c>
      <c r="C22" s="11" t="s">
        <v>1244</v>
      </c>
      <c r="D22" s="11" t="s">
        <v>317</v>
      </c>
      <c r="E22" s="129" t="s">
        <v>1240</v>
      </c>
      <c r="F22" s="11" t="s">
        <v>74</v>
      </c>
      <c r="G22" s="11">
        <v>1990.0</v>
      </c>
      <c r="H22" s="40">
        <v>4823.0</v>
      </c>
      <c r="I22" s="40" t="s">
        <v>188</v>
      </c>
      <c r="J22" s="11" t="s">
        <v>188</v>
      </c>
      <c r="K22" s="11"/>
      <c r="L22" s="130" t="s">
        <v>348</v>
      </c>
      <c r="M22" s="54" t="s">
        <v>350</v>
      </c>
    </row>
    <row r="23">
      <c r="A23" s="11" t="s">
        <v>346</v>
      </c>
      <c r="B23" s="11" t="s">
        <v>20</v>
      </c>
      <c r="C23" s="11" t="s">
        <v>1244</v>
      </c>
      <c r="D23" s="11" t="s">
        <v>317</v>
      </c>
      <c r="E23" s="129" t="s">
        <v>1240</v>
      </c>
      <c r="F23" s="11" t="s">
        <v>74</v>
      </c>
      <c r="G23" s="11">
        <v>1991.0</v>
      </c>
      <c r="H23" s="40">
        <v>4606.0</v>
      </c>
      <c r="I23" s="40" t="s">
        <v>188</v>
      </c>
      <c r="J23" s="11" t="s">
        <v>188</v>
      </c>
      <c r="K23" s="11"/>
      <c r="L23" s="130" t="s">
        <v>348</v>
      </c>
      <c r="M23" s="54" t="s">
        <v>350</v>
      </c>
    </row>
    <row r="24">
      <c r="A24" s="11" t="s">
        <v>346</v>
      </c>
      <c r="B24" s="11" t="s">
        <v>20</v>
      </c>
      <c r="C24" s="11" t="s">
        <v>1244</v>
      </c>
      <c r="D24" s="11" t="s">
        <v>317</v>
      </c>
      <c r="E24" s="129" t="s">
        <v>1240</v>
      </c>
      <c r="F24" s="11" t="s">
        <v>74</v>
      </c>
      <c r="G24" s="11">
        <v>1992.0</v>
      </c>
      <c r="H24" s="40">
        <v>5517.0</v>
      </c>
      <c r="I24" s="40" t="s">
        <v>188</v>
      </c>
      <c r="J24" s="11" t="s">
        <v>188</v>
      </c>
      <c r="K24" s="11"/>
      <c r="L24" s="130" t="s">
        <v>348</v>
      </c>
      <c r="M24" s="54" t="s">
        <v>350</v>
      </c>
    </row>
    <row r="25">
      <c r="A25" s="11" t="s">
        <v>346</v>
      </c>
      <c r="B25" s="11" t="s">
        <v>20</v>
      </c>
      <c r="C25" s="11" t="s">
        <v>1244</v>
      </c>
      <c r="D25" s="11" t="s">
        <v>317</v>
      </c>
      <c r="E25" s="129" t="s">
        <v>1240</v>
      </c>
      <c r="F25" s="11" t="s">
        <v>74</v>
      </c>
      <c r="G25" s="11">
        <v>1993.0</v>
      </c>
      <c r="H25" s="40">
        <v>5221.0</v>
      </c>
      <c r="I25" s="40" t="s">
        <v>188</v>
      </c>
      <c r="J25" s="11" t="s">
        <v>188</v>
      </c>
      <c r="K25" s="11"/>
      <c r="L25" s="130" t="s">
        <v>348</v>
      </c>
      <c r="M25" s="54" t="s">
        <v>350</v>
      </c>
    </row>
    <row r="26">
      <c r="A26" s="11" t="s">
        <v>346</v>
      </c>
      <c r="B26" s="11" t="s">
        <v>20</v>
      </c>
      <c r="C26" s="11" t="s">
        <v>1244</v>
      </c>
      <c r="D26" s="11" t="s">
        <v>317</v>
      </c>
      <c r="E26" s="129" t="s">
        <v>1240</v>
      </c>
      <c r="F26" s="11" t="s">
        <v>74</v>
      </c>
      <c r="G26" s="11">
        <v>1994.0</v>
      </c>
      <c r="H26" s="40">
        <v>4687.0</v>
      </c>
      <c r="I26" s="40" t="s">
        <v>188</v>
      </c>
      <c r="J26" s="11" t="s">
        <v>188</v>
      </c>
      <c r="K26" s="11"/>
      <c r="L26" s="130" t="s">
        <v>348</v>
      </c>
      <c r="M26" s="54" t="s">
        <v>350</v>
      </c>
    </row>
    <row r="27">
      <c r="A27" s="11" t="s">
        <v>346</v>
      </c>
      <c r="B27" s="11" t="s">
        <v>20</v>
      </c>
      <c r="C27" s="11" t="s">
        <v>1244</v>
      </c>
      <c r="D27" s="11" t="s">
        <v>317</v>
      </c>
      <c r="E27" s="129" t="s">
        <v>1240</v>
      </c>
      <c r="F27" s="11" t="s">
        <v>74</v>
      </c>
      <c r="G27" s="11">
        <v>1995.0</v>
      </c>
      <c r="H27" s="40">
        <v>4232.0</v>
      </c>
      <c r="I27" s="40" t="s">
        <v>188</v>
      </c>
      <c r="J27" s="11" t="s">
        <v>188</v>
      </c>
      <c r="K27" s="11"/>
      <c r="L27" s="130" t="s">
        <v>348</v>
      </c>
      <c r="M27" s="54" t="s">
        <v>350</v>
      </c>
    </row>
    <row r="28">
      <c r="A28" s="11" t="s">
        <v>346</v>
      </c>
      <c r="B28" s="11" t="s">
        <v>20</v>
      </c>
      <c r="C28" s="11" t="s">
        <v>1244</v>
      </c>
      <c r="D28" s="11" t="s">
        <v>317</v>
      </c>
      <c r="E28" s="129" t="s">
        <v>1240</v>
      </c>
      <c r="F28" s="11" t="s">
        <v>74</v>
      </c>
      <c r="G28" s="11">
        <v>1996.0</v>
      </c>
      <c r="H28" s="40">
        <v>4629.0</v>
      </c>
      <c r="I28" s="40" t="s">
        <v>188</v>
      </c>
      <c r="J28" s="11" t="s">
        <v>188</v>
      </c>
      <c r="K28" s="11"/>
      <c r="L28" s="130" t="s">
        <v>348</v>
      </c>
      <c r="M28" s="54" t="s">
        <v>350</v>
      </c>
    </row>
    <row r="29">
      <c r="A29" s="11" t="s">
        <v>346</v>
      </c>
      <c r="B29" s="11" t="s">
        <v>20</v>
      </c>
      <c r="C29" s="11" t="s">
        <v>1244</v>
      </c>
      <c r="D29" s="11" t="s">
        <v>317</v>
      </c>
      <c r="E29" s="129" t="s">
        <v>1240</v>
      </c>
      <c r="F29" s="11" t="s">
        <v>74</v>
      </c>
      <c r="G29" s="11">
        <v>1998.0</v>
      </c>
      <c r="H29" s="40">
        <v>5362.0</v>
      </c>
      <c r="I29" s="40" t="s">
        <v>188</v>
      </c>
      <c r="J29" s="11" t="s">
        <v>188</v>
      </c>
      <c r="K29" s="11"/>
      <c r="L29" s="130" t="s">
        <v>348</v>
      </c>
      <c r="M29" s="54" t="s">
        <v>350</v>
      </c>
    </row>
    <row r="30">
      <c r="A30" s="11" t="s">
        <v>346</v>
      </c>
      <c r="B30" s="11" t="s">
        <v>20</v>
      </c>
      <c r="C30" s="11" t="s">
        <v>1244</v>
      </c>
      <c r="D30" s="11" t="s">
        <v>317</v>
      </c>
      <c r="E30" s="129" t="s">
        <v>1240</v>
      </c>
      <c r="F30" s="11" t="s">
        <v>74</v>
      </c>
      <c r="G30" s="11">
        <v>1999.0</v>
      </c>
      <c r="H30" s="40">
        <v>4393.0</v>
      </c>
      <c r="I30" s="40" t="s">
        <v>188</v>
      </c>
      <c r="J30" s="11" t="s">
        <v>188</v>
      </c>
      <c r="K30" s="11"/>
      <c r="L30" s="130" t="s">
        <v>348</v>
      </c>
      <c r="M30" s="54" t="s">
        <v>350</v>
      </c>
    </row>
    <row r="31">
      <c r="A31" s="11" t="s">
        <v>346</v>
      </c>
      <c r="B31" s="11" t="s">
        <v>20</v>
      </c>
      <c r="C31" s="11" t="s">
        <v>1244</v>
      </c>
      <c r="D31" s="11" t="s">
        <v>317</v>
      </c>
      <c r="E31" s="129" t="s">
        <v>1240</v>
      </c>
      <c r="F31" s="11" t="s">
        <v>74</v>
      </c>
      <c r="G31" s="11">
        <v>2000.0</v>
      </c>
      <c r="H31" s="40">
        <v>4571.0</v>
      </c>
      <c r="I31" s="40" t="s">
        <v>188</v>
      </c>
      <c r="J31" s="11" t="s">
        <v>188</v>
      </c>
      <c r="K31" s="11"/>
      <c r="L31" s="130" t="s">
        <v>348</v>
      </c>
      <c r="M31" s="54" t="s">
        <v>350</v>
      </c>
    </row>
    <row r="32">
      <c r="A32" s="11" t="s">
        <v>346</v>
      </c>
      <c r="B32" s="11" t="s">
        <v>20</v>
      </c>
      <c r="C32" s="11" t="s">
        <v>1244</v>
      </c>
      <c r="D32" s="11" t="s">
        <v>317</v>
      </c>
      <c r="E32" s="129" t="s">
        <v>1240</v>
      </c>
      <c r="F32" s="11" t="s">
        <v>74</v>
      </c>
      <c r="G32" s="11">
        <v>2001.0</v>
      </c>
      <c r="H32" s="40">
        <v>4493.0</v>
      </c>
      <c r="I32" s="40" t="s">
        <v>188</v>
      </c>
      <c r="J32" s="11" t="s">
        <v>188</v>
      </c>
      <c r="K32" s="11"/>
      <c r="L32" s="130" t="s">
        <v>348</v>
      </c>
      <c r="M32" s="54" t="s">
        <v>350</v>
      </c>
    </row>
    <row r="33">
      <c r="A33" s="11" t="s">
        <v>346</v>
      </c>
      <c r="B33" s="11" t="s">
        <v>20</v>
      </c>
      <c r="C33" s="11" t="s">
        <v>1244</v>
      </c>
      <c r="D33" s="11" t="s">
        <v>317</v>
      </c>
      <c r="E33" s="129" t="s">
        <v>1240</v>
      </c>
      <c r="F33" s="11" t="s">
        <v>74</v>
      </c>
      <c r="G33" s="11">
        <v>2002.0</v>
      </c>
      <c r="H33" s="40">
        <v>5246.0</v>
      </c>
      <c r="I33" s="40" t="s">
        <v>188</v>
      </c>
      <c r="J33" s="11" t="s">
        <v>188</v>
      </c>
      <c r="K33" s="11"/>
      <c r="L33" s="130" t="s">
        <v>348</v>
      </c>
      <c r="M33" s="54" t="s">
        <v>350</v>
      </c>
    </row>
    <row r="34">
      <c r="A34" s="11" t="s">
        <v>346</v>
      </c>
      <c r="B34" s="11" t="s">
        <v>20</v>
      </c>
      <c r="C34" s="11" t="s">
        <v>1244</v>
      </c>
      <c r="D34" s="11" t="s">
        <v>317</v>
      </c>
      <c r="E34" s="129" t="s">
        <v>1240</v>
      </c>
      <c r="F34" s="11" t="s">
        <v>74</v>
      </c>
      <c r="G34" s="11">
        <v>2003.0</v>
      </c>
      <c r="H34" s="40">
        <v>5484.0</v>
      </c>
      <c r="I34" s="40" t="s">
        <v>188</v>
      </c>
      <c r="J34" s="11" t="s">
        <v>188</v>
      </c>
      <c r="K34" s="11"/>
      <c r="L34" s="130" t="s">
        <v>348</v>
      </c>
      <c r="M34" s="54" t="s">
        <v>350</v>
      </c>
    </row>
    <row r="35">
      <c r="A35" s="54" t="s">
        <v>352</v>
      </c>
      <c r="B35" s="54" t="s">
        <v>20</v>
      </c>
      <c r="C35" s="54" t="s">
        <v>936</v>
      </c>
      <c r="D35" s="54" t="s">
        <v>317</v>
      </c>
      <c r="E35" s="54" t="s">
        <v>1248</v>
      </c>
      <c r="F35" s="54" t="s">
        <v>74</v>
      </c>
      <c r="G35" s="75">
        <v>1984.0</v>
      </c>
      <c r="H35" s="77">
        <v>3048.0</v>
      </c>
      <c r="I35" s="131" t="s">
        <v>188</v>
      </c>
      <c r="J35" s="54" t="s">
        <v>188</v>
      </c>
      <c r="K35" s="54"/>
      <c r="L35" s="57" t="s">
        <v>354</v>
      </c>
      <c r="M35" s="62" t="s">
        <v>356</v>
      </c>
      <c r="N35" s="54"/>
      <c r="O35" s="54"/>
      <c r="P35" s="54"/>
      <c r="Q35" s="54"/>
      <c r="R35" s="54"/>
      <c r="S35" s="54"/>
      <c r="T35" s="54"/>
      <c r="U35" s="54"/>
      <c r="V35" s="54"/>
      <c r="W35" s="54"/>
      <c r="X35" s="54"/>
      <c r="Y35" s="54"/>
      <c r="Z35" s="54"/>
      <c r="AA35" s="54"/>
      <c r="AB35" s="54"/>
      <c r="AC35" s="54"/>
      <c r="AD35" s="54"/>
      <c r="AE35" s="54"/>
      <c r="AF35" s="54"/>
      <c r="AG35" s="54"/>
    </row>
    <row r="36">
      <c r="A36" s="54" t="s">
        <v>352</v>
      </c>
      <c r="B36" s="54" t="s">
        <v>20</v>
      </c>
      <c r="C36" s="54" t="s">
        <v>936</v>
      </c>
      <c r="D36" s="54" t="s">
        <v>317</v>
      </c>
      <c r="E36" s="54" t="s">
        <v>1248</v>
      </c>
      <c r="F36" s="54" t="s">
        <v>74</v>
      </c>
      <c r="G36" s="75">
        <v>1985.0</v>
      </c>
      <c r="H36" s="77">
        <v>2092.0</v>
      </c>
      <c r="I36" s="131" t="s">
        <v>188</v>
      </c>
      <c r="J36" s="54" t="s">
        <v>188</v>
      </c>
      <c r="K36" s="54"/>
      <c r="L36" s="57" t="s">
        <v>354</v>
      </c>
      <c r="M36" s="62" t="s">
        <v>356</v>
      </c>
      <c r="N36" s="54"/>
      <c r="O36" s="54"/>
      <c r="P36" s="54"/>
      <c r="Q36" s="54"/>
      <c r="R36" s="54"/>
      <c r="S36" s="54"/>
      <c r="T36" s="54"/>
      <c r="U36" s="54"/>
      <c r="V36" s="54"/>
      <c r="W36" s="54"/>
      <c r="X36" s="54"/>
      <c r="Y36" s="54"/>
      <c r="Z36" s="54"/>
      <c r="AA36" s="54"/>
      <c r="AB36" s="54"/>
      <c r="AC36" s="54"/>
      <c r="AD36" s="54"/>
      <c r="AE36" s="54"/>
      <c r="AF36" s="54"/>
      <c r="AG36" s="54"/>
    </row>
    <row r="37">
      <c r="A37" s="54" t="s">
        <v>352</v>
      </c>
      <c r="B37" s="54" t="s">
        <v>20</v>
      </c>
      <c r="C37" s="54" t="s">
        <v>936</v>
      </c>
      <c r="D37" s="54" t="s">
        <v>317</v>
      </c>
      <c r="E37" s="54" t="s">
        <v>1248</v>
      </c>
      <c r="F37" s="54" t="s">
        <v>74</v>
      </c>
      <c r="G37" s="75">
        <v>1986.0</v>
      </c>
      <c r="H37" s="77">
        <v>1494.0</v>
      </c>
      <c r="I37" s="131" t="s">
        <v>188</v>
      </c>
      <c r="J37" s="54" t="s">
        <v>188</v>
      </c>
      <c r="K37" s="54"/>
      <c r="L37" s="57" t="s">
        <v>354</v>
      </c>
      <c r="M37" s="62" t="s">
        <v>356</v>
      </c>
      <c r="N37" s="54"/>
      <c r="O37" s="54"/>
      <c r="P37" s="54"/>
      <c r="Q37" s="54"/>
      <c r="R37" s="54"/>
      <c r="S37" s="54"/>
      <c r="T37" s="54"/>
      <c r="U37" s="54"/>
      <c r="V37" s="54"/>
      <c r="W37" s="54"/>
      <c r="X37" s="54"/>
      <c r="Y37" s="54"/>
      <c r="Z37" s="54"/>
      <c r="AA37" s="54"/>
      <c r="AB37" s="54"/>
      <c r="AC37" s="54"/>
      <c r="AD37" s="54"/>
      <c r="AE37" s="54"/>
      <c r="AF37" s="54"/>
      <c r="AG37" s="54"/>
    </row>
    <row r="38">
      <c r="A38" s="54" t="s">
        <v>352</v>
      </c>
      <c r="B38" s="54" t="s">
        <v>20</v>
      </c>
      <c r="C38" s="54" t="s">
        <v>936</v>
      </c>
      <c r="D38" s="54" t="s">
        <v>317</v>
      </c>
      <c r="E38" s="54" t="s">
        <v>1248</v>
      </c>
      <c r="F38" s="54" t="s">
        <v>74</v>
      </c>
      <c r="G38" s="75">
        <v>1987.0</v>
      </c>
      <c r="H38" s="77">
        <v>4124.0</v>
      </c>
      <c r="I38" s="131" t="s">
        <v>188</v>
      </c>
      <c r="J38" s="54" t="s">
        <v>188</v>
      </c>
      <c r="K38" s="54"/>
      <c r="L38" s="57" t="s">
        <v>354</v>
      </c>
      <c r="M38" s="62" t="s">
        <v>356</v>
      </c>
      <c r="N38" s="54"/>
      <c r="O38" s="54"/>
      <c r="P38" s="54"/>
      <c r="Q38" s="54"/>
      <c r="R38" s="54"/>
      <c r="S38" s="54"/>
      <c r="T38" s="54"/>
      <c r="U38" s="54"/>
      <c r="V38" s="54"/>
      <c r="W38" s="54"/>
      <c r="X38" s="54"/>
      <c r="Y38" s="54"/>
      <c r="Z38" s="54"/>
      <c r="AA38" s="54"/>
      <c r="AB38" s="54"/>
      <c r="AC38" s="54"/>
      <c r="AD38" s="54"/>
      <c r="AE38" s="54"/>
      <c r="AF38" s="54"/>
      <c r="AG38" s="54"/>
    </row>
    <row r="39">
      <c r="A39" s="54" t="s">
        <v>352</v>
      </c>
      <c r="B39" s="54" t="s">
        <v>20</v>
      </c>
      <c r="C39" s="54" t="s">
        <v>936</v>
      </c>
      <c r="D39" s="54" t="s">
        <v>317</v>
      </c>
      <c r="E39" s="54" t="s">
        <v>1248</v>
      </c>
      <c r="F39" s="54" t="s">
        <v>74</v>
      </c>
      <c r="G39" s="75">
        <v>1988.0</v>
      </c>
      <c r="H39" s="77">
        <v>3705.0</v>
      </c>
      <c r="I39" s="131" t="s">
        <v>188</v>
      </c>
      <c r="J39" s="54" t="s">
        <v>188</v>
      </c>
      <c r="K39" s="54"/>
      <c r="L39" s="57" t="s">
        <v>354</v>
      </c>
      <c r="M39" s="62" t="s">
        <v>356</v>
      </c>
      <c r="N39" s="54"/>
      <c r="O39" s="54"/>
      <c r="P39" s="54"/>
      <c r="Q39" s="54"/>
      <c r="R39" s="54"/>
      <c r="S39" s="54"/>
      <c r="T39" s="54"/>
      <c r="U39" s="54"/>
      <c r="V39" s="54"/>
      <c r="W39" s="54"/>
      <c r="X39" s="54"/>
      <c r="Y39" s="54"/>
      <c r="Z39" s="54"/>
      <c r="AA39" s="54"/>
      <c r="AB39" s="54"/>
      <c r="AC39" s="54"/>
      <c r="AD39" s="54"/>
      <c r="AE39" s="54"/>
      <c r="AF39" s="54"/>
      <c r="AG39" s="54"/>
    </row>
    <row r="40">
      <c r="A40" s="54" t="s">
        <v>352</v>
      </c>
      <c r="B40" s="54" t="s">
        <v>20</v>
      </c>
      <c r="C40" s="54" t="s">
        <v>936</v>
      </c>
      <c r="D40" s="54" t="s">
        <v>317</v>
      </c>
      <c r="E40" s="54" t="s">
        <v>1248</v>
      </c>
      <c r="F40" s="54" t="s">
        <v>74</v>
      </c>
      <c r="G40" s="75">
        <v>1989.0</v>
      </c>
      <c r="H40" s="77">
        <v>4124.0</v>
      </c>
      <c r="I40" s="131" t="s">
        <v>188</v>
      </c>
      <c r="J40" s="54" t="s">
        <v>188</v>
      </c>
      <c r="K40" s="54"/>
      <c r="L40" s="57" t="s">
        <v>354</v>
      </c>
      <c r="M40" s="62" t="s">
        <v>356</v>
      </c>
      <c r="N40" s="54"/>
      <c r="O40" s="54"/>
      <c r="P40" s="54"/>
      <c r="Q40" s="54"/>
      <c r="R40" s="54"/>
      <c r="S40" s="54"/>
      <c r="T40" s="54"/>
      <c r="U40" s="54"/>
      <c r="V40" s="54"/>
      <c r="W40" s="54"/>
      <c r="X40" s="54"/>
      <c r="Y40" s="54"/>
      <c r="Z40" s="54"/>
      <c r="AA40" s="54"/>
      <c r="AB40" s="54"/>
      <c r="AC40" s="54"/>
      <c r="AD40" s="54"/>
      <c r="AE40" s="54"/>
      <c r="AF40" s="54"/>
      <c r="AG40" s="54"/>
    </row>
    <row r="41">
      <c r="A41" s="54" t="s">
        <v>352</v>
      </c>
      <c r="B41" s="54" t="s">
        <v>20</v>
      </c>
      <c r="C41" s="54" t="s">
        <v>936</v>
      </c>
      <c r="D41" s="54" t="s">
        <v>317</v>
      </c>
      <c r="E41" s="54" t="s">
        <v>1248</v>
      </c>
      <c r="F41" s="54" t="s">
        <v>74</v>
      </c>
      <c r="G41" s="75">
        <v>1990.0</v>
      </c>
      <c r="H41" s="77">
        <v>2570.0</v>
      </c>
      <c r="I41" s="131" t="s">
        <v>188</v>
      </c>
      <c r="J41" s="54" t="s">
        <v>188</v>
      </c>
      <c r="K41" s="54"/>
      <c r="L41" s="57" t="s">
        <v>354</v>
      </c>
      <c r="M41" s="62" t="s">
        <v>356</v>
      </c>
      <c r="N41" s="54"/>
      <c r="O41" s="54"/>
      <c r="P41" s="54"/>
      <c r="Q41" s="54"/>
      <c r="R41" s="54"/>
      <c r="S41" s="54"/>
      <c r="T41" s="54"/>
      <c r="U41" s="54"/>
      <c r="V41" s="54"/>
      <c r="W41" s="54"/>
      <c r="X41" s="54"/>
      <c r="Y41" s="54"/>
      <c r="Z41" s="54"/>
      <c r="AA41" s="54"/>
      <c r="AB41" s="54"/>
      <c r="AC41" s="54"/>
      <c r="AD41" s="54"/>
      <c r="AE41" s="54"/>
      <c r="AF41" s="54"/>
      <c r="AG41" s="54"/>
    </row>
    <row r="42">
      <c r="A42" s="54" t="s">
        <v>352</v>
      </c>
      <c r="B42" s="54" t="s">
        <v>20</v>
      </c>
      <c r="C42" s="54" t="s">
        <v>936</v>
      </c>
      <c r="D42" s="54" t="s">
        <v>317</v>
      </c>
      <c r="E42" s="54" t="s">
        <v>1248</v>
      </c>
      <c r="F42" s="54" t="s">
        <v>74</v>
      </c>
      <c r="G42" s="75">
        <v>1991.0</v>
      </c>
      <c r="H42" s="77">
        <v>4542.0</v>
      </c>
      <c r="I42" s="131" t="s">
        <v>188</v>
      </c>
      <c r="J42" s="54" t="s">
        <v>188</v>
      </c>
      <c r="K42" s="54"/>
      <c r="L42" s="57" t="s">
        <v>354</v>
      </c>
      <c r="M42" s="62" t="s">
        <v>356</v>
      </c>
      <c r="N42" s="54"/>
      <c r="O42" s="54"/>
      <c r="P42" s="54"/>
      <c r="Q42" s="54"/>
      <c r="R42" s="54"/>
      <c r="S42" s="54"/>
      <c r="T42" s="54"/>
      <c r="U42" s="54"/>
      <c r="V42" s="54"/>
      <c r="W42" s="54"/>
      <c r="X42" s="54"/>
      <c r="Y42" s="54"/>
      <c r="Z42" s="54"/>
      <c r="AA42" s="54"/>
      <c r="AB42" s="54"/>
      <c r="AC42" s="54"/>
      <c r="AD42" s="54"/>
      <c r="AE42" s="54"/>
      <c r="AF42" s="54"/>
      <c r="AG42" s="54"/>
    </row>
    <row r="43">
      <c r="A43" s="54" t="s">
        <v>352</v>
      </c>
      <c r="B43" s="54" t="s">
        <v>20</v>
      </c>
      <c r="C43" s="54" t="s">
        <v>936</v>
      </c>
      <c r="D43" s="54" t="s">
        <v>317</v>
      </c>
      <c r="E43" s="54" t="s">
        <v>1248</v>
      </c>
      <c r="F43" s="54" t="s">
        <v>74</v>
      </c>
      <c r="G43" s="75">
        <v>1992.0</v>
      </c>
      <c r="H43" s="77">
        <v>4243.0</v>
      </c>
      <c r="I43" s="131" t="s">
        <v>188</v>
      </c>
      <c r="J43" s="54" t="s">
        <v>188</v>
      </c>
      <c r="K43" s="54"/>
      <c r="L43" s="57" t="s">
        <v>354</v>
      </c>
      <c r="M43" s="62" t="s">
        <v>356</v>
      </c>
      <c r="N43" s="54"/>
      <c r="O43" s="54"/>
      <c r="P43" s="54"/>
      <c r="Q43" s="54"/>
      <c r="R43" s="54"/>
      <c r="S43" s="54"/>
      <c r="T43" s="54"/>
      <c r="U43" s="54"/>
      <c r="V43" s="54"/>
      <c r="W43" s="54"/>
      <c r="X43" s="54"/>
      <c r="Y43" s="54"/>
      <c r="Z43" s="54"/>
      <c r="AA43" s="54"/>
      <c r="AB43" s="54"/>
      <c r="AC43" s="54"/>
      <c r="AD43" s="54"/>
      <c r="AE43" s="54"/>
      <c r="AF43" s="54"/>
      <c r="AG43" s="54"/>
    </row>
    <row r="44">
      <c r="A44" s="54" t="s">
        <v>352</v>
      </c>
      <c r="B44" s="54" t="s">
        <v>20</v>
      </c>
      <c r="C44" s="54" t="s">
        <v>936</v>
      </c>
      <c r="D44" s="54" t="s">
        <v>317</v>
      </c>
      <c r="E44" s="54" t="s">
        <v>1248</v>
      </c>
      <c r="F44" s="54" t="s">
        <v>74</v>
      </c>
      <c r="G44" s="75">
        <v>1993.0</v>
      </c>
      <c r="H44" s="77">
        <v>3048.0</v>
      </c>
      <c r="I44" s="131" t="s">
        <v>188</v>
      </c>
      <c r="J44" s="54" t="s">
        <v>188</v>
      </c>
      <c r="K44" s="54"/>
      <c r="L44" s="57" t="s">
        <v>354</v>
      </c>
      <c r="M44" s="62" t="s">
        <v>356</v>
      </c>
      <c r="N44" s="54"/>
      <c r="O44" s="54"/>
      <c r="P44" s="54"/>
      <c r="Q44" s="54"/>
      <c r="R44" s="54"/>
      <c r="S44" s="54"/>
      <c r="T44" s="54"/>
      <c r="U44" s="54"/>
      <c r="V44" s="54"/>
      <c r="W44" s="54"/>
      <c r="X44" s="54"/>
      <c r="Y44" s="54"/>
      <c r="Z44" s="54"/>
      <c r="AA44" s="54"/>
      <c r="AB44" s="54"/>
      <c r="AC44" s="54"/>
      <c r="AD44" s="54"/>
      <c r="AE44" s="54"/>
      <c r="AF44" s="54"/>
      <c r="AG44" s="54"/>
    </row>
    <row r="45">
      <c r="A45" s="54" t="s">
        <v>352</v>
      </c>
      <c r="B45" s="54" t="s">
        <v>20</v>
      </c>
      <c r="C45" s="54" t="s">
        <v>936</v>
      </c>
      <c r="D45" s="54" t="s">
        <v>317</v>
      </c>
      <c r="E45" s="54" t="s">
        <v>1248</v>
      </c>
      <c r="F45" s="54" t="s">
        <v>74</v>
      </c>
      <c r="G45" s="75">
        <v>1994.0</v>
      </c>
      <c r="H45" s="77">
        <v>4183.0</v>
      </c>
      <c r="I45" s="131" t="s">
        <v>188</v>
      </c>
      <c r="J45" s="54" t="s">
        <v>188</v>
      </c>
      <c r="K45" s="54"/>
      <c r="L45" s="57" t="s">
        <v>354</v>
      </c>
      <c r="M45" s="62" t="s">
        <v>356</v>
      </c>
      <c r="N45" s="54"/>
      <c r="O45" s="54"/>
      <c r="P45" s="54"/>
      <c r="Q45" s="54"/>
      <c r="R45" s="54"/>
      <c r="S45" s="54"/>
      <c r="T45" s="54"/>
      <c r="U45" s="54"/>
      <c r="V45" s="54"/>
      <c r="W45" s="54"/>
      <c r="X45" s="54"/>
      <c r="Y45" s="54"/>
      <c r="Z45" s="54"/>
      <c r="AA45" s="54"/>
      <c r="AB45" s="54"/>
      <c r="AC45" s="54"/>
      <c r="AD45" s="54"/>
      <c r="AE45" s="54"/>
      <c r="AF45" s="54"/>
      <c r="AG45" s="54"/>
    </row>
    <row r="46">
      <c r="A46" s="54" t="s">
        <v>352</v>
      </c>
      <c r="B46" s="54" t="s">
        <v>20</v>
      </c>
      <c r="C46" s="54" t="s">
        <v>936</v>
      </c>
      <c r="D46" s="54" t="s">
        <v>317</v>
      </c>
      <c r="E46" s="54" t="s">
        <v>1248</v>
      </c>
      <c r="F46" s="54" t="s">
        <v>74</v>
      </c>
      <c r="G46" s="75">
        <v>1995.0</v>
      </c>
      <c r="H46" s="77">
        <v>2869.0</v>
      </c>
      <c r="I46" s="131" t="s">
        <v>188</v>
      </c>
      <c r="J46" s="54" t="s">
        <v>188</v>
      </c>
      <c r="K46" s="54"/>
      <c r="L46" s="57" t="s">
        <v>354</v>
      </c>
      <c r="M46" s="62" t="s">
        <v>356</v>
      </c>
      <c r="N46" s="54"/>
      <c r="O46" s="54"/>
      <c r="P46" s="54"/>
      <c r="Q46" s="54"/>
      <c r="R46" s="54"/>
      <c r="S46" s="54"/>
      <c r="T46" s="54"/>
      <c r="U46" s="54"/>
      <c r="V46" s="54"/>
      <c r="W46" s="54"/>
      <c r="X46" s="54"/>
      <c r="Y46" s="54"/>
      <c r="Z46" s="54"/>
      <c r="AA46" s="54"/>
      <c r="AB46" s="54"/>
      <c r="AC46" s="54"/>
      <c r="AD46" s="54"/>
      <c r="AE46" s="54"/>
      <c r="AF46" s="54"/>
      <c r="AG46" s="54"/>
    </row>
    <row r="47">
      <c r="A47" s="54" t="s">
        <v>352</v>
      </c>
      <c r="B47" s="54" t="s">
        <v>20</v>
      </c>
      <c r="C47" s="54" t="s">
        <v>936</v>
      </c>
      <c r="D47" s="54" t="s">
        <v>317</v>
      </c>
      <c r="E47" s="54" t="s">
        <v>1248</v>
      </c>
      <c r="F47" s="54" t="s">
        <v>74</v>
      </c>
      <c r="G47" s="75">
        <v>2000.0</v>
      </c>
      <c r="H47" s="77">
        <v>3705.0</v>
      </c>
      <c r="I47" s="131" t="s">
        <v>188</v>
      </c>
      <c r="J47" s="54" t="s">
        <v>188</v>
      </c>
      <c r="K47" s="54"/>
      <c r="L47" s="57" t="s">
        <v>354</v>
      </c>
      <c r="M47" s="62" t="s">
        <v>356</v>
      </c>
      <c r="N47" s="54"/>
      <c r="O47" s="54"/>
      <c r="P47" s="54"/>
      <c r="Q47" s="54"/>
      <c r="R47" s="54"/>
      <c r="S47" s="54"/>
      <c r="T47" s="54"/>
      <c r="U47" s="54"/>
      <c r="V47" s="54"/>
      <c r="W47" s="54"/>
      <c r="X47" s="54"/>
      <c r="Y47" s="54"/>
      <c r="Z47" s="54"/>
      <c r="AA47" s="54"/>
      <c r="AB47" s="54"/>
      <c r="AC47" s="54"/>
      <c r="AD47" s="54"/>
      <c r="AE47" s="54"/>
      <c r="AF47" s="54"/>
      <c r="AG47" s="54"/>
    </row>
    <row r="48">
      <c r="A48" s="54" t="s">
        <v>352</v>
      </c>
      <c r="B48" s="54" t="s">
        <v>20</v>
      </c>
      <c r="C48" s="54" t="s">
        <v>936</v>
      </c>
      <c r="D48" s="54" t="s">
        <v>317</v>
      </c>
      <c r="E48" s="54" t="s">
        <v>1248</v>
      </c>
      <c r="F48" s="54" t="s">
        <v>74</v>
      </c>
      <c r="G48" s="75">
        <v>2002.0</v>
      </c>
      <c r="H48" s="77">
        <v>3645.0</v>
      </c>
      <c r="I48" s="131" t="s">
        <v>188</v>
      </c>
      <c r="J48" s="54" t="s">
        <v>188</v>
      </c>
      <c r="K48" s="54"/>
      <c r="L48" s="57" t="s">
        <v>354</v>
      </c>
      <c r="M48" s="62" t="s">
        <v>356</v>
      </c>
      <c r="N48" s="54"/>
      <c r="O48" s="54"/>
      <c r="P48" s="54"/>
      <c r="Q48" s="54"/>
      <c r="R48" s="54"/>
      <c r="S48" s="54"/>
      <c r="T48" s="54"/>
      <c r="U48" s="54"/>
      <c r="V48" s="54"/>
      <c r="W48" s="54"/>
      <c r="X48" s="54"/>
      <c r="Y48" s="54"/>
      <c r="Z48" s="54"/>
      <c r="AA48" s="54"/>
      <c r="AB48" s="54"/>
      <c r="AC48" s="54"/>
      <c r="AD48" s="54"/>
      <c r="AE48" s="54"/>
      <c r="AF48" s="54"/>
      <c r="AG48" s="54"/>
    </row>
    <row r="49">
      <c r="A49" s="54" t="s">
        <v>352</v>
      </c>
      <c r="B49" s="54" t="s">
        <v>20</v>
      </c>
      <c r="C49" s="54" t="s">
        <v>936</v>
      </c>
      <c r="D49" s="54" t="s">
        <v>317</v>
      </c>
      <c r="E49" s="54" t="s">
        <v>1248</v>
      </c>
      <c r="F49" s="54" t="s">
        <v>74</v>
      </c>
      <c r="G49" s="75">
        <v>2004.0</v>
      </c>
      <c r="H49" s="77">
        <v>4124.0</v>
      </c>
      <c r="I49" s="131" t="s">
        <v>188</v>
      </c>
      <c r="J49" s="54" t="s">
        <v>188</v>
      </c>
      <c r="K49" s="54"/>
      <c r="L49" s="57" t="s">
        <v>354</v>
      </c>
      <c r="M49" s="62" t="s">
        <v>356</v>
      </c>
      <c r="N49" s="54"/>
      <c r="O49" s="54"/>
      <c r="P49" s="54"/>
      <c r="Q49" s="54"/>
      <c r="R49" s="54"/>
      <c r="S49" s="54"/>
      <c r="T49" s="54"/>
      <c r="U49" s="54"/>
      <c r="V49" s="54"/>
      <c r="W49" s="54"/>
      <c r="X49" s="54"/>
      <c r="Y49" s="54"/>
      <c r="Z49" s="54"/>
      <c r="AA49" s="54"/>
      <c r="AB49" s="54"/>
      <c r="AC49" s="54"/>
      <c r="AD49" s="54"/>
      <c r="AE49" s="54"/>
      <c r="AF49" s="54"/>
      <c r="AG49" s="54"/>
    </row>
    <row r="50">
      <c r="A50" s="54" t="s">
        <v>352</v>
      </c>
      <c r="B50" s="54" t="s">
        <v>20</v>
      </c>
      <c r="C50" s="54" t="s">
        <v>936</v>
      </c>
      <c r="D50" s="54" t="s">
        <v>317</v>
      </c>
      <c r="E50" s="54" t="s">
        <v>1248</v>
      </c>
      <c r="F50" s="54" t="s">
        <v>74</v>
      </c>
      <c r="G50" s="75">
        <v>2007.0</v>
      </c>
      <c r="H50" s="77">
        <v>3765.0</v>
      </c>
      <c r="I50" s="131" t="s">
        <v>188</v>
      </c>
      <c r="J50" s="54" t="s">
        <v>188</v>
      </c>
      <c r="K50" s="54"/>
      <c r="L50" s="57" t="s">
        <v>354</v>
      </c>
      <c r="M50" s="62" t="s">
        <v>356</v>
      </c>
      <c r="N50" s="54"/>
      <c r="O50" s="54"/>
      <c r="P50" s="54"/>
      <c r="Q50" s="54"/>
      <c r="R50" s="54"/>
      <c r="S50" s="54"/>
      <c r="T50" s="54"/>
      <c r="U50" s="54"/>
      <c r="V50" s="54"/>
      <c r="W50" s="54"/>
      <c r="X50" s="54"/>
      <c r="Y50" s="54"/>
      <c r="Z50" s="54"/>
      <c r="AA50" s="54"/>
      <c r="AB50" s="54"/>
      <c r="AC50" s="54"/>
      <c r="AD50" s="54"/>
      <c r="AE50" s="54"/>
      <c r="AF50" s="54"/>
      <c r="AG50" s="54"/>
    </row>
    <row r="51">
      <c r="A51" s="54" t="s">
        <v>352</v>
      </c>
      <c r="B51" s="54" t="s">
        <v>20</v>
      </c>
      <c r="C51" s="54" t="s">
        <v>936</v>
      </c>
      <c r="D51" s="54" t="s">
        <v>317</v>
      </c>
      <c r="E51" s="54" t="s">
        <v>1248</v>
      </c>
      <c r="F51" s="54" t="s">
        <v>74</v>
      </c>
      <c r="G51" s="75">
        <v>2009.0</v>
      </c>
      <c r="H51" s="77">
        <v>3347.0</v>
      </c>
      <c r="I51" s="131" t="s">
        <v>188</v>
      </c>
      <c r="J51" s="54" t="s">
        <v>188</v>
      </c>
      <c r="K51" s="54"/>
      <c r="L51" s="57" t="s">
        <v>354</v>
      </c>
      <c r="M51" s="62" t="s">
        <v>356</v>
      </c>
      <c r="N51" s="54"/>
      <c r="O51" s="54"/>
      <c r="P51" s="54"/>
      <c r="Q51" s="54"/>
      <c r="R51" s="54"/>
      <c r="S51" s="54"/>
      <c r="T51" s="54"/>
      <c r="U51" s="54"/>
      <c r="V51" s="54"/>
      <c r="W51" s="54"/>
      <c r="X51" s="54"/>
      <c r="Y51" s="54"/>
      <c r="Z51" s="54"/>
      <c r="AA51" s="54"/>
      <c r="AB51" s="54"/>
      <c r="AC51" s="54"/>
      <c r="AD51" s="54"/>
      <c r="AE51" s="54"/>
      <c r="AF51" s="54"/>
      <c r="AG51" s="54"/>
    </row>
    <row r="52">
      <c r="A52" s="54" t="s">
        <v>352</v>
      </c>
      <c r="B52" s="54" t="s">
        <v>20</v>
      </c>
      <c r="C52" s="54" t="s">
        <v>936</v>
      </c>
      <c r="D52" s="54" t="s">
        <v>317</v>
      </c>
      <c r="E52" s="54" t="s">
        <v>1248</v>
      </c>
      <c r="F52" s="54" t="s">
        <v>74</v>
      </c>
      <c r="G52" s="75">
        <v>2012.0</v>
      </c>
      <c r="H52" s="77">
        <v>4602.0</v>
      </c>
      <c r="I52" s="131" t="s">
        <v>188</v>
      </c>
      <c r="J52" s="54" t="s">
        <v>188</v>
      </c>
      <c r="K52" s="54"/>
      <c r="L52" s="57" t="s">
        <v>354</v>
      </c>
      <c r="M52" s="62" t="s">
        <v>356</v>
      </c>
      <c r="N52" s="54"/>
      <c r="O52" s="54"/>
      <c r="P52" s="54"/>
      <c r="Q52" s="54"/>
      <c r="R52" s="54"/>
      <c r="S52" s="54"/>
      <c r="T52" s="54"/>
      <c r="U52" s="54"/>
      <c r="V52" s="54"/>
      <c r="W52" s="54"/>
      <c r="X52" s="54"/>
      <c r="Y52" s="54"/>
      <c r="Z52" s="54"/>
      <c r="AA52" s="54"/>
      <c r="AB52" s="54"/>
      <c r="AC52" s="54"/>
      <c r="AD52" s="54"/>
      <c r="AE52" s="54"/>
      <c r="AF52" s="54"/>
      <c r="AG52" s="54"/>
    </row>
    <row r="53">
      <c r="A53" s="54" t="s">
        <v>352</v>
      </c>
      <c r="B53" s="54" t="s">
        <v>20</v>
      </c>
      <c r="C53" s="54" t="s">
        <v>949</v>
      </c>
      <c r="D53" s="54" t="s">
        <v>317</v>
      </c>
      <c r="E53" s="54" t="s">
        <v>1248</v>
      </c>
      <c r="F53" s="54" t="s">
        <v>74</v>
      </c>
      <c r="G53" s="75">
        <v>1982.0</v>
      </c>
      <c r="H53" s="77">
        <v>12729.0</v>
      </c>
      <c r="I53" s="131" t="s">
        <v>188</v>
      </c>
      <c r="J53" s="54" t="s">
        <v>188</v>
      </c>
      <c r="K53" s="54"/>
      <c r="L53" s="57" t="s">
        <v>354</v>
      </c>
      <c r="M53" s="62" t="s">
        <v>356</v>
      </c>
      <c r="N53" s="54"/>
      <c r="O53" s="54"/>
      <c r="P53" s="54"/>
      <c r="Q53" s="54"/>
      <c r="R53" s="54"/>
      <c r="S53" s="54"/>
      <c r="T53" s="54"/>
      <c r="U53" s="54"/>
      <c r="V53" s="54"/>
      <c r="W53" s="54"/>
      <c r="X53" s="54"/>
      <c r="Y53" s="54"/>
      <c r="Z53" s="54"/>
      <c r="AA53" s="54"/>
      <c r="AB53" s="54"/>
      <c r="AC53" s="54"/>
      <c r="AD53" s="54"/>
      <c r="AE53" s="54"/>
      <c r="AF53" s="54"/>
      <c r="AG53" s="54"/>
    </row>
    <row r="54">
      <c r="A54" s="54" t="s">
        <v>352</v>
      </c>
      <c r="B54" s="54" t="s">
        <v>20</v>
      </c>
      <c r="C54" s="54" t="s">
        <v>949</v>
      </c>
      <c r="D54" s="54" t="s">
        <v>317</v>
      </c>
      <c r="E54" s="54" t="s">
        <v>1248</v>
      </c>
      <c r="F54" s="54" t="s">
        <v>74</v>
      </c>
      <c r="G54" s="75">
        <v>1983.0</v>
      </c>
      <c r="H54" s="77">
        <v>10936.0</v>
      </c>
      <c r="I54" s="131" t="s">
        <v>188</v>
      </c>
      <c r="J54" s="54" t="s">
        <v>188</v>
      </c>
      <c r="K54" s="54"/>
      <c r="L54" s="57" t="s">
        <v>354</v>
      </c>
      <c r="M54" s="62" t="s">
        <v>356</v>
      </c>
      <c r="N54" s="54"/>
      <c r="O54" s="54"/>
      <c r="P54" s="54"/>
      <c r="Q54" s="54"/>
      <c r="R54" s="54"/>
      <c r="S54" s="54"/>
      <c r="T54" s="54"/>
      <c r="U54" s="54"/>
      <c r="V54" s="54"/>
      <c r="W54" s="54"/>
      <c r="X54" s="54"/>
      <c r="Y54" s="54"/>
      <c r="Z54" s="54"/>
      <c r="AA54" s="54"/>
      <c r="AB54" s="54"/>
      <c r="AC54" s="54"/>
      <c r="AD54" s="54"/>
      <c r="AE54" s="54"/>
      <c r="AF54" s="54"/>
      <c r="AG54" s="54"/>
    </row>
    <row r="55">
      <c r="A55" s="54" t="s">
        <v>352</v>
      </c>
      <c r="B55" s="54" t="s">
        <v>20</v>
      </c>
      <c r="C55" s="54" t="s">
        <v>949</v>
      </c>
      <c r="D55" s="54" t="s">
        <v>317</v>
      </c>
      <c r="E55" s="54" t="s">
        <v>1248</v>
      </c>
      <c r="F55" s="54" t="s">
        <v>74</v>
      </c>
      <c r="G55" s="75">
        <v>1984.0</v>
      </c>
      <c r="H55" s="77">
        <v>10936.0</v>
      </c>
      <c r="I55" s="131" t="s">
        <v>188</v>
      </c>
      <c r="J55" s="54" t="s">
        <v>188</v>
      </c>
      <c r="K55" s="54"/>
      <c r="L55" s="57" t="s">
        <v>354</v>
      </c>
      <c r="M55" s="62" t="s">
        <v>356</v>
      </c>
      <c r="N55" s="54"/>
      <c r="O55" s="54"/>
      <c r="P55" s="54"/>
      <c r="Q55" s="54"/>
      <c r="R55" s="54"/>
      <c r="S55" s="54"/>
      <c r="T55" s="54"/>
      <c r="U55" s="54"/>
      <c r="V55" s="54"/>
      <c r="W55" s="54"/>
      <c r="X55" s="54"/>
      <c r="Y55" s="54"/>
      <c r="Z55" s="54"/>
      <c r="AA55" s="54"/>
      <c r="AB55" s="54"/>
      <c r="AC55" s="54"/>
      <c r="AD55" s="54"/>
      <c r="AE55" s="54"/>
      <c r="AF55" s="54"/>
      <c r="AG55" s="54"/>
    </row>
    <row r="56">
      <c r="A56" s="54" t="s">
        <v>352</v>
      </c>
      <c r="B56" s="54" t="s">
        <v>20</v>
      </c>
      <c r="C56" s="54" t="s">
        <v>949</v>
      </c>
      <c r="D56" s="54" t="s">
        <v>317</v>
      </c>
      <c r="E56" s="54" t="s">
        <v>1248</v>
      </c>
      <c r="F56" s="54" t="s">
        <v>74</v>
      </c>
      <c r="G56" s="75">
        <v>1985.0</v>
      </c>
      <c r="H56" s="77">
        <v>12550.0</v>
      </c>
      <c r="I56" s="131" t="s">
        <v>188</v>
      </c>
      <c r="J56" s="54" t="s">
        <v>188</v>
      </c>
      <c r="K56" s="54"/>
      <c r="L56" s="57" t="s">
        <v>354</v>
      </c>
      <c r="M56" s="62" t="s">
        <v>356</v>
      </c>
      <c r="N56" s="54"/>
      <c r="O56" s="54"/>
      <c r="P56" s="54"/>
      <c r="Q56" s="54"/>
      <c r="R56" s="54"/>
      <c r="S56" s="54"/>
      <c r="T56" s="54"/>
      <c r="U56" s="54"/>
      <c r="V56" s="54"/>
      <c r="W56" s="54"/>
      <c r="X56" s="54"/>
      <c r="Y56" s="54"/>
      <c r="Z56" s="54"/>
      <c r="AA56" s="54"/>
      <c r="AB56" s="54"/>
      <c r="AC56" s="54"/>
      <c r="AD56" s="54"/>
      <c r="AE56" s="54"/>
      <c r="AF56" s="54"/>
      <c r="AG56" s="54"/>
    </row>
    <row r="57">
      <c r="A57" s="54" t="s">
        <v>352</v>
      </c>
      <c r="B57" s="54" t="s">
        <v>20</v>
      </c>
      <c r="C57" s="54" t="s">
        <v>949</v>
      </c>
      <c r="D57" s="54" t="s">
        <v>317</v>
      </c>
      <c r="E57" s="54" t="s">
        <v>1248</v>
      </c>
      <c r="F57" s="54" t="s">
        <v>74</v>
      </c>
      <c r="G57" s="75">
        <v>1986.0</v>
      </c>
      <c r="H57" s="77">
        <v>13805.0</v>
      </c>
      <c r="I57" s="131" t="s">
        <v>188</v>
      </c>
      <c r="J57" s="54" t="s">
        <v>188</v>
      </c>
      <c r="K57" s="54"/>
      <c r="L57" s="57" t="s">
        <v>354</v>
      </c>
      <c r="M57" s="62" t="s">
        <v>356</v>
      </c>
      <c r="N57" s="54"/>
      <c r="O57" s="54"/>
      <c r="P57" s="54"/>
      <c r="Q57" s="54"/>
      <c r="R57" s="54"/>
      <c r="S57" s="54"/>
      <c r="T57" s="54"/>
      <c r="U57" s="54"/>
      <c r="V57" s="54"/>
      <c r="W57" s="54"/>
      <c r="X57" s="54"/>
      <c r="Y57" s="54"/>
      <c r="Z57" s="54"/>
      <c r="AA57" s="54"/>
      <c r="AB57" s="54"/>
      <c r="AC57" s="54"/>
      <c r="AD57" s="54"/>
      <c r="AE57" s="54"/>
      <c r="AF57" s="54"/>
      <c r="AG57" s="54"/>
    </row>
    <row r="58">
      <c r="A58" s="54" t="s">
        <v>352</v>
      </c>
      <c r="B58" s="54" t="s">
        <v>20</v>
      </c>
      <c r="C58" s="54" t="s">
        <v>949</v>
      </c>
      <c r="D58" s="54" t="s">
        <v>317</v>
      </c>
      <c r="E58" s="54" t="s">
        <v>1248</v>
      </c>
      <c r="F58" s="54" t="s">
        <v>74</v>
      </c>
      <c r="G58" s="75">
        <v>1987.0</v>
      </c>
      <c r="H58" s="77">
        <v>15120.0</v>
      </c>
      <c r="I58" s="131" t="s">
        <v>188</v>
      </c>
      <c r="J58" s="54" t="s">
        <v>188</v>
      </c>
      <c r="K58" s="54"/>
      <c r="L58" s="57" t="s">
        <v>354</v>
      </c>
      <c r="M58" s="62" t="s">
        <v>356</v>
      </c>
      <c r="N58" s="54"/>
      <c r="O58" s="54"/>
      <c r="P58" s="54"/>
      <c r="Q58" s="54"/>
      <c r="R58" s="54"/>
      <c r="S58" s="54"/>
      <c r="T58" s="54"/>
      <c r="U58" s="54"/>
      <c r="V58" s="54"/>
      <c r="W58" s="54"/>
      <c r="X58" s="54"/>
      <c r="Y58" s="54"/>
      <c r="Z58" s="54"/>
      <c r="AA58" s="54"/>
      <c r="AB58" s="54"/>
      <c r="AC58" s="54"/>
      <c r="AD58" s="54"/>
      <c r="AE58" s="54"/>
      <c r="AF58" s="54"/>
      <c r="AG58" s="54"/>
    </row>
    <row r="59">
      <c r="A59" s="54" t="s">
        <v>352</v>
      </c>
      <c r="B59" s="54" t="s">
        <v>20</v>
      </c>
      <c r="C59" s="54" t="s">
        <v>949</v>
      </c>
      <c r="D59" s="54" t="s">
        <v>317</v>
      </c>
      <c r="E59" s="54" t="s">
        <v>1248</v>
      </c>
      <c r="F59" s="54" t="s">
        <v>74</v>
      </c>
      <c r="G59" s="75">
        <v>1988.0</v>
      </c>
      <c r="H59" s="77">
        <v>14044.0</v>
      </c>
      <c r="I59" s="131" t="s">
        <v>188</v>
      </c>
      <c r="J59" s="54" t="s">
        <v>188</v>
      </c>
      <c r="K59" s="54"/>
      <c r="L59" s="57" t="s">
        <v>354</v>
      </c>
      <c r="M59" s="62" t="s">
        <v>356</v>
      </c>
      <c r="N59" s="54"/>
      <c r="O59" s="54"/>
      <c r="P59" s="54"/>
      <c r="Q59" s="54"/>
      <c r="R59" s="54"/>
      <c r="S59" s="54"/>
      <c r="T59" s="54"/>
      <c r="U59" s="54"/>
      <c r="V59" s="54"/>
      <c r="W59" s="54"/>
      <c r="X59" s="54"/>
      <c r="Y59" s="54"/>
      <c r="Z59" s="54"/>
      <c r="AA59" s="54"/>
      <c r="AB59" s="54"/>
      <c r="AC59" s="54"/>
      <c r="AD59" s="54"/>
      <c r="AE59" s="54"/>
      <c r="AF59" s="54"/>
      <c r="AG59" s="54"/>
    </row>
    <row r="60">
      <c r="A60" s="54" t="s">
        <v>352</v>
      </c>
      <c r="B60" s="54" t="s">
        <v>20</v>
      </c>
      <c r="C60" s="54" t="s">
        <v>949</v>
      </c>
      <c r="D60" s="54" t="s">
        <v>317</v>
      </c>
      <c r="E60" s="54" t="s">
        <v>1248</v>
      </c>
      <c r="F60" s="54" t="s">
        <v>74</v>
      </c>
      <c r="G60" s="75">
        <v>1989.0</v>
      </c>
      <c r="H60" s="77">
        <v>16016.0</v>
      </c>
      <c r="I60" s="131" t="s">
        <v>188</v>
      </c>
      <c r="J60" s="54" t="s">
        <v>188</v>
      </c>
      <c r="K60" s="54"/>
      <c r="L60" s="57" t="s">
        <v>354</v>
      </c>
      <c r="M60" s="62" t="s">
        <v>356</v>
      </c>
      <c r="N60" s="54"/>
      <c r="O60" s="54"/>
      <c r="P60" s="54"/>
      <c r="Q60" s="54"/>
      <c r="R60" s="54"/>
      <c r="S60" s="54"/>
      <c r="T60" s="54"/>
      <c r="U60" s="54"/>
      <c r="V60" s="54"/>
      <c r="W60" s="54"/>
      <c r="X60" s="54"/>
      <c r="Y60" s="54"/>
      <c r="Z60" s="54"/>
      <c r="AA60" s="54"/>
      <c r="AB60" s="54"/>
      <c r="AC60" s="54"/>
      <c r="AD60" s="54"/>
      <c r="AE60" s="54"/>
      <c r="AF60" s="54"/>
      <c r="AG60" s="54"/>
    </row>
    <row r="61">
      <c r="A61" s="54" t="s">
        <v>352</v>
      </c>
      <c r="B61" s="54" t="s">
        <v>20</v>
      </c>
      <c r="C61" s="54" t="s">
        <v>949</v>
      </c>
      <c r="D61" s="54" t="s">
        <v>317</v>
      </c>
      <c r="E61" s="54" t="s">
        <v>1248</v>
      </c>
      <c r="F61" s="54" t="s">
        <v>74</v>
      </c>
      <c r="G61" s="75">
        <v>1990.0</v>
      </c>
      <c r="H61" s="77">
        <v>15657.0</v>
      </c>
      <c r="I61" s="131" t="s">
        <v>188</v>
      </c>
      <c r="J61" s="54" t="s">
        <v>188</v>
      </c>
      <c r="K61" s="54"/>
      <c r="L61" s="57" t="s">
        <v>354</v>
      </c>
      <c r="M61" s="62" t="s">
        <v>356</v>
      </c>
      <c r="N61" s="54"/>
      <c r="O61" s="54"/>
      <c r="P61" s="54"/>
      <c r="Q61" s="54"/>
      <c r="R61" s="54"/>
      <c r="S61" s="54"/>
      <c r="T61" s="54"/>
      <c r="U61" s="54"/>
      <c r="V61" s="54"/>
      <c r="W61" s="54"/>
      <c r="X61" s="54"/>
      <c r="Y61" s="54"/>
      <c r="Z61" s="54"/>
      <c r="AA61" s="54"/>
      <c r="AB61" s="54"/>
      <c r="AC61" s="54"/>
      <c r="AD61" s="54"/>
      <c r="AE61" s="54"/>
      <c r="AF61" s="54"/>
      <c r="AG61" s="54"/>
    </row>
    <row r="62">
      <c r="A62" s="54" t="s">
        <v>352</v>
      </c>
      <c r="B62" s="54" t="s">
        <v>20</v>
      </c>
      <c r="C62" s="54" t="s">
        <v>949</v>
      </c>
      <c r="D62" s="54" t="s">
        <v>317</v>
      </c>
      <c r="E62" s="54" t="s">
        <v>1248</v>
      </c>
      <c r="F62" s="54" t="s">
        <v>74</v>
      </c>
      <c r="G62" s="75">
        <v>1991.0</v>
      </c>
      <c r="H62" s="77">
        <v>18108.0</v>
      </c>
      <c r="I62" s="131" t="s">
        <v>188</v>
      </c>
      <c r="J62" s="54" t="s">
        <v>188</v>
      </c>
      <c r="K62" s="54"/>
      <c r="L62" s="57" t="s">
        <v>354</v>
      </c>
      <c r="M62" s="62" t="s">
        <v>356</v>
      </c>
      <c r="N62" s="54"/>
      <c r="O62" s="54"/>
      <c r="P62" s="54"/>
      <c r="Q62" s="54"/>
      <c r="R62" s="54"/>
      <c r="S62" s="54"/>
      <c r="T62" s="54"/>
      <c r="U62" s="54"/>
      <c r="V62" s="54"/>
      <c r="W62" s="54"/>
      <c r="X62" s="54"/>
      <c r="Y62" s="54"/>
      <c r="Z62" s="54"/>
      <c r="AA62" s="54"/>
      <c r="AB62" s="54"/>
      <c r="AC62" s="54"/>
      <c r="AD62" s="54"/>
      <c r="AE62" s="54"/>
      <c r="AF62" s="54"/>
      <c r="AG62" s="54"/>
    </row>
    <row r="63">
      <c r="A63" s="54" t="s">
        <v>352</v>
      </c>
      <c r="B63" s="54" t="s">
        <v>20</v>
      </c>
      <c r="C63" s="54" t="s">
        <v>949</v>
      </c>
      <c r="D63" s="54" t="s">
        <v>317</v>
      </c>
      <c r="E63" s="54" t="s">
        <v>1248</v>
      </c>
      <c r="F63" s="54" t="s">
        <v>74</v>
      </c>
      <c r="G63" s="75">
        <v>1992.0</v>
      </c>
      <c r="H63" s="77">
        <v>18645.0</v>
      </c>
      <c r="I63" s="131" t="s">
        <v>188</v>
      </c>
      <c r="J63" s="54" t="s">
        <v>188</v>
      </c>
      <c r="K63" s="54"/>
      <c r="L63" s="57" t="s">
        <v>354</v>
      </c>
      <c r="M63" s="62" t="s">
        <v>356</v>
      </c>
      <c r="N63" s="54"/>
      <c r="O63" s="54"/>
      <c r="P63" s="54"/>
      <c r="Q63" s="54"/>
      <c r="R63" s="54"/>
      <c r="S63" s="54"/>
      <c r="T63" s="54"/>
      <c r="U63" s="54"/>
      <c r="V63" s="54"/>
      <c r="W63" s="54"/>
      <c r="X63" s="54"/>
      <c r="Y63" s="54"/>
      <c r="Z63" s="54"/>
      <c r="AA63" s="54"/>
      <c r="AB63" s="54"/>
      <c r="AC63" s="54"/>
      <c r="AD63" s="54"/>
      <c r="AE63" s="54"/>
      <c r="AF63" s="54"/>
      <c r="AG63" s="54"/>
    </row>
    <row r="64">
      <c r="A64" s="54" t="s">
        <v>352</v>
      </c>
      <c r="B64" s="54" t="s">
        <v>20</v>
      </c>
      <c r="C64" s="54" t="s">
        <v>949</v>
      </c>
      <c r="D64" s="54" t="s">
        <v>317</v>
      </c>
      <c r="E64" s="54" t="s">
        <v>1248</v>
      </c>
      <c r="F64" s="54" t="s">
        <v>74</v>
      </c>
      <c r="G64" s="75">
        <v>1993.0</v>
      </c>
      <c r="H64" s="77">
        <v>14880.0</v>
      </c>
      <c r="I64" s="131" t="s">
        <v>188</v>
      </c>
      <c r="J64" s="54" t="s">
        <v>188</v>
      </c>
      <c r="K64" s="54"/>
      <c r="L64" s="57" t="s">
        <v>354</v>
      </c>
      <c r="M64" s="62" t="s">
        <v>356</v>
      </c>
      <c r="N64" s="54"/>
      <c r="O64" s="54"/>
      <c r="P64" s="54"/>
      <c r="Q64" s="54"/>
      <c r="R64" s="54"/>
      <c r="S64" s="54"/>
      <c r="T64" s="54"/>
      <c r="U64" s="54"/>
      <c r="V64" s="54"/>
      <c r="W64" s="54"/>
      <c r="X64" s="54"/>
      <c r="Y64" s="54"/>
      <c r="Z64" s="54"/>
      <c r="AA64" s="54"/>
      <c r="AB64" s="54"/>
      <c r="AC64" s="54"/>
      <c r="AD64" s="54"/>
      <c r="AE64" s="54"/>
      <c r="AF64" s="54"/>
      <c r="AG64" s="54"/>
    </row>
    <row r="65">
      <c r="A65" s="54" t="s">
        <v>352</v>
      </c>
      <c r="B65" s="54" t="s">
        <v>20</v>
      </c>
      <c r="C65" s="54" t="s">
        <v>949</v>
      </c>
      <c r="D65" s="54" t="s">
        <v>317</v>
      </c>
      <c r="E65" s="54" t="s">
        <v>1248</v>
      </c>
      <c r="F65" s="54" t="s">
        <v>74</v>
      </c>
      <c r="G65" s="75">
        <v>1994.0</v>
      </c>
      <c r="H65" s="77">
        <v>17092.0</v>
      </c>
      <c r="I65" s="131" t="s">
        <v>188</v>
      </c>
      <c r="J65" s="54" t="s">
        <v>188</v>
      </c>
      <c r="K65" s="54"/>
      <c r="L65" s="57" t="s">
        <v>354</v>
      </c>
      <c r="M65" s="62" t="s">
        <v>356</v>
      </c>
      <c r="N65" s="54"/>
      <c r="O65" s="54"/>
      <c r="P65" s="54"/>
      <c r="Q65" s="54"/>
      <c r="R65" s="54"/>
      <c r="S65" s="54"/>
      <c r="T65" s="54"/>
      <c r="U65" s="54"/>
      <c r="V65" s="54"/>
      <c r="W65" s="54"/>
      <c r="X65" s="54"/>
      <c r="Y65" s="54"/>
      <c r="Z65" s="54"/>
      <c r="AA65" s="54"/>
      <c r="AB65" s="54"/>
      <c r="AC65" s="54"/>
      <c r="AD65" s="54"/>
      <c r="AE65" s="54"/>
      <c r="AF65" s="54"/>
      <c r="AG65" s="54"/>
    </row>
    <row r="66">
      <c r="A66" s="54" t="s">
        <v>352</v>
      </c>
      <c r="B66" s="54" t="s">
        <v>20</v>
      </c>
      <c r="C66" s="54" t="s">
        <v>949</v>
      </c>
      <c r="D66" s="54" t="s">
        <v>317</v>
      </c>
      <c r="E66" s="54" t="s">
        <v>1248</v>
      </c>
      <c r="F66" s="54" t="s">
        <v>74</v>
      </c>
      <c r="G66" s="75">
        <v>1995.0</v>
      </c>
      <c r="H66" s="77">
        <v>20319.0</v>
      </c>
      <c r="I66" s="131" t="s">
        <v>188</v>
      </c>
      <c r="J66" s="54" t="s">
        <v>188</v>
      </c>
      <c r="K66" s="54"/>
      <c r="L66" s="57" t="s">
        <v>354</v>
      </c>
      <c r="M66" s="62" t="s">
        <v>356</v>
      </c>
      <c r="N66" s="54"/>
      <c r="O66" s="54"/>
      <c r="P66" s="54"/>
      <c r="Q66" s="54"/>
      <c r="R66" s="54"/>
      <c r="S66" s="54"/>
      <c r="T66" s="54"/>
      <c r="U66" s="54"/>
      <c r="V66" s="54"/>
      <c r="W66" s="54"/>
      <c r="X66" s="54"/>
      <c r="Y66" s="54"/>
      <c r="Z66" s="54"/>
      <c r="AA66" s="54"/>
      <c r="AB66" s="54"/>
      <c r="AC66" s="54"/>
      <c r="AD66" s="54"/>
      <c r="AE66" s="54"/>
      <c r="AF66" s="54"/>
      <c r="AG66" s="54"/>
    </row>
    <row r="67">
      <c r="A67" s="54" t="s">
        <v>352</v>
      </c>
      <c r="B67" s="54" t="s">
        <v>20</v>
      </c>
      <c r="C67" s="54" t="s">
        <v>949</v>
      </c>
      <c r="D67" s="54" t="s">
        <v>317</v>
      </c>
      <c r="E67" s="54" t="s">
        <v>1248</v>
      </c>
      <c r="F67" s="54" t="s">
        <v>74</v>
      </c>
      <c r="G67" s="75">
        <v>2002.0</v>
      </c>
      <c r="H67" s="77">
        <v>17510.0</v>
      </c>
      <c r="I67" s="131" t="s">
        <v>188</v>
      </c>
      <c r="J67" s="54" t="s">
        <v>188</v>
      </c>
      <c r="K67" s="54"/>
      <c r="L67" s="57" t="s">
        <v>354</v>
      </c>
      <c r="M67" s="62" t="s">
        <v>356</v>
      </c>
      <c r="N67" s="54"/>
      <c r="O67" s="54"/>
      <c r="P67" s="54"/>
      <c r="Q67" s="54"/>
      <c r="R67" s="54"/>
      <c r="S67" s="54"/>
      <c r="T67" s="54"/>
      <c r="U67" s="54"/>
      <c r="V67" s="54"/>
      <c r="W67" s="54"/>
      <c r="X67" s="54"/>
      <c r="Y67" s="54"/>
      <c r="Z67" s="54"/>
      <c r="AA67" s="54"/>
      <c r="AB67" s="54"/>
      <c r="AC67" s="54"/>
      <c r="AD67" s="54"/>
      <c r="AE67" s="54"/>
      <c r="AF67" s="54"/>
      <c r="AG67" s="54"/>
    </row>
    <row r="68">
      <c r="A68" s="54" t="s">
        <v>352</v>
      </c>
      <c r="B68" s="54" t="s">
        <v>20</v>
      </c>
      <c r="C68" s="54" t="s">
        <v>949</v>
      </c>
      <c r="D68" s="54" t="s">
        <v>317</v>
      </c>
      <c r="E68" s="54" t="s">
        <v>1248</v>
      </c>
      <c r="F68" s="54" t="s">
        <v>74</v>
      </c>
      <c r="G68" s="75">
        <v>2004.0</v>
      </c>
      <c r="H68" s="77">
        <v>21992.0</v>
      </c>
      <c r="I68" s="131" t="s">
        <v>188</v>
      </c>
      <c r="J68" s="54" t="s">
        <v>188</v>
      </c>
      <c r="K68" s="54"/>
      <c r="L68" s="57" t="s">
        <v>354</v>
      </c>
      <c r="M68" s="62" t="s">
        <v>356</v>
      </c>
      <c r="N68" s="54"/>
      <c r="O68" s="54"/>
      <c r="P68" s="54"/>
      <c r="Q68" s="54"/>
      <c r="R68" s="54"/>
      <c r="S68" s="54"/>
      <c r="T68" s="54"/>
      <c r="U68" s="54"/>
      <c r="V68" s="54"/>
      <c r="W68" s="54"/>
      <c r="X68" s="54"/>
      <c r="Y68" s="54"/>
      <c r="Z68" s="54"/>
      <c r="AA68" s="54"/>
      <c r="AB68" s="54"/>
      <c r="AC68" s="54"/>
      <c r="AD68" s="54"/>
      <c r="AE68" s="54"/>
      <c r="AF68" s="54"/>
      <c r="AG68" s="54"/>
    </row>
    <row r="69">
      <c r="A69" s="54" t="s">
        <v>352</v>
      </c>
      <c r="B69" s="54" t="s">
        <v>20</v>
      </c>
      <c r="C69" s="54" t="s">
        <v>949</v>
      </c>
      <c r="D69" s="54" t="s">
        <v>317</v>
      </c>
      <c r="E69" s="54" t="s">
        <v>1248</v>
      </c>
      <c r="F69" s="54" t="s">
        <v>74</v>
      </c>
      <c r="G69" s="75">
        <v>2009.0</v>
      </c>
      <c r="H69" s="77">
        <v>16076.0</v>
      </c>
      <c r="I69" s="131" t="s">
        <v>188</v>
      </c>
      <c r="J69" s="54" t="s">
        <v>188</v>
      </c>
      <c r="K69" s="54"/>
      <c r="L69" s="57" t="s">
        <v>354</v>
      </c>
      <c r="M69" s="62" t="s">
        <v>356</v>
      </c>
      <c r="N69" s="54"/>
      <c r="O69" s="54"/>
      <c r="P69" s="54"/>
      <c r="Q69" s="54"/>
      <c r="R69" s="54"/>
      <c r="S69" s="54"/>
      <c r="T69" s="54"/>
      <c r="U69" s="54"/>
      <c r="V69" s="54"/>
      <c r="W69" s="54"/>
      <c r="X69" s="54"/>
      <c r="Y69" s="54"/>
      <c r="Z69" s="54"/>
      <c r="AA69" s="54"/>
      <c r="AB69" s="54"/>
      <c r="AC69" s="54"/>
      <c r="AD69" s="54"/>
      <c r="AE69" s="54"/>
      <c r="AF69" s="54"/>
      <c r="AG69" s="54"/>
    </row>
    <row r="70">
      <c r="A70" s="54" t="s">
        <v>352</v>
      </c>
      <c r="B70" s="54" t="s">
        <v>20</v>
      </c>
      <c r="C70" s="54" t="s">
        <v>949</v>
      </c>
      <c r="D70" s="54" t="s">
        <v>317</v>
      </c>
      <c r="E70" s="54" t="s">
        <v>1248</v>
      </c>
      <c r="F70" s="54" t="s">
        <v>74</v>
      </c>
      <c r="G70" s="75">
        <v>2012.0</v>
      </c>
      <c r="H70" s="77">
        <v>15299.0</v>
      </c>
      <c r="I70" s="131" t="s">
        <v>188</v>
      </c>
      <c r="J70" s="54" t="s">
        <v>188</v>
      </c>
      <c r="K70" s="54"/>
      <c r="L70" s="57" t="s">
        <v>354</v>
      </c>
      <c r="M70" s="62" t="s">
        <v>356</v>
      </c>
      <c r="N70" s="54"/>
      <c r="O70" s="54"/>
      <c r="P70" s="54"/>
      <c r="Q70" s="54"/>
      <c r="R70" s="54"/>
      <c r="S70" s="54"/>
      <c r="T70" s="54"/>
      <c r="U70" s="54"/>
      <c r="V70" s="54"/>
      <c r="W70" s="54"/>
      <c r="X70" s="54"/>
      <c r="Y70" s="54"/>
      <c r="Z70" s="54"/>
      <c r="AA70" s="54"/>
      <c r="AB70" s="54"/>
      <c r="AC70" s="54"/>
      <c r="AD70" s="54"/>
      <c r="AE70" s="54"/>
      <c r="AF70" s="54"/>
      <c r="AG70" s="54"/>
    </row>
    <row r="71">
      <c r="A71" s="54" t="s">
        <v>352</v>
      </c>
      <c r="B71" s="54" t="s">
        <v>20</v>
      </c>
      <c r="C71" s="54" t="s">
        <v>968</v>
      </c>
      <c r="D71" s="54" t="s">
        <v>317</v>
      </c>
      <c r="E71" s="54" t="s">
        <v>1248</v>
      </c>
      <c r="F71" s="54" t="s">
        <v>74</v>
      </c>
      <c r="G71" s="75">
        <v>1984.0</v>
      </c>
      <c r="H71" s="77">
        <v>14104.0</v>
      </c>
      <c r="I71" s="131" t="s">
        <v>188</v>
      </c>
      <c r="J71" s="54" t="s">
        <v>188</v>
      </c>
      <c r="K71" s="54"/>
      <c r="L71" s="57" t="s">
        <v>354</v>
      </c>
      <c r="M71" s="62" t="s">
        <v>356</v>
      </c>
      <c r="N71" s="54"/>
      <c r="O71" s="54"/>
      <c r="P71" s="54"/>
      <c r="Q71" s="54"/>
      <c r="R71" s="54"/>
      <c r="S71" s="54"/>
      <c r="T71" s="54"/>
      <c r="U71" s="54"/>
      <c r="V71" s="54"/>
      <c r="W71" s="54"/>
      <c r="X71" s="54"/>
      <c r="Y71" s="54"/>
      <c r="Z71" s="54"/>
      <c r="AA71" s="54"/>
      <c r="AB71" s="54"/>
      <c r="AC71" s="54"/>
      <c r="AD71" s="54"/>
      <c r="AE71" s="54"/>
      <c r="AF71" s="54"/>
      <c r="AG71" s="54"/>
    </row>
    <row r="72">
      <c r="A72" s="54" t="s">
        <v>352</v>
      </c>
      <c r="B72" s="54" t="s">
        <v>20</v>
      </c>
      <c r="C72" s="54" t="s">
        <v>968</v>
      </c>
      <c r="D72" s="54" t="s">
        <v>317</v>
      </c>
      <c r="E72" s="54" t="s">
        <v>1248</v>
      </c>
      <c r="F72" s="54" t="s">
        <v>74</v>
      </c>
      <c r="G72" s="75">
        <v>1985.0</v>
      </c>
      <c r="H72" s="77">
        <v>14880.0</v>
      </c>
      <c r="I72" s="131" t="s">
        <v>188</v>
      </c>
      <c r="J72" s="54" t="s">
        <v>188</v>
      </c>
      <c r="K72" s="54"/>
      <c r="L72" s="57" t="s">
        <v>354</v>
      </c>
      <c r="M72" s="62" t="s">
        <v>356</v>
      </c>
      <c r="N72" s="54"/>
      <c r="O72" s="54"/>
      <c r="P72" s="54"/>
      <c r="Q72" s="54"/>
      <c r="R72" s="54"/>
      <c r="S72" s="54"/>
      <c r="T72" s="54"/>
      <c r="U72" s="54"/>
      <c r="V72" s="54"/>
      <c r="W72" s="54"/>
      <c r="X72" s="54"/>
      <c r="Y72" s="54"/>
      <c r="Z72" s="54"/>
      <c r="AA72" s="54"/>
      <c r="AB72" s="54"/>
      <c r="AC72" s="54"/>
      <c r="AD72" s="54"/>
      <c r="AE72" s="54"/>
      <c r="AF72" s="54"/>
      <c r="AG72" s="54"/>
    </row>
    <row r="73">
      <c r="A73" s="54" t="s">
        <v>352</v>
      </c>
      <c r="B73" s="54" t="s">
        <v>20</v>
      </c>
      <c r="C73" s="54" t="s">
        <v>968</v>
      </c>
      <c r="D73" s="54" t="s">
        <v>317</v>
      </c>
      <c r="E73" s="54" t="s">
        <v>1248</v>
      </c>
      <c r="F73" s="54" t="s">
        <v>74</v>
      </c>
      <c r="G73" s="75">
        <v>1986.0</v>
      </c>
      <c r="H73" s="77">
        <v>15598.0</v>
      </c>
      <c r="I73" s="131" t="s">
        <v>188</v>
      </c>
      <c r="J73" s="54" t="s">
        <v>188</v>
      </c>
      <c r="K73" s="54"/>
      <c r="L73" s="57" t="s">
        <v>354</v>
      </c>
      <c r="M73" s="62" t="s">
        <v>356</v>
      </c>
      <c r="N73" s="54"/>
      <c r="O73" s="54"/>
      <c r="P73" s="54"/>
      <c r="Q73" s="54"/>
      <c r="R73" s="54"/>
      <c r="S73" s="54"/>
      <c r="T73" s="54"/>
      <c r="U73" s="54"/>
      <c r="V73" s="54"/>
      <c r="W73" s="54"/>
      <c r="X73" s="54"/>
      <c r="Y73" s="54"/>
      <c r="Z73" s="54"/>
      <c r="AA73" s="54"/>
      <c r="AB73" s="54"/>
      <c r="AC73" s="54"/>
      <c r="AD73" s="54"/>
      <c r="AE73" s="54"/>
      <c r="AF73" s="54"/>
      <c r="AG73" s="54"/>
    </row>
    <row r="74">
      <c r="A74" s="54" t="s">
        <v>352</v>
      </c>
      <c r="B74" s="54" t="s">
        <v>20</v>
      </c>
      <c r="C74" s="54" t="s">
        <v>968</v>
      </c>
      <c r="D74" s="54" t="s">
        <v>317</v>
      </c>
      <c r="E74" s="54" t="s">
        <v>1248</v>
      </c>
      <c r="F74" s="54" t="s">
        <v>74</v>
      </c>
      <c r="G74" s="75">
        <v>1987.0</v>
      </c>
      <c r="H74" s="77">
        <v>19422.0</v>
      </c>
      <c r="I74" s="131" t="s">
        <v>188</v>
      </c>
      <c r="J74" s="54" t="s">
        <v>188</v>
      </c>
      <c r="K74" s="54"/>
      <c r="L74" s="57" t="s">
        <v>354</v>
      </c>
      <c r="M74" s="62" t="s">
        <v>356</v>
      </c>
      <c r="N74" s="54"/>
      <c r="O74" s="54"/>
      <c r="P74" s="54"/>
      <c r="Q74" s="54"/>
      <c r="R74" s="54"/>
      <c r="S74" s="54"/>
      <c r="T74" s="54"/>
      <c r="U74" s="54"/>
      <c r="V74" s="54"/>
      <c r="W74" s="54"/>
      <c r="X74" s="54"/>
      <c r="Y74" s="54"/>
      <c r="Z74" s="54"/>
      <c r="AA74" s="54"/>
      <c r="AB74" s="54"/>
      <c r="AC74" s="54"/>
      <c r="AD74" s="54"/>
      <c r="AE74" s="54"/>
      <c r="AF74" s="54"/>
      <c r="AG74" s="54"/>
    </row>
    <row r="75">
      <c r="A75" s="54" t="s">
        <v>352</v>
      </c>
      <c r="B75" s="54" t="s">
        <v>20</v>
      </c>
      <c r="C75" s="54" t="s">
        <v>968</v>
      </c>
      <c r="D75" s="54" t="s">
        <v>317</v>
      </c>
      <c r="E75" s="54" t="s">
        <v>1248</v>
      </c>
      <c r="F75" s="54" t="s">
        <v>74</v>
      </c>
      <c r="G75" s="75">
        <v>1988.0</v>
      </c>
      <c r="H75" s="77">
        <v>17988.0</v>
      </c>
      <c r="I75" s="131" t="s">
        <v>188</v>
      </c>
      <c r="J75" s="54" t="s">
        <v>188</v>
      </c>
      <c r="K75" s="54"/>
      <c r="L75" s="57" t="s">
        <v>354</v>
      </c>
      <c r="M75" s="62" t="s">
        <v>356</v>
      </c>
      <c r="N75" s="54"/>
      <c r="O75" s="54"/>
      <c r="P75" s="54"/>
      <c r="Q75" s="54"/>
      <c r="R75" s="54"/>
      <c r="S75" s="54"/>
      <c r="T75" s="54"/>
      <c r="U75" s="54"/>
      <c r="V75" s="54"/>
      <c r="W75" s="54"/>
      <c r="X75" s="54"/>
      <c r="Y75" s="54"/>
      <c r="Z75" s="54"/>
      <c r="AA75" s="54"/>
      <c r="AB75" s="54"/>
      <c r="AC75" s="54"/>
      <c r="AD75" s="54"/>
      <c r="AE75" s="54"/>
      <c r="AF75" s="54"/>
      <c r="AG75" s="54"/>
    </row>
    <row r="76">
      <c r="A76" s="54" t="s">
        <v>352</v>
      </c>
      <c r="B76" s="54" t="s">
        <v>20</v>
      </c>
      <c r="C76" s="54" t="s">
        <v>968</v>
      </c>
      <c r="D76" s="54" t="s">
        <v>317</v>
      </c>
      <c r="E76" s="54" t="s">
        <v>1248</v>
      </c>
      <c r="F76" s="54" t="s">
        <v>74</v>
      </c>
      <c r="G76" s="75">
        <v>1989.0</v>
      </c>
      <c r="H76" s="77">
        <v>20378.0</v>
      </c>
      <c r="I76" s="131" t="s">
        <v>188</v>
      </c>
      <c r="J76" s="54" t="s">
        <v>188</v>
      </c>
      <c r="K76" s="54"/>
      <c r="L76" s="57" t="s">
        <v>354</v>
      </c>
      <c r="M76" s="62" t="s">
        <v>356</v>
      </c>
      <c r="N76" s="54"/>
      <c r="O76" s="54"/>
      <c r="P76" s="54"/>
      <c r="Q76" s="54"/>
      <c r="R76" s="54"/>
      <c r="S76" s="54"/>
      <c r="T76" s="54"/>
      <c r="U76" s="54"/>
      <c r="V76" s="54"/>
      <c r="W76" s="54"/>
      <c r="X76" s="54"/>
      <c r="Y76" s="54"/>
      <c r="Z76" s="54"/>
      <c r="AA76" s="54"/>
      <c r="AB76" s="54"/>
      <c r="AC76" s="54"/>
      <c r="AD76" s="54"/>
      <c r="AE76" s="54"/>
      <c r="AF76" s="54"/>
      <c r="AG76" s="54"/>
    </row>
    <row r="77">
      <c r="A77" s="54" t="s">
        <v>352</v>
      </c>
      <c r="B77" s="54" t="s">
        <v>20</v>
      </c>
      <c r="C77" s="54" t="s">
        <v>968</v>
      </c>
      <c r="D77" s="54" t="s">
        <v>317</v>
      </c>
      <c r="E77" s="54" t="s">
        <v>1248</v>
      </c>
      <c r="F77" s="54" t="s">
        <v>74</v>
      </c>
      <c r="G77" s="75">
        <v>1990.0</v>
      </c>
      <c r="H77" s="77">
        <v>18406.0</v>
      </c>
      <c r="I77" s="131" t="s">
        <v>188</v>
      </c>
      <c r="J77" s="54" t="s">
        <v>188</v>
      </c>
      <c r="K77" s="54"/>
      <c r="L77" s="57" t="s">
        <v>354</v>
      </c>
      <c r="M77" s="62" t="s">
        <v>356</v>
      </c>
      <c r="N77" s="54"/>
      <c r="O77" s="54"/>
      <c r="P77" s="54"/>
      <c r="Q77" s="54"/>
      <c r="R77" s="54"/>
      <c r="S77" s="54"/>
      <c r="T77" s="54"/>
      <c r="U77" s="54"/>
      <c r="V77" s="54"/>
      <c r="W77" s="54"/>
      <c r="X77" s="54"/>
      <c r="Y77" s="54"/>
      <c r="Z77" s="54"/>
      <c r="AA77" s="54"/>
      <c r="AB77" s="54"/>
      <c r="AC77" s="54"/>
      <c r="AD77" s="54"/>
      <c r="AE77" s="54"/>
      <c r="AF77" s="54"/>
      <c r="AG77" s="54"/>
    </row>
    <row r="78">
      <c r="A78" s="54" t="s">
        <v>352</v>
      </c>
      <c r="B78" s="54" t="s">
        <v>20</v>
      </c>
      <c r="C78" s="54" t="s">
        <v>968</v>
      </c>
      <c r="D78" s="54" t="s">
        <v>317</v>
      </c>
      <c r="E78" s="54" t="s">
        <v>1248</v>
      </c>
      <c r="F78" s="54" t="s">
        <v>74</v>
      </c>
      <c r="G78" s="75">
        <v>1991.0</v>
      </c>
      <c r="H78" s="77">
        <v>22829.0</v>
      </c>
      <c r="I78" s="131" t="s">
        <v>188</v>
      </c>
      <c r="J78" s="54" t="s">
        <v>188</v>
      </c>
      <c r="K78" s="54"/>
      <c r="L78" s="57" t="s">
        <v>354</v>
      </c>
      <c r="M78" s="62" t="s">
        <v>356</v>
      </c>
      <c r="N78" s="54"/>
      <c r="O78" s="54"/>
      <c r="P78" s="54"/>
      <c r="Q78" s="54"/>
      <c r="R78" s="54"/>
      <c r="S78" s="54"/>
      <c r="T78" s="54"/>
      <c r="U78" s="54"/>
      <c r="V78" s="54"/>
      <c r="W78" s="54"/>
      <c r="X78" s="54"/>
      <c r="Y78" s="54"/>
      <c r="Z78" s="54"/>
      <c r="AA78" s="54"/>
      <c r="AB78" s="54"/>
      <c r="AC78" s="54"/>
      <c r="AD78" s="54"/>
      <c r="AE78" s="54"/>
      <c r="AF78" s="54"/>
      <c r="AG78" s="54"/>
    </row>
    <row r="79">
      <c r="A79" s="54" t="s">
        <v>352</v>
      </c>
      <c r="B79" s="54" t="s">
        <v>20</v>
      </c>
      <c r="C79" s="54" t="s">
        <v>968</v>
      </c>
      <c r="D79" s="54" t="s">
        <v>317</v>
      </c>
      <c r="E79" s="54" t="s">
        <v>1248</v>
      </c>
      <c r="F79" s="54" t="s">
        <v>74</v>
      </c>
      <c r="G79" s="75">
        <v>1992.0</v>
      </c>
      <c r="H79" s="77">
        <v>23068.0</v>
      </c>
      <c r="I79" s="131" t="s">
        <v>188</v>
      </c>
      <c r="J79" s="54" t="s">
        <v>188</v>
      </c>
      <c r="K79" s="54"/>
      <c r="L79" s="57" t="s">
        <v>354</v>
      </c>
      <c r="M79" s="62" t="s">
        <v>356</v>
      </c>
      <c r="N79" s="54"/>
      <c r="O79" s="54"/>
      <c r="P79" s="54"/>
      <c r="Q79" s="54"/>
      <c r="R79" s="54"/>
      <c r="S79" s="54"/>
      <c r="T79" s="54"/>
      <c r="U79" s="54"/>
      <c r="V79" s="54"/>
      <c r="W79" s="54"/>
      <c r="X79" s="54"/>
      <c r="Y79" s="54"/>
      <c r="Z79" s="54"/>
      <c r="AA79" s="54"/>
      <c r="AB79" s="54"/>
      <c r="AC79" s="54"/>
      <c r="AD79" s="54"/>
      <c r="AE79" s="54"/>
      <c r="AF79" s="54"/>
      <c r="AG79" s="54"/>
    </row>
    <row r="80">
      <c r="A80" s="54" t="s">
        <v>352</v>
      </c>
      <c r="B80" s="54" t="s">
        <v>20</v>
      </c>
      <c r="C80" s="54" t="s">
        <v>968</v>
      </c>
      <c r="D80" s="54" t="s">
        <v>317</v>
      </c>
      <c r="E80" s="54" t="s">
        <v>1248</v>
      </c>
      <c r="F80" s="54" t="s">
        <v>74</v>
      </c>
      <c r="G80" s="75">
        <v>1993.0</v>
      </c>
      <c r="H80" s="77">
        <v>17988.0</v>
      </c>
      <c r="I80" s="131" t="s">
        <v>188</v>
      </c>
      <c r="J80" s="54" t="s">
        <v>188</v>
      </c>
      <c r="K80" s="54"/>
      <c r="L80" s="57" t="s">
        <v>354</v>
      </c>
      <c r="M80" s="62" t="s">
        <v>356</v>
      </c>
      <c r="N80" s="54"/>
      <c r="O80" s="54"/>
      <c r="P80" s="54"/>
      <c r="Q80" s="54"/>
      <c r="R80" s="54"/>
      <c r="S80" s="54"/>
      <c r="T80" s="54"/>
      <c r="U80" s="54"/>
      <c r="V80" s="54"/>
      <c r="W80" s="54"/>
      <c r="X80" s="54"/>
      <c r="Y80" s="54"/>
      <c r="Z80" s="54"/>
      <c r="AA80" s="54"/>
      <c r="AB80" s="54"/>
      <c r="AC80" s="54"/>
      <c r="AD80" s="54"/>
      <c r="AE80" s="54"/>
      <c r="AF80" s="54"/>
      <c r="AG80" s="54"/>
    </row>
    <row r="81">
      <c r="A81" s="54" t="s">
        <v>352</v>
      </c>
      <c r="B81" s="54" t="s">
        <v>20</v>
      </c>
      <c r="C81" s="54" t="s">
        <v>968</v>
      </c>
      <c r="D81" s="54" t="s">
        <v>317</v>
      </c>
      <c r="E81" s="54" t="s">
        <v>1248</v>
      </c>
      <c r="F81" s="54" t="s">
        <v>74</v>
      </c>
      <c r="G81" s="75">
        <v>1994.0</v>
      </c>
      <c r="H81" s="77">
        <v>21394.0</v>
      </c>
      <c r="I81" s="131" t="s">
        <v>188</v>
      </c>
      <c r="J81" s="54" t="s">
        <v>188</v>
      </c>
      <c r="K81" s="54"/>
      <c r="L81" s="57" t="s">
        <v>354</v>
      </c>
      <c r="M81" s="62" t="s">
        <v>356</v>
      </c>
      <c r="N81" s="54"/>
      <c r="O81" s="54"/>
      <c r="P81" s="54"/>
      <c r="Q81" s="54"/>
      <c r="R81" s="54"/>
      <c r="S81" s="54"/>
      <c r="T81" s="54"/>
      <c r="U81" s="54"/>
      <c r="V81" s="54"/>
      <c r="W81" s="54"/>
      <c r="X81" s="54"/>
      <c r="Y81" s="54"/>
      <c r="Z81" s="54"/>
      <c r="AA81" s="54"/>
      <c r="AB81" s="54"/>
      <c r="AC81" s="54"/>
      <c r="AD81" s="54"/>
      <c r="AE81" s="54"/>
      <c r="AF81" s="54"/>
      <c r="AG81" s="54"/>
    </row>
    <row r="82">
      <c r="A82" s="54" t="s">
        <v>352</v>
      </c>
      <c r="B82" s="54" t="s">
        <v>20</v>
      </c>
      <c r="C82" s="54" t="s">
        <v>968</v>
      </c>
      <c r="D82" s="54" t="s">
        <v>317</v>
      </c>
      <c r="E82" s="54" t="s">
        <v>1248</v>
      </c>
      <c r="F82" s="54" t="s">
        <v>74</v>
      </c>
      <c r="G82" s="75">
        <v>1995.0</v>
      </c>
      <c r="H82" s="77">
        <v>23367.0</v>
      </c>
      <c r="I82" s="131" t="s">
        <v>188</v>
      </c>
      <c r="J82" s="54" t="s">
        <v>188</v>
      </c>
      <c r="K82" s="54"/>
      <c r="L82" s="57" t="s">
        <v>354</v>
      </c>
      <c r="M82" s="62" t="s">
        <v>356</v>
      </c>
      <c r="N82" s="54"/>
      <c r="O82" s="54"/>
      <c r="P82" s="54"/>
      <c r="Q82" s="54"/>
      <c r="R82" s="54"/>
      <c r="S82" s="54"/>
      <c r="T82" s="54"/>
      <c r="U82" s="54"/>
      <c r="V82" s="54"/>
      <c r="W82" s="54"/>
      <c r="X82" s="54"/>
      <c r="Y82" s="54"/>
      <c r="Z82" s="54"/>
      <c r="AA82" s="54"/>
      <c r="AB82" s="54"/>
      <c r="AC82" s="54"/>
      <c r="AD82" s="54"/>
      <c r="AE82" s="54"/>
      <c r="AF82" s="54"/>
      <c r="AG82" s="54"/>
    </row>
    <row r="83">
      <c r="A83" s="54" t="s">
        <v>352</v>
      </c>
      <c r="B83" s="54" t="s">
        <v>20</v>
      </c>
      <c r="C83" s="54" t="s">
        <v>968</v>
      </c>
      <c r="D83" s="54" t="s">
        <v>317</v>
      </c>
      <c r="E83" s="54" t="s">
        <v>1248</v>
      </c>
      <c r="F83" s="54" t="s">
        <v>74</v>
      </c>
      <c r="G83" s="75">
        <v>2002.0</v>
      </c>
      <c r="H83" s="77">
        <v>21394.0</v>
      </c>
      <c r="I83" s="131" t="s">
        <v>188</v>
      </c>
      <c r="J83" s="54" t="s">
        <v>188</v>
      </c>
      <c r="K83" s="54"/>
      <c r="L83" s="57" t="s">
        <v>354</v>
      </c>
      <c r="M83" s="62" t="s">
        <v>356</v>
      </c>
      <c r="N83" s="54"/>
      <c r="O83" s="54"/>
      <c r="P83" s="54"/>
      <c r="Q83" s="54"/>
      <c r="R83" s="54"/>
      <c r="S83" s="54"/>
      <c r="T83" s="54"/>
      <c r="U83" s="54"/>
      <c r="V83" s="54"/>
      <c r="W83" s="54"/>
      <c r="X83" s="54"/>
      <c r="Y83" s="54"/>
      <c r="Z83" s="54"/>
      <c r="AA83" s="54"/>
      <c r="AB83" s="54"/>
      <c r="AC83" s="54"/>
      <c r="AD83" s="54"/>
      <c r="AE83" s="54"/>
      <c r="AF83" s="54"/>
      <c r="AG83" s="54"/>
    </row>
    <row r="84">
      <c r="A84" s="54" t="s">
        <v>352</v>
      </c>
      <c r="B84" s="54" t="s">
        <v>20</v>
      </c>
      <c r="C84" s="54" t="s">
        <v>968</v>
      </c>
      <c r="D84" s="54" t="s">
        <v>317</v>
      </c>
      <c r="E84" s="54" t="s">
        <v>1248</v>
      </c>
      <c r="F84" s="54" t="s">
        <v>74</v>
      </c>
      <c r="G84" s="75">
        <v>2004.0</v>
      </c>
      <c r="H84" s="77">
        <v>26295.0</v>
      </c>
      <c r="I84" s="131" t="s">
        <v>188</v>
      </c>
      <c r="J84" s="54" t="s">
        <v>188</v>
      </c>
      <c r="K84" s="54"/>
      <c r="L84" s="57" t="s">
        <v>354</v>
      </c>
      <c r="M84" s="62" t="s">
        <v>356</v>
      </c>
      <c r="N84" s="54"/>
      <c r="O84" s="54"/>
      <c r="P84" s="54"/>
      <c r="Q84" s="54"/>
      <c r="R84" s="54"/>
      <c r="S84" s="54"/>
      <c r="T84" s="54"/>
      <c r="U84" s="54"/>
      <c r="V84" s="54"/>
      <c r="W84" s="54"/>
      <c r="X84" s="54"/>
      <c r="Y84" s="54"/>
      <c r="Z84" s="54"/>
      <c r="AA84" s="54"/>
      <c r="AB84" s="54"/>
      <c r="AC84" s="54"/>
      <c r="AD84" s="54"/>
      <c r="AE84" s="54"/>
      <c r="AF84" s="54"/>
      <c r="AG84" s="54"/>
    </row>
    <row r="85">
      <c r="A85" s="54" t="s">
        <v>352</v>
      </c>
      <c r="B85" s="54" t="s">
        <v>20</v>
      </c>
      <c r="C85" s="54" t="s">
        <v>968</v>
      </c>
      <c r="D85" s="54" t="s">
        <v>317</v>
      </c>
      <c r="E85" s="54" t="s">
        <v>1248</v>
      </c>
      <c r="F85" s="54" t="s">
        <v>74</v>
      </c>
      <c r="G85" s="75">
        <v>2009.0</v>
      </c>
      <c r="H85" s="77">
        <v>19542.0</v>
      </c>
      <c r="I85" s="131" t="s">
        <v>188</v>
      </c>
      <c r="J85" s="54" t="s">
        <v>188</v>
      </c>
      <c r="K85" s="54"/>
      <c r="L85" s="57" t="s">
        <v>354</v>
      </c>
      <c r="M85" s="62" t="s">
        <v>356</v>
      </c>
      <c r="N85" s="54"/>
      <c r="O85" s="54"/>
      <c r="P85" s="54"/>
      <c r="Q85" s="54"/>
      <c r="R85" s="54"/>
      <c r="S85" s="54"/>
      <c r="T85" s="54"/>
      <c r="U85" s="54"/>
      <c r="V85" s="54"/>
      <c r="W85" s="54"/>
      <c r="X85" s="54"/>
      <c r="Y85" s="54"/>
      <c r="Z85" s="54"/>
      <c r="AA85" s="54"/>
      <c r="AB85" s="54"/>
      <c r="AC85" s="54"/>
      <c r="AD85" s="54"/>
      <c r="AE85" s="54"/>
      <c r="AF85" s="54"/>
      <c r="AG85" s="54"/>
    </row>
    <row r="86">
      <c r="A86" s="54" t="s">
        <v>352</v>
      </c>
      <c r="B86" s="54" t="s">
        <v>20</v>
      </c>
      <c r="C86" s="54" t="s">
        <v>968</v>
      </c>
      <c r="D86" s="54" t="s">
        <v>317</v>
      </c>
      <c r="E86" s="54" t="s">
        <v>1248</v>
      </c>
      <c r="F86" s="54" t="s">
        <v>74</v>
      </c>
      <c r="G86" s="75">
        <v>2012.0</v>
      </c>
      <c r="H86" s="77">
        <v>20080.0</v>
      </c>
      <c r="I86" s="131" t="s">
        <v>188</v>
      </c>
      <c r="J86" s="54" t="s">
        <v>188</v>
      </c>
      <c r="K86" s="54"/>
      <c r="L86" s="57" t="s">
        <v>354</v>
      </c>
      <c r="M86" s="62" t="s">
        <v>356</v>
      </c>
      <c r="N86" s="54"/>
      <c r="O86" s="54"/>
      <c r="P86" s="54"/>
      <c r="Q86" s="54"/>
      <c r="R86" s="54"/>
      <c r="S86" s="54"/>
      <c r="T86" s="54"/>
      <c r="U86" s="54"/>
      <c r="V86" s="54"/>
      <c r="W86" s="54"/>
      <c r="X86" s="54"/>
      <c r="Y86" s="54"/>
      <c r="Z86" s="54"/>
      <c r="AA86" s="54"/>
      <c r="AB86" s="54"/>
      <c r="AC86" s="54"/>
      <c r="AD86" s="54"/>
      <c r="AE86" s="54"/>
      <c r="AF86" s="54"/>
      <c r="AG86" s="54"/>
    </row>
    <row r="87">
      <c r="A87" s="112" t="s">
        <v>381</v>
      </c>
      <c r="B87" s="112" t="s">
        <v>20</v>
      </c>
      <c r="C87" s="112" t="s">
        <v>1150</v>
      </c>
      <c r="D87" s="112" t="s">
        <v>1323</v>
      </c>
      <c r="E87" s="112" t="s">
        <v>1077</v>
      </c>
      <c r="F87" s="112" t="s">
        <v>555</v>
      </c>
      <c r="G87" s="112">
        <v>1996.0</v>
      </c>
      <c r="H87" s="114">
        <v>28.0</v>
      </c>
      <c r="I87" s="114" t="s">
        <v>188</v>
      </c>
      <c r="J87" s="112" t="s">
        <v>188</v>
      </c>
      <c r="L87" s="112" t="s">
        <v>421</v>
      </c>
      <c r="M87" s="112" t="s">
        <v>428</v>
      </c>
    </row>
    <row r="88">
      <c r="A88" s="112" t="s">
        <v>381</v>
      </c>
      <c r="B88" s="112" t="s">
        <v>20</v>
      </c>
      <c r="C88" s="112" t="s">
        <v>1150</v>
      </c>
      <c r="D88" s="112" t="s">
        <v>1323</v>
      </c>
      <c r="E88" s="112" t="s">
        <v>1077</v>
      </c>
      <c r="F88" s="112" t="s">
        <v>555</v>
      </c>
      <c r="G88" s="112">
        <v>1997.0</v>
      </c>
      <c r="H88" s="114">
        <v>28.0</v>
      </c>
      <c r="I88" s="114" t="s">
        <v>188</v>
      </c>
      <c r="J88" s="112" t="s">
        <v>188</v>
      </c>
      <c r="L88" s="112" t="s">
        <v>421</v>
      </c>
      <c r="M88" s="112" t="s">
        <v>428</v>
      </c>
    </row>
    <row r="89">
      <c r="A89" s="112" t="s">
        <v>381</v>
      </c>
      <c r="B89" s="112" t="s">
        <v>20</v>
      </c>
      <c r="C89" s="112" t="s">
        <v>1150</v>
      </c>
      <c r="D89" s="112" t="s">
        <v>1323</v>
      </c>
      <c r="E89" s="112" t="s">
        <v>1077</v>
      </c>
      <c r="F89" s="112" t="s">
        <v>555</v>
      </c>
      <c r="G89" s="112">
        <v>1998.0</v>
      </c>
      <c r="H89" s="114">
        <v>14.0</v>
      </c>
      <c r="I89" s="114" t="s">
        <v>188</v>
      </c>
      <c r="J89" s="112" t="s">
        <v>188</v>
      </c>
      <c r="L89" s="112" t="s">
        <v>421</v>
      </c>
      <c r="M89" s="112" t="s">
        <v>428</v>
      </c>
    </row>
    <row r="90">
      <c r="A90" s="112" t="s">
        <v>381</v>
      </c>
      <c r="B90" s="112" t="s">
        <v>20</v>
      </c>
      <c r="C90" s="112" t="s">
        <v>1150</v>
      </c>
      <c r="D90" s="112" t="s">
        <v>1323</v>
      </c>
      <c r="E90" s="112" t="s">
        <v>1077</v>
      </c>
      <c r="F90" s="112" t="s">
        <v>555</v>
      </c>
      <c r="G90" s="112">
        <v>1999.0</v>
      </c>
      <c r="H90" s="114">
        <v>28.0</v>
      </c>
      <c r="I90" s="114" t="s">
        <v>188</v>
      </c>
      <c r="J90" s="112" t="s">
        <v>188</v>
      </c>
      <c r="L90" s="112" t="s">
        <v>421</v>
      </c>
      <c r="M90" s="112" t="s">
        <v>428</v>
      </c>
    </row>
    <row r="91">
      <c r="A91" s="112" t="s">
        <v>381</v>
      </c>
      <c r="B91" s="112" t="s">
        <v>20</v>
      </c>
      <c r="C91" s="112" t="s">
        <v>1150</v>
      </c>
      <c r="D91" s="112" t="s">
        <v>1323</v>
      </c>
      <c r="E91" s="112" t="s">
        <v>1077</v>
      </c>
      <c r="F91" s="112" t="s">
        <v>555</v>
      </c>
      <c r="G91" s="112">
        <v>2000.0</v>
      </c>
      <c r="H91" s="114">
        <v>28.0</v>
      </c>
      <c r="I91" s="114" t="s">
        <v>188</v>
      </c>
      <c r="J91" s="112" t="s">
        <v>188</v>
      </c>
      <c r="L91" s="112" t="s">
        <v>421</v>
      </c>
      <c r="M91" s="112" t="s">
        <v>428</v>
      </c>
    </row>
    <row r="92">
      <c r="A92" s="112" t="s">
        <v>381</v>
      </c>
      <c r="B92" s="112" t="s">
        <v>20</v>
      </c>
      <c r="C92" s="112" t="s">
        <v>1150</v>
      </c>
      <c r="D92" s="112" t="s">
        <v>1323</v>
      </c>
      <c r="E92" s="112" t="s">
        <v>1077</v>
      </c>
      <c r="F92" s="112" t="s">
        <v>555</v>
      </c>
      <c r="G92" s="112">
        <v>2001.0</v>
      </c>
      <c r="H92" s="114">
        <v>28.0</v>
      </c>
      <c r="I92" s="114" t="s">
        <v>188</v>
      </c>
      <c r="J92" s="112" t="s">
        <v>188</v>
      </c>
      <c r="L92" s="112" t="s">
        <v>421</v>
      </c>
      <c r="M92" s="112" t="s">
        <v>428</v>
      </c>
    </row>
    <row r="93">
      <c r="A93" s="112" t="s">
        <v>381</v>
      </c>
      <c r="B93" s="112" t="s">
        <v>20</v>
      </c>
      <c r="C93" s="112" t="s">
        <v>1150</v>
      </c>
      <c r="D93" s="112" t="s">
        <v>1323</v>
      </c>
      <c r="E93" s="112" t="s">
        <v>1077</v>
      </c>
      <c r="F93" s="112" t="s">
        <v>555</v>
      </c>
      <c r="G93" s="112">
        <v>2002.0</v>
      </c>
      <c r="H93" s="114">
        <v>57.0</v>
      </c>
      <c r="I93" s="114" t="s">
        <v>188</v>
      </c>
      <c r="J93" s="112" t="s">
        <v>188</v>
      </c>
      <c r="L93" s="112" t="s">
        <v>421</v>
      </c>
      <c r="M93" s="112" t="s">
        <v>428</v>
      </c>
    </row>
    <row r="94">
      <c r="A94" s="112" t="s">
        <v>381</v>
      </c>
      <c r="B94" s="112" t="s">
        <v>20</v>
      </c>
      <c r="C94" s="112" t="s">
        <v>1150</v>
      </c>
      <c r="D94" s="112" t="s">
        <v>1323</v>
      </c>
      <c r="E94" s="112" t="s">
        <v>1077</v>
      </c>
      <c r="F94" s="112" t="s">
        <v>555</v>
      </c>
      <c r="G94" s="112">
        <v>2003.0</v>
      </c>
      <c r="H94" s="114">
        <v>28.0</v>
      </c>
      <c r="I94" s="114" t="s">
        <v>188</v>
      </c>
      <c r="J94" s="112" t="s">
        <v>188</v>
      </c>
      <c r="L94" s="112" t="s">
        <v>421</v>
      </c>
      <c r="M94" s="112" t="s">
        <v>428</v>
      </c>
    </row>
    <row r="95">
      <c r="A95" s="112" t="s">
        <v>381</v>
      </c>
      <c r="B95" s="112" t="s">
        <v>20</v>
      </c>
      <c r="C95" s="112" t="s">
        <v>1150</v>
      </c>
      <c r="D95" s="112" t="s">
        <v>1323</v>
      </c>
      <c r="E95" s="112" t="s">
        <v>1077</v>
      </c>
      <c r="F95" s="112" t="s">
        <v>555</v>
      </c>
      <c r="G95" s="112">
        <v>2004.0</v>
      </c>
      <c r="H95" s="114">
        <v>57.0</v>
      </c>
      <c r="I95" s="114" t="s">
        <v>188</v>
      </c>
      <c r="J95" s="112" t="s">
        <v>188</v>
      </c>
      <c r="L95" s="112" t="s">
        <v>421</v>
      </c>
      <c r="M95" s="112" t="s">
        <v>428</v>
      </c>
    </row>
    <row r="96">
      <c r="A96" s="112" t="s">
        <v>381</v>
      </c>
      <c r="B96" s="112" t="s">
        <v>20</v>
      </c>
      <c r="C96" s="112" t="s">
        <v>1150</v>
      </c>
      <c r="D96" s="112" t="s">
        <v>1323</v>
      </c>
      <c r="E96" s="112" t="s">
        <v>1077</v>
      </c>
      <c r="F96" s="112" t="s">
        <v>555</v>
      </c>
      <c r="G96" s="112">
        <v>2005.0</v>
      </c>
      <c r="H96" s="114">
        <v>85.0</v>
      </c>
      <c r="I96" s="114" t="s">
        <v>188</v>
      </c>
      <c r="J96" s="112" t="s">
        <v>188</v>
      </c>
      <c r="L96" s="112" t="s">
        <v>421</v>
      </c>
      <c r="M96" s="112" t="s">
        <v>428</v>
      </c>
    </row>
    <row r="97">
      <c r="A97" s="112" t="s">
        <v>381</v>
      </c>
      <c r="B97" s="112" t="s">
        <v>20</v>
      </c>
      <c r="C97" s="112" t="s">
        <v>1150</v>
      </c>
      <c r="D97" s="112" t="s">
        <v>1323</v>
      </c>
      <c r="E97" s="112" t="s">
        <v>1077</v>
      </c>
      <c r="F97" s="112" t="s">
        <v>555</v>
      </c>
      <c r="G97" s="112">
        <v>2006.0</v>
      </c>
      <c r="H97" s="114">
        <v>313.0</v>
      </c>
      <c r="I97" s="114" t="s">
        <v>188</v>
      </c>
      <c r="J97" s="112" t="s">
        <v>188</v>
      </c>
      <c r="L97" s="112" t="s">
        <v>421</v>
      </c>
      <c r="M97" s="112" t="s">
        <v>428</v>
      </c>
    </row>
    <row r="98">
      <c r="A98" s="112" t="s">
        <v>381</v>
      </c>
      <c r="B98" s="112" t="s">
        <v>20</v>
      </c>
      <c r="C98" s="112" t="s">
        <v>1150</v>
      </c>
      <c r="D98" s="112" t="s">
        <v>1323</v>
      </c>
      <c r="E98" s="112" t="s">
        <v>1077</v>
      </c>
      <c r="F98" s="112" t="s">
        <v>555</v>
      </c>
      <c r="G98" s="112">
        <v>2007.0</v>
      </c>
      <c r="H98" s="114">
        <v>199.0</v>
      </c>
      <c r="I98" s="114" t="s">
        <v>188</v>
      </c>
      <c r="J98" s="112" t="s">
        <v>188</v>
      </c>
      <c r="L98" s="112" t="s">
        <v>421</v>
      </c>
      <c r="M98" s="112" t="s">
        <v>428</v>
      </c>
    </row>
    <row r="99">
      <c r="A99" s="112" t="s">
        <v>381</v>
      </c>
      <c r="B99" s="112" t="s">
        <v>20</v>
      </c>
      <c r="C99" s="112" t="s">
        <v>1150</v>
      </c>
      <c r="D99" s="112" t="s">
        <v>1323</v>
      </c>
      <c r="E99" s="112" t="s">
        <v>1077</v>
      </c>
      <c r="F99" s="112" t="s">
        <v>555</v>
      </c>
      <c r="G99" s="112">
        <v>2008.0</v>
      </c>
      <c r="H99" s="114">
        <v>199.0</v>
      </c>
      <c r="I99" s="114" t="s">
        <v>188</v>
      </c>
      <c r="J99" s="112" t="s">
        <v>188</v>
      </c>
      <c r="L99" s="112" t="s">
        <v>421</v>
      </c>
      <c r="M99" s="112" t="s">
        <v>428</v>
      </c>
    </row>
    <row r="100">
      <c r="A100" s="112" t="s">
        <v>381</v>
      </c>
      <c r="B100" s="112" t="s">
        <v>20</v>
      </c>
      <c r="C100" s="112" t="s">
        <v>1150</v>
      </c>
      <c r="D100" s="112" t="s">
        <v>1323</v>
      </c>
      <c r="E100" s="112" t="s">
        <v>1077</v>
      </c>
      <c r="F100" s="112" t="s">
        <v>555</v>
      </c>
      <c r="G100" s="112">
        <v>2009.0</v>
      </c>
      <c r="H100" s="114">
        <v>227.0</v>
      </c>
      <c r="I100" s="114" t="s">
        <v>188</v>
      </c>
      <c r="J100" s="112" t="s">
        <v>188</v>
      </c>
      <c r="L100" s="112" t="s">
        <v>421</v>
      </c>
      <c r="M100" s="112" t="s">
        <v>428</v>
      </c>
    </row>
    <row r="101">
      <c r="A101" s="112" t="s">
        <v>381</v>
      </c>
      <c r="B101" s="112" t="s">
        <v>20</v>
      </c>
      <c r="C101" s="112" t="s">
        <v>1150</v>
      </c>
      <c r="D101" s="112" t="s">
        <v>1323</v>
      </c>
      <c r="E101" s="112" t="s">
        <v>1077</v>
      </c>
      <c r="F101" s="112" t="s">
        <v>555</v>
      </c>
      <c r="G101" s="112">
        <v>2010.0</v>
      </c>
      <c r="H101" s="114">
        <v>398.0</v>
      </c>
      <c r="I101" s="114" t="s">
        <v>188</v>
      </c>
      <c r="J101" s="112" t="s">
        <v>188</v>
      </c>
      <c r="L101" s="112" t="s">
        <v>421</v>
      </c>
      <c r="M101" s="112" t="s">
        <v>428</v>
      </c>
    </row>
    <row r="102">
      <c r="A102" s="112" t="s">
        <v>381</v>
      </c>
      <c r="B102" s="112" t="s">
        <v>20</v>
      </c>
      <c r="C102" s="112" t="s">
        <v>1150</v>
      </c>
      <c r="D102" s="112" t="s">
        <v>1323</v>
      </c>
      <c r="E102" s="112" t="s">
        <v>1077</v>
      </c>
      <c r="F102" s="112" t="s">
        <v>555</v>
      </c>
      <c r="G102" s="112">
        <v>2011.0</v>
      </c>
      <c r="H102" s="114">
        <v>512.0</v>
      </c>
      <c r="I102" s="114" t="s">
        <v>188</v>
      </c>
      <c r="J102" s="112" t="s">
        <v>188</v>
      </c>
      <c r="L102" s="112" t="s">
        <v>421</v>
      </c>
      <c r="M102" s="112" t="s">
        <v>428</v>
      </c>
    </row>
    <row r="103">
      <c r="A103" s="112" t="s">
        <v>381</v>
      </c>
      <c r="B103" s="112" t="s">
        <v>20</v>
      </c>
      <c r="C103" s="112" t="s">
        <v>1150</v>
      </c>
      <c r="D103" s="112" t="s">
        <v>1323</v>
      </c>
      <c r="E103" s="112" t="s">
        <v>1077</v>
      </c>
      <c r="F103" s="112" t="s">
        <v>555</v>
      </c>
      <c r="G103" s="112">
        <v>2012.0</v>
      </c>
      <c r="H103" s="114">
        <v>597.0</v>
      </c>
      <c r="I103" s="114" t="s">
        <v>188</v>
      </c>
      <c r="J103" s="112" t="s">
        <v>188</v>
      </c>
      <c r="L103" s="112" t="s">
        <v>421</v>
      </c>
      <c r="M103" s="112" t="s">
        <v>428</v>
      </c>
    </row>
    <row r="104">
      <c r="A104" s="112" t="s">
        <v>381</v>
      </c>
      <c r="B104" s="112" t="s">
        <v>20</v>
      </c>
      <c r="C104" s="112" t="s">
        <v>1150</v>
      </c>
      <c r="D104" s="112" t="s">
        <v>1323</v>
      </c>
      <c r="E104" s="112" t="s">
        <v>1077</v>
      </c>
      <c r="F104" s="112" t="s">
        <v>555</v>
      </c>
      <c r="G104" s="112">
        <v>2013.0</v>
      </c>
      <c r="H104" s="114">
        <v>398.0</v>
      </c>
      <c r="I104" s="114" t="s">
        <v>188</v>
      </c>
      <c r="J104" s="112" t="s">
        <v>188</v>
      </c>
      <c r="L104" s="112" t="s">
        <v>421</v>
      </c>
      <c r="M104" s="112" t="s">
        <v>428</v>
      </c>
    </row>
    <row r="105">
      <c r="A105" s="112" t="s">
        <v>381</v>
      </c>
      <c r="B105" s="112" t="s">
        <v>20</v>
      </c>
      <c r="C105" s="112" t="s">
        <v>1150</v>
      </c>
      <c r="D105" s="112" t="s">
        <v>1323</v>
      </c>
      <c r="E105" s="112" t="s">
        <v>1077</v>
      </c>
      <c r="F105" s="112" t="s">
        <v>555</v>
      </c>
      <c r="G105" s="112">
        <v>2014.0</v>
      </c>
      <c r="H105" s="114">
        <v>682.0</v>
      </c>
      <c r="I105" s="114" t="s">
        <v>188</v>
      </c>
      <c r="J105" s="112" t="s">
        <v>188</v>
      </c>
      <c r="L105" s="112" t="s">
        <v>421</v>
      </c>
      <c r="M105" s="112" t="s">
        <v>428</v>
      </c>
    </row>
    <row r="106">
      <c r="A106" s="112" t="s">
        <v>381</v>
      </c>
      <c r="B106" s="112" t="s">
        <v>20</v>
      </c>
      <c r="C106" s="112" t="s">
        <v>1150</v>
      </c>
      <c r="D106" s="112" t="s">
        <v>1323</v>
      </c>
      <c r="E106" s="112" t="s">
        <v>1077</v>
      </c>
      <c r="F106" s="112" t="s">
        <v>555</v>
      </c>
      <c r="G106" s="112">
        <v>2015.0</v>
      </c>
      <c r="H106" s="114">
        <v>1137.0</v>
      </c>
      <c r="I106" s="114" t="s">
        <v>188</v>
      </c>
      <c r="J106" s="112" t="s">
        <v>188</v>
      </c>
      <c r="L106" s="112" t="s">
        <v>421</v>
      </c>
      <c r="M106" s="112" t="s">
        <v>428</v>
      </c>
    </row>
    <row r="107">
      <c r="A107" s="112" t="s">
        <v>381</v>
      </c>
      <c r="B107" s="112" t="s">
        <v>20</v>
      </c>
      <c r="C107" s="112" t="s">
        <v>1150</v>
      </c>
      <c r="D107" s="112" t="s">
        <v>1323</v>
      </c>
      <c r="E107" s="112" t="s">
        <v>1077</v>
      </c>
      <c r="F107" s="112" t="s">
        <v>555</v>
      </c>
      <c r="G107" s="112">
        <v>2016.0</v>
      </c>
      <c r="H107" s="114">
        <v>1137.0</v>
      </c>
      <c r="I107" s="114" t="s">
        <v>188</v>
      </c>
      <c r="J107" s="112" t="s">
        <v>188</v>
      </c>
      <c r="L107" s="112" t="s">
        <v>421</v>
      </c>
      <c r="M107" s="112" t="s">
        <v>428</v>
      </c>
    </row>
    <row r="108">
      <c r="A108" s="112" t="s">
        <v>381</v>
      </c>
      <c r="B108" s="112" t="s">
        <v>20</v>
      </c>
      <c r="C108" s="112" t="s">
        <v>1150</v>
      </c>
      <c r="D108" s="112" t="s">
        <v>1323</v>
      </c>
      <c r="E108" s="112" t="s">
        <v>1077</v>
      </c>
      <c r="F108" s="112" t="s">
        <v>555</v>
      </c>
      <c r="G108" s="112">
        <v>2017.0</v>
      </c>
      <c r="H108" s="114">
        <v>1592.0</v>
      </c>
      <c r="I108" s="114" t="s">
        <v>188</v>
      </c>
      <c r="J108" s="112" t="s">
        <v>188</v>
      </c>
      <c r="L108" s="112" t="s">
        <v>421</v>
      </c>
      <c r="M108" s="112" t="s">
        <v>428</v>
      </c>
    </row>
    <row r="109">
      <c r="A109" s="112" t="s">
        <v>381</v>
      </c>
      <c r="B109" s="112" t="s">
        <v>20</v>
      </c>
      <c r="C109" s="112" t="s">
        <v>1150</v>
      </c>
      <c r="D109" s="112" t="s">
        <v>1323</v>
      </c>
      <c r="E109" s="112" t="s">
        <v>1077</v>
      </c>
      <c r="F109" s="112" t="s">
        <v>555</v>
      </c>
      <c r="G109" s="112">
        <v>2018.0</v>
      </c>
      <c r="H109" s="114">
        <v>1820.0</v>
      </c>
      <c r="I109" s="114" t="s">
        <v>188</v>
      </c>
      <c r="J109" s="112" t="s">
        <v>188</v>
      </c>
      <c r="L109" s="112" t="s">
        <v>421</v>
      </c>
      <c r="M109" s="112" t="s">
        <v>428</v>
      </c>
    </row>
    <row r="110">
      <c r="A110" s="112" t="s">
        <v>381</v>
      </c>
      <c r="B110" s="112" t="s">
        <v>20</v>
      </c>
      <c r="C110" s="112" t="s">
        <v>1150</v>
      </c>
      <c r="D110" s="112" t="s">
        <v>1323</v>
      </c>
      <c r="E110" s="112" t="s">
        <v>1077</v>
      </c>
      <c r="F110" s="112" t="s">
        <v>555</v>
      </c>
      <c r="G110" s="112">
        <v>2019.0</v>
      </c>
      <c r="H110" s="114">
        <v>1592.0</v>
      </c>
      <c r="I110" s="114" t="s">
        <v>188</v>
      </c>
      <c r="J110" s="112" t="s">
        <v>188</v>
      </c>
      <c r="L110" s="112" t="s">
        <v>421</v>
      </c>
      <c r="M110" s="112" t="s">
        <v>428</v>
      </c>
    </row>
    <row r="111">
      <c r="A111" s="112" t="s">
        <v>381</v>
      </c>
      <c r="B111" s="112" t="s">
        <v>20</v>
      </c>
      <c r="C111" s="112" t="s">
        <v>1150</v>
      </c>
      <c r="D111" s="112" t="s">
        <v>1323</v>
      </c>
      <c r="E111" s="112" t="s">
        <v>1077</v>
      </c>
      <c r="F111" s="112" t="s">
        <v>555</v>
      </c>
      <c r="G111" s="112">
        <v>2020.0</v>
      </c>
      <c r="H111" s="114">
        <v>2246.0</v>
      </c>
      <c r="I111" s="114" t="s">
        <v>188</v>
      </c>
      <c r="J111" s="112" t="s">
        <v>188</v>
      </c>
      <c r="L111" s="112" t="s">
        <v>421</v>
      </c>
      <c r="M111" s="112" t="s">
        <v>428</v>
      </c>
    </row>
    <row r="112">
      <c r="A112" s="112" t="s">
        <v>381</v>
      </c>
      <c r="B112" s="112" t="s">
        <v>20</v>
      </c>
      <c r="C112" s="112" t="s">
        <v>1155</v>
      </c>
      <c r="D112" s="112" t="s">
        <v>1323</v>
      </c>
      <c r="E112" s="112" t="s">
        <v>1077</v>
      </c>
      <c r="F112" s="112" t="s">
        <v>555</v>
      </c>
      <c r="G112" s="112">
        <v>1968.0</v>
      </c>
      <c r="H112" s="114">
        <v>55.0</v>
      </c>
      <c r="I112" s="114" t="s">
        <v>188</v>
      </c>
      <c r="J112" s="112" t="s">
        <v>188</v>
      </c>
      <c r="L112" s="112" t="s">
        <v>421</v>
      </c>
      <c r="M112" s="112" t="s">
        <v>428</v>
      </c>
    </row>
    <row r="113">
      <c r="A113" s="112" t="s">
        <v>381</v>
      </c>
      <c r="B113" s="112" t="s">
        <v>20</v>
      </c>
      <c r="C113" s="112" t="s">
        <v>1155</v>
      </c>
      <c r="D113" s="112" t="s">
        <v>1323</v>
      </c>
      <c r="E113" s="112" t="s">
        <v>1077</v>
      </c>
      <c r="F113" s="112" t="s">
        <v>555</v>
      </c>
      <c r="G113" s="112">
        <v>1969.0</v>
      </c>
      <c r="H113" s="114">
        <v>55.0</v>
      </c>
      <c r="I113" s="114" t="s">
        <v>188</v>
      </c>
      <c r="J113" s="112" t="s">
        <v>188</v>
      </c>
      <c r="L113" s="112" t="s">
        <v>421</v>
      </c>
      <c r="M113" s="112" t="s">
        <v>428</v>
      </c>
    </row>
    <row r="114">
      <c r="A114" s="112" t="s">
        <v>381</v>
      </c>
      <c r="B114" s="112" t="s">
        <v>20</v>
      </c>
      <c r="C114" s="112" t="s">
        <v>1155</v>
      </c>
      <c r="D114" s="112" t="s">
        <v>1323</v>
      </c>
      <c r="E114" s="112" t="s">
        <v>1077</v>
      </c>
      <c r="F114" s="112" t="s">
        <v>555</v>
      </c>
      <c r="G114" s="112">
        <v>1970.0</v>
      </c>
      <c r="H114" s="114">
        <v>55.0</v>
      </c>
      <c r="I114" s="114" t="s">
        <v>188</v>
      </c>
      <c r="J114" s="112" t="s">
        <v>188</v>
      </c>
      <c r="L114" s="112" t="s">
        <v>421</v>
      </c>
      <c r="M114" s="112" t="s">
        <v>428</v>
      </c>
    </row>
    <row r="115">
      <c r="A115" s="112" t="s">
        <v>381</v>
      </c>
      <c r="B115" s="112" t="s">
        <v>20</v>
      </c>
      <c r="C115" s="112" t="s">
        <v>1155</v>
      </c>
      <c r="D115" s="112" t="s">
        <v>1323</v>
      </c>
      <c r="E115" s="112" t="s">
        <v>1077</v>
      </c>
      <c r="F115" s="112" t="s">
        <v>555</v>
      </c>
      <c r="G115" s="112">
        <v>1971.0</v>
      </c>
      <c r="H115" s="114">
        <v>82.0</v>
      </c>
      <c r="I115" s="114" t="s">
        <v>188</v>
      </c>
      <c r="J115" s="112" t="s">
        <v>188</v>
      </c>
      <c r="L115" s="112" t="s">
        <v>421</v>
      </c>
      <c r="M115" s="112" t="s">
        <v>428</v>
      </c>
    </row>
    <row r="116">
      <c r="A116" s="112" t="s">
        <v>381</v>
      </c>
      <c r="B116" s="112" t="s">
        <v>20</v>
      </c>
      <c r="C116" s="112" t="s">
        <v>1155</v>
      </c>
      <c r="D116" s="112" t="s">
        <v>1323</v>
      </c>
      <c r="E116" s="112" t="s">
        <v>1077</v>
      </c>
      <c r="F116" s="112" t="s">
        <v>555</v>
      </c>
      <c r="G116" s="112">
        <v>1972.0</v>
      </c>
      <c r="H116" s="114">
        <v>109.0</v>
      </c>
      <c r="I116" s="114" t="s">
        <v>188</v>
      </c>
      <c r="J116" s="112" t="s">
        <v>188</v>
      </c>
      <c r="L116" s="112" t="s">
        <v>421</v>
      </c>
      <c r="M116" s="112" t="s">
        <v>428</v>
      </c>
    </row>
    <row r="117">
      <c r="A117" s="112" t="s">
        <v>381</v>
      </c>
      <c r="B117" s="112" t="s">
        <v>20</v>
      </c>
      <c r="C117" s="112" t="s">
        <v>1155</v>
      </c>
      <c r="D117" s="112" t="s">
        <v>1323</v>
      </c>
      <c r="E117" s="112" t="s">
        <v>1077</v>
      </c>
      <c r="F117" s="112" t="s">
        <v>555</v>
      </c>
      <c r="G117" s="112">
        <v>1973.0</v>
      </c>
      <c r="H117" s="114">
        <v>82.0</v>
      </c>
      <c r="I117" s="114" t="s">
        <v>188</v>
      </c>
      <c r="J117" s="112" t="s">
        <v>188</v>
      </c>
      <c r="L117" s="112" t="s">
        <v>421</v>
      </c>
      <c r="M117" s="112" t="s">
        <v>428</v>
      </c>
    </row>
    <row r="118">
      <c r="A118" s="112" t="s">
        <v>381</v>
      </c>
      <c r="B118" s="112" t="s">
        <v>20</v>
      </c>
      <c r="C118" s="112" t="s">
        <v>1155</v>
      </c>
      <c r="D118" s="112" t="s">
        <v>1323</v>
      </c>
      <c r="E118" s="112" t="s">
        <v>1077</v>
      </c>
      <c r="F118" s="112" t="s">
        <v>555</v>
      </c>
      <c r="G118" s="112">
        <v>1974.0</v>
      </c>
      <c r="H118" s="114">
        <v>245.0</v>
      </c>
      <c r="I118" s="114" t="s">
        <v>188</v>
      </c>
      <c r="J118" s="112" t="s">
        <v>188</v>
      </c>
      <c r="L118" s="112" t="s">
        <v>421</v>
      </c>
      <c r="M118" s="112" t="s">
        <v>428</v>
      </c>
    </row>
    <row r="119">
      <c r="A119" s="112" t="s">
        <v>381</v>
      </c>
      <c r="B119" s="112" t="s">
        <v>20</v>
      </c>
      <c r="C119" s="112" t="s">
        <v>1155</v>
      </c>
      <c r="D119" s="112" t="s">
        <v>1323</v>
      </c>
      <c r="E119" s="112" t="s">
        <v>1077</v>
      </c>
      <c r="F119" s="112" t="s">
        <v>555</v>
      </c>
      <c r="G119" s="112">
        <v>1975.0</v>
      </c>
      <c r="H119" s="114">
        <v>327.0</v>
      </c>
      <c r="I119" s="114" t="s">
        <v>188</v>
      </c>
      <c r="J119" s="112" t="s">
        <v>188</v>
      </c>
      <c r="L119" s="112" t="s">
        <v>421</v>
      </c>
      <c r="M119" s="112" t="s">
        <v>428</v>
      </c>
    </row>
    <row r="120">
      <c r="A120" s="112" t="s">
        <v>381</v>
      </c>
      <c r="B120" s="112" t="s">
        <v>20</v>
      </c>
      <c r="C120" s="112" t="s">
        <v>1155</v>
      </c>
      <c r="D120" s="112" t="s">
        <v>1323</v>
      </c>
      <c r="E120" s="112" t="s">
        <v>1077</v>
      </c>
      <c r="F120" s="112" t="s">
        <v>555</v>
      </c>
      <c r="G120" s="112">
        <v>1976.0</v>
      </c>
      <c r="H120" s="114">
        <v>409.0</v>
      </c>
      <c r="I120" s="114" t="s">
        <v>188</v>
      </c>
      <c r="J120" s="112" t="s">
        <v>188</v>
      </c>
      <c r="L120" s="112" t="s">
        <v>421</v>
      </c>
      <c r="M120" s="112" t="s">
        <v>428</v>
      </c>
    </row>
    <row r="121">
      <c r="A121" s="112" t="s">
        <v>381</v>
      </c>
      <c r="B121" s="112" t="s">
        <v>20</v>
      </c>
      <c r="C121" s="112" t="s">
        <v>1155</v>
      </c>
      <c r="D121" s="112" t="s">
        <v>1323</v>
      </c>
      <c r="E121" s="112" t="s">
        <v>1077</v>
      </c>
      <c r="F121" s="112" t="s">
        <v>555</v>
      </c>
      <c r="G121" s="112">
        <v>1977.0</v>
      </c>
      <c r="H121" s="114">
        <v>409.0</v>
      </c>
      <c r="I121" s="114" t="s">
        <v>188</v>
      </c>
      <c r="J121" s="112" t="s">
        <v>188</v>
      </c>
      <c r="L121" s="112" t="s">
        <v>421</v>
      </c>
      <c r="M121" s="112" t="s">
        <v>428</v>
      </c>
    </row>
    <row r="122">
      <c r="A122" s="112" t="s">
        <v>381</v>
      </c>
      <c r="B122" s="112" t="s">
        <v>20</v>
      </c>
      <c r="C122" s="112" t="s">
        <v>1155</v>
      </c>
      <c r="D122" s="112" t="s">
        <v>1323</v>
      </c>
      <c r="E122" s="112" t="s">
        <v>1077</v>
      </c>
      <c r="F122" s="112" t="s">
        <v>555</v>
      </c>
      <c r="G122" s="112">
        <v>1978.0</v>
      </c>
      <c r="H122" s="114">
        <v>655.0</v>
      </c>
      <c r="I122" s="114" t="s">
        <v>188</v>
      </c>
      <c r="J122" s="112" t="s">
        <v>188</v>
      </c>
      <c r="L122" s="112" t="s">
        <v>421</v>
      </c>
      <c r="M122" s="112" t="s">
        <v>428</v>
      </c>
    </row>
    <row r="123">
      <c r="A123" s="112" t="s">
        <v>381</v>
      </c>
      <c r="B123" s="112" t="s">
        <v>20</v>
      </c>
      <c r="C123" s="112" t="s">
        <v>1155</v>
      </c>
      <c r="D123" s="112" t="s">
        <v>1323</v>
      </c>
      <c r="E123" s="112" t="s">
        <v>1077</v>
      </c>
      <c r="F123" s="112" t="s">
        <v>555</v>
      </c>
      <c r="G123" s="112">
        <v>1979.0</v>
      </c>
      <c r="H123" s="114">
        <v>818.0</v>
      </c>
      <c r="I123" s="114" t="s">
        <v>188</v>
      </c>
      <c r="J123" s="112" t="s">
        <v>188</v>
      </c>
      <c r="L123" s="112" t="s">
        <v>421</v>
      </c>
      <c r="M123" s="112" t="s">
        <v>428</v>
      </c>
    </row>
    <row r="124">
      <c r="A124" s="112" t="s">
        <v>381</v>
      </c>
      <c r="B124" s="112" t="s">
        <v>20</v>
      </c>
      <c r="C124" s="112" t="s">
        <v>1155</v>
      </c>
      <c r="D124" s="112" t="s">
        <v>1323</v>
      </c>
      <c r="E124" s="112" t="s">
        <v>1077</v>
      </c>
      <c r="F124" s="112" t="s">
        <v>555</v>
      </c>
      <c r="G124" s="112">
        <v>1980.0</v>
      </c>
      <c r="H124" s="114">
        <v>900.0</v>
      </c>
      <c r="I124" s="114" t="s">
        <v>188</v>
      </c>
      <c r="J124" s="112" t="s">
        <v>188</v>
      </c>
      <c r="L124" s="112" t="s">
        <v>421</v>
      </c>
      <c r="M124" s="112" t="s">
        <v>428</v>
      </c>
    </row>
    <row r="125">
      <c r="A125" s="112" t="s">
        <v>381</v>
      </c>
      <c r="B125" s="112" t="s">
        <v>20</v>
      </c>
      <c r="C125" s="112" t="s">
        <v>1155</v>
      </c>
      <c r="D125" s="112" t="s">
        <v>1323</v>
      </c>
      <c r="E125" s="112" t="s">
        <v>1077</v>
      </c>
      <c r="F125" s="112" t="s">
        <v>555</v>
      </c>
      <c r="G125" s="112">
        <v>1981.0</v>
      </c>
      <c r="H125" s="114">
        <v>927.0</v>
      </c>
      <c r="I125" s="114" t="s">
        <v>188</v>
      </c>
      <c r="J125" s="112" t="s">
        <v>188</v>
      </c>
      <c r="L125" s="112" t="s">
        <v>421</v>
      </c>
      <c r="M125" s="112" t="s">
        <v>428</v>
      </c>
    </row>
    <row r="126">
      <c r="A126" s="112" t="s">
        <v>381</v>
      </c>
      <c r="B126" s="112" t="s">
        <v>20</v>
      </c>
      <c r="C126" s="112" t="s">
        <v>1155</v>
      </c>
      <c r="D126" s="112" t="s">
        <v>1323</v>
      </c>
      <c r="E126" s="112" t="s">
        <v>1077</v>
      </c>
      <c r="F126" s="112" t="s">
        <v>555</v>
      </c>
      <c r="G126" s="112">
        <v>1982.0</v>
      </c>
      <c r="H126" s="114">
        <v>1009.0</v>
      </c>
      <c r="I126" s="114" t="s">
        <v>188</v>
      </c>
      <c r="J126" s="112" t="s">
        <v>188</v>
      </c>
      <c r="L126" s="112" t="s">
        <v>421</v>
      </c>
      <c r="M126" s="112" t="s">
        <v>428</v>
      </c>
    </row>
    <row r="127">
      <c r="A127" s="112" t="s">
        <v>381</v>
      </c>
      <c r="B127" s="112" t="s">
        <v>20</v>
      </c>
      <c r="C127" s="112" t="s">
        <v>1155</v>
      </c>
      <c r="D127" s="112" t="s">
        <v>1323</v>
      </c>
      <c r="E127" s="112" t="s">
        <v>1077</v>
      </c>
      <c r="F127" s="112" t="s">
        <v>555</v>
      </c>
      <c r="G127" s="112">
        <v>1983.0</v>
      </c>
      <c r="H127" s="114">
        <v>382.0</v>
      </c>
      <c r="I127" s="114" t="s">
        <v>188</v>
      </c>
      <c r="J127" s="112" t="s">
        <v>188</v>
      </c>
      <c r="L127" s="112" t="s">
        <v>421</v>
      </c>
      <c r="M127" s="112" t="s">
        <v>428</v>
      </c>
    </row>
    <row r="128">
      <c r="A128" s="112" t="s">
        <v>381</v>
      </c>
      <c r="B128" s="112" t="s">
        <v>20</v>
      </c>
      <c r="C128" s="112" t="s">
        <v>1155</v>
      </c>
      <c r="D128" s="112" t="s">
        <v>1323</v>
      </c>
      <c r="E128" s="112" t="s">
        <v>1077</v>
      </c>
      <c r="F128" s="112" t="s">
        <v>555</v>
      </c>
      <c r="G128" s="112">
        <v>1984.0</v>
      </c>
      <c r="H128" s="114">
        <v>491.0</v>
      </c>
      <c r="I128" s="114" t="s">
        <v>188</v>
      </c>
      <c r="J128" s="112" t="s">
        <v>188</v>
      </c>
      <c r="L128" s="112" t="s">
        <v>421</v>
      </c>
      <c r="M128" s="112" t="s">
        <v>428</v>
      </c>
    </row>
    <row r="129">
      <c r="A129" s="112" t="s">
        <v>381</v>
      </c>
      <c r="B129" s="112" t="s">
        <v>20</v>
      </c>
      <c r="C129" s="112" t="s">
        <v>1155</v>
      </c>
      <c r="D129" s="112" t="s">
        <v>1323</v>
      </c>
      <c r="E129" s="112" t="s">
        <v>1077</v>
      </c>
      <c r="F129" s="112" t="s">
        <v>555</v>
      </c>
      <c r="G129" s="112">
        <v>1985.0</v>
      </c>
      <c r="H129" s="114">
        <v>436.0</v>
      </c>
      <c r="I129" s="114" t="s">
        <v>188</v>
      </c>
      <c r="J129" s="112" t="s">
        <v>188</v>
      </c>
      <c r="L129" s="112" t="s">
        <v>421</v>
      </c>
      <c r="M129" s="112" t="s">
        <v>428</v>
      </c>
    </row>
    <row r="130">
      <c r="A130" s="112" t="s">
        <v>381</v>
      </c>
      <c r="B130" s="112" t="s">
        <v>20</v>
      </c>
      <c r="C130" s="112" t="s">
        <v>1155</v>
      </c>
      <c r="D130" s="112" t="s">
        <v>1323</v>
      </c>
      <c r="E130" s="112" t="s">
        <v>1077</v>
      </c>
      <c r="F130" s="112" t="s">
        <v>555</v>
      </c>
      <c r="G130" s="112">
        <v>1986.0</v>
      </c>
      <c r="H130" s="114">
        <v>682.0</v>
      </c>
      <c r="I130" s="114" t="s">
        <v>188</v>
      </c>
      <c r="J130" s="112" t="s">
        <v>188</v>
      </c>
      <c r="L130" s="112" t="s">
        <v>421</v>
      </c>
      <c r="M130" s="112" t="s">
        <v>428</v>
      </c>
    </row>
    <row r="131">
      <c r="A131" s="112" t="s">
        <v>381</v>
      </c>
      <c r="B131" s="112" t="s">
        <v>20</v>
      </c>
      <c r="C131" s="112" t="s">
        <v>1155</v>
      </c>
      <c r="D131" s="112" t="s">
        <v>1323</v>
      </c>
      <c r="E131" s="112" t="s">
        <v>1077</v>
      </c>
      <c r="F131" s="112" t="s">
        <v>555</v>
      </c>
      <c r="G131" s="112">
        <v>1987.0</v>
      </c>
      <c r="H131" s="114">
        <v>736.0</v>
      </c>
      <c r="I131" s="114" t="s">
        <v>188</v>
      </c>
      <c r="J131" s="112" t="s">
        <v>188</v>
      </c>
      <c r="L131" s="112" t="s">
        <v>421</v>
      </c>
      <c r="M131" s="112" t="s">
        <v>428</v>
      </c>
    </row>
    <row r="132">
      <c r="A132" s="112" t="s">
        <v>381</v>
      </c>
      <c r="B132" s="112" t="s">
        <v>20</v>
      </c>
      <c r="C132" s="112" t="s">
        <v>1155</v>
      </c>
      <c r="D132" s="112" t="s">
        <v>1323</v>
      </c>
      <c r="E132" s="112" t="s">
        <v>1077</v>
      </c>
      <c r="F132" s="112" t="s">
        <v>555</v>
      </c>
      <c r="G132" s="112">
        <v>1988.0</v>
      </c>
      <c r="H132" s="114">
        <v>709.0</v>
      </c>
      <c r="I132" s="114" t="s">
        <v>188</v>
      </c>
      <c r="J132" s="112" t="s">
        <v>188</v>
      </c>
      <c r="L132" s="112" t="s">
        <v>421</v>
      </c>
      <c r="M132" s="112" t="s">
        <v>428</v>
      </c>
    </row>
    <row r="133">
      <c r="A133" s="112" t="s">
        <v>381</v>
      </c>
      <c r="B133" s="112" t="s">
        <v>20</v>
      </c>
      <c r="C133" s="112" t="s">
        <v>1155</v>
      </c>
      <c r="D133" s="112" t="s">
        <v>1323</v>
      </c>
      <c r="E133" s="112" t="s">
        <v>1077</v>
      </c>
      <c r="F133" s="112" t="s">
        <v>555</v>
      </c>
      <c r="G133" s="112">
        <v>1989.0</v>
      </c>
      <c r="H133" s="114">
        <v>736.0</v>
      </c>
      <c r="I133" s="114" t="s">
        <v>188</v>
      </c>
      <c r="J133" s="112" t="s">
        <v>188</v>
      </c>
      <c r="L133" s="112" t="s">
        <v>421</v>
      </c>
      <c r="M133" s="112" t="s">
        <v>428</v>
      </c>
    </row>
    <row r="134">
      <c r="A134" s="112" t="s">
        <v>381</v>
      </c>
      <c r="B134" s="112" t="s">
        <v>20</v>
      </c>
      <c r="C134" s="112" t="s">
        <v>1155</v>
      </c>
      <c r="D134" s="112" t="s">
        <v>1323</v>
      </c>
      <c r="E134" s="112" t="s">
        <v>1077</v>
      </c>
      <c r="F134" s="112" t="s">
        <v>555</v>
      </c>
      <c r="G134" s="112">
        <v>1990.0</v>
      </c>
      <c r="H134" s="114">
        <v>1064.0</v>
      </c>
      <c r="I134" s="114" t="s">
        <v>188</v>
      </c>
      <c r="J134" s="112" t="s">
        <v>188</v>
      </c>
      <c r="L134" s="112" t="s">
        <v>421</v>
      </c>
      <c r="M134" s="112" t="s">
        <v>428</v>
      </c>
    </row>
    <row r="135">
      <c r="A135" s="112" t="s">
        <v>381</v>
      </c>
      <c r="B135" s="112" t="s">
        <v>20</v>
      </c>
      <c r="C135" s="112" t="s">
        <v>1155</v>
      </c>
      <c r="D135" s="112" t="s">
        <v>1323</v>
      </c>
      <c r="E135" s="112" t="s">
        <v>1077</v>
      </c>
      <c r="F135" s="112" t="s">
        <v>555</v>
      </c>
      <c r="G135" s="112">
        <v>1991.0</v>
      </c>
      <c r="H135" s="114">
        <v>982.0</v>
      </c>
      <c r="I135" s="114" t="s">
        <v>188</v>
      </c>
      <c r="J135" s="112" t="s">
        <v>188</v>
      </c>
      <c r="L135" s="112" t="s">
        <v>421</v>
      </c>
      <c r="M135" s="112" t="s">
        <v>428</v>
      </c>
    </row>
    <row r="136">
      <c r="A136" s="112" t="s">
        <v>381</v>
      </c>
      <c r="B136" s="112" t="s">
        <v>20</v>
      </c>
      <c r="C136" s="112" t="s">
        <v>1155</v>
      </c>
      <c r="D136" s="112" t="s">
        <v>1323</v>
      </c>
      <c r="E136" s="112" t="s">
        <v>1077</v>
      </c>
      <c r="F136" s="112" t="s">
        <v>555</v>
      </c>
      <c r="G136" s="112">
        <v>1992.0</v>
      </c>
      <c r="H136" s="114">
        <v>927.0</v>
      </c>
      <c r="I136" s="114" t="s">
        <v>188</v>
      </c>
      <c r="J136" s="112" t="s">
        <v>188</v>
      </c>
      <c r="L136" s="112" t="s">
        <v>421</v>
      </c>
      <c r="M136" s="112" t="s">
        <v>428</v>
      </c>
    </row>
    <row r="137">
      <c r="A137" s="112" t="s">
        <v>381</v>
      </c>
      <c r="B137" s="112" t="s">
        <v>20</v>
      </c>
      <c r="C137" s="112" t="s">
        <v>1155</v>
      </c>
      <c r="D137" s="112" t="s">
        <v>1323</v>
      </c>
      <c r="E137" s="112" t="s">
        <v>1077</v>
      </c>
      <c r="F137" s="112" t="s">
        <v>555</v>
      </c>
      <c r="G137" s="112">
        <v>1993.0</v>
      </c>
      <c r="H137" s="114">
        <v>1255.0</v>
      </c>
      <c r="I137" s="114" t="s">
        <v>188</v>
      </c>
      <c r="J137" s="112" t="s">
        <v>188</v>
      </c>
      <c r="L137" s="112" t="s">
        <v>421</v>
      </c>
      <c r="M137" s="112" t="s">
        <v>428</v>
      </c>
    </row>
    <row r="138">
      <c r="A138" s="112" t="s">
        <v>381</v>
      </c>
      <c r="B138" s="112" t="s">
        <v>20</v>
      </c>
      <c r="C138" s="112" t="s">
        <v>1155</v>
      </c>
      <c r="D138" s="112" t="s">
        <v>1323</v>
      </c>
      <c r="E138" s="112" t="s">
        <v>1077</v>
      </c>
      <c r="F138" s="112" t="s">
        <v>555</v>
      </c>
      <c r="G138" s="112">
        <v>1994.0</v>
      </c>
      <c r="H138" s="114">
        <v>1473.0</v>
      </c>
      <c r="I138" s="114" t="s">
        <v>188</v>
      </c>
      <c r="J138" s="112" t="s">
        <v>188</v>
      </c>
      <c r="L138" s="112" t="s">
        <v>421</v>
      </c>
      <c r="M138" s="112" t="s">
        <v>428</v>
      </c>
    </row>
    <row r="139">
      <c r="A139" s="112" t="s">
        <v>381</v>
      </c>
      <c r="B139" s="112" t="s">
        <v>20</v>
      </c>
      <c r="C139" s="112" t="s">
        <v>1155</v>
      </c>
      <c r="D139" s="112" t="s">
        <v>1323</v>
      </c>
      <c r="E139" s="112" t="s">
        <v>1077</v>
      </c>
      <c r="F139" s="112" t="s">
        <v>555</v>
      </c>
      <c r="G139" s="112">
        <v>1995.0</v>
      </c>
      <c r="H139" s="114">
        <v>1555.0</v>
      </c>
      <c r="I139" s="114" t="s">
        <v>188</v>
      </c>
      <c r="J139" s="112" t="s">
        <v>188</v>
      </c>
      <c r="L139" s="112" t="s">
        <v>421</v>
      </c>
      <c r="M139" s="112" t="s">
        <v>428</v>
      </c>
    </row>
    <row r="140">
      <c r="A140" s="112" t="s">
        <v>381</v>
      </c>
      <c r="B140" s="112" t="s">
        <v>20</v>
      </c>
      <c r="C140" s="112" t="s">
        <v>1155</v>
      </c>
      <c r="D140" s="112" t="s">
        <v>1323</v>
      </c>
      <c r="E140" s="112" t="s">
        <v>1077</v>
      </c>
      <c r="F140" s="112" t="s">
        <v>555</v>
      </c>
      <c r="G140" s="112">
        <v>1996.0</v>
      </c>
      <c r="H140" s="114">
        <v>1773.0</v>
      </c>
      <c r="I140" s="114" t="s">
        <v>188</v>
      </c>
      <c r="J140" s="112" t="s">
        <v>188</v>
      </c>
      <c r="L140" s="112" t="s">
        <v>421</v>
      </c>
      <c r="M140" s="112" t="s">
        <v>428</v>
      </c>
    </row>
    <row r="141">
      <c r="A141" s="112" t="s">
        <v>381</v>
      </c>
      <c r="B141" s="112" t="s">
        <v>20</v>
      </c>
      <c r="C141" s="112" t="s">
        <v>1155</v>
      </c>
      <c r="D141" s="112" t="s">
        <v>1323</v>
      </c>
      <c r="E141" s="112" t="s">
        <v>1077</v>
      </c>
      <c r="F141" s="112" t="s">
        <v>555</v>
      </c>
      <c r="G141" s="112">
        <v>1997.0</v>
      </c>
      <c r="H141" s="114">
        <v>1718.0</v>
      </c>
      <c r="I141" s="114" t="s">
        <v>188</v>
      </c>
      <c r="J141" s="112" t="s">
        <v>188</v>
      </c>
      <c r="L141" s="112" t="s">
        <v>421</v>
      </c>
      <c r="M141" s="112" t="s">
        <v>428</v>
      </c>
    </row>
    <row r="142">
      <c r="A142" s="112" t="s">
        <v>381</v>
      </c>
      <c r="B142" s="112" t="s">
        <v>20</v>
      </c>
      <c r="C142" s="112" t="s">
        <v>1155</v>
      </c>
      <c r="D142" s="112" t="s">
        <v>1323</v>
      </c>
      <c r="E142" s="112" t="s">
        <v>1077</v>
      </c>
      <c r="F142" s="112" t="s">
        <v>555</v>
      </c>
      <c r="G142" s="112">
        <v>1998.0</v>
      </c>
      <c r="H142" s="114">
        <v>327.0</v>
      </c>
      <c r="I142" s="114" t="s">
        <v>188</v>
      </c>
      <c r="J142" s="112" t="s">
        <v>188</v>
      </c>
      <c r="L142" s="112" t="s">
        <v>421</v>
      </c>
      <c r="M142" s="112" t="s">
        <v>428</v>
      </c>
    </row>
    <row r="143">
      <c r="A143" s="112" t="s">
        <v>381</v>
      </c>
      <c r="B143" s="112" t="s">
        <v>20</v>
      </c>
      <c r="C143" s="112" t="s">
        <v>1155</v>
      </c>
      <c r="D143" s="112" t="s">
        <v>1323</v>
      </c>
      <c r="E143" s="112" t="s">
        <v>1077</v>
      </c>
      <c r="F143" s="112" t="s">
        <v>555</v>
      </c>
      <c r="G143" s="112">
        <v>1999.0</v>
      </c>
      <c r="H143" s="114">
        <v>600.0</v>
      </c>
      <c r="I143" s="114" t="s">
        <v>188</v>
      </c>
      <c r="J143" s="112" t="s">
        <v>188</v>
      </c>
      <c r="L143" s="112" t="s">
        <v>421</v>
      </c>
      <c r="M143" s="112" t="s">
        <v>428</v>
      </c>
    </row>
    <row r="144">
      <c r="A144" s="112" t="s">
        <v>381</v>
      </c>
      <c r="B144" s="112" t="s">
        <v>20</v>
      </c>
      <c r="C144" s="112" t="s">
        <v>1155</v>
      </c>
      <c r="D144" s="112" t="s">
        <v>1323</v>
      </c>
      <c r="E144" s="112" t="s">
        <v>1077</v>
      </c>
      <c r="F144" s="112" t="s">
        <v>555</v>
      </c>
      <c r="G144" s="112">
        <v>2000.0</v>
      </c>
      <c r="H144" s="114">
        <v>927.0</v>
      </c>
      <c r="I144" s="114" t="s">
        <v>188</v>
      </c>
      <c r="J144" s="112" t="s">
        <v>188</v>
      </c>
      <c r="L144" s="112" t="s">
        <v>421</v>
      </c>
      <c r="M144" s="112" t="s">
        <v>428</v>
      </c>
    </row>
    <row r="145">
      <c r="A145" s="112" t="s">
        <v>381</v>
      </c>
      <c r="B145" s="112" t="s">
        <v>20</v>
      </c>
      <c r="C145" s="112" t="s">
        <v>1155</v>
      </c>
      <c r="D145" s="112" t="s">
        <v>1323</v>
      </c>
      <c r="E145" s="112" t="s">
        <v>1077</v>
      </c>
      <c r="F145" s="112" t="s">
        <v>555</v>
      </c>
      <c r="G145" s="112">
        <v>2001.0</v>
      </c>
      <c r="H145" s="114">
        <v>1173.0</v>
      </c>
      <c r="I145" s="114" t="s">
        <v>188</v>
      </c>
      <c r="J145" s="112" t="s">
        <v>188</v>
      </c>
      <c r="L145" s="112" t="s">
        <v>421</v>
      </c>
      <c r="M145" s="112" t="s">
        <v>428</v>
      </c>
    </row>
    <row r="146">
      <c r="A146" s="112" t="s">
        <v>381</v>
      </c>
      <c r="B146" s="112" t="s">
        <v>20</v>
      </c>
      <c r="C146" s="112" t="s">
        <v>1155</v>
      </c>
      <c r="D146" s="112" t="s">
        <v>1323</v>
      </c>
      <c r="E146" s="112" t="s">
        <v>1077</v>
      </c>
      <c r="F146" s="112" t="s">
        <v>555</v>
      </c>
      <c r="G146" s="112">
        <v>2002.0</v>
      </c>
      <c r="H146" s="114">
        <v>1091.0</v>
      </c>
      <c r="I146" s="114" t="s">
        <v>188</v>
      </c>
      <c r="J146" s="112" t="s">
        <v>188</v>
      </c>
      <c r="L146" s="112" t="s">
        <v>421</v>
      </c>
      <c r="M146" s="112" t="s">
        <v>428</v>
      </c>
    </row>
    <row r="147">
      <c r="A147" s="112" t="s">
        <v>381</v>
      </c>
      <c r="B147" s="112" t="s">
        <v>20</v>
      </c>
      <c r="C147" s="112" t="s">
        <v>1155</v>
      </c>
      <c r="D147" s="112" t="s">
        <v>1323</v>
      </c>
      <c r="E147" s="112" t="s">
        <v>1077</v>
      </c>
      <c r="F147" s="112" t="s">
        <v>555</v>
      </c>
      <c r="G147" s="112">
        <v>2003.0</v>
      </c>
      <c r="H147" s="114">
        <v>1064.0</v>
      </c>
      <c r="I147" s="114" t="s">
        <v>188</v>
      </c>
      <c r="J147" s="112" t="s">
        <v>188</v>
      </c>
      <c r="L147" s="112" t="s">
        <v>421</v>
      </c>
      <c r="M147" s="112" t="s">
        <v>428</v>
      </c>
    </row>
    <row r="148">
      <c r="A148" s="112" t="s">
        <v>381</v>
      </c>
      <c r="B148" s="112" t="s">
        <v>20</v>
      </c>
      <c r="C148" s="112" t="s">
        <v>1155</v>
      </c>
      <c r="D148" s="112" t="s">
        <v>1323</v>
      </c>
      <c r="E148" s="112" t="s">
        <v>1077</v>
      </c>
      <c r="F148" s="112" t="s">
        <v>555</v>
      </c>
      <c r="G148" s="112">
        <v>2004.0</v>
      </c>
      <c r="H148" s="114">
        <v>818.0</v>
      </c>
      <c r="I148" s="114" t="s">
        <v>188</v>
      </c>
      <c r="J148" s="112" t="s">
        <v>188</v>
      </c>
      <c r="L148" s="112" t="s">
        <v>421</v>
      </c>
      <c r="M148" s="112" t="s">
        <v>428</v>
      </c>
    </row>
    <row r="149">
      <c r="A149" s="112" t="s">
        <v>381</v>
      </c>
      <c r="B149" s="112" t="s">
        <v>20</v>
      </c>
      <c r="C149" s="112" t="s">
        <v>1155</v>
      </c>
      <c r="D149" s="112" t="s">
        <v>1323</v>
      </c>
      <c r="E149" s="112" t="s">
        <v>1077</v>
      </c>
      <c r="F149" s="112" t="s">
        <v>555</v>
      </c>
      <c r="G149" s="112">
        <v>2005.0</v>
      </c>
      <c r="H149" s="114">
        <v>1118.0</v>
      </c>
      <c r="I149" s="114" t="s">
        <v>188</v>
      </c>
      <c r="J149" s="112" t="s">
        <v>188</v>
      </c>
      <c r="L149" s="112" t="s">
        <v>421</v>
      </c>
      <c r="M149" s="112" t="s">
        <v>428</v>
      </c>
    </row>
    <row r="150">
      <c r="A150" s="112" t="s">
        <v>381</v>
      </c>
      <c r="B150" s="112" t="s">
        <v>20</v>
      </c>
      <c r="C150" s="112" t="s">
        <v>1155</v>
      </c>
      <c r="D150" s="112" t="s">
        <v>1323</v>
      </c>
      <c r="E150" s="112" t="s">
        <v>1077</v>
      </c>
      <c r="F150" s="112" t="s">
        <v>555</v>
      </c>
      <c r="G150" s="112">
        <v>2006.0</v>
      </c>
      <c r="H150" s="114">
        <v>1118.0</v>
      </c>
      <c r="I150" s="114" t="s">
        <v>188</v>
      </c>
      <c r="J150" s="112" t="s">
        <v>188</v>
      </c>
      <c r="L150" s="112" t="s">
        <v>421</v>
      </c>
      <c r="M150" s="112" t="s">
        <v>428</v>
      </c>
    </row>
    <row r="151">
      <c r="A151" s="112" t="s">
        <v>381</v>
      </c>
      <c r="B151" s="112" t="s">
        <v>20</v>
      </c>
      <c r="C151" s="112" t="s">
        <v>1155</v>
      </c>
      <c r="D151" s="112" t="s">
        <v>1323</v>
      </c>
      <c r="E151" s="112" t="s">
        <v>1077</v>
      </c>
      <c r="F151" s="112" t="s">
        <v>555</v>
      </c>
      <c r="G151" s="112">
        <v>2007.0</v>
      </c>
      <c r="H151" s="114">
        <v>955.0</v>
      </c>
      <c r="I151" s="114" t="s">
        <v>188</v>
      </c>
      <c r="J151" s="112" t="s">
        <v>188</v>
      </c>
      <c r="L151" s="112" t="s">
        <v>421</v>
      </c>
      <c r="M151" s="112" t="s">
        <v>428</v>
      </c>
    </row>
    <row r="152">
      <c r="A152" s="112" t="s">
        <v>381</v>
      </c>
      <c r="B152" s="112" t="s">
        <v>20</v>
      </c>
      <c r="C152" s="112" t="s">
        <v>1155</v>
      </c>
      <c r="D152" s="112" t="s">
        <v>1323</v>
      </c>
      <c r="E152" s="112" t="s">
        <v>1077</v>
      </c>
      <c r="F152" s="112" t="s">
        <v>555</v>
      </c>
      <c r="G152" s="112">
        <v>2008.0</v>
      </c>
      <c r="H152" s="114">
        <v>1364.0</v>
      </c>
      <c r="I152" s="114" t="s">
        <v>188</v>
      </c>
      <c r="J152" s="112" t="s">
        <v>188</v>
      </c>
      <c r="L152" s="112" t="s">
        <v>421</v>
      </c>
      <c r="M152" s="112" t="s">
        <v>428</v>
      </c>
    </row>
    <row r="153">
      <c r="A153" s="112" t="s">
        <v>381</v>
      </c>
      <c r="B153" s="112" t="s">
        <v>20</v>
      </c>
      <c r="C153" s="112" t="s">
        <v>1155</v>
      </c>
      <c r="D153" s="112" t="s">
        <v>1323</v>
      </c>
      <c r="E153" s="112" t="s">
        <v>1077</v>
      </c>
      <c r="F153" s="112" t="s">
        <v>555</v>
      </c>
      <c r="G153" s="112">
        <v>2009.0</v>
      </c>
      <c r="H153" s="114">
        <v>1227.0</v>
      </c>
      <c r="I153" s="114" t="s">
        <v>188</v>
      </c>
      <c r="J153" s="112" t="s">
        <v>188</v>
      </c>
      <c r="L153" s="112" t="s">
        <v>421</v>
      </c>
      <c r="M153" s="112" t="s">
        <v>428</v>
      </c>
    </row>
    <row r="154">
      <c r="A154" s="112" t="s">
        <v>381</v>
      </c>
      <c r="B154" s="112" t="s">
        <v>20</v>
      </c>
      <c r="C154" s="112" t="s">
        <v>1155</v>
      </c>
      <c r="D154" s="112" t="s">
        <v>1323</v>
      </c>
      <c r="E154" s="112" t="s">
        <v>1077</v>
      </c>
      <c r="F154" s="112" t="s">
        <v>555</v>
      </c>
      <c r="G154" s="112">
        <v>2010.0</v>
      </c>
      <c r="H154" s="114">
        <v>1500.0</v>
      </c>
      <c r="I154" s="114" t="s">
        <v>188</v>
      </c>
      <c r="J154" s="112" t="s">
        <v>188</v>
      </c>
      <c r="L154" s="112" t="s">
        <v>421</v>
      </c>
      <c r="M154" s="112" t="s">
        <v>428</v>
      </c>
    </row>
    <row r="155">
      <c r="A155" s="112" t="s">
        <v>381</v>
      </c>
      <c r="B155" s="112" t="s">
        <v>20</v>
      </c>
      <c r="C155" s="112" t="s">
        <v>1155</v>
      </c>
      <c r="D155" s="112" t="s">
        <v>1323</v>
      </c>
      <c r="E155" s="112" t="s">
        <v>1077</v>
      </c>
      <c r="F155" s="112" t="s">
        <v>555</v>
      </c>
      <c r="G155" s="112">
        <v>2011.0</v>
      </c>
      <c r="H155" s="114">
        <v>1364.0</v>
      </c>
      <c r="I155" s="114" t="s">
        <v>188</v>
      </c>
      <c r="J155" s="112" t="s">
        <v>188</v>
      </c>
      <c r="L155" s="112" t="s">
        <v>421</v>
      </c>
      <c r="M155" s="112" t="s">
        <v>428</v>
      </c>
    </row>
    <row r="156">
      <c r="A156" s="112" t="s">
        <v>381</v>
      </c>
      <c r="B156" s="112" t="s">
        <v>20</v>
      </c>
      <c r="C156" s="112" t="s">
        <v>1155</v>
      </c>
      <c r="D156" s="112" t="s">
        <v>1323</v>
      </c>
      <c r="E156" s="112" t="s">
        <v>1077</v>
      </c>
      <c r="F156" s="112" t="s">
        <v>555</v>
      </c>
      <c r="G156" s="112">
        <v>2012.0</v>
      </c>
      <c r="H156" s="114">
        <v>1636.0</v>
      </c>
      <c r="I156" s="114" t="s">
        <v>188</v>
      </c>
      <c r="J156" s="112" t="s">
        <v>188</v>
      </c>
      <c r="L156" s="112" t="s">
        <v>421</v>
      </c>
      <c r="M156" s="112" t="s">
        <v>428</v>
      </c>
    </row>
    <row r="157">
      <c r="A157" s="112" t="s">
        <v>381</v>
      </c>
      <c r="B157" s="112" t="s">
        <v>20</v>
      </c>
      <c r="C157" s="112" t="s">
        <v>1155</v>
      </c>
      <c r="D157" s="112" t="s">
        <v>1323</v>
      </c>
      <c r="E157" s="112" t="s">
        <v>1077</v>
      </c>
      <c r="F157" s="112" t="s">
        <v>555</v>
      </c>
      <c r="G157" s="112">
        <v>2013.0</v>
      </c>
      <c r="H157" s="114">
        <v>1227.0</v>
      </c>
      <c r="I157" s="114" t="s">
        <v>188</v>
      </c>
      <c r="J157" s="112" t="s">
        <v>188</v>
      </c>
      <c r="L157" s="112" t="s">
        <v>421</v>
      </c>
      <c r="M157" s="112" t="s">
        <v>428</v>
      </c>
    </row>
    <row r="158">
      <c r="A158" s="112" t="s">
        <v>381</v>
      </c>
      <c r="B158" s="112" t="s">
        <v>20</v>
      </c>
      <c r="C158" s="112" t="s">
        <v>1155</v>
      </c>
      <c r="D158" s="112" t="s">
        <v>1323</v>
      </c>
      <c r="E158" s="112" t="s">
        <v>1077</v>
      </c>
      <c r="F158" s="112" t="s">
        <v>555</v>
      </c>
      <c r="G158" s="112">
        <v>2014.0</v>
      </c>
      <c r="H158" s="114">
        <v>1609.0</v>
      </c>
      <c r="I158" s="114" t="s">
        <v>188</v>
      </c>
      <c r="J158" s="112" t="s">
        <v>188</v>
      </c>
      <c r="L158" s="112" t="s">
        <v>421</v>
      </c>
      <c r="M158" s="112" t="s">
        <v>428</v>
      </c>
    </row>
    <row r="159">
      <c r="A159" s="112" t="s">
        <v>381</v>
      </c>
      <c r="B159" s="112" t="s">
        <v>20</v>
      </c>
      <c r="C159" s="112" t="s">
        <v>1155</v>
      </c>
      <c r="D159" s="112" t="s">
        <v>1323</v>
      </c>
      <c r="E159" s="112" t="s">
        <v>1077</v>
      </c>
      <c r="F159" s="112" t="s">
        <v>555</v>
      </c>
      <c r="G159" s="112">
        <v>2015.0</v>
      </c>
      <c r="H159" s="114">
        <v>1636.0</v>
      </c>
      <c r="I159" s="114" t="s">
        <v>188</v>
      </c>
      <c r="J159" s="112" t="s">
        <v>188</v>
      </c>
      <c r="L159" s="112" t="s">
        <v>421</v>
      </c>
      <c r="M159" s="112" t="s">
        <v>428</v>
      </c>
    </row>
    <row r="160">
      <c r="A160" s="112" t="s">
        <v>381</v>
      </c>
      <c r="B160" s="112" t="s">
        <v>20</v>
      </c>
      <c r="C160" s="112" t="s">
        <v>1155</v>
      </c>
      <c r="D160" s="112" t="s">
        <v>1323</v>
      </c>
      <c r="E160" s="112" t="s">
        <v>1077</v>
      </c>
      <c r="F160" s="112" t="s">
        <v>555</v>
      </c>
      <c r="G160" s="112">
        <v>2016.0</v>
      </c>
      <c r="H160" s="114">
        <v>2182.0</v>
      </c>
      <c r="I160" s="114" t="s">
        <v>188</v>
      </c>
      <c r="J160" s="112" t="s">
        <v>188</v>
      </c>
      <c r="L160" s="112" t="s">
        <v>421</v>
      </c>
      <c r="M160" s="112" t="s">
        <v>428</v>
      </c>
    </row>
    <row r="161">
      <c r="A161" s="112" t="s">
        <v>381</v>
      </c>
      <c r="B161" s="112" t="s">
        <v>20</v>
      </c>
      <c r="C161" s="112" t="s">
        <v>1155</v>
      </c>
      <c r="D161" s="112" t="s">
        <v>1323</v>
      </c>
      <c r="E161" s="112" t="s">
        <v>1077</v>
      </c>
      <c r="F161" s="112" t="s">
        <v>555</v>
      </c>
      <c r="G161" s="112">
        <v>2017.0</v>
      </c>
      <c r="H161" s="114">
        <v>2564.0</v>
      </c>
      <c r="I161" s="114" t="s">
        <v>188</v>
      </c>
      <c r="J161" s="112" t="s">
        <v>188</v>
      </c>
      <c r="L161" s="112" t="s">
        <v>421</v>
      </c>
      <c r="M161" s="112" t="s">
        <v>428</v>
      </c>
    </row>
    <row r="162">
      <c r="A162" s="112" t="s">
        <v>381</v>
      </c>
      <c r="B162" s="112" t="s">
        <v>20</v>
      </c>
      <c r="C162" s="112" t="s">
        <v>1155</v>
      </c>
      <c r="D162" s="112" t="s">
        <v>1323</v>
      </c>
      <c r="E162" s="112" t="s">
        <v>1077</v>
      </c>
      <c r="F162" s="112" t="s">
        <v>555</v>
      </c>
      <c r="G162" s="112">
        <v>2018.0</v>
      </c>
      <c r="H162" s="114">
        <v>1902.0</v>
      </c>
      <c r="I162" s="114" t="s">
        <v>188</v>
      </c>
      <c r="J162" s="112" t="s">
        <v>188</v>
      </c>
      <c r="L162" s="112" t="s">
        <v>421</v>
      </c>
      <c r="M162" s="112" t="s">
        <v>428</v>
      </c>
    </row>
    <row r="163">
      <c r="A163" s="112" t="s">
        <v>381</v>
      </c>
      <c r="B163" s="112" t="s">
        <v>20</v>
      </c>
      <c r="C163" s="112" t="s">
        <v>1155</v>
      </c>
      <c r="D163" s="112" t="s">
        <v>1323</v>
      </c>
      <c r="E163" s="112" t="s">
        <v>1077</v>
      </c>
      <c r="F163" s="112" t="s">
        <v>555</v>
      </c>
      <c r="G163" s="112">
        <v>2019.0</v>
      </c>
      <c r="H163" s="114">
        <v>1909.0</v>
      </c>
      <c r="I163" s="114" t="s">
        <v>188</v>
      </c>
      <c r="J163" s="112" t="s">
        <v>188</v>
      </c>
      <c r="L163" s="112" t="s">
        <v>421</v>
      </c>
      <c r="M163" s="112" t="s">
        <v>428</v>
      </c>
    </row>
    <row r="164">
      <c r="A164" s="112" t="s">
        <v>381</v>
      </c>
      <c r="B164" s="112" t="s">
        <v>20</v>
      </c>
      <c r="C164" s="112" t="s">
        <v>1228</v>
      </c>
      <c r="D164" s="112" t="s">
        <v>1323</v>
      </c>
      <c r="E164" s="112" t="s">
        <v>1077</v>
      </c>
      <c r="F164" s="112" t="s">
        <v>555</v>
      </c>
      <c r="G164" s="112">
        <v>1972.0</v>
      </c>
      <c r="H164" s="114">
        <v>167.0</v>
      </c>
      <c r="I164" s="114" t="s">
        <v>188</v>
      </c>
      <c r="J164" s="112" t="s">
        <v>188</v>
      </c>
      <c r="L164" s="112" t="s">
        <v>421</v>
      </c>
      <c r="M164" s="112" t="s">
        <v>428</v>
      </c>
    </row>
    <row r="165">
      <c r="A165" s="112" t="s">
        <v>381</v>
      </c>
      <c r="B165" s="112" t="s">
        <v>20</v>
      </c>
      <c r="C165" s="112" t="s">
        <v>1228</v>
      </c>
      <c r="D165" s="112" t="s">
        <v>1323</v>
      </c>
      <c r="E165" s="112" t="s">
        <v>1077</v>
      </c>
      <c r="F165" s="112" t="s">
        <v>555</v>
      </c>
      <c r="G165" s="112">
        <v>1973.0</v>
      </c>
      <c r="H165" s="114">
        <v>250.0</v>
      </c>
      <c r="I165" s="114" t="s">
        <v>188</v>
      </c>
      <c r="J165" s="112" t="s">
        <v>188</v>
      </c>
      <c r="L165" s="112" t="s">
        <v>421</v>
      </c>
      <c r="M165" s="112" t="s">
        <v>428</v>
      </c>
    </row>
    <row r="166">
      <c r="A166" s="112" t="s">
        <v>381</v>
      </c>
      <c r="B166" s="112" t="s">
        <v>20</v>
      </c>
      <c r="C166" s="112" t="s">
        <v>1228</v>
      </c>
      <c r="D166" s="112" t="s">
        <v>1323</v>
      </c>
      <c r="E166" s="112" t="s">
        <v>1077</v>
      </c>
      <c r="F166" s="112" t="s">
        <v>555</v>
      </c>
      <c r="G166" s="112">
        <v>1974.0</v>
      </c>
      <c r="H166" s="114">
        <v>278.0</v>
      </c>
      <c r="I166" s="114" t="s">
        <v>188</v>
      </c>
      <c r="J166" s="112" t="s">
        <v>188</v>
      </c>
      <c r="L166" s="112" t="s">
        <v>421</v>
      </c>
      <c r="M166" s="112" t="s">
        <v>428</v>
      </c>
    </row>
    <row r="167">
      <c r="A167" s="112" t="s">
        <v>381</v>
      </c>
      <c r="B167" s="112" t="s">
        <v>20</v>
      </c>
      <c r="C167" s="112" t="s">
        <v>1228</v>
      </c>
      <c r="D167" s="112" t="s">
        <v>1323</v>
      </c>
      <c r="E167" s="112" t="s">
        <v>1077</v>
      </c>
      <c r="F167" s="112" t="s">
        <v>555</v>
      </c>
      <c r="G167" s="112">
        <v>1975.0</v>
      </c>
      <c r="H167" s="114">
        <v>389.0</v>
      </c>
      <c r="I167" s="114" t="s">
        <v>188</v>
      </c>
      <c r="J167" s="112" t="s">
        <v>188</v>
      </c>
      <c r="L167" s="112" t="s">
        <v>421</v>
      </c>
      <c r="M167" s="112" t="s">
        <v>428</v>
      </c>
    </row>
    <row r="168">
      <c r="A168" s="112" t="s">
        <v>381</v>
      </c>
      <c r="B168" s="112" t="s">
        <v>20</v>
      </c>
      <c r="C168" s="112" t="s">
        <v>1228</v>
      </c>
      <c r="D168" s="112" t="s">
        <v>1323</v>
      </c>
      <c r="E168" s="112" t="s">
        <v>1077</v>
      </c>
      <c r="F168" s="112" t="s">
        <v>555</v>
      </c>
      <c r="G168" s="112">
        <v>1976.0</v>
      </c>
      <c r="H168" s="114">
        <v>500.0</v>
      </c>
      <c r="I168" s="114" t="s">
        <v>188</v>
      </c>
      <c r="J168" s="112" t="s">
        <v>188</v>
      </c>
      <c r="L168" s="112" t="s">
        <v>421</v>
      </c>
      <c r="M168" s="112" t="s">
        <v>428</v>
      </c>
    </row>
    <row r="169">
      <c r="A169" s="112" t="s">
        <v>381</v>
      </c>
      <c r="B169" s="112" t="s">
        <v>20</v>
      </c>
      <c r="C169" s="112" t="s">
        <v>1228</v>
      </c>
      <c r="D169" s="112" t="s">
        <v>1323</v>
      </c>
      <c r="E169" s="112" t="s">
        <v>1077</v>
      </c>
      <c r="F169" s="112" t="s">
        <v>555</v>
      </c>
      <c r="G169" s="112">
        <v>1977.0</v>
      </c>
      <c r="H169" s="114">
        <v>639.0</v>
      </c>
      <c r="I169" s="114" t="s">
        <v>188</v>
      </c>
      <c r="J169" s="112" t="s">
        <v>188</v>
      </c>
      <c r="L169" s="112" t="s">
        <v>421</v>
      </c>
      <c r="M169" s="112" t="s">
        <v>428</v>
      </c>
    </row>
    <row r="170">
      <c r="A170" s="112" t="s">
        <v>381</v>
      </c>
      <c r="B170" s="112" t="s">
        <v>20</v>
      </c>
      <c r="C170" s="112" t="s">
        <v>1228</v>
      </c>
      <c r="D170" s="112" t="s">
        <v>1323</v>
      </c>
      <c r="E170" s="112" t="s">
        <v>1077</v>
      </c>
      <c r="F170" s="112" t="s">
        <v>555</v>
      </c>
      <c r="G170" s="112">
        <v>1978.0</v>
      </c>
      <c r="H170" s="114">
        <v>528.0</v>
      </c>
      <c r="I170" s="114" t="s">
        <v>188</v>
      </c>
      <c r="J170" s="112" t="s">
        <v>188</v>
      </c>
      <c r="L170" s="112" t="s">
        <v>421</v>
      </c>
      <c r="M170" s="112" t="s">
        <v>428</v>
      </c>
    </row>
    <row r="171">
      <c r="A171" s="112" t="s">
        <v>381</v>
      </c>
      <c r="B171" s="112" t="s">
        <v>20</v>
      </c>
      <c r="C171" s="112" t="s">
        <v>1228</v>
      </c>
      <c r="D171" s="112" t="s">
        <v>1323</v>
      </c>
      <c r="E171" s="112" t="s">
        <v>1077</v>
      </c>
      <c r="F171" s="112" t="s">
        <v>555</v>
      </c>
      <c r="G171" s="112">
        <v>1979.0</v>
      </c>
      <c r="H171" s="114">
        <v>667.0</v>
      </c>
      <c r="I171" s="114" t="s">
        <v>188</v>
      </c>
      <c r="J171" s="112" t="s">
        <v>188</v>
      </c>
      <c r="L171" s="112" t="s">
        <v>421</v>
      </c>
      <c r="M171" s="112" t="s">
        <v>428</v>
      </c>
    </row>
    <row r="172">
      <c r="A172" s="112" t="s">
        <v>381</v>
      </c>
      <c r="B172" s="112" t="s">
        <v>20</v>
      </c>
      <c r="C172" s="112" t="s">
        <v>1228</v>
      </c>
      <c r="D172" s="112" t="s">
        <v>1323</v>
      </c>
      <c r="E172" s="112" t="s">
        <v>1077</v>
      </c>
      <c r="F172" s="112" t="s">
        <v>555</v>
      </c>
      <c r="G172" s="112">
        <v>1980.0</v>
      </c>
      <c r="H172" s="114">
        <v>583.0</v>
      </c>
      <c r="I172" s="114" t="s">
        <v>188</v>
      </c>
      <c r="J172" s="112" t="s">
        <v>188</v>
      </c>
      <c r="L172" s="112" t="s">
        <v>421</v>
      </c>
      <c r="M172" s="112" t="s">
        <v>428</v>
      </c>
    </row>
    <row r="173">
      <c r="A173" s="112" t="s">
        <v>381</v>
      </c>
      <c r="B173" s="112" t="s">
        <v>20</v>
      </c>
      <c r="C173" s="112" t="s">
        <v>1228</v>
      </c>
      <c r="D173" s="112" t="s">
        <v>1323</v>
      </c>
      <c r="E173" s="112" t="s">
        <v>1077</v>
      </c>
      <c r="F173" s="112" t="s">
        <v>555</v>
      </c>
      <c r="G173" s="112">
        <v>1981.0</v>
      </c>
      <c r="H173" s="114">
        <v>611.0</v>
      </c>
      <c r="I173" s="114" t="s">
        <v>188</v>
      </c>
      <c r="J173" s="112" t="s">
        <v>188</v>
      </c>
      <c r="L173" s="112" t="s">
        <v>421</v>
      </c>
      <c r="M173" s="112" t="s">
        <v>428</v>
      </c>
    </row>
    <row r="174">
      <c r="A174" s="112" t="s">
        <v>381</v>
      </c>
      <c r="B174" s="112" t="s">
        <v>20</v>
      </c>
      <c r="C174" s="112" t="s">
        <v>1228</v>
      </c>
      <c r="D174" s="112" t="s">
        <v>1323</v>
      </c>
      <c r="E174" s="112" t="s">
        <v>1077</v>
      </c>
      <c r="F174" s="112" t="s">
        <v>555</v>
      </c>
      <c r="G174" s="112">
        <v>1982.0</v>
      </c>
      <c r="H174" s="114">
        <v>694.0</v>
      </c>
      <c r="I174" s="114" t="s">
        <v>188</v>
      </c>
      <c r="J174" s="112" t="s">
        <v>188</v>
      </c>
      <c r="L174" s="112" t="s">
        <v>421</v>
      </c>
      <c r="M174" s="112" t="s">
        <v>428</v>
      </c>
    </row>
    <row r="175">
      <c r="A175" s="112" t="s">
        <v>381</v>
      </c>
      <c r="B175" s="112" t="s">
        <v>20</v>
      </c>
      <c r="C175" s="112" t="s">
        <v>1228</v>
      </c>
      <c r="D175" s="112" t="s">
        <v>1323</v>
      </c>
      <c r="E175" s="112" t="s">
        <v>1077</v>
      </c>
      <c r="F175" s="112" t="s">
        <v>555</v>
      </c>
      <c r="G175" s="112">
        <v>1983.0</v>
      </c>
      <c r="H175" s="114">
        <v>222.0</v>
      </c>
      <c r="I175" s="114" t="s">
        <v>188</v>
      </c>
      <c r="J175" s="112" t="s">
        <v>188</v>
      </c>
      <c r="L175" s="112" t="s">
        <v>421</v>
      </c>
      <c r="M175" s="112" t="s">
        <v>428</v>
      </c>
    </row>
    <row r="176">
      <c r="A176" s="112" t="s">
        <v>381</v>
      </c>
      <c r="B176" s="112" t="s">
        <v>20</v>
      </c>
      <c r="C176" s="112" t="s">
        <v>1228</v>
      </c>
      <c r="D176" s="112" t="s">
        <v>1323</v>
      </c>
      <c r="E176" s="112" t="s">
        <v>1077</v>
      </c>
      <c r="F176" s="112" t="s">
        <v>555</v>
      </c>
      <c r="G176" s="112">
        <v>1984.0</v>
      </c>
      <c r="H176" s="114">
        <v>417.0</v>
      </c>
      <c r="I176" s="114" t="s">
        <v>188</v>
      </c>
      <c r="J176" s="112" t="s">
        <v>188</v>
      </c>
      <c r="L176" s="112" t="s">
        <v>421</v>
      </c>
      <c r="M176" s="112" t="s">
        <v>428</v>
      </c>
    </row>
    <row r="177">
      <c r="A177" s="112" t="s">
        <v>381</v>
      </c>
      <c r="B177" s="112" t="s">
        <v>20</v>
      </c>
      <c r="C177" s="112" t="s">
        <v>1228</v>
      </c>
      <c r="D177" s="112" t="s">
        <v>1323</v>
      </c>
      <c r="E177" s="112" t="s">
        <v>1077</v>
      </c>
      <c r="F177" s="112" t="s">
        <v>555</v>
      </c>
      <c r="G177" s="112">
        <v>1985.0</v>
      </c>
      <c r="H177" s="114">
        <v>333.0</v>
      </c>
      <c r="I177" s="114" t="s">
        <v>188</v>
      </c>
      <c r="J177" s="112" t="s">
        <v>188</v>
      </c>
      <c r="L177" s="112" t="s">
        <v>421</v>
      </c>
      <c r="M177" s="112" t="s">
        <v>428</v>
      </c>
    </row>
    <row r="178">
      <c r="A178" s="112" t="s">
        <v>381</v>
      </c>
      <c r="B178" s="112" t="s">
        <v>20</v>
      </c>
      <c r="C178" s="112" t="s">
        <v>1228</v>
      </c>
      <c r="D178" s="112" t="s">
        <v>1323</v>
      </c>
      <c r="E178" s="112" t="s">
        <v>1077</v>
      </c>
      <c r="F178" s="112" t="s">
        <v>555</v>
      </c>
      <c r="G178" s="112">
        <v>1986.0</v>
      </c>
      <c r="H178" s="114">
        <v>556.0</v>
      </c>
      <c r="I178" s="114" t="s">
        <v>188</v>
      </c>
      <c r="J178" s="112" t="s">
        <v>188</v>
      </c>
      <c r="L178" s="112" t="s">
        <v>421</v>
      </c>
      <c r="M178" s="112" t="s">
        <v>428</v>
      </c>
    </row>
    <row r="179">
      <c r="A179" s="112" t="s">
        <v>381</v>
      </c>
      <c r="B179" s="112" t="s">
        <v>20</v>
      </c>
      <c r="C179" s="112" t="s">
        <v>1228</v>
      </c>
      <c r="D179" s="112" t="s">
        <v>1323</v>
      </c>
      <c r="E179" s="112" t="s">
        <v>1077</v>
      </c>
      <c r="F179" s="112" t="s">
        <v>555</v>
      </c>
      <c r="G179" s="112">
        <v>1987.0</v>
      </c>
      <c r="H179" s="114">
        <v>500.0</v>
      </c>
      <c r="I179" s="114" t="s">
        <v>188</v>
      </c>
      <c r="J179" s="112" t="s">
        <v>188</v>
      </c>
      <c r="L179" s="112" t="s">
        <v>421</v>
      </c>
      <c r="M179" s="112" t="s">
        <v>428</v>
      </c>
    </row>
    <row r="180">
      <c r="A180" s="112" t="s">
        <v>381</v>
      </c>
      <c r="B180" s="112" t="s">
        <v>20</v>
      </c>
      <c r="C180" s="112" t="s">
        <v>1228</v>
      </c>
      <c r="D180" s="112" t="s">
        <v>1323</v>
      </c>
      <c r="E180" s="112" t="s">
        <v>1077</v>
      </c>
      <c r="F180" s="112" t="s">
        <v>555</v>
      </c>
      <c r="G180" s="112">
        <v>1988.0</v>
      </c>
      <c r="H180" s="114">
        <v>500.0</v>
      </c>
      <c r="I180" s="114" t="s">
        <v>188</v>
      </c>
      <c r="J180" s="112" t="s">
        <v>188</v>
      </c>
      <c r="L180" s="112" t="s">
        <v>421</v>
      </c>
      <c r="M180" s="112" t="s">
        <v>428</v>
      </c>
    </row>
    <row r="181">
      <c r="A181" s="112" t="s">
        <v>381</v>
      </c>
      <c r="B181" s="112" t="s">
        <v>20</v>
      </c>
      <c r="C181" s="112" t="s">
        <v>1228</v>
      </c>
      <c r="D181" s="112" t="s">
        <v>1323</v>
      </c>
      <c r="E181" s="112" t="s">
        <v>1077</v>
      </c>
      <c r="F181" s="112" t="s">
        <v>555</v>
      </c>
      <c r="G181" s="112">
        <v>1989.0</v>
      </c>
      <c r="H181" s="114">
        <v>639.0</v>
      </c>
      <c r="I181" s="114" t="s">
        <v>188</v>
      </c>
      <c r="J181" s="112" t="s">
        <v>188</v>
      </c>
      <c r="L181" s="112" t="s">
        <v>421</v>
      </c>
      <c r="M181" s="112" t="s">
        <v>428</v>
      </c>
    </row>
    <row r="182">
      <c r="A182" s="112" t="s">
        <v>381</v>
      </c>
      <c r="B182" s="112" t="s">
        <v>20</v>
      </c>
      <c r="C182" s="112" t="s">
        <v>1228</v>
      </c>
      <c r="D182" s="112" t="s">
        <v>1323</v>
      </c>
      <c r="E182" s="112" t="s">
        <v>1077</v>
      </c>
      <c r="F182" s="112" t="s">
        <v>555</v>
      </c>
      <c r="G182" s="112">
        <v>1990.0</v>
      </c>
      <c r="H182" s="114">
        <v>639.0</v>
      </c>
      <c r="I182" s="114" t="s">
        <v>188</v>
      </c>
      <c r="J182" s="112" t="s">
        <v>188</v>
      </c>
      <c r="L182" s="112" t="s">
        <v>421</v>
      </c>
      <c r="M182" s="112" t="s">
        <v>428</v>
      </c>
    </row>
    <row r="183">
      <c r="A183" s="112" t="s">
        <v>381</v>
      </c>
      <c r="B183" s="112" t="s">
        <v>20</v>
      </c>
      <c r="C183" s="112" t="s">
        <v>1228</v>
      </c>
      <c r="D183" s="112" t="s">
        <v>1323</v>
      </c>
      <c r="E183" s="112" t="s">
        <v>1077</v>
      </c>
      <c r="F183" s="112" t="s">
        <v>555</v>
      </c>
      <c r="G183" s="112">
        <v>1991.0</v>
      </c>
      <c r="H183" s="114">
        <v>528.0</v>
      </c>
      <c r="I183" s="114" t="s">
        <v>188</v>
      </c>
      <c r="J183" s="112" t="s">
        <v>188</v>
      </c>
      <c r="L183" s="112" t="s">
        <v>421</v>
      </c>
      <c r="M183" s="112" t="s">
        <v>428</v>
      </c>
    </row>
    <row r="184">
      <c r="A184" s="112" t="s">
        <v>381</v>
      </c>
      <c r="B184" s="112" t="s">
        <v>20</v>
      </c>
      <c r="C184" s="112" t="s">
        <v>1228</v>
      </c>
      <c r="D184" s="112" t="s">
        <v>1323</v>
      </c>
      <c r="E184" s="112" t="s">
        <v>1077</v>
      </c>
      <c r="F184" s="112" t="s">
        <v>555</v>
      </c>
      <c r="G184" s="112">
        <v>1992.0</v>
      </c>
      <c r="H184" s="114">
        <v>472.0</v>
      </c>
      <c r="I184" s="114" t="s">
        <v>188</v>
      </c>
      <c r="J184" s="112" t="s">
        <v>188</v>
      </c>
      <c r="L184" s="112" t="s">
        <v>421</v>
      </c>
      <c r="M184" s="112" t="s">
        <v>428</v>
      </c>
    </row>
    <row r="185">
      <c r="A185" s="112" t="s">
        <v>381</v>
      </c>
      <c r="B185" s="112" t="s">
        <v>20</v>
      </c>
      <c r="C185" s="112" t="s">
        <v>1228</v>
      </c>
      <c r="D185" s="112" t="s">
        <v>1323</v>
      </c>
      <c r="E185" s="112" t="s">
        <v>1077</v>
      </c>
      <c r="F185" s="112" t="s">
        <v>555</v>
      </c>
      <c r="G185" s="112">
        <v>1993.0</v>
      </c>
      <c r="H185" s="114">
        <v>750.0</v>
      </c>
      <c r="I185" s="114" t="s">
        <v>188</v>
      </c>
      <c r="J185" s="112" t="s">
        <v>188</v>
      </c>
      <c r="L185" s="112" t="s">
        <v>421</v>
      </c>
      <c r="M185" s="112" t="s">
        <v>428</v>
      </c>
    </row>
    <row r="186">
      <c r="A186" s="112" t="s">
        <v>381</v>
      </c>
      <c r="B186" s="112" t="s">
        <v>20</v>
      </c>
      <c r="C186" s="112" t="s">
        <v>1228</v>
      </c>
      <c r="D186" s="112" t="s">
        <v>1323</v>
      </c>
      <c r="E186" s="112" t="s">
        <v>1077</v>
      </c>
      <c r="F186" s="112" t="s">
        <v>555</v>
      </c>
      <c r="G186" s="112">
        <v>1994.0</v>
      </c>
      <c r="H186" s="114">
        <v>833.0</v>
      </c>
      <c r="I186" s="114" t="s">
        <v>188</v>
      </c>
      <c r="J186" s="112" t="s">
        <v>188</v>
      </c>
      <c r="L186" s="112" t="s">
        <v>421</v>
      </c>
      <c r="M186" s="112" t="s">
        <v>428</v>
      </c>
    </row>
    <row r="187">
      <c r="A187" s="112" t="s">
        <v>381</v>
      </c>
      <c r="B187" s="112" t="s">
        <v>20</v>
      </c>
      <c r="C187" s="112" t="s">
        <v>1228</v>
      </c>
      <c r="D187" s="112" t="s">
        <v>1323</v>
      </c>
      <c r="E187" s="112" t="s">
        <v>1077</v>
      </c>
      <c r="F187" s="112" t="s">
        <v>555</v>
      </c>
      <c r="G187" s="112">
        <v>1995.0</v>
      </c>
      <c r="H187" s="114">
        <v>806.0</v>
      </c>
      <c r="I187" s="114" t="s">
        <v>188</v>
      </c>
      <c r="J187" s="112" t="s">
        <v>188</v>
      </c>
      <c r="L187" s="112" t="s">
        <v>421</v>
      </c>
      <c r="M187" s="112" t="s">
        <v>428</v>
      </c>
    </row>
    <row r="188">
      <c r="A188" s="112" t="s">
        <v>381</v>
      </c>
      <c r="B188" s="112" t="s">
        <v>20</v>
      </c>
      <c r="C188" s="112" t="s">
        <v>1228</v>
      </c>
      <c r="D188" s="112" t="s">
        <v>1323</v>
      </c>
      <c r="E188" s="112" t="s">
        <v>1077</v>
      </c>
      <c r="F188" s="112" t="s">
        <v>555</v>
      </c>
      <c r="G188" s="112">
        <v>1997.0</v>
      </c>
      <c r="H188" s="114">
        <v>944.0</v>
      </c>
      <c r="I188" s="114" t="s">
        <v>188</v>
      </c>
      <c r="J188" s="112" t="s">
        <v>188</v>
      </c>
      <c r="L188" s="112" t="s">
        <v>421</v>
      </c>
      <c r="M188" s="112" t="s">
        <v>428</v>
      </c>
    </row>
    <row r="189">
      <c r="A189" s="112" t="s">
        <v>381</v>
      </c>
      <c r="B189" s="112" t="s">
        <v>20</v>
      </c>
      <c r="C189" s="112" t="s">
        <v>1228</v>
      </c>
      <c r="D189" s="112" t="s">
        <v>1323</v>
      </c>
      <c r="E189" s="112" t="s">
        <v>1077</v>
      </c>
      <c r="F189" s="112" t="s">
        <v>555</v>
      </c>
      <c r="G189" s="112">
        <v>1998.0</v>
      </c>
      <c r="H189" s="114">
        <v>222.0</v>
      </c>
      <c r="I189" s="114" t="s">
        <v>188</v>
      </c>
      <c r="J189" s="112" t="s">
        <v>188</v>
      </c>
      <c r="L189" s="112" t="s">
        <v>421</v>
      </c>
      <c r="M189" s="112" t="s">
        <v>428</v>
      </c>
    </row>
    <row r="190">
      <c r="A190" s="112" t="s">
        <v>381</v>
      </c>
      <c r="B190" s="112" t="s">
        <v>20</v>
      </c>
      <c r="C190" s="112" t="s">
        <v>1228</v>
      </c>
      <c r="D190" s="112" t="s">
        <v>1323</v>
      </c>
      <c r="E190" s="112" t="s">
        <v>1077</v>
      </c>
      <c r="F190" s="112" t="s">
        <v>555</v>
      </c>
      <c r="G190" s="112">
        <v>1999.0</v>
      </c>
      <c r="H190" s="114">
        <v>333.0</v>
      </c>
      <c r="I190" s="114" t="s">
        <v>188</v>
      </c>
      <c r="J190" s="112" t="s">
        <v>188</v>
      </c>
      <c r="L190" s="112" t="s">
        <v>421</v>
      </c>
      <c r="M190" s="112" t="s">
        <v>428</v>
      </c>
    </row>
    <row r="191">
      <c r="A191" s="112" t="s">
        <v>381</v>
      </c>
      <c r="B191" s="112" t="s">
        <v>20</v>
      </c>
      <c r="C191" s="112" t="s">
        <v>1228</v>
      </c>
      <c r="D191" s="112" t="s">
        <v>1323</v>
      </c>
      <c r="E191" s="112" t="s">
        <v>1077</v>
      </c>
      <c r="F191" s="112" t="s">
        <v>555</v>
      </c>
      <c r="G191" s="112">
        <v>2000.0</v>
      </c>
      <c r="H191" s="114">
        <v>583.0</v>
      </c>
      <c r="I191" s="114" t="s">
        <v>188</v>
      </c>
      <c r="J191" s="112" t="s">
        <v>188</v>
      </c>
      <c r="L191" s="112" t="s">
        <v>421</v>
      </c>
      <c r="M191" s="112" t="s">
        <v>428</v>
      </c>
    </row>
    <row r="192">
      <c r="A192" s="112" t="s">
        <v>381</v>
      </c>
      <c r="B192" s="112" t="s">
        <v>20</v>
      </c>
      <c r="C192" s="112" t="s">
        <v>1228</v>
      </c>
      <c r="D192" s="112" t="s">
        <v>1323</v>
      </c>
      <c r="E192" s="112" t="s">
        <v>1077</v>
      </c>
      <c r="F192" s="112" t="s">
        <v>555</v>
      </c>
      <c r="G192" s="112">
        <v>2001.0</v>
      </c>
      <c r="H192" s="114">
        <v>722.0</v>
      </c>
      <c r="I192" s="114" t="s">
        <v>188</v>
      </c>
      <c r="J192" s="112" t="s">
        <v>188</v>
      </c>
      <c r="L192" s="112" t="s">
        <v>421</v>
      </c>
      <c r="M192" s="112" t="s">
        <v>428</v>
      </c>
    </row>
    <row r="193">
      <c r="A193" s="112" t="s">
        <v>381</v>
      </c>
      <c r="B193" s="112" t="s">
        <v>20</v>
      </c>
      <c r="C193" s="112" t="s">
        <v>1228</v>
      </c>
      <c r="D193" s="112" t="s">
        <v>1323</v>
      </c>
      <c r="E193" s="112" t="s">
        <v>1077</v>
      </c>
      <c r="F193" s="112" t="s">
        <v>555</v>
      </c>
      <c r="G193" s="112">
        <v>2002.0</v>
      </c>
      <c r="H193" s="114">
        <v>722.0</v>
      </c>
      <c r="I193" s="114" t="s">
        <v>188</v>
      </c>
      <c r="J193" s="112" t="s">
        <v>188</v>
      </c>
      <c r="L193" s="112" t="s">
        <v>421</v>
      </c>
      <c r="M193" s="112" t="s">
        <v>428</v>
      </c>
    </row>
    <row r="194">
      <c r="A194" s="112" t="s">
        <v>381</v>
      </c>
      <c r="B194" s="112" t="s">
        <v>20</v>
      </c>
      <c r="C194" s="112" t="s">
        <v>1228</v>
      </c>
      <c r="D194" s="112" t="s">
        <v>1323</v>
      </c>
      <c r="E194" s="112" t="s">
        <v>1077</v>
      </c>
      <c r="F194" s="112" t="s">
        <v>555</v>
      </c>
      <c r="G194" s="112">
        <v>2004.0</v>
      </c>
      <c r="H194" s="114">
        <v>806.0</v>
      </c>
      <c r="I194" s="114" t="s">
        <v>188</v>
      </c>
      <c r="J194" s="112" t="s">
        <v>188</v>
      </c>
      <c r="L194" s="112" t="s">
        <v>421</v>
      </c>
      <c r="M194" s="112" t="s">
        <v>428</v>
      </c>
    </row>
    <row r="195">
      <c r="A195" s="112" t="s">
        <v>381</v>
      </c>
      <c r="B195" s="112" t="s">
        <v>20</v>
      </c>
      <c r="C195" s="112" t="s">
        <v>1228</v>
      </c>
      <c r="D195" s="112" t="s">
        <v>1323</v>
      </c>
      <c r="E195" s="112" t="s">
        <v>1077</v>
      </c>
      <c r="F195" s="112" t="s">
        <v>555</v>
      </c>
      <c r="G195" s="112">
        <v>2005.0</v>
      </c>
      <c r="H195" s="114">
        <v>778.0</v>
      </c>
      <c r="I195" s="114" t="s">
        <v>188</v>
      </c>
      <c r="J195" s="112" t="s">
        <v>188</v>
      </c>
      <c r="L195" s="112" t="s">
        <v>421</v>
      </c>
      <c r="M195" s="112" t="s">
        <v>428</v>
      </c>
    </row>
    <row r="196">
      <c r="A196" s="112" t="s">
        <v>381</v>
      </c>
      <c r="B196" s="112" t="s">
        <v>20</v>
      </c>
      <c r="C196" s="112" t="s">
        <v>1228</v>
      </c>
      <c r="D196" s="112" t="s">
        <v>1323</v>
      </c>
      <c r="E196" s="112" t="s">
        <v>1077</v>
      </c>
      <c r="F196" s="112" t="s">
        <v>555</v>
      </c>
      <c r="G196" s="112">
        <v>2006.0</v>
      </c>
      <c r="H196" s="114">
        <v>639.0</v>
      </c>
      <c r="I196" s="114" t="s">
        <v>188</v>
      </c>
      <c r="J196" s="112" t="s">
        <v>188</v>
      </c>
      <c r="L196" s="112" t="s">
        <v>421</v>
      </c>
      <c r="M196" s="112" t="s">
        <v>428</v>
      </c>
    </row>
    <row r="197">
      <c r="A197" s="112" t="s">
        <v>381</v>
      </c>
      <c r="B197" s="112" t="s">
        <v>20</v>
      </c>
      <c r="C197" s="112" t="s">
        <v>1228</v>
      </c>
      <c r="D197" s="112" t="s">
        <v>1323</v>
      </c>
      <c r="E197" s="112" t="s">
        <v>1077</v>
      </c>
      <c r="F197" s="112" t="s">
        <v>555</v>
      </c>
      <c r="G197" s="112">
        <v>2007.0</v>
      </c>
      <c r="H197" s="114">
        <v>750.0</v>
      </c>
      <c r="I197" s="114" t="s">
        <v>188</v>
      </c>
      <c r="J197" s="112" t="s">
        <v>188</v>
      </c>
      <c r="L197" s="112" t="s">
        <v>421</v>
      </c>
      <c r="M197" s="112" t="s">
        <v>428</v>
      </c>
    </row>
    <row r="198">
      <c r="A198" s="112" t="s">
        <v>381</v>
      </c>
      <c r="B198" s="112" t="s">
        <v>20</v>
      </c>
      <c r="C198" s="112" t="s">
        <v>1228</v>
      </c>
      <c r="D198" s="112" t="s">
        <v>1323</v>
      </c>
      <c r="E198" s="112" t="s">
        <v>1077</v>
      </c>
      <c r="F198" s="112" t="s">
        <v>555</v>
      </c>
      <c r="G198" s="112">
        <v>2008.0</v>
      </c>
      <c r="H198" s="114">
        <v>1056.0</v>
      </c>
      <c r="I198" s="114" t="s">
        <v>188</v>
      </c>
      <c r="J198" s="112" t="s">
        <v>188</v>
      </c>
      <c r="L198" s="112" t="s">
        <v>421</v>
      </c>
      <c r="M198" s="112" t="s">
        <v>428</v>
      </c>
    </row>
    <row r="199">
      <c r="A199" s="112" t="s">
        <v>381</v>
      </c>
      <c r="B199" s="112" t="s">
        <v>20</v>
      </c>
      <c r="C199" s="112" t="s">
        <v>1228</v>
      </c>
      <c r="D199" s="112" t="s">
        <v>1323</v>
      </c>
      <c r="E199" s="112" t="s">
        <v>1077</v>
      </c>
      <c r="F199" s="112" t="s">
        <v>555</v>
      </c>
      <c r="G199" s="112">
        <v>2009.0</v>
      </c>
      <c r="H199" s="114">
        <v>778.0</v>
      </c>
      <c r="I199" s="114" t="s">
        <v>188</v>
      </c>
      <c r="J199" s="112" t="s">
        <v>188</v>
      </c>
      <c r="L199" s="112" t="s">
        <v>421</v>
      </c>
      <c r="M199" s="112" t="s">
        <v>428</v>
      </c>
    </row>
    <row r="200">
      <c r="A200" s="112" t="s">
        <v>381</v>
      </c>
      <c r="B200" s="112" t="s">
        <v>20</v>
      </c>
      <c r="C200" s="112" t="s">
        <v>1228</v>
      </c>
      <c r="D200" s="112" t="s">
        <v>1323</v>
      </c>
      <c r="E200" s="112" t="s">
        <v>1077</v>
      </c>
      <c r="F200" s="112" t="s">
        <v>555</v>
      </c>
      <c r="G200" s="112">
        <v>2010.0</v>
      </c>
      <c r="H200" s="114">
        <v>1139.0</v>
      </c>
      <c r="I200" s="114" t="s">
        <v>188</v>
      </c>
      <c r="J200" s="112" t="s">
        <v>188</v>
      </c>
      <c r="L200" s="112" t="s">
        <v>421</v>
      </c>
      <c r="M200" s="112" t="s">
        <v>428</v>
      </c>
    </row>
    <row r="201">
      <c r="A201" s="112" t="s">
        <v>381</v>
      </c>
      <c r="B201" s="112" t="s">
        <v>20</v>
      </c>
      <c r="C201" s="112" t="s">
        <v>1228</v>
      </c>
      <c r="D201" s="112" t="s">
        <v>1323</v>
      </c>
      <c r="E201" s="112" t="s">
        <v>1077</v>
      </c>
      <c r="F201" s="112" t="s">
        <v>555</v>
      </c>
      <c r="G201" s="112">
        <v>2011.0</v>
      </c>
      <c r="H201" s="114">
        <v>1139.0</v>
      </c>
      <c r="I201" s="114" t="s">
        <v>188</v>
      </c>
      <c r="J201" s="112" t="s">
        <v>188</v>
      </c>
      <c r="L201" s="112" t="s">
        <v>421</v>
      </c>
      <c r="M201" s="112" t="s">
        <v>428</v>
      </c>
    </row>
    <row r="202">
      <c r="A202" s="112" t="s">
        <v>381</v>
      </c>
      <c r="B202" s="112" t="s">
        <v>20</v>
      </c>
      <c r="C202" s="112" t="s">
        <v>1228</v>
      </c>
      <c r="D202" s="112" t="s">
        <v>1323</v>
      </c>
      <c r="E202" s="112" t="s">
        <v>1077</v>
      </c>
      <c r="F202" s="112" t="s">
        <v>555</v>
      </c>
      <c r="G202" s="112">
        <v>2012.0</v>
      </c>
      <c r="H202" s="114">
        <v>1167.0</v>
      </c>
      <c r="I202" s="114" t="s">
        <v>188</v>
      </c>
      <c r="J202" s="112" t="s">
        <v>188</v>
      </c>
      <c r="L202" s="112" t="s">
        <v>421</v>
      </c>
      <c r="M202" s="112" t="s">
        <v>428</v>
      </c>
    </row>
    <row r="203">
      <c r="A203" s="112" t="s">
        <v>381</v>
      </c>
      <c r="B203" s="112" t="s">
        <v>20</v>
      </c>
      <c r="C203" s="112" t="s">
        <v>1228</v>
      </c>
      <c r="D203" s="112" t="s">
        <v>1323</v>
      </c>
      <c r="E203" s="112" t="s">
        <v>1077</v>
      </c>
      <c r="F203" s="112" t="s">
        <v>555</v>
      </c>
      <c r="G203" s="112">
        <v>2013.0</v>
      </c>
      <c r="H203" s="114">
        <v>1250.0</v>
      </c>
      <c r="I203" s="114" t="s">
        <v>188</v>
      </c>
      <c r="J203" s="112" t="s">
        <v>188</v>
      </c>
      <c r="L203" s="112" t="s">
        <v>421</v>
      </c>
      <c r="M203" s="112" t="s">
        <v>428</v>
      </c>
    </row>
    <row r="204">
      <c r="A204" s="112" t="s">
        <v>381</v>
      </c>
      <c r="B204" s="112" t="s">
        <v>20</v>
      </c>
      <c r="C204" s="112" t="s">
        <v>1228</v>
      </c>
      <c r="D204" s="112" t="s">
        <v>1323</v>
      </c>
      <c r="E204" s="112" t="s">
        <v>1077</v>
      </c>
      <c r="F204" s="112" t="s">
        <v>555</v>
      </c>
      <c r="G204" s="112">
        <v>2015.0</v>
      </c>
      <c r="H204" s="114">
        <v>917.0</v>
      </c>
      <c r="I204" s="114" t="s">
        <v>188</v>
      </c>
      <c r="J204" s="112" t="s">
        <v>188</v>
      </c>
      <c r="L204" s="112" t="s">
        <v>421</v>
      </c>
      <c r="M204" s="112" t="s">
        <v>428</v>
      </c>
    </row>
    <row r="205">
      <c r="A205" s="112" t="s">
        <v>381</v>
      </c>
      <c r="B205" s="112" t="s">
        <v>20</v>
      </c>
      <c r="C205" s="112" t="s">
        <v>1228</v>
      </c>
      <c r="D205" s="112" t="s">
        <v>1323</v>
      </c>
      <c r="E205" s="112" t="s">
        <v>1077</v>
      </c>
      <c r="F205" s="112" t="s">
        <v>555</v>
      </c>
      <c r="G205" s="112">
        <v>2016.0</v>
      </c>
      <c r="H205" s="114">
        <v>1694.0</v>
      </c>
      <c r="I205" s="114" t="s">
        <v>188</v>
      </c>
      <c r="J205" s="112" t="s">
        <v>188</v>
      </c>
      <c r="L205" s="112" t="s">
        <v>421</v>
      </c>
      <c r="M205" s="112" t="s">
        <v>428</v>
      </c>
    </row>
    <row r="206">
      <c r="A206" s="112" t="s">
        <v>381</v>
      </c>
      <c r="B206" s="112" t="s">
        <v>20</v>
      </c>
      <c r="C206" s="112" t="s">
        <v>1228</v>
      </c>
      <c r="D206" s="112" t="s">
        <v>1323</v>
      </c>
      <c r="E206" s="112" t="s">
        <v>1077</v>
      </c>
      <c r="F206" s="112" t="s">
        <v>555</v>
      </c>
      <c r="G206" s="112">
        <v>2017.0</v>
      </c>
      <c r="H206" s="114">
        <v>1778.0</v>
      </c>
      <c r="I206" s="114" t="s">
        <v>188</v>
      </c>
      <c r="J206" s="112" t="s">
        <v>188</v>
      </c>
      <c r="L206" s="112" t="s">
        <v>421</v>
      </c>
      <c r="M206" s="112" t="s">
        <v>428</v>
      </c>
    </row>
    <row r="207">
      <c r="A207" s="112" t="s">
        <v>381</v>
      </c>
      <c r="B207" s="112" t="s">
        <v>20</v>
      </c>
      <c r="C207" s="112" t="s">
        <v>1228</v>
      </c>
      <c r="D207" s="112" t="s">
        <v>1323</v>
      </c>
      <c r="E207" s="112" t="s">
        <v>1077</v>
      </c>
      <c r="F207" s="112" t="s">
        <v>555</v>
      </c>
      <c r="G207" s="112">
        <v>2019.0</v>
      </c>
      <c r="H207" s="114">
        <v>1167.0</v>
      </c>
      <c r="I207" s="114" t="s">
        <v>188</v>
      </c>
      <c r="J207" s="112" t="s">
        <v>188</v>
      </c>
      <c r="L207" s="112" t="s">
        <v>421</v>
      </c>
      <c r="M207" s="112" t="s">
        <v>428</v>
      </c>
    </row>
    <row r="208">
      <c r="A208" s="59" t="s">
        <v>248</v>
      </c>
      <c r="B208" s="54" t="s">
        <v>1122</v>
      </c>
      <c r="C208" s="148" t="s">
        <v>1388</v>
      </c>
      <c r="D208" s="54" t="s">
        <v>187</v>
      </c>
      <c r="E208" s="75">
        <v>1987.0</v>
      </c>
      <c r="F208" s="75">
        <v>7236.0</v>
      </c>
      <c r="G208" s="54" t="s">
        <v>188</v>
      </c>
      <c r="H208" s="54" t="s">
        <v>188</v>
      </c>
      <c r="I208" s="54" t="s">
        <v>418</v>
      </c>
      <c r="J208" s="59" t="s">
        <v>258</v>
      </c>
      <c r="K208" s="62" t="s">
        <v>1389</v>
      </c>
      <c r="L208" s="54"/>
      <c r="M208" s="54"/>
      <c r="N208" s="54"/>
      <c r="O208" s="54"/>
      <c r="P208" s="54"/>
      <c r="Q208" s="54"/>
      <c r="R208" s="54"/>
      <c r="S208" s="54"/>
      <c r="T208" s="54"/>
      <c r="U208" s="54"/>
      <c r="V208" s="54"/>
      <c r="W208" s="54"/>
      <c r="X208" s="54"/>
      <c r="Y208" s="54"/>
      <c r="Z208" s="54"/>
      <c r="AA208" s="54"/>
      <c r="AB208" s="54"/>
    </row>
    <row r="209">
      <c r="A209" s="59" t="s">
        <v>248</v>
      </c>
      <c r="B209" s="54" t="s">
        <v>1122</v>
      </c>
      <c r="C209" s="148" t="s">
        <v>1388</v>
      </c>
      <c r="D209" s="54" t="s">
        <v>187</v>
      </c>
      <c r="E209" s="75">
        <v>1992.0</v>
      </c>
      <c r="F209" s="75">
        <v>8415.0</v>
      </c>
      <c r="G209" s="54" t="s">
        <v>188</v>
      </c>
      <c r="H209" s="54" t="s">
        <v>188</v>
      </c>
      <c r="I209" s="54" t="s">
        <v>418</v>
      </c>
      <c r="J209" s="72" t="s">
        <v>258</v>
      </c>
      <c r="K209" s="54"/>
      <c r="L209" s="54"/>
      <c r="M209" s="54"/>
      <c r="N209" s="54"/>
      <c r="O209" s="54"/>
      <c r="P209" s="54"/>
      <c r="Q209" s="54"/>
      <c r="R209" s="54"/>
      <c r="S209" s="54"/>
      <c r="T209" s="54"/>
      <c r="U209" s="54"/>
      <c r="V209" s="54"/>
      <c r="W209" s="54"/>
      <c r="X209" s="54"/>
      <c r="Y209" s="54"/>
      <c r="Z209" s="54"/>
      <c r="AA209" s="54"/>
      <c r="AB209" s="54"/>
    </row>
    <row r="210">
      <c r="A210" s="59" t="s">
        <v>248</v>
      </c>
      <c r="B210" s="54" t="s">
        <v>1122</v>
      </c>
      <c r="C210" s="148" t="s">
        <v>1388</v>
      </c>
      <c r="D210" s="54" t="s">
        <v>187</v>
      </c>
      <c r="E210" s="75">
        <v>1994.0</v>
      </c>
      <c r="F210" s="75">
        <v>9210.0</v>
      </c>
      <c r="G210" s="54" t="s">
        <v>188</v>
      </c>
      <c r="H210" s="54" t="s">
        <v>188</v>
      </c>
      <c r="I210" s="54" t="s">
        <v>418</v>
      </c>
      <c r="J210" s="72" t="s">
        <v>258</v>
      </c>
      <c r="K210" s="54"/>
      <c r="L210" s="54"/>
      <c r="M210" s="54"/>
      <c r="N210" s="54"/>
      <c r="O210" s="54"/>
      <c r="P210" s="54"/>
      <c r="Q210" s="54"/>
      <c r="R210" s="54"/>
      <c r="S210" s="54"/>
      <c r="T210" s="54"/>
      <c r="U210" s="54"/>
      <c r="V210" s="54"/>
      <c r="W210" s="54"/>
      <c r="X210" s="54"/>
      <c r="Y210" s="54"/>
      <c r="Z210" s="54"/>
      <c r="AA210" s="54"/>
      <c r="AB210" s="54"/>
    </row>
    <row r="211">
      <c r="A211" s="59" t="s">
        <v>248</v>
      </c>
      <c r="B211" s="54" t="s">
        <v>1122</v>
      </c>
      <c r="C211" s="148" t="s">
        <v>1388</v>
      </c>
      <c r="D211" s="54" t="s">
        <v>187</v>
      </c>
      <c r="E211" s="75">
        <v>1998.0</v>
      </c>
      <c r="F211" s="75">
        <v>11005.0</v>
      </c>
      <c r="G211" s="54" t="s">
        <v>188</v>
      </c>
      <c r="H211" s="54" t="s">
        <v>188</v>
      </c>
      <c r="I211" s="54" t="s">
        <v>418</v>
      </c>
      <c r="J211" s="72" t="s">
        <v>258</v>
      </c>
      <c r="K211" s="54"/>
      <c r="L211" s="54"/>
      <c r="M211" s="54"/>
      <c r="N211" s="54"/>
      <c r="O211" s="54"/>
      <c r="P211" s="54"/>
      <c r="Q211" s="54"/>
      <c r="R211" s="54"/>
      <c r="S211" s="54"/>
      <c r="T211" s="54"/>
      <c r="U211" s="54"/>
      <c r="V211" s="54"/>
      <c r="W211" s="54"/>
      <c r="X211" s="54"/>
      <c r="Y211" s="54"/>
      <c r="Z211" s="54"/>
      <c r="AA211" s="54"/>
      <c r="AB211" s="54"/>
    </row>
    <row r="212">
      <c r="A212" s="59" t="s">
        <v>248</v>
      </c>
      <c r="B212" s="54" t="s">
        <v>1122</v>
      </c>
      <c r="C212" s="148" t="s">
        <v>1388</v>
      </c>
      <c r="D212" s="54" t="s">
        <v>187</v>
      </c>
      <c r="E212" s="75">
        <v>2002.0</v>
      </c>
      <c r="F212" s="75">
        <v>12799.0</v>
      </c>
      <c r="G212" s="54" t="s">
        <v>188</v>
      </c>
      <c r="H212" s="54" t="s">
        <v>188</v>
      </c>
      <c r="I212" s="54" t="s">
        <v>418</v>
      </c>
      <c r="J212" s="72" t="s">
        <v>258</v>
      </c>
      <c r="K212" s="54"/>
      <c r="L212" s="54"/>
      <c r="M212" s="54"/>
      <c r="N212" s="54"/>
      <c r="O212" s="54"/>
      <c r="P212" s="54"/>
      <c r="Q212" s="54"/>
      <c r="R212" s="54"/>
      <c r="S212" s="54"/>
      <c r="T212" s="54"/>
      <c r="U212" s="54"/>
      <c r="V212" s="54"/>
      <c r="W212" s="54"/>
      <c r="X212" s="54"/>
      <c r="Y212" s="54"/>
      <c r="Z212" s="54"/>
      <c r="AA212" s="54"/>
      <c r="AB212" s="54"/>
    </row>
    <row r="213">
      <c r="A213" s="59" t="s">
        <v>248</v>
      </c>
      <c r="B213" s="54" t="s">
        <v>1122</v>
      </c>
      <c r="C213" s="148" t="s">
        <v>1388</v>
      </c>
      <c r="D213" s="54" t="s">
        <v>187</v>
      </c>
      <c r="E213" s="75">
        <v>2006.0</v>
      </c>
      <c r="F213" s="75">
        <v>16215.0</v>
      </c>
      <c r="G213" s="54" t="s">
        <v>188</v>
      </c>
      <c r="H213" s="54" t="s">
        <v>188</v>
      </c>
      <c r="I213" s="54" t="s">
        <v>418</v>
      </c>
      <c r="J213" s="72" t="s">
        <v>258</v>
      </c>
      <c r="K213" s="54"/>
      <c r="L213" s="54"/>
      <c r="M213" s="54"/>
      <c r="N213" s="54"/>
      <c r="O213" s="54"/>
      <c r="P213" s="54"/>
      <c r="Q213" s="54"/>
      <c r="R213" s="54"/>
      <c r="S213" s="54"/>
      <c r="T213" s="54"/>
      <c r="U213" s="54"/>
      <c r="V213" s="54"/>
      <c r="W213" s="54"/>
      <c r="X213" s="54"/>
      <c r="Y213" s="54"/>
      <c r="Z213" s="54"/>
      <c r="AA213" s="54"/>
      <c r="AB213" s="54"/>
    </row>
    <row r="214">
      <c r="A214" s="59" t="s">
        <v>248</v>
      </c>
      <c r="B214" s="54" t="s">
        <v>1122</v>
      </c>
      <c r="C214" s="148" t="s">
        <v>1388</v>
      </c>
      <c r="D214" s="54" t="s">
        <v>187</v>
      </c>
      <c r="E214" s="75">
        <v>2008.0</v>
      </c>
      <c r="F214" s="75">
        <v>15186.0</v>
      </c>
      <c r="G214" s="54" t="s">
        <v>188</v>
      </c>
      <c r="H214" s="54" t="s">
        <v>188</v>
      </c>
      <c r="I214" s="54" t="s">
        <v>418</v>
      </c>
      <c r="J214" s="72" t="s">
        <v>258</v>
      </c>
      <c r="K214" s="54"/>
      <c r="L214" s="54"/>
      <c r="M214" s="54"/>
      <c r="N214" s="54"/>
      <c r="O214" s="54"/>
      <c r="P214" s="54"/>
      <c r="Q214" s="54"/>
      <c r="R214" s="54"/>
      <c r="S214" s="54"/>
      <c r="T214" s="54"/>
      <c r="U214" s="54"/>
      <c r="V214" s="54"/>
      <c r="W214" s="54"/>
      <c r="X214" s="54"/>
      <c r="Y214" s="54"/>
      <c r="Z214" s="54"/>
      <c r="AA214" s="54"/>
      <c r="AB214" s="54"/>
    </row>
    <row r="215">
      <c r="A215" s="59" t="s">
        <v>248</v>
      </c>
      <c r="B215" s="54" t="s">
        <v>1122</v>
      </c>
      <c r="C215" s="148" t="s">
        <v>1388</v>
      </c>
      <c r="D215" s="54" t="s">
        <v>187</v>
      </c>
      <c r="E215" s="75">
        <v>2010.0</v>
      </c>
      <c r="F215" s="75">
        <v>18821.0</v>
      </c>
      <c r="G215" s="54" t="s">
        <v>188</v>
      </c>
      <c r="H215" s="54" t="s">
        <v>188</v>
      </c>
      <c r="I215" s="54" t="s">
        <v>418</v>
      </c>
      <c r="J215" s="72" t="s">
        <v>258</v>
      </c>
      <c r="K215" s="54"/>
      <c r="L215" s="54"/>
      <c r="M215" s="54"/>
      <c r="N215" s="54"/>
      <c r="O215" s="54"/>
      <c r="P215" s="54"/>
      <c r="Q215" s="54"/>
      <c r="R215" s="54"/>
      <c r="S215" s="54"/>
      <c r="T215" s="54"/>
      <c r="U215" s="54"/>
      <c r="V215" s="54"/>
      <c r="W215" s="54"/>
      <c r="X215" s="54"/>
      <c r="Y215" s="54"/>
      <c r="Z215" s="54"/>
      <c r="AA215" s="54"/>
      <c r="AB215" s="54"/>
    </row>
    <row r="216">
      <c r="A216" s="59" t="s">
        <v>248</v>
      </c>
      <c r="B216" s="54" t="s">
        <v>1122</v>
      </c>
      <c r="C216" s="148" t="s">
        <v>1388</v>
      </c>
      <c r="D216" s="54" t="s">
        <v>187</v>
      </c>
      <c r="E216" s="75">
        <v>2013.0</v>
      </c>
      <c r="F216" s="75">
        <v>22650.0</v>
      </c>
      <c r="G216" s="54" t="s">
        <v>188</v>
      </c>
      <c r="H216" s="54" t="s">
        <v>188</v>
      </c>
      <c r="I216" s="54" t="s">
        <v>418</v>
      </c>
      <c r="J216" s="72" t="s">
        <v>258</v>
      </c>
      <c r="K216" s="54"/>
      <c r="L216" s="54"/>
      <c r="M216" s="54"/>
      <c r="N216" s="54"/>
      <c r="O216" s="54"/>
      <c r="P216" s="54"/>
      <c r="Q216" s="54"/>
      <c r="R216" s="54"/>
      <c r="S216" s="54"/>
      <c r="T216" s="54"/>
      <c r="U216" s="54"/>
      <c r="V216" s="54"/>
      <c r="W216" s="54"/>
      <c r="X216" s="54"/>
      <c r="Y216" s="54"/>
      <c r="Z216" s="54"/>
      <c r="AA216" s="54"/>
      <c r="AB216" s="54"/>
    </row>
  </sheetData>
  <hyperlinks>
    <hyperlink r:id="rId1" ref="L1"/>
    <hyperlink r:id="rId2" ref="L2"/>
    <hyperlink r:id="rId3" ref="L3"/>
    <hyperlink r:id="rId4" ref="L4"/>
    <hyperlink r:id="rId5" ref="L5"/>
    <hyperlink r:id="rId6" ref="L6"/>
    <hyperlink r:id="rId7" ref="L7"/>
    <hyperlink r:id="rId8" ref="L8"/>
    <hyperlink r:id="rId9" ref="L9"/>
    <hyperlink r:id="rId10" ref="L10"/>
    <hyperlink r:id="rId11" ref="L11"/>
    <hyperlink r:id="rId12" ref="L12"/>
    <hyperlink r:id="rId13" ref="L13"/>
    <hyperlink r:id="rId14" ref="L14"/>
    <hyperlink r:id="rId15" ref="L15"/>
    <hyperlink r:id="rId16" ref="L16"/>
    <hyperlink r:id="rId17" ref="L17"/>
    <hyperlink r:id="rId18" ref="L18"/>
    <hyperlink r:id="rId19" ref="L19"/>
    <hyperlink r:id="rId20" ref="L20"/>
    <hyperlink r:id="rId21" ref="L21"/>
    <hyperlink r:id="rId22" ref="L22"/>
    <hyperlink r:id="rId23" ref="L23"/>
    <hyperlink r:id="rId24" ref="L24"/>
    <hyperlink r:id="rId25" ref="L25"/>
    <hyperlink r:id="rId26" ref="L26"/>
    <hyperlink r:id="rId27" ref="L27"/>
    <hyperlink r:id="rId28" ref="L28"/>
    <hyperlink r:id="rId29" ref="L29"/>
    <hyperlink r:id="rId30" ref="L30"/>
    <hyperlink r:id="rId31" ref="L31"/>
    <hyperlink r:id="rId32" ref="L32"/>
    <hyperlink r:id="rId33" ref="L33"/>
    <hyperlink r:id="rId34" ref="L34"/>
    <hyperlink r:id="rId35" ref="L35"/>
    <hyperlink r:id="rId36" ref="L36"/>
    <hyperlink r:id="rId37" ref="L37"/>
    <hyperlink r:id="rId38" ref="L38"/>
    <hyperlink r:id="rId39" ref="L39"/>
    <hyperlink r:id="rId40" ref="L40"/>
    <hyperlink r:id="rId41" ref="L41"/>
    <hyperlink r:id="rId42" ref="L42"/>
    <hyperlink r:id="rId43" ref="L43"/>
    <hyperlink r:id="rId44" ref="L44"/>
    <hyperlink r:id="rId45" ref="L45"/>
    <hyperlink r:id="rId46" ref="L46"/>
    <hyperlink r:id="rId47" ref="L47"/>
    <hyperlink r:id="rId48" ref="L48"/>
    <hyperlink r:id="rId49" ref="L49"/>
    <hyperlink r:id="rId50" ref="L50"/>
    <hyperlink r:id="rId51" ref="L51"/>
    <hyperlink r:id="rId52" ref="L52"/>
    <hyperlink r:id="rId53" ref="L53"/>
    <hyperlink r:id="rId54" ref="L54"/>
    <hyperlink r:id="rId55" ref="L55"/>
    <hyperlink r:id="rId56" ref="L56"/>
    <hyperlink r:id="rId57" ref="L57"/>
    <hyperlink r:id="rId58" ref="L58"/>
    <hyperlink r:id="rId59" ref="L59"/>
    <hyperlink r:id="rId60" ref="L60"/>
    <hyperlink r:id="rId61" ref="L61"/>
    <hyperlink r:id="rId62" ref="L62"/>
    <hyperlink r:id="rId63" ref="L63"/>
    <hyperlink r:id="rId64" ref="L64"/>
    <hyperlink r:id="rId65" ref="L65"/>
    <hyperlink r:id="rId66" ref="L66"/>
    <hyperlink r:id="rId67" ref="L67"/>
    <hyperlink r:id="rId68" ref="L68"/>
    <hyperlink r:id="rId69" ref="L69"/>
    <hyperlink r:id="rId70" ref="L70"/>
    <hyperlink r:id="rId71" ref="L71"/>
    <hyperlink r:id="rId72" ref="L72"/>
    <hyperlink r:id="rId73" ref="L73"/>
    <hyperlink r:id="rId74" ref="L74"/>
    <hyperlink r:id="rId75" ref="L75"/>
    <hyperlink r:id="rId76" ref="L76"/>
    <hyperlink r:id="rId77" ref="L77"/>
    <hyperlink r:id="rId78" ref="L78"/>
    <hyperlink r:id="rId79" ref="L79"/>
    <hyperlink r:id="rId80" ref="L80"/>
    <hyperlink r:id="rId81" ref="L81"/>
    <hyperlink r:id="rId82" ref="L82"/>
    <hyperlink r:id="rId83" ref="L83"/>
    <hyperlink r:id="rId84" ref="L84"/>
    <hyperlink r:id="rId85" ref="L85"/>
    <hyperlink r:id="rId86" ref="L86"/>
  </hyperlinks>
  <drawing r:id="rId8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22.38"/>
    <col customWidth="1" min="4" max="4" width="22.5"/>
    <col customWidth="1" min="6" max="6" width="28.25"/>
    <col customWidth="1" min="9" max="9" width="35.0"/>
    <col customWidth="1" min="10" max="10" width="27.25"/>
  </cols>
  <sheetData>
    <row r="1">
      <c r="A1" s="1" t="s">
        <v>1249</v>
      </c>
      <c r="B1" s="1" t="s">
        <v>43</v>
      </c>
      <c r="C1" s="1" t="s">
        <v>1250</v>
      </c>
      <c r="D1" s="1" t="s">
        <v>1251</v>
      </c>
      <c r="E1" s="1" t="s">
        <v>1252</v>
      </c>
      <c r="F1" s="1" t="s">
        <v>1253</v>
      </c>
      <c r="G1" s="1" t="s">
        <v>1254</v>
      </c>
      <c r="H1" s="1" t="s">
        <v>1255</v>
      </c>
      <c r="I1" s="1" t="s">
        <v>1256</v>
      </c>
      <c r="J1" s="1" t="s">
        <v>1257</v>
      </c>
      <c r="K1" s="1" t="s">
        <v>1258</v>
      </c>
      <c r="L1" s="6"/>
      <c r="M1" s="1"/>
      <c r="N1" s="6"/>
      <c r="O1" s="6"/>
      <c r="P1" s="6"/>
      <c r="Q1" s="6"/>
      <c r="R1" s="6"/>
      <c r="S1" s="6"/>
      <c r="T1" s="6"/>
      <c r="U1" s="6"/>
      <c r="V1" s="6"/>
      <c r="W1" s="6"/>
      <c r="X1" s="6"/>
      <c r="Y1" s="6"/>
      <c r="Z1" s="6"/>
      <c r="AA1" s="6"/>
      <c r="AB1" s="6"/>
      <c r="AC1" s="6"/>
      <c r="AD1" s="6"/>
    </row>
    <row r="2">
      <c r="A2" s="132" t="s">
        <v>1260</v>
      </c>
    </row>
    <row r="3">
      <c r="A3" s="7" t="s">
        <v>20</v>
      </c>
      <c r="B3" s="7" t="s">
        <v>254</v>
      </c>
      <c r="C3" s="7" t="s">
        <v>61</v>
      </c>
      <c r="D3" s="7" t="s">
        <v>256</v>
      </c>
      <c r="E3" s="7" t="s">
        <v>257</v>
      </c>
      <c r="F3" s="7" t="s">
        <v>1263</v>
      </c>
      <c r="G3" s="7" t="s">
        <v>1264</v>
      </c>
      <c r="H3" s="7" t="s">
        <v>1265</v>
      </c>
      <c r="I3" s="7" t="s">
        <v>1266</v>
      </c>
      <c r="J3" s="7" t="s">
        <v>1267</v>
      </c>
      <c r="K3" s="7" t="s">
        <v>1268</v>
      </c>
      <c r="L3" s="8"/>
      <c r="M3" s="7"/>
      <c r="N3" s="8"/>
      <c r="O3" s="8"/>
      <c r="P3" s="8"/>
      <c r="Q3" s="8"/>
      <c r="R3" s="8"/>
      <c r="S3" s="8"/>
      <c r="T3" s="8"/>
      <c r="U3" s="8"/>
      <c r="V3" s="8"/>
      <c r="W3" s="8"/>
      <c r="X3" s="8"/>
      <c r="Y3" s="8"/>
      <c r="Z3" s="8"/>
      <c r="AA3" s="8"/>
      <c r="AB3" s="8"/>
      <c r="AC3" s="8"/>
      <c r="AD3" s="8"/>
    </row>
    <row r="4">
      <c r="A4" s="7" t="s">
        <v>20</v>
      </c>
      <c r="B4" s="7" t="s">
        <v>254</v>
      </c>
      <c r="C4" s="7" t="s">
        <v>61</v>
      </c>
      <c r="D4" s="7" t="s">
        <v>256</v>
      </c>
      <c r="E4" s="7" t="s">
        <v>436</v>
      </c>
      <c r="F4" s="7" t="s">
        <v>1263</v>
      </c>
      <c r="G4" s="7" t="s">
        <v>1269</v>
      </c>
      <c r="H4" s="7" t="s">
        <v>1270</v>
      </c>
      <c r="I4" s="7" t="s">
        <v>1271</v>
      </c>
      <c r="J4" s="7" t="s">
        <v>1267</v>
      </c>
      <c r="K4" s="133" t="s">
        <v>583</v>
      </c>
      <c r="L4" s="8"/>
      <c r="M4" s="7"/>
      <c r="N4" s="8"/>
      <c r="O4" s="8"/>
      <c r="P4" s="8"/>
      <c r="Q4" s="8"/>
      <c r="R4" s="8"/>
      <c r="S4" s="8"/>
      <c r="T4" s="8"/>
      <c r="U4" s="8"/>
      <c r="V4" s="8"/>
      <c r="W4" s="8"/>
      <c r="X4" s="8"/>
      <c r="Y4" s="8"/>
      <c r="Z4" s="8"/>
      <c r="AA4" s="8"/>
      <c r="AB4" s="8"/>
      <c r="AC4" s="8"/>
      <c r="AD4" s="8"/>
    </row>
    <row r="5">
      <c r="A5" s="7" t="s">
        <v>20</v>
      </c>
      <c r="B5" s="7" t="s">
        <v>254</v>
      </c>
      <c r="C5" s="7" t="s">
        <v>61</v>
      </c>
      <c r="D5" s="7" t="s">
        <v>256</v>
      </c>
      <c r="E5" s="7" t="s">
        <v>1272</v>
      </c>
      <c r="F5" s="7" t="s">
        <v>1263</v>
      </c>
      <c r="G5" s="7" t="s">
        <v>1273</v>
      </c>
      <c r="H5" s="7" t="s">
        <v>1274</v>
      </c>
      <c r="I5" s="7" t="s">
        <v>1271</v>
      </c>
      <c r="J5" s="7" t="s">
        <v>1267</v>
      </c>
      <c r="K5" s="134" t="s">
        <v>589</v>
      </c>
      <c r="L5" s="8"/>
      <c r="M5" s="7"/>
      <c r="N5" s="8"/>
      <c r="O5" s="8"/>
      <c r="P5" s="8"/>
      <c r="Q5" s="8"/>
      <c r="R5" s="8"/>
      <c r="S5" s="8"/>
      <c r="T5" s="8"/>
      <c r="U5" s="8"/>
      <c r="V5" s="8"/>
      <c r="W5" s="8"/>
      <c r="X5" s="8"/>
      <c r="Y5" s="8"/>
      <c r="Z5" s="8"/>
      <c r="AA5" s="8"/>
      <c r="AB5" s="8"/>
      <c r="AC5" s="8"/>
      <c r="AD5" s="8"/>
    </row>
    <row r="6">
      <c r="A6" s="7" t="s">
        <v>20</v>
      </c>
      <c r="B6" s="7" t="s">
        <v>369</v>
      </c>
      <c r="C6" s="7" t="s">
        <v>91</v>
      </c>
      <c r="D6" s="7" t="s">
        <v>370</v>
      </c>
      <c r="E6" s="7" t="s">
        <v>1275</v>
      </c>
      <c r="F6" s="7" t="s">
        <v>1263</v>
      </c>
      <c r="G6" s="7" t="s">
        <v>1276</v>
      </c>
      <c r="H6" s="7" t="s">
        <v>1277</v>
      </c>
      <c r="I6" s="7" t="s">
        <v>1266</v>
      </c>
      <c r="J6" s="135" t="s">
        <v>1267</v>
      </c>
      <c r="K6" s="136" t="s">
        <v>1278</v>
      </c>
      <c r="L6" s="8"/>
      <c r="M6" s="8"/>
      <c r="N6" s="8"/>
      <c r="O6" s="8"/>
      <c r="P6" s="8"/>
      <c r="Q6" s="8"/>
      <c r="R6" s="8"/>
      <c r="S6" s="8"/>
      <c r="T6" s="8"/>
      <c r="U6" s="8"/>
      <c r="V6" s="8"/>
      <c r="W6" s="8"/>
      <c r="X6" s="8"/>
      <c r="Y6" s="8"/>
      <c r="Z6" s="8"/>
      <c r="AA6" s="8"/>
      <c r="AB6" s="8"/>
      <c r="AC6" s="8"/>
      <c r="AD6" s="8"/>
    </row>
    <row r="7">
      <c r="A7" s="7" t="s">
        <v>20</v>
      </c>
      <c r="B7" s="7" t="s">
        <v>68</v>
      </c>
      <c r="C7" s="7" t="s">
        <v>109</v>
      </c>
      <c r="D7" s="7" t="s">
        <v>661</v>
      </c>
      <c r="E7" s="7" t="s">
        <v>257</v>
      </c>
      <c r="F7" s="7" t="s">
        <v>1263</v>
      </c>
      <c r="G7" s="7" t="s">
        <v>1264</v>
      </c>
      <c r="H7" s="7" t="s">
        <v>1265</v>
      </c>
      <c r="I7" s="7" t="s">
        <v>1266</v>
      </c>
      <c r="J7" s="135" t="s">
        <v>1267</v>
      </c>
      <c r="K7" s="135" t="s">
        <v>1268</v>
      </c>
      <c r="L7" s="135"/>
      <c r="M7" s="8"/>
      <c r="N7" s="8"/>
      <c r="O7" s="8"/>
      <c r="P7" s="8"/>
      <c r="Q7" s="8"/>
      <c r="R7" s="8"/>
      <c r="S7" s="8"/>
      <c r="T7" s="8"/>
      <c r="U7" s="8"/>
      <c r="V7" s="8"/>
      <c r="W7" s="8"/>
      <c r="X7" s="8"/>
      <c r="Y7" s="8"/>
      <c r="Z7" s="8"/>
      <c r="AA7" s="8"/>
      <c r="AB7" s="8"/>
      <c r="AC7" s="8"/>
      <c r="AD7" s="8"/>
    </row>
    <row r="8">
      <c r="A8" s="7" t="s">
        <v>20</v>
      </c>
      <c r="B8" s="7" t="s">
        <v>68</v>
      </c>
      <c r="C8" s="7" t="s">
        <v>109</v>
      </c>
      <c r="D8" s="7" t="s">
        <v>661</v>
      </c>
      <c r="E8" s="7" t="s">
        <v>436</v>
      </c>
      <c r="F8" s="7" t="s">
        <v>1263</v>
      </c>
      <c r="G8" s="7" t="s">
        <v>1269</v>
      </c>
      <c r="H8" s="7" t="s">
        <v>1270</v>
      </c>
      <c r="I8" s="7" t="s">
        <v>1271</v>
      </c>
      <c r="J8" s="135" t="s">
        <v>1267</v>
      </c>
      <c r="K8" s="133" t="s">
        <v>583</v>
      </c>
      <c r="L8" s="135"/>
      <c r="M8" s="8"/>
      <c r="N8" s="8"/>
      <c r="O8" s="8"/>
      <c r="P8" s="8"/>
      <c r="Q8" s="8"/>
      <c r="R8" s="8"/>
      <c r="S8" s="8"/>
      <c r="T8" s="8"/>
      <c r="U8" s="8"/>
      <c r="V8" s="8"/>
      <c r="W8" s="8"/>
      <c r="X8" s="8"/>
      <c r="Y8" s="8"/>
      <c r="Z8" s="8"/>
      <c r="AA8" s="8"/>
      <c r="AB8" s="8"/>
      <c r="AC8" s="8"/>
      <c r="AD8" s="8"/>
    </row>
    <row r="9">
      <c r="A9" s="7" t="s">
        <v>20</v>
      </c>
      <c r="B9" s="7" t="s">
        <v>68</v>
      </c>
      <c r="C9" s="7" t="s">
        <v>109</v>
      </c>
      <c r="D9" s="7" t="s">
        <v>661</v>
      </c>
      <c r="E9" s="7" t="s">
        <v>651</v>
      </c>
      <c r="F9" s="7" t="s">
        <v>1263</v>
      </c>
      <c r="G9" s="7" t="s">
        <v>1282</v>
      </c>
      <c r="H9" s="7" t="s">
        <v>1283</v>
      </c>
      <c r="I9" s="7" t="s">
        <v>1284</v>
      </c>
      <c r="J9" s="135" t="s">
        <v>1267</v>
      </c>
      <c r="K9" s="136" t="s">
        <v>1285</v>
      </c>
      <c r="L9" s="135"/>
      <c r="M9" s="8"/>
      <c r="N9" s="8"/>
      <c r="O9" s="8"/>
      <c r="P9" s="8"/>
      <c r="Q9" s="8"/>
      <c r="R9" s="8"/>
      <c r="S9" s="8"/>
      <c r="T9" s="8"/>
      <c r="U9" s="8"/>
      <c r="V9" s="8"/>
      <c r="W9" s="8"/>
      <c r="X9" s="8"/>
      <c r="Y9" s="8"/>
      <c r="Z9" s="8"/>
      <c r="AA9" s="8"/>
      <c r="AB9" s="8"/>
      <c r="AC9" s="8"/>
      <c r="AD9" s="8"/>
    </row>
    <row r="10">
      <c r="A10" s="7" t="s">
        <v>20</v>
      </c>
      <c r="B10" s="7" t="s">
        <v>254</v>
      </c>
      <c r="C10" s="7" t="s">
        <v>141</v>
      </c>
      <c r="D10" s="7" t="s">
        <v>673</v>
      </c>
      <c r="E10" s="7" t="s">
        <v>680</v>
      </c>
      <c r="F10" s="7" t="s">
        <v>1286</v>
      </c>
      <c r="G10" s="7" t="s">
        <v>1287</v>
      </c>
      <c r="H10" s="137" t="s">
        <v>1288</v>
      </c>
      <c r="I10" s="7" t="s">
        <v>1289</v>
      </c>
      <c r="J10" s="135" t="s">
        <v>1267</v>
      </c>
      <c r="K10" s="133" t="s">
        <v>1290</v>
      </c>
      <c r="L10" s="8"/>
      <c r="M10" s="8"/>
      <c r="N10" s="8"/>
      <c r="O10" s="8"/>
      <c r="P10" s="8"/>
      <c r="Q10" s="8"/>
      <c r="R10" s="8"/>
      <c r="S10" s="8"/>
      <c r="T10" s="8"/>
      <c r="U10" s="8"/>
      <c r="V10" s="8"/>
      <c r="W10" s="8"/>
      <c r="X10" s="8"/>
      <c r="Y10" s="8"/>
      <c r="Z10" s="8"/>
      <c r="AA10" s="8"/>
      <c r="AB10" s="8"/>
      <c r="AC10" s="8"/>
      <c r="AD10" s="8"/>
    </row>
    <row r="11">
      <c r="A11" s="7" t="s">
        <v>20</v>
      </c>
      <c r="B11" s="7" t="s">
        <v>254</v>
      </c>
      <c r="C11" s="7" t="s">
        <v>141</v>
      </c>
      <c r="D11" s="7" t="s">
        <v>673</v>
      </c>
      <c r="E11" s="7" t="s">
        <v>680</v>
      </c>
      <c r="F11" s="7" t="s">
        <v>1297</v>
      </c>
      <c r="G11" s="7" t="s">
        <v>1298</v>
      </c>
      <c r="H11" s="137" t="s">
        <v>1299</v>
      </c>
      <c r="I11" s="138" t="s">
        <v>1289</v>
      </c>
      <c r="J11" s="135" t="s">
        <v>1267</v>
      </c>
      <c r="K11" s="133" t="s">
        <v>1290</v>
      </c>
      <c r="L11" s="8"/>
      <c r="M11" s="8"/>
      <c r="N11" s="8"/>
      <c r="O11" s="8"/>
      <c r="P11" s="8"/>
      <c r="Q11" s="8"/>
      <c r="R11" s="8"/>
      <c r="S11" s="8"/>
      <c r="T11" s="8"/>
      <c r="U11" s="8"/>
      <c r="V11" s="8"/>
      <c r="W11" s="8"/>
      <c r="X11" s="8"/>
      <c r="Y11" s="8"/>
      <c r="Z11" s="8"/>
      <c r="AA11" s="8"/>
      <c r="AB11" s="8"/>
      <c r="AC11" s="8"/>
      <c r="AD11" s="8"/>
    </row>
    <row r="12">
      <c r="A12" s="7" t="s">
        <v>20</v>
      </c>
      <c r="B12" s="7" t="s">
        <v>254</v>
      </c>
      <c r="C12" s="7" t="s">
        <v>141</v>
      </c>
      <c r="D12" s="7" t="s">
        <v>673</v>
      </c>
      <c r="E12" s="7" t="s">
        <v>680</v>
      </c>
      <c r="F12" s="7" t="s">
        <v>1300</v>
      </c>
      <c r="G12" s="7" t="s">
        <v>1301</v>
      </c>
      <c r="H12" s="137" t="s">
        <v>1302</v>
      </c>
      <c r="I12" s="138" t="s">
        <v>1289</v>
      </c>
      <c r="J12" s="135" t="s">
        <v>1267</v>
      </c>
      <c r="K12" s="133" t="s">
        <v>1290</v>
      </c>
      <c r="L12" s="8"/>
      <c r="M12" s="8"/>
      <c r="N12" s="8"/>
      <c r="O12" s="8"/>
      <c r="P12" s="8"/>
      <c r="Q12" s="8"/>
      <c r="R12" s="8"/>
      <c r="S12" s="8"/>
      <c r="T12" s="8"/>
      <c r="U12" s="8"/>
      <c r="V12" s="8"/>
      <c r="W12" s="8"/>
      <c r="X12" s="8"/>
      <c r="Y12" s="8"/>
      <c r="Z12" s="8"/>
      <c r="AA12" s="8"/>
      <c r="AB12" s="8"/>
      <c r="AC12" s="8"/>
      <c r="AD12" s="8"/>
    </row>
    <row r="13">
      <c r="A13" s="7" t="s">
        <v>20</v>
      </c>
      <c r="B13" s="7" t="s">
        <v>68</v>
      </c>
      <c r="C13" s="7" t="s">
        <v>154</v>
      </c>
      <c r="D13" s="7" t="s">
        <v>1001</v>
      </c>
      <c r="E13" s="7" t="s">
        <v>257</v>
      </c>
      <c r="F13" s="7" t="s">
        <v>1263</v>
      </c>
      <c r="G13" s="7" t="s">
        <v>1264</v>
      </c>
      <c r="H13" s="7" t="s">
        <v>1265</v>
      </c>
      <c r="I13" s="7" t="s">
        <v>1266</v>
      </c>
      <c r="J13" s="135" t="s">
        <v>1267</v>
      </c>
      <c r="K13" s="7" t="s">
        <v>1268</v>
      </c>
      <c r="L13" s="135"/>
      <c r="M13" s="8"/>
      <c r="N13" s="8"/>
      <c r="O13" s="8"/>
      <c r="P13" s="8"/>
      <c r="Q13" s="8"/>
      <c r="R13" s="8"/>
      <c r="S13" s="8"/>
      <c r="T13" s="8"/>
      <c r="U13" s="8"/>
      <c r="V13" s="8"/>
      <c r="W13" s="8"/>
      <c r="X13" s="8"/>
      <c r="Y13" s="8"/>
      <c r="Z13" s="8"/>
      <c r="AA13" s="8"/>
      <c r="AB13" s="8"/>
      <c r="AC13" s="8"/>
      <c r="AD13" s="8"/>
    </row>
    <row r="14">
      <c r="A14" s="7" t="s">
        <v>20</v>
      </c>
      <c r="B14" s="7" t="s">
        <v>68</v>
      </c>
      <c r="C14" s="7" t="s">
        <v>154</v>
      </c>
      <c r="D14" s="7" t="s">
        <v>1001</v>
      </c>
      <c r="E14" s="7" t="s">
        <v>436</v>
      </c>
      <c r="F14" s="7" t="s">
        <v>1263</v>
      </c>
      <c r="G14" s="7" t="s">
        <v>1269</v>
      </c>
      <c r="H14" s="7" t="s">
        <v>1270</v>
      </c>
      <c r="I14" s="7" t="s">
        <v>1271</v>
      </c>
      <c r="J14" s="135" t="s">
        <v>1267</v>
      </c>
      <c r="K14" s="133" t="s">
        <v>583</v>
      </c>
      <c r="L14" s="135"/>
      <c r="M14" s="8"/>
      <c r="N14" s="8"/>
      <c r="O14" s="8"/>
      <c r="P14" s="8"/>
      <c r="Q14" s="8"/>
      <c r="R14" s="8"/>
      <c r="S14" s="8"/>
      <c r="T14" s="8"/>
      <c r="U14" s="8"/>
      <c r="V14" s="8"/>
      <c r="W14" s="8"/>
      <c r="X14" s="8"/>
      <c r="Y14" s="8"/>
      <c r="Z14" s="8"/>
      <c r="AA14" s="8"/>
      <c r="AB14" s="8"/>
      <c r="AC14" s="8"/>
      <c r="AD14" s="8"/>
    </row>
    <row r="15">
      <c r="A15" s="7" t="s">
        <v>20</v>
      </c>
      <c r="B15" s="7" t="s">
        <v>68</v>
      </c>
      <c r="C15" s="7" t="s">
        <v>154</v>
      </c>
      <c r="D15" s="7" t="s">
        <v>1001</v>
      </c>
      <c r="E15" s="7" t="s">
        <v>1272</v>
      </c>
      <c r="F15" s="7" t="s">
        <v>1263</v>
      </c>
      <c r="G15" s="7" t="s">
        <v>1273</v>
      </c>
      <c r="H15" s="7" t="s">
        <v>1274</v>
      </c>
      <c r="I15" s="7" t="s">
        <v>1303</v>
      </c>
      <c r="J15" s="135" t="s">
        <v>1267</v>
      </c>
      <c r="K15" s="134" t="s">
        <v>589</v>
      </c>
      <c r="L15" s="135"/>
      <c r="M15" s="8"/>
      <c r="N15" s="8"/>
      <c r="O15" s="8"/>
      <c r="P15" s="8"/>
      <c r="Q15" s="8"/>
      <c r="R15" s="8"/>
      <c r="S15" s="8"/>
      <c r="T15" s="8"/>
      <c r="U15" s="8"/>
      <c r="V15" s="8"/>
      <c r="W15" s="8"/>
      <c r="X15" s="8"/>
      <c r="Y15" s="8"/>
      <c r="Z15" s="8"/>
      <c r="AA15" s="8"/>
      <c r="AB15" s="8"/>
      <c r="AC15" s="8"/>
      <c r="AD15" s="8"/>
    </row>
    <row r="16">
      <c r="A16" s="7" t="s">
        <v>20</v>
      </c>
      <c r="B16" s="7" t="s">
        <v>167</v>
      </c>
      <c r="C16" s="7" t="s">
        <v>1304</v>
      </c>
      <c r="D16" s="7" t="s">
        <v>1015</v>
      </c>
      <c r="E16" s="7" t="s">
        <v>1305</v>
      </c>
      <c r="F16" s="7" t="s">
        <v>1306</v>
      </c>
      <c r="G16" s="7" t="s">
        <v>1307</v>
      </c>
      <c r="H16" s="139" t="s">
        <v>1308</v>
      </c>
      <c r="I16" s="7" t="s">
        <v>1266</v>
      </c>
      <c r="J16" s="135" t="s">
        <v>1267</v>
      </c>
      <c r="K16" s="133" t="s">
        <v>1309</v>
      </c>
      <c r="L16" s="8"/>
      <c r="M16" s="8"/>
      <c r="N16" s="8"/>
      <c r="O16" s="8"/>
      <c r="P16" s="8"/>
      <c r="Q16" s="8"/>
      <c r="R16" s="8"/>
      <c r="S16" s="8"/>
      <c r="T16" s="8"/>
      <c r="U16" s="8"/>
      <c r="V16" s="8"/>
      <c r="W16" s="8"/>
      <c r="X16" s="8"/>
      <c r="Y16" s="8"/>
      <c r="Z16" s="8"/>
      <c r="AA16" s="8"/>
      <c r="AB16" s="8"/>
      <c r="AC16" s="8"/>
      <c r="AD16" s="8"/>
    </row>
    <row r="17">
      <c r="A17" s="7" t="s">
        <v>20</v>
      </c>
      <c r="B17" s="7" t="s">
        <v>167</v>
      </c>
      <c r="C17" s="7" t="s">
        <v>1310</v>
      </c>
      <c r="D17" s="7" t="s">
        <v>1015</v>
      </c>
      <c r="E17" s="7" t="s">
        <v>1305</v>
      </c>
      <c r="F17" s="7" t="s">
        <v>1306</v>
      </c>
      <c r="G17" s="7" t="s">
        <v>1307</v>
      </c>
      <c r="H17" s="139" t="s">
        <v>1308</v>
      </c>
      <c r="I17" s="7" t="s">
        <v>1266</v>
      </c>
      <c r="J17" s="135" t="s">
        <v>1267</v>
      </c>
      <c r="K17" s="133" t="s">
        <v>1309</v>
      </c>
      <c r="L17" s="8"/>
      <c r="M17" s="8"/>
      <c r="N17" s="8"/>
      <c r="O17" s="8"/>
      <c r="P17" s="8"/>
      <c r="Q17" s="8"/>
      <c r="R17" s="8"/>
      <c r="S17" s="8"/>
      <c r="T17" s="8"/>
      <c r="U17" s="8"/>
      <c r="V17" s="8"/>
      <c r="W17" s="8"/>
      <c r="X17" s="8"/>
      <c r="Y17" s="8"/>
      <c r="Z17" s="8"/>
      <c r="AA17" s="8"/>
      <c r="AB17" s="8"/>
      <c r="AC17" s="8"/>
      <c r="AD17" s="8"/>
    </row>
    <row r="18">
      <c r="A18" s="7" t="s">
        <v>20</v>
      </c>
      <c r="B18" s="7" t="s">
        <v>167</v>
      </c>
      <c r="C18" s="7" t="s">
        <v>1311</v>
      </c>
      <c r="D18" s="7" t="s">
        <v>1015</v>
      </c>
      <c r="E18" s="7" t="s">
        <v>1305</v>
      </c>
      <c r="F18" s="7" t="s">
        <v>1306</v>
      </c>
      <c r="G18" s="7" t="s">
        <v>1312</v>
      </c>
      <c r="H18" s="139" t="s">
        <v>1308</v>
      </c>
      <c r="I18" s="7" t="s">
        <v>1266</v>
      </c>
      <c r="J18" s="135" t="s">
        <v>1267</v>
      </c>
      <c r="K18" s="133" t="s">
        <v>1309</v>
      </c>
      <c r="L18" s="8"/>
      <c r="M18" s="8"/>
      <c r="N18" s="8"/>
      <c r="O18" s="8"/>
      <c r="P18" s="8"/>
      <c r="Q18" s="8"/>
      <c r="R18" s="8"/>
      <c r="S18" s="8"/>
      <c r="T18" s="8"/>
      <c r="U18" s="8"/>
      <c r="V18" s="8"/>
      <c r="W18" s="8"/>
      <c r="X18" s="8"/>
      <c r="Y18" s="8"/>
      <c r="Z18" s="8"/>
      <c r="AA18" s="8"/>
      <c r="AB18" s="8"/>
      <c r="AC18" s="8"/>
      <c r="AD18" s="8"/>
    </row>
    <row r="19">
      <c r="A19" s="7" t="s">
        <v>20</v>
      </c>
      <c r="B19" s="7" t="s">
        <v>1082</v>
      </c>
      <c r="C19" s="7" t="s">
        <v>1313</v>
      </c>
      <c r="D19" s="7" t="s">
        <v>1083</v>
      </c>
      <c r="E19" s="7" t="s">
        <v>1305</v>
      </c>
      <c r="F19" s="7" t="s">
        <v>1314</v>
      </c>
      <c r="G19" s="7" t="s">
        <v>1315</v>
      </c>
      <c r="H19" s="7" t="s">
        <v>1268</v>
      </c>
      <c r="I19" s="7" t="s">
        <v>1266</v>
      </c>
      <c r="J19" s="135" t="s">
        <v>1267</v>
      </c>
      <c r="K19" s="7" t="s">
        <v>1268</v>
      </c>
      <c r="L19" s="8"/>
      <c r="M19" s="8"/>
      <c r="N19" s="8"/>
      <c r="O19" s="8"/>
      <c r="P19" s="8"/>
      <c r="Q19" s="8"/>
      <c r="R19" s="8"/>
      <c r="S19" s="8"/>
      <c r="T19" s="8"/>
      <c r="U19" s="8"/>
      <c r="V19" s="8"/>
      <c r="W19" s="8"/>
      <c r="X19" s="8"/>
      <c r="Y19" s="8"/>
      <c r="Z19" s="8"/>
      <c r="AA19" s="8"/>
      <c r="AB19" s="8"/>
      <c r="AC19" s="8"/>
      <c r="AD19" s="8"/>
    </row>
    <row r="20">
      <c r="A20" s="7" t="s">
        <v>20</v>
      </c>
      <c r="B20" s="7" t="s">
        <v>1082</v>
      </c>
      <c r="C20" s="7" t="s">
        <v>1316</v>
      </c>
      <c r="D20" s="7" t="s">
        <v>1083</v>
      </c>
      <c r="E20" s="7" t="s">
        <v>1305</v>
      </c>
      <c r="F20" s="7" t="s">
        <v>1314</v>
      </c>
      <c r="G20" s="7" t="s">
        <v>1315</v>
      </c>
      <c r="H20" s="7" t="s">
        <v>1268</v>
      </c>
      <c r="I20" s="7" t="s">
        <v>1266</v>
      </c>
      <c r="J20" s="135" t="s">
        <v>1267</v>
      </c>
      <c r="K20" s="7" t="s">
        <v>1268</v>
      </c>
      <c r="L20" s="8"/>
      <c r="M20" s="8"/>
      <c r="N20" s="8"/>
      <c r="O20" s="8"/>
      <c r="P20" s="8"/>
      <c r="Q20" s="8"/>
      <c r="R20" s="8"/>
      <c r="S20" s="8"/>
      <c r="T20" s="8"/>
      <c r="U20" s="8"/>
      <c r="V20" s="8"/>
      <c r="W20" s="8"/>
      <c r="X20" s="8"/>
      <c r="Y20" s="8"/>
      <c r="Z20" s="8"/>
      <c r="AA20" s="8"/>
      <c r="AB20" s="8"/>
      <c r="AC20" s="8"/>
      <c r="AD20" s="8"/>
    </row>
    <row r="21">
      <c r="A21" s="7" t="s">
        <v>20</v>
      </c>
      <c r="B21" s="7" t="s">
        <v>1082</v>
      </c>
      <c r="C21" s="7" t="s">
        <v>1317</v>
      </c>
      <c r="D21" s="7" t="s">
        <v>1083</v>
      </c>
      <c r="E21" s="7" t="s">
        <v>1305</v>
      </c>
      <c r="F21" s="7" t="s">
        <v>1314</v>
      </c>
      <c r="G21" s="7" t="s">
        <v>1315</v>
      </c>
      <c r="H21" s="7" t="s">
        <v>1268</v>
      </c>
      <c r="I21" s="7" t="s">
        <v>1266</v>
      </c>
      <c r="J21" s="135" t="s">
        <v>1267</v>
      </c>
      <c r="K21" s="7" t="s">
        <v>1268</v>
      </c>
      <c r="L21" s="8"/>
      <c r="M21" s="8"/>
      <c r="N21" s="8"/>
      <c r="O21" s="8"/>
      <c r="P21" s="8"/>
      <c r="Q21" s="8"/>
      <c r="R21" s="8"/>
      <c r="S21" s="8"/>
      <c r="T21" s="8"/>
      <c r="U21" s="8"/>
      <c r="V21" s="8"/>
      <c r="W21" s="8"/>
      <c r="X21" s="8"/>
      <c r="Y21" s="8"/>
      <c r="Z21" s="8"/>
      <c r="AA21" s="8"/>
      <c r="AB21" s="8"/>
      <c r="AC21" s="8"/>
      <c r="AD21" s="8"/>
    </row>
    <row r="22">
      <c r="A22" s="7" t="s">
        <v>20</v>
      </c>
      <c r="B22" s="7" t="s">
        <v>68</v>
      </c>
      <c r="C22" s="7" t="s">
        <v>192</v>
      </c>
      <c r="D22" s="7" t="s">
        <v>1318</v>
      </c>
      <c r="E22" s="7" t="s">
        <v>257</v>
      </c>
      <c r="F22" s="7" t="s">
        <v>1263</v>
      </c>
      <c r="G22" s="7" t="s">
        <v>1319</v>
      </c>
      <c r="H22" s="7" t="s">
        <v>1320</v>
      </c>
      <c r="I22" s="7" t="s">
        <v>1321</v>
      </c>
      <c r="J22" s="135" t="s">
        <v>1267</v>
      </c>
      <c r="K22" s="136" t="s">
        <v>1322</v>
      </c>
      <c r="L22" s="8"/>
      <c r="M22" s="8"/>
      <c r="N22" s="8"/>
      <c r="O22" s="8"/>
      <c r="P22" s="8"/>
      <c r="Q22" s="8"/>
      <c r="R22" s="8"/>
      <c r="S22" s="8"/>
      <c r="T22" s="8"/>
      <c r="U22" s="8"/>
      <c r="V22" s="8"/>
      <c r="W22" s="8"/>
      <c r="X22" s="8"/>
      <c r="Y22" s="8"/>
      <c r="Z22" s="8"/>
      <c r="AA22" s="8"/>
      <c r="AB22" s="8"/>
      <c r="AC22" s="8"/>
      <c r="AD22" s="8"/>
    </row>
    <row r="23">
      <c r="A23" s="7" t="s">
        <v>20</v>
      </c>
      <c r="B23" s="7" t="s">
        <v>68</v>
      </c>
      <c r="C23" s="7" t="s">
        <v>610</v>
      </c>
      <c r="D23" s="7" t="s">
        <v>1074</v>
      </c>
      <c r="E23" s="7" t="s">
        <v>257</v>
      </c>
      <c r="F23" s="7" t="s">
        <v>1263</v>
      </c>
      <c r="G23" s="7" t="s">
        <v>1264</v>
      </c>
      <c r="H23" s="140" t="s">
        <v>1265</v>
      </c>
      <c r="I23" s="140" t="s">
        <v>1266</v>
      </c>
      <c r="J23" s="135" t="s">
        <v>1267</v>
      </c>
      <c r="K23" s="135" t="s">
        <v>1268</v>
      </c>
      <c r="L23" s="8"/>
      <c r="M23" s="8"/>
      <c r="N23" s="8"/>
      <c r="O23" s="8"/>
      <c r="P23" s="8"/>
      <c r="Q23" s="8"/>
      <c r="R23" s="8"/>
      <c r="S23" s="8"/>
      <c r="T23" s="8"/>
      <c r="U23" s="8"/>
      <c r="V23" s="8"/>
      <c r="W23" s="8"/>
      <c r="X23" s="8"/>
      <c r="Y23" s="8"/>
      <c r="Z23" s="8"/>
      <c r="AA23" s="8"/>
      <c r="AB23" s="8"/>
      <c r="AC23" s="8"/>
      <c r="AD23" s="8"/>
    </row>
    <row r="24">
      <c r="A24" s="7" t="s">
        <v>20</v>
      </c>
      <c r="B24" s="7" t="s">
        <v>68</v>
      </c>
      <c r="C24" s="7" t="s">
        <v>610</v>
      </c>
      <c r="D24" s="7" t="s">
        <v>1074</v>
      </c>
      <c r="E24" s="7" t="s">
        <v>436</v>
      </c>
      <c r="F24" s="7" t="s">
        <v>1263</v>
      </c>
      <c r="G24" s="7" t="s">
        <v>1269</v>
      </c>
      <c r="H24" s="140" t="s">
        <v>1270</v>
      </c>
      <c r="I24" s="140" t="s">
        <v>1271</v>
      </c>
      <c r="J24" s="135" t="s">
        <v>1267</v>
      </c>
      <c r="K24" s="133" t="s">
        <v>583</v>
      </c>
      <c r="L24" s="8"/>
      <c r="M24" s="8"/>
      <c r="N24" s="8"/>
      <c r="O24" s="8"/>
      <c r="P24" s="8"/>
      <c r="Q24" s="8"/>
      <c r="R24" s="8"/>
      <c r="S24" s="8"/>
      <c r="T24" s="8"/>
      <c r="U24" s="8"/>
      <c r="V24" s="8"/>
      <c r="W24" s="8"/>
      <c r="X24" s="8"/>
      <c r="Y24" s="8"/>
      <c r="Z24" s="8"/>
      <c r="AA24" s="8"/>
      <c r="AB24" s="8"/>
      <c r="AC24" s="8"/>
      <c r="AD24" s="8"/>
    </row>
    <row r="25">
      <c r="A25" s="7" t="s">
        <v>20</v>
      </c>
      <c r="B25" s="7" t="s">
        <v>68</v>
      </c>
      <c r="C25" s="7" t="s">
        <v>635</v>
      </c>
      <c r="D25" s="7" t="s">
        <v>636</v>
      </c>
      <c r="E25" s="7" t="s">
        <v>257</v>
      </c>
      <c r="F25" s="7" t="s">
        <v>1263</v>
      </c>
      <c r="G25" s="7" t="s">
        <v>1319</v>
      </c>
      <c r="H25" s="7" t="s">
        <v>1320</v>
      </c>
      <c r="I25" s="7" t="s">
        <v>1324</v>
      </c>
      <c r="J25" s="135" t="s">
        <v>1267</v>
      </c>
      <c r="K25" s="136" t="s">
        <v>1322</v>
      </c>
      <c r="L25" s="135"/>
      <c r="M25" s="8"/>
      <c r="N25" s="8"/>
      <c r="O25" s="8"/>
      <c r="P25" s="8"/>
      <c r="Q25" s="8"/>
      <c r="R25" s="8"/>
      <c r="S25" s="8"/>
      <c r="T25" s="8"/>
      <c r="U25" s="8"/>
      <c r="V25" s="8"/>
      <c r="W25" s="8"/>
      <c r="X25" s="8"/>
      <c r="Y25" s="8"/>
      <c r="Z25" s="8"/>
      <c r="AA25" s="8"/>
      <c r="AB25" s="8"/>
      <c r="AC25" s="8"/>
      <c r="AD25" s="8"/>
    </row>
    <row r="26">
      <c r="A26" s="7" t="s">
        <v>20</v>
      </c>
      <c r="B26" s="7" t="s">
        <v>68</v>
      </c>
      <c r="C26" s="7" t="s">
        <v>635</v>
      </c>
      <c r="D26" s="7" t="s">
        <v>636</v>
      </c>
      <c r="E26" s="7" t="s">
        <v>1325</v>
      </c>
      <c r="F26" s="7" t="s">
        <v>1326</v>
      </c>
      <c r="G26" s="7" t="s">
        <v>1327</v>
      </c>
      <c r="H26" s="7" t="s">
        <v>1328</v>
      </c>
      <c r="I26" s="7" t="s">
        <v>1329</v>
      </c>
      <c r="J26" s="135" t="s">
        <v>1267</v>
      </c>
      <c r="K26" s="136" t="s">
        <v>1330</v>
      </c>
      <c r="L26" s="135"/>
      <c r="M26" s="8"/>
      <c r="N26" s="8"/>
      <c r="O26" s="8"/>
      <c r="P26" s="8"/>
      <c r="Q26" s="8"/>
      <c r="R26" s="8"/>
      <c r="S26" s="8"/>
      <c r="T26" s="8"/>
      <c r="U26" s="8"/>
      <c r="V26" s="8"/>
      <c r="W26" s="8"/>
      <c r="X26" s="8"/>
      <c r="Y26" s="8"/>
      <c r="Z26" s="8"/>
      <c r="AA26" s="8"/>
      <c r="AB26" s="8"/>
      <c r="AC26" s="8"/>
      <c r="AD26" s="8"/>
    </row>
    <row r="27">
      <c r="A27" s="7" t="s">
        <v>20</v>
      </c>
      <c r="B27" s="7" t="s">
        <v>68</v>
      </c>
      <c r="C27" s="7" t="s">
        <v>70</v>
      </c>
      <c r="D27" s="7" t="s">
        <v>71</v>
      </c>
      <c r="E27" s="7" t="s">
        <v>257</v>
      </c>
      <c r="F27" s="7" t="s">
        <v>1263</v>
      </c>
      <c r="G27" s="7" t="s">
        <v>1319</v>
      </c>
      <c r="H27" s="7" t="s">
        <v>1320</v>
      </c>
      <c r="I27" s="7" t="s">
        <v>1331</v>
      </c>
      <c r="J27" s="135" t="s">
        <v>1267</v>
      </c>
      <c r="K27" s="136" t="s">
        <v>1322</v>
      </c>
      <c r="L27" s="135"/>
      <c r="M27" s="8"/>
      <c r="N27" s="8"/>
      <c r="O27" s="8"/>
      <c r="P27" s="8"/>
      <c r="Q27" s="8"/>
      <c r="R27" s="8"/>
      <c r="S27" s="8"/>
      <c r="T27" s="8"/>
      <c r="U27" s="8"/>
      <c r="V27" s="8"/>
      <c r="W27" s="8"/>
      <c r="X27" s="8"/>
      <c r="Y27" s="8"/>
      <c r="Z27" s="8"/>
      <c r="AA27" s="8"/>
      <c r="AB27" s="8"/>
      <c r="AC27" s="8"/>
      <c r="AD27" s="8"/>
    </row>
    <row r="28">
      <c r="A28" s="7" t="s">
        <v>20</v>
      </c>
      <c r="B28" s="7" t="s">
        <v>68</v>
      </c>
      <c r="C28" s="7" t="s">
        <v>70</v>
      </c>
      <c r="D28" s="7" t="s">
        <v>71</v>
      </c>
      <c r="E28" s="7" t="s">
        <v>436</v>
      </c>
      <c r="F28" s="7" t="s">
        <v>1332</v>
      </c>
      <c r="G28" s="7" t="s">
        <v>1269</v>
      </c>
      <c r="H28" s="7" t="s">
        <v>1270</v>
      </c>
      <c r="I28" s="7" t="s">
        <v>1271</v>
      </c>
      <c r="J28" s="135" t="s">
        <v>1267</v>
      </c>
      <c r="K28" s="133" t="s">
        <v>583</v>
      </c>
      <c r="L28" s="135"/>
      <c r="M28" s="8"/>
      <c r="N28" s="8"/>
      <c r="O28" s="8"/>
      <c r="P28" s="8"/>
      <c r="Q28" s="8"/>
      <c r="R28" s="8"/>
      <c r="S28" s="8"/>
      <c r="T28" s="8"/>
      <c r="U28" s="8"/>
      <c r="V28" s="8"/>
      <c r="W28" s="8"/>
      <c r="X28" s="8"/>
      <c r="Y28" s="8"/>
      <c r="Z28" s="8"/>
      <c r="AA28" s="8"/>
      <c r="AB28" s="8"/>
      <c r="AC28" s="8"/>
      <c r="AD28" s="8"/>
    </row>
    <row r="29">
      <c r="A29" s="7" t="s">
        <v>20</v>
      </c>
      <c r="B29" s="7" t="s">
        <v>68</v>
      </c>
      <c r="C29" s="7" t="s">
        <v>301</v>
      </c>
      <c r="D29" s="7" t="s">
        <v>1062</v>
      </c>
      <c r="E29" s="7" t="s">
        <v>257</v>
      </c>
      <c r="F29" s="7" t="s">
        <v>1263</v>
      </c>
      <c r="G29" s="7" t="s">
        <v>1319</v>
      </c>
      <c r="H29" s="7" t="s">
        <v>1320</v>
      </c>
      <c r="I29" s="7" t="s">
        <v>1333</v>
      </c>
      <c r="J29" s="135" t="s">
        <v>1267</v>
      </c>
      <c r="K29" s="136" t="s">
        <v>1322</v>
      </c>
      <c r="L29" s="8"/>
      <c r="M29" s="8"/>
      <c r="N29" s="8"/>
      <c r="O29" s="8"/>
      <c r="P29" s="8"/>
      <c r="Q29" s="8"/>
      <c r="R29" s="8"/>
      <c r="S29" s="8"/>
      <c r="T29" s="8"/>
      <c r="U29" s="8"/>
      <c r="V29" s="8"/>
      <c r="W29" s="8"/>
      <c r="X29" s="8"/>
      <c r="Y29" s="8"/>
      <c r="Z29" s="8"/>
      <c r="AA29" s="8"/>
      <c r="AB29" s="8"/>
      <c r="AC29" s="8"/>
      <c r="AD29" s="8"/>
    </row>
    <row r="30">
      <c r="A30" s="7" t="s">
        <v>20</v>
      </c>
      <c r="B30" s="7" t="s">
        <v>184</v>
      </c>
      <c r="C30" s="7" t="s">
        <v>185</v>
      </c>
      <c r="D30" s="7" t="s">
        <v>186</v>
      </c>
      <c r="E30" s="7" t="s">
        <v>313</v>
      </c>
      <c r="F30" s="7" t="s">
        <v>1334</v>
      </c>
      <c r="G30" s="7" t="s">
        <v>1335</v>
      </c>
      <c r="H30" s="7" t="s">
        <v>1336</v>
      </c>
      <c r="I30" s="7" t="s">
        <v>1337</v>
      </c>
      <c r="J30" s="7" t="s">
        <v>1267</v>
      </c>
      <c r="K30" s="133" t="s">
        <v>1338</v>
      </c>
      <c r="L30" s="8"/>
      <c r="M30" s="8"/>
      <c r="N30" s="8"/>
      <c r="O30" s="8"/>
      <c r="P30" s="8"/>
      <c r="Q30" s="8"/>
      <c r="R30" s="8"/>
      <c r="S30" s="8"/>
      <c r="T30" s="8"/>
      <c r="U30" s="8"/>
      <c r="V30" s="8"/>
      <c r="W30" s="8"/>
      <c r="X30" s="8"/>
      <c r="Y30" s="8"/>
      <c r="Z30" s="8"/>
      <c r="AA30" s="8"/>
      <c r="AB30" s="8"/>
      <c r="AC30" s="8"/>
      <c r="AD30" s="8"/>
    </row>
    <row r="31">
      <c r="A31" s="7" t="s">
        <v>20</v>
      </c>
      <c r="B31" s="7" t="s">
        <v>184</v>
      </c>
      <c r="C31" s="7" t="s">
        <v>185</v>
      </c>
      <c r="D31" s="7" t="s">
        <v>186</v>
      </c>
      <c r="E31" s="7" t="s">
        <v>313</v>
      </c>
      <c r="F31" s="7" t="s">
        <v>1339</v>
      </c>
      <c r="G31" s="7" t="s">
        <v>1340</v>
      </c>
      <c r="H31" s="7" t="s">
        <v>1341</v>
      </c>
      <c r="I31" s="7" t="s">
        <v>1342</v>
      </c>
      <c r="J31" s="7" t="s">
        <v>1267</v>
      </c>
      <c r="K31" s="133" t="s">
        <v>1343</v>
      </c>
      <c r="L31" s="8"/>
      <c r="M31" s="8"/>
      <c r="N31" s="8"/>
      <c r="O31" s="8"/>
      <c r="P31" s="8"/>
      <c r="Q31" s="8"/>
      <c r="R31" s="8"/>
      <c r="S31" s="8"/>
      <c r="T31" s="8"/>
      <c r="U31" s="8"/>
      <c r="V31" s="8"/>
      <c r="W31" s="8"/>
      <c r="X31" s="8"/>
      <c r="Y31" s="8"/>
      <c r="Z31" s="8"/>
      <c r="AA31" s="8"/>
      <c r="AB31" s="8"/>
      <c r="AC31" s="8"/>
      <c r="AD31" s="8"/>
    </row>
    <row r="32">
      <c r="A32" s="7" t="s">
        <v>20</v>
      </c>
      <c r="B32" s="7" t="s">
        <v>184</v>
      </c>
      <c r="C32" s="7" t="s">
        <v>185</v>
      </c>
      <c r="D32" s="7" t="s">
        <v>186</v>
      </c>
      <c r="E32" s="7" t="s">
        <v>313</v>
      </c>
      <c r="F32" s="7" t="s">
        <v>1344</v>
      </c>
      <c r="G32" s="7" t="s">
        <v>1345</v>
      </c>
      <c r="H32" s="7" t="s">
        <v>1346</v>
      </c>
      <c r="I32" s="7" t="s">
        <v>1347</v>
      </c>
      <c r="J32" s="7" t="s">
        <v>1267</v>
      </c>
      <c r="K32" s="133" t="s">
        <v>1348</v>
      </c>
      <c r="L32" s="8"/>
      <c r="M32" s="8"/>
      <c r="N32" s="8"/>
      <c r="O32" s="8"/>
      <c r="P32" s="8"/>
      <c r="Q32" s="8"/>
      <c r="R32" s="8"/>
      <c r="S32" s="8"/>
      <c r="T32" s="8"/>
      <c r="U32" s="8"/>
      <c r="V32" s="8"/>
      <c r="W32" s="8"/>
      <c r="X32" s="8"/>
      <c r="Y32" s="8"/>
      <c r="Z32" s="8"/>
      <c r="AA32" s="8"/>
      <c r="AB32" s="8"/>
      <c r="AC32" s="8"/>
      <c r="AD32" s="8"/>
    </row>
    <row r="33">
      <c r="A33" s="7" t="s">
        <v>20</v>
      </c>
      <c r="B33" s="7" t="s">
        <v>184</v>
      </c>
      <c r="C33" s="7" t="s">
        <v>185</v>
      </c>
      <c r="D33" s="7" t="s">
        <v>186</v>
      </c>
      <c r="E33" s="7" t="s">
        <v>313</v>
      </c>
      <c r="F33" s="7" t="s">
        <v>1350</v>
      </c>
      <c r="G33" s="7" t="s">
        <v>1351</v>
      </c>
      <c r="H33" s="7" t="s">
        <v>1352</v>
      </c>
      <c r="I33" s="7" t="s">
        <v>1353</v>
      </c>
      <c r="J33" s="7" t="s">
        <v>1267</v>
      </c>
      <c r="K33" s="133" t="s">
        <v>1354</v>
      </c>
      <c r="L33" s="8"/>
      <c r="M33" s="8"/>
      <c r="N33" s="8"/>
      <c r="O33" s="8"/>
      <c r="P33" s="8"/>
      <c r="Q33" s="8"/>
      <c r="R33" s="8"/>
      <c r="S33" s="8"/>
      <c r="T33" s="8"/>
      <c r="U33" s="8"/>
      <c r="V33" s="8"/>
      <c r="W33" s="8"/>
      <c r="X33" s="8"/>
      <c r="Y33" s="8"/>
      <c r="Z33" s="8"/>
      <c r="AA33" s="8"/>
      <c r="AB33" s="8"/>
      <c r="AC33" s="8"/>
      <c r="AD33" s="8"/>
    </row>
    <row r="34">
      <c r="A34" s="16" t="s">
        <v>20</v>
      </c>
      <c r="B34" s="16" t="s">
        <v>309</v>
      </c>
      <c r="C34" s="16" t="s">
        <v>213</v>
      </c>
      <c r="D34" s="16" t="s">
        <v>655</v>
      </c>
      <c r="E34" s="16" t="s">
        <v>1356</v>
      </c>
      <c r="F34" s="16" t="s">
        <v>1357</v>
      </c>
      <c r="G34" s="16" t="s">
        <v>1358</v>
      </c>
      <c r="H34" s="141" t="s">
        <v>1359</v>
      </c>
      <c r="I34" s="16" t="s">
        <v>1360</v>
      </c>
      <c r="J34" s="16" t="s">
        <v>1267</v>
      </c>
      <c r="K34" s="142" t="s">
        <v>1361</v>
      </c>
      <c r="L34" s="17"/>
      <c r="M34" s="17"/>
      <c r="N34" s="17"/>
      <c r="O34" s="17"/>
      <c r="P34" s="17"/>
      <c r="Q34" s="17"/>
      <c r="R34" s="17"/>
      <c r="S34" s="17"/>
      <c r="T34" s="17"/>
      <c r="U34" s="17"/>
      <c r="V34" s="17"/>
      <c r="W34" s="17"/>
      <c r="X34" s="17"/>
      <c r="Y34" s="17"/>
      <c r="Z34" s="17"/>
      <c r="AA34" s="17"/>
      <c r="AB34" s="17"/>
      <c r="AC34" s="17"/>
      <c r="AD34" s="17"/>
    </row>
    <row r="35">
      <c r="A35" s="16" t="s">
        <v>20</v>
      </c>
      <c r="B35" s="16" t="s">
        <v>309</v>
      </c>
      <c r="C35" s="16" t="s">
        <v>213</v>
      </c>
      <c r="D35" s="16" t="s">
        <v>655</v>
      </c>
      <c r="E35" s="16" t="s">
        <v>1365</v>
      </c>
      <c r="F35" s="16" t="s">
        <v>1357</v>
      </c>
      <c r="G35" s="16" t="s">
        <v>1366</v>
      </c>
      <c r="H35" s="141" t="s">
        <v>1367</v>
      </c>
      <c r="I35" s="16" t="s">
        <v>1368</v>
      </c>
      <c r="J35" s="16" t="s">
        <v>1267</v>
      </c>
      <c r="K35" s="142" t="s">
        <v>1361</v>
      </c>
      <c r="L35" s="17"/>
      <c r="M35" s="17"/>
      <c r="N35" s="17"/>
      <c r="O35" s="17"/>
      <c r="P35" s="17"/>
      <c r="Q35" s="17"/>
      <c r="R35" s="17"/>
      <c r="S35" s="17"/>
      <c r="T35" s="17"/>
      <c r="U35" s="17"/>
      <c r="V35" s="17"/>
      <c r="W35" s="17"/>
      <c r="X35" s="17"/>
      <c r="Y35" s="17"/>
      <c r="Z35" s="17"/>
      <c r="AA35" s="17"/>
      <c r="AB35" s="17"/>
      <c r="AC35" s="17"/>
      <c r="AD35" s="17"/>
    </row>
    <row r="36">
      <c r="A36" s="7" t="s">
        <v>20</v>
      </c>
      <c r="B36" s="7" t="s">
        <v>1035</v>
      </c>
      <c r="C36" s="7" t="s">
        <v>220</v>
      </c>
      <c r="D36" s="7" t="s">
        <v>1036</v>
      </c>
      <c r="E36" s="7" t="s">
        <v>640</v>
      </c>
      <c r="F36" s="7" t="s">
        <v>1263</v>
      </c>
      <c r="G36" s="7" t="s">
        <v>1369</v>
      </c>
      <c r="H36" s="143" t="s">
        <v>1268</v>
      </c>
      <c r="I36" s="7" t="s">
        <v>1370</v>
      </c>
      <c r="J36" s="7" t="s">
        <v>1267</v>
      </c>
      <c r="K36" s="133" t="s">
        <v>1371</v>
      </c>
      <c r="L36" s="8"/>
      <c r="M36" s="8"/>
      <c r="N36" s="8"/>
      <c r="O36" s="8"/>
      <c r="P36" s="8"/>
      <c r="Q36" s="8"/>
      <c r="R36" s="8"/>
      <c r="S36" s="8"/>
      <c r="T36" s="8"/>
      <c r="U36" s="8"/>
      <c r="V36" s="8"/>
      <c r="W36" s="8"/>
      <c r="X36" s="8"/>
      <c r="Y36" s="8"/>
      <c r="Z36" s="8"/>
      <c r="AA36" s="8"/>
      <c r="AB36" s="8"/>
      <c r="AC36" s="8"/>
      <c r="AD36" s="8"/>
    </row>
    <row r="37">
      <c r="A37" s="16" t="s">
        <v>20</v>
      </c>
      <c r="B37" s="16" t="s">
        <v>1245</v>
      </c>
      <c r="C37" s="16" t="s">
        <v>1279</v>
      </c>
      <c r="D37" s="16" t="s">
        <v>1280</v>
      </c>
      <c r="E37" s="16" t="s">
        <v>1356</v>
      </c>
      <c r="F37" s="16" t="s">
        <v>1263</v>
      </c>
      <c r="G37" s="16" t="s">
        <v>1373</v>
      </c>
      <c r="H37" s="16" t="s">
        <v>1374</v>
      </c>
      <c r="I37" s="16" t="s">
        <v>1375</v>
      </c>
      <c r="J37" s="16" t="s">
        <v>1267</v>
      </c>
      <c r="K37" s="142" t="s">
        <v>1376</v>
      </c>
      <c r="L37" s="17"/>
      <c r="M37" s="17"/>
      <c r="N37" s="17"/>
      <c r="O37" s="17"/>
      <c r="P37" s="17"/>
      <c r="Q37" s="17"/>
      <c r="R37" s="17"/>
      <c r="S37" s="17"/>
      <c r="T37" s="17"/>
      <c r="U37" s="17"/>
      <c r="V37" s="17"/>
      <c r="W37" s="17"/>
      <c r="X37" s="17"/>
      <c r="Y37" s="17"/>
      <c r="Z37" s="17"/>
      <c r="AA37" s="17"/>
      <c r="AB37" s="17"/>
      <c r="AC37" s="17"/>
      <c r="AD37" s="17"/>
    </row>
    <row r="38">
      <c r="A38" s="16" t="s">
        <v>20</v>
      </c>
      <c r="B38" s="16" t="s">
        <v>1245</v>
      </c>
      <c r="C38" s="16" t="s">
        <v>1279</v>
      </c>
      <c r="D38" s="16" t="s">
        <v>1280</v>
      </c>
      <c r="E38" s="16" t="s">
        <v>1365</v>
      </c>
      <c r="F38" s="16" t="s">
        <v>1263</v>
      </c>
      <c r="G38" s="16" t="s">
        <v>1377</v>
      </c>
      <c r="H38" s="16" t="s">
        <v>1378</v>
      </c>
      <c r="I38" s="16" t="s">
        <v>1375</v>
      </c>
      <c r="J38" s="16" t="s">
        <v>1267</v>
      </c>
      <c r="K38" s="142" t="s">
        <v>1379</v>
      </c>
      <c r="L38" s="17"/>
      <c r="M38" s="17"/>
      <c r="N38" s="17"/>
      <c r="O38" s="17"/>
      <c r="P38" s="17"/>
      <c r="Q38" s="17"/>
      <c r="R38" s="17"/>
      <c r="S38" s="17"/>
      <c r="T38" s="17"/>
      <c r="U38" s="17"/>
      <c r="V38" s="17"/>
      <c r="W38" s="17"/>
      <c r="X38" s="17"/>
      <c r="Y38" s="17"/>
      <c r="Z38" s="17"/>
      <c r="AA38" s="17"/>
      <c r="AB38" s="17"/>
      <c r="AC38" s="17"/>
      <c r="AD38" s="17"/>
    </row>
    <row r="39">
      <c r="A39" s="7" t="s">
        <v>20</v>
      </c>
      <c r="B39" s="7" t="s">
        <v>353</v>
      </c>
      <c r="C39" s="7" t="s">
        <v>591</v>
      </c>
      <c r="D39" s="7" t="s">
        <v>1052</v>
      </c>
      <c r="E39" s="7" t="s">
        <v>257</v>
      </c>
      <c r="F39" s="7" t="s">
        <v>1263</v>
      </c>
      <c r="G39" s="7" t="s">
        <v>1264</v>
      </c>
      <c r="H39" s="7" t="s">
        <v>1265</v>
      </c>
      <c r="I39" s="7" t="s">
        <v>1266</v>
      </c>
      <c r="J39" s="7" t="s">
        <v>1267</v>
      </c>
      <c r="K39" s="7" t="s">
        <v>1268</v>
      </c>
      <c r="L39" s="8"/>
      <c r="M39" s="8"/>
      <c r="N39" s="8"/>
      <c r="O39" s="8"/>
      <c r="P39" s="8"/>
      <c r="Q39" s="8"/>
      <c r="R39" s="8"/>
      <c r="S39" s="8"/>
      <c r="T39" s="8"/>
      <c r="U39" s="8"/>
      <c r="V39" s="8"/>
      <c r="W39" s="8"/>
      <c r="X39" s="8"/>
      <c r="Y39" s="8"/>
      <c r="Z39" s="8"/>
      <c r="AA39" s="8"/>
      <c r="AB39" s="8"/>
      <c r="AC39" s="8"/>
      <c r="AD39" s="8"/>
    </row>
    <row r="40">
      <c r="A40" s="7" t="s">
        <v>20</v>
      </c>
      <c r="B40" s="7" t="s">
        <v>353</v>
      </c>
      <c r="C40" s="7" t="s">
        <v>591</v>
      </c>
      <c r="D40" s="7" t="s">
        <v>1052</v>
      </c>
      <c r="E40" s="7" t="s">
        <v>436</v>
      </c>
      <c r="F40" s="7" t="s">
        <v>1263</v>
      </c>
      <c r="G40" s="7" t="s">
        <v>1269</v>
      </c>
      <c r="H40" s="7" t="s">
        <v>1270</v>
      </c>
      <c r="I40" s="7" t="s">
        <v>1271</v>
      </c>
      <c r="J40" s="7" t="s">
        <v>1267</v>
      </c>
      <c r="K40" s="133" t="s">
        <v>583</v>
      </c>
      <c r="L40" s="8"/>
      <c r="M40" s="8"/>
      <c r="N40" s="8"/>
      <c r="O40" s="8"/>
      <c r="P40" s="8"/>
      <c r="Q40" s="8"/>
      <c r="R40" s="8"/>
      <c r="S40" s="8"/>
      <c r="T40" s="8"/>
      <c r="U40" s="8"/>
      <c r="V40" s="8"/>
      <c r="W40" s="8"/>
      <c r="X40" s="8"/>
      <c r="Y40" s="8"/>
      <c r="Z40" s="8"/>
      <c r="AA40" s="8"/>
      <c r="AB40" s="8"/>
      <c r="AC40" s="8"/>
      <c r="AD40" s="8"/>
    </row>
    <row r="41">
      <c r="A41" s="7" t="s">
        <v>20</v>
      </c>
      <c r="B41" s="7" t="s">
        <v>68</v>
      </c>
      <c r="C41" s="7" t="s">
        <v>1259</v>
      </c>
      <c r="D41" s="7" t="s">
        <v>1261</v>
      </c>
      <c r="E41" s="7" t="s">
        <v>257</v>
      </c>
      <c r="F41" s="7" t="s">
        <v>1263</v>
      </c>
      <c r="G41" s="7" t="s">
        <v>1264</v>
      </c>
      <c r="H41" s="7" t="s">
        <v>1265</v>
      </c>
      <c r="I41" s="7" t="s">
        <v>1266</v>
      </c>
      <c r="J41" s="7" t="s">
        <v>1267</v>
      </c>
      <c r="K41" s="7" t="s">
        <v>1268</v>
      </c>
      <c r="L41" s="8"/>
      <c r="M41" s="8"/>
      <c r="N41" s="8"/>
      <c r="O41" s="8"/>
      <c r="P41" s="8"/>
      <c r="Q41" s="8"/>
      <c r="R41" s="8"/>
      <c r="S41" s="8"/>
      <c r="T41" s="8"/>
      <c r="U41" s="8"/>
      <c r="V41" s="8"/>
      <c r="W41" s="8"/>
      <c r="X41" s="8"/>
      <c r="Y41" s="8"/>
      <c r="Z41" s="8"/>
      <c r="AA41" s="8"/>
      <c r="AB41" s="8"/>
      <c r="AC41" s="8"/>
      <c r="AD41" s="8"/>
    </row>
    <row r="42">
      <c r="A42" s="7" t="s">
        <v>20</v>
      </c>
      <c r="B42" s="7" t="s">
        <v>68</v>
      </c>
      <c r="C42" s="7" t="s">
        <v>1259</v>
      </c>
      <c r="D42" s="7" t="s">
        <v>1261</v>
      </c>
      <c r="E42" s="7" t="s">
        <v>436</v>
      </c>
      <c r="F42" s="7" t="s">
        <v>1263</v>
      </c>
      <c r="G42" s="7" t="s">
        <v>1269</v>
      </c>
      <c r="H42" s="7" t="s">
        <v>1270</v>
      </c>
      <c r="I42" s="7" t="s">
        <v>1271</v>
      </c>
      <c r="J42" s="7" t="s">
        <v>1267</v>
      </c>
      <c r="K42" s="133" t="s">
        <v>583</v>
      </c>
      <c r="L42" s="8"/>
      <c r="M42" s="8"/>
      <c r="N42" s="8"/>
      <c r="O42" s="8"/>
      <c r="P42" s="8"/>
      <c r="Q42" s="8"/>
      <c r="R42" s="8"/>
      <c r="S42" s="8"/>
      <c r="T42" s="8"/>
      <c r="U42" s="8"/>
      <c r="V42" s="8"/>
      <c r="W42" s="8"/>
      <c r="X42" s="8"/>
      <c r="Y42" s="8"/>
      <c r="Z42" s="8"/>
      <c r="AA42" s="8"/>
      <c r="AB42" s="8"/>
      <c r="AC42" s="8"/>
      <c r="AD42" s="8"/>
    </row>
    <row r="43">
      <c r="A43" s="7" t="s">
        <v>20</v>
      </c>
      <c r="B43" s="7" t="s">
        <v>68</v>
      </c>
      <c r="C43" s="7" t="s">
        <v>1230</v>
      </c>
      <c r="D43" s="7" t="s">
        <v>1231</v>
      </c>
      <c r="E43" s="7" t="s">
        <v>257</v>
      </c>
      <c r="F43" s="7" t="s">
        <v>1263</v>
      </c>
      <c r="G43" s="7" t="s">
        <v>1264</v>
      </c>
      <c r="H43" s="7" t="s">
        <v>1265</v>
      </c>
      <c r="I43" s="7" t="s">
        <v>1266</v>
      </c>
      <c r="J43" s="7" t="s">
        <v>1267</v>
      </c>
      <c r="K43" s="7" t="s">
        <v>1268</v>
      </c>
      <c r="L43" s="8"/>
      <c r="M43" s="8"/>
      <c r="N43" s="8"/>
      <c r="O43" s="8"/>
      <c r="P43" s="8"/>
      <c r="Q43" s="8"/>
      <c r="R43" s="8"/>
      <c r="S43" s="8"/>
      <c r="T43" s="8"/>
      <c r="U43" s="8"/>
      <c r="V43" s="8"/>
      <c r="W43" s="8"/>
      <c r="X43" s="8"/>
      <c r="Y43" s="8"/>
      <c r="Z43" s="8"/>
      <c r="AA43" s="8"/>
      <c r="AB43" s="8"/>
      <c r="AC43" s="8"/>
      <c r="AD43" s="8"/>
    </row>
    <row r="44">
      <c r="A44" s="7" t="s">
        <v>20</v>
      </c>
      <c r="B44" s="7" t="s">
        <v>68</v>
      </c>
      <c r="C44" s="7" t="s">
        <v>1230</v>
      </c>
      <c r="D44" s="7" t="s">
        <v>1231</v>
      </c>
      <c r="E44" s="7" t="s">
        <v>436</v>
      </c>
      <c r="F44" s="7" t="s">
        <v>1263</v>
      </c>
      <c r="G44" s="7" t="s">
        <v>1269</v>
      </c>
      <c r="H44" s="7" t="s">
        <v>1270</v>
      </c>
      <c r="I44" s="7" t="s">
        <v>1271</v>
      </c>
      <c r="J44" s="7" t="s">
        <v>1267</v>
      </c>
      <c r="K44" s="133" t="s">
        <v>583</v>
      </c>
      <c r="L44" s="8"/>
      <c r="M44" s="8"/>
      <c r="N44" s="8"/>
      <c r="O44" s="8"/>
      <c r="P44" s="8"/>
      <c r="Q44" s="8"/>
      <c r="R44" s="8"/>
      <c r="S44" s="8"/>
      <c r="T44" s="8"/>
      <c r="U44" s="8"/>
      <c r="V44" s="8"/>
      <c r="W44" s="8"/>
      <c r="X44" s="8"/>
      <c r="Y44" s="8"/>
      <c r="Z44" s="8"/>
      <c r="AA44" s="8"/>
      <c r="AB44" s="8"/>
      <c r="AC44" s="8"/>
      <c r="AD44" s="8"/>
    </row>
    <row r="45">
      <c r="A45" s="16" t="s">
        <v>20</v>
      </c>
      <c r="B45" s="16" t="s">
        <v>1245</v>
      </c>
      <c r="C45" s="16" t="s">
        <v>595</v>
      </c>
      <c r="D45" s="16" t="s">
        <v>1246</v>
      </c>
      <c r="E45" s="16" t="s">
        <v>1356</v>
      </c>
      <c r="F45" s="16" t="s">
        <v>1263</v>
      </c>
      <c r="G45" s="16" t="s">
        <v>1373</v>
      </c>
      <c r="H45" s="144" t="s">
        <v>1374</v>
      </c>
      <c r="I45" s="144" t="s">
        <v>1375</v>
      </c>
      <c r="J45" s="144" t="s">
        <v>1267</v>
      </c>
      <c r="K45" s="145" t="s">
        <v>1376</v>
      </c>
      <c r="L45" s="17"/>
      <c r="M45" s="17"/>
      <c r="N45" s="17"/>
      <c r="O45" s="17"/>
      <c r="P45" s="17"/>
      <c r="Q45" s="17"/>
      <c r="R45" s="17"/>
      <c r="S45" s="17"/>
      <c r="T45" s="17"/>
      <c r="U45" s="17"/>
      <c r="V45" s="17"/>
      <c r="W45" s="17"/>
      <c r="X45" s="17"/>
      <c r="Y45" s="17"/>
      <c r="Z45" s="17"/>
      <c r="AA45" s="17"/>
      <c r="AB45" s="17"/>
      <c r="AC45" s="17"/>
      <c r="AD45" s="17"/>
    </row>
    <row r="46">
      <c r="A46" s="16" t="s">
        <v>20</v>
      </c>
      <c r="B46" s="16" t="s">
        <v>1245</v>
      </c>
      <c r="C46" s="16" t="s">
        <v>595</v>
      </c>
      <c r="D46" s="16" t="s">
        <v>1246</v>
      </c>
      <c r="E46" s="16" t="s">
        <v>1365</v>
      </c>
      <c r="F46" s="16" t="s">
        <v>1263</v>
      </c>
      <c r="G46" s="16" t="s">
        <v>1377</v>
      </c>
      <c r="H46" s="144" t="s">
        <v>1378</v>
      </c>
      <c r="I46" s="144" t="s">
        <v>1375</v>
      </c>
      <c r="J46" s="144" t="s">
        <v>1267</v>
      </c>
      <c r="K46" s="145" t="s">
        <v>1379</v>
      </c>
      <c r="L46" s="17"/>
      <c r="M46" s="17"/>
      <c r="N46" s="17"/>
      <c r="O46" s="17"/>
      <c r="P46" s="17"/>
      <c r="Q46" s="17"/>
      <c r="R46" s="17"/>
      <c r="S46" s="17"/>
      <c r="T46" s="17"/>
      <c r="U46" s="17"/>
      <c r="V46" s="17"/>
      <c r="W46" s="17"/>
      <c r="X46" s="17"/>
      <c r="Y46" s="17"/>
      <c r="Z46" s="17"/>
      <c r="AA46" s="17"/>
      <c r="AB46" s="17"/>
      <c r="AC46" s="17"/>
      <c r="AD46" s="17"/>
    </row>
    <row r="47">
      <c r="A47" s="7" t="s">
        <v>20</v>
      </c>
      <c r="B47" s="7" t="s">
        <v>68</v>
      </c>
      <c r="C47" s="7" t="s">
        <v>603</v>
      </c>
      <c r="D47" s="7" t="s">
        <v>1380</v>
      </c>
      <c r="E47" s="7" t="s">
        <v>257</v>
      </c>
      <c r="F47" s="7" t="s">
        <v>1263</v>
      </c>
      <c r="G47" s="140" t="s">
        <v>1264</v>
      </c>
      <c r="H47" s="140" t="s">
        <v>1265</v>
      </c>
      <c r="I47" s="140" t="s">
        <v>1266</v>
      </c>
      <c r="J47" s="140" t="s">
        <v>1267</v>
      </c>
      <c r="K47" s="140" t="s">
        <v>1268</v>
      </c>
      <c r="L47" s="8"/>
      <c r="M47" s="8"/>
      <c r="N47" s="8"/>
      <c r="O47" s="8"/>
      <c r="P47" s="8"/>
      <c r="Q47" s="8"/>
      <c r="R47" s="8"/>
      <c r="S47" s="8"/>
      <c r="T47" s="8"/>
      <c r="U47" s="8"/>
      <c r="V47" s="8"/>
      <c r="W47" s="8"/>
      <c r="X47" s="8"/>
      <c r="Y47" s="8"/>
      <c r="Z47" s="8"/>
      <c r="AA47" s="8"/>
      <c r="AB47" s="8"/>
      <c r="AC47" s="8"/>
      <c r="AD47" s="8"/>
    </row>
    <row r="48">
      <c r="A48" s="7" t="s">
        <v>20</v>
      </c>
      <c r="B48" s="7" t="s">
        <v>68</v>
      </c>
      <c r="C48" s="7" t="s">
        <v>603</v>
      </c>
      <c r="D48" s="7" t="s">
        <v>1380</v>
      </c>
      <c r="E48" s="7" t="s">
        <v>436</v>
      </c>
      <c r="F48" s="7" t="s">
        <v>1263</v>
      </c>
      <c r="G48" s="140" t="s">
        <v>1269</v>
      </c>
      <c r="H48" s="140" t="s">
        <v>1270</v>
      </c>
      <c r="I48" s="140" t="s">
        <v>1271</v>
      </c>
      <c r="J48" s="140" t="s">
        <v>1267</v>
      </c>
      <c r="K48" s="146" t="s">
        <v>583</v>
      </c>
      <c r="L48" s="8"/>
      <c r="M48" s="8"/>
      <c r="N48" s="8"/>
      <c r="O48" s="8"/>
      <c r="P48" s="8"/>
      <c r="Q48" s="8"/>
      <c r="R48" s="8"/>
      <c r="S48" s="8"/>
      <c r="T48" s="8"/>
      <c r="U48" s="8"/>
      <c r="V48" s="8"/>
      <c r="W48" s="8"/>
      <c r="X48" s="8"/>
      <c r="Y48" s="8"/>
      <c r="Z48" s="8"/>
      <c r="AA48" s="8"/>
      <c r="AB48" s="8"/>
      <c r="AC48" s="8"/>
      <c r="AD48" s="8"/>
    </row>
    <row r="49">
      <c r="A49" s="16" t="s">
        <v>20</v>
      </c>
      <c r="B49" s="16" t="s">
        <v>1245</v>
      </c>
      <c r="C49" s="16" t="s">
        <v>603</v>
      </c>
      <c r="D49" s="16" t="s">
        <v>1381</v>
      </c>
      <c r="E49" s="16" t="s">
        <v>1356</v>
      </c>
      <c r="F49" s="16"/>
      <c r="G49" s="144" t="s">
        <v>1373</v>
      </c>
      <c r="H49" s="144" t="s">
        <v>1374</v>
      </c>
      <c r="I49" s="144" t="s">
        <v>1375</v>
      </c>
      <c r="J49" s="144" t="s">
        <v>1267</v>
      </c>
      <c r="K49" s="145" t="s">
        <v>1376</v>
      </c>
      <c r="L49" s="17"/>
      <c r="M49" s="17"/>
      <c r="N49" s="17"/>
      <c r="O49" s="17"/>
      <c r="P49" s="17"/>
      <c r="Q49" s="17"/>
      <c r="R49" s="17"/>
      <c r="S49" s="17"/>
      <c r="T49" s="17"/>
      <c r="U49" s="17"/>
      <c r="V49" s="17"/>
      <c r="W49" s="17"/>
      <c r="X49" s="17"/>
      <c r="Y49" s="17"/>
      <c r="Z49" s="17"/>
      <c r="AA49" s="17"/>
      <c r="AB49" s="17"/>
      <c r="AC49" s="17"/>
      <c r="AD49" s="17"/>
    </row>
    <row r="50">
      <c r="A50" s="16" t="s">
        <v>20</v>
      </c>
      <c r="B50" s="16" t="s">
        <v>1245</v>
      </c>
      <c r="C50" s="16" t="s">
        <v>603</v>
      </c>
      <c r="D50" s="16" t="s">
        <v>1381</v>
      </c>
      <c r="E50" s="16" t="s">
        <v>1365</v>
      </c>
      <c r="F50" s="16"/>
      <c r="G50" s="144" t="s">
        <v>1377</v>
      </c>
      <c r="H50" s="144" t="s">
        <v>1378</v>
      </c>
      <c r="I50" s="144" t="s">
        <v>1375</v>
      </c>
      <c r="J50" s="144" t="s">
        <v>1267</v>
      </c>
      <c r="K50" s="145" t="s">
        <v>1379</v>
      </c>
      <c r="L50" s="17"/>
      <c r="M50" s="17"/>
      <c r="N50" s="17"/>
      <c r="O50" s="17"/>
      <c r="P50" s="17"/>
      <c r="Q50" s="17"/>
      <c r="R50" s="17"/>
      <c r="S50" s="17"/>
      <c r="T50" s="17"/>
      <c r="U50" s="17"/>
      <c r="V50" s="17"/>
      <c r="W50" s="17"/>
      <c r="X50" s="17"/>
      <c r="Y50" s="17"/>
      <c r="Z50" s="17"/>
      <c r="AA50" s="17"/>
      <c r="AB50" s="17"/>
      <c r="AC50" s="17"/>
      <c r="AD50" s="17"/>
    </row>
    <row r="51">
      <c r="A51" s="7" t="s">
        <v>20</v>
      </c>
      <c r="B51" s="7" t="s">
        <v>68</v>
      </c>
      <c r="C51" s="7" t="s">
        <v>597</v>
      </c>
      <c r="D51" s="7" t="s">
        <v>1242</v>
      </c>
      <c r="E51" s="7" t="s">
        <v>257</v>
      </c>
      <c r="F51" s="140" t="s">
        <v>1263</v>
      </c>
      <c r="G51" s="140" t="s">
        <v>1264</v>
      </c>
      <c r="H51" s="140" t="s">
        <v>1265</v>
      </c>
      <c r="I51" s="140" t="s">
        <v>1266</v>
      </c>
      <c r="J51" s="140" t="s">
        <v>1267</v>
      </c>
      <c r="K51" s="140" t="s">
        <v>1268</v>
      </c>
      <c r="L51" s="8"/>
      <c r="M51" s="8"/>
      <c r="N51" s="8"/>
      <c r="O51" s="8"/>
      <c r="P51" s="8"/>
      <c r="Q51" s="8"/>
      <c r="R51" s="8"/>
      <c r="S51" s="8"/>
      <c r="T51" s="8"/>
      <c r="U51" s="8"/>
      <c r="V51" s="8"/>
      <c r="W51" s="8"/>
      <c r="X51" s="8"/>
      <c r="Y51" s="8"/>
      <c r="Z51" s="8"/>
      <c r="AA51" s="8"/>
      <c r="AB51" s="8"/>
      <c r="AC51" s="8"/>
      <c r="AD51" s="8"/>
    </row>
    <row r="52">
      <c r="A52" s="7" t="s">
        <v>20</v>
      </c>
      <c r="B52" s="7" t="s">
        <v>68</v>
      </c>
      <c r="C52" s="7" t="s">
        <v>597</v>
      </c>
      <c r="D52" s="7" t="s">
        <v>1242</v>
      </c>
      <c r="E52" s="7" t="s">
        <v>436</v>
      </c>
      <c r="F52" s="140" t="s">
        <v>1263</v>
      </c>
      <c r="G52" s="140" t="s">
        <v>1269</v>
      </c>
      <c r="H52" s="140" t="s">
        <v>1270</v>
      </c>
      <c r="I52" s="140" t="s">
        <v>1271</v>
      </c>
      <c r="J52" s="140" t="s">
        <v>1267</v>
      </c>
      <c r="K52" s="146" t="s">
        <v>583</v>
      </c>
      <c r="L52" s="8"/>
      <c r="M52" s="8"/>
      <c r="N52" s="8"/>
      <c r="O52" s="8"/>
      <c r="P52" s="8"/>
      <c r="Q52" s="8"/>
      <c r="R52" s="8"/>
      <c r="S52" s="8"/>
      <c r="T52" s="8"/>
      <c r="U52" s="8"/>
      <c r="V52" s="8"/>
      <c r="W52" s="8"/>
      <c r="X52" s="8"/>
      <c r="Y52" s="8"/>
      <c r="Z52" s="8"/>
      <c r="AA52" s="8"/>
      <c r="AB52" s="8"/>
      <c r="AC52" s="8"/>
      <c r="AD52" s="8"/>
    </row>
    <row r="53">
      <c r="A53" s="140" t="s">
        <v>20</v>
      </c>
      <c r="B53" s="140" t="s">
        <v>282</v>
      </c>
      <c r="C53" s="140" t="s">
        <v>284</v>
      </c>
      <c r="D53" s="7" t="s">
        <v>689</v>
      </c>
      <c r="E53" s="147" t="s">
        <v>651</v>
      </c>
      <c r="F53" s="147" t="s">
        <v>1263</v>
      </c>
      <c r="G53" s="147" t="s">
        <v>1384</v>
      </c>
      <c r="H53" s="7" t="s">
        <v>1385</v>
      </c>
      <c r="I53" s="147" t="s">
        <v>1386</v>
      </c>
      <c r="J53" s="147" t="s">
        <v>1267</v>
      </c>
      <c r="K53" s="149" t="s">
        <v>1387</v>
      </c>
      <c r="L53" s="150"/>
      <c r="M53" s="150"/>
      <c r="N53" s="150"/>
      <c r="O53" s="150"/>
      <c r="P53" s="150"/>
      <c r="Q53" s="150"/>
      <c r="R53" s="150"/>
      <c r="S53" s="150"/>
      <c r="T53" s="150"/>
      <c r="U53" s="150"/>
      <c r="V53" s="150"/>
      <c r="W53" s="150"/>
      <c r="X53" s="150"/>
      <c r="Y53" s="150"/>
      <c r="Z53" s="150"/>
      <c r="AA53" s="150"/>
      <c r="AB53" s="150"/>
      <c r="AC53" s="150"/>
      <c r="AD53" s="150"/>
    </row>
    <row r="54">
      <c r="A54" s="140" t="s">
        <v>20</v>
      </c>
      <c r="B54" s="140" t="s">
        <v>267</v>
      </c>
      <c r="C54" s="140" t="s">
        <v>268</v>
      </c>
      <c r="D54" s="7" t="s">
        <v>702</v>
      </c>
      <c r="E54" s="147" t="s">
        <v>651</v>
      </c>
      <c r="F54" s="147" t="s">
        <v>1263</v>
      </c>
      <c r="G54" s="147" t="s">
        <v>1384</v>
      </c>
      <c r="H54" s="7" t="s">
        <v>1385</v>
      </c>
      <c r="I54" s="147" t="s">
        <v>1386</v>
      </c>
      <c r="J54" s="147" t="s">
        <v>1267</v>
      </c>
      <c r="K54" s="149" t="s">
        <v>1387</v>
      </c>
      <c r="L54" s="150"/>
      <c r="M54" s="150"/>
      <c r="N54" s="150"/>
      <c r="O54" s="150"/>
      <c r="P54" s="150"/>
      <c r="Q54" s="150"/>
      <c r="R54" s="150"/>
      <c r="S54" s="150"/>
      <c r="T54" s="150"/>
      <c r="U54" s="150"/>
      <c r="V54" s="150"/>
      <c r="W54" s="150"/>
      <c r="X54" s="150"/>
      <c r="Y54" s="150"/>
      <c r="Z54" s="150"/>
      <c r="AA54" s="150"/>
      <c r="AB54" s="150"/>
      <c r="AC54" s="150"/>
      <c r="AD54" s="150"/>
    </row>
    <row r="55">
      <c r="A55" s="140" t="s">
        <v>20</v>
      </c>
      <c r="B55" s="140" t="s">
        <v>278</v>
      </c>
      <c r="C55" s="140" t="s">
        <v>268</v>
      </c>
      <c r="D55" s="7" t="s">
        <v>710</v>
      </c>
      <c r="E55" s="147" t="s">
        <v>651</v>
      </c>
      <c r="F55" s="147" t="s">
        <v>1263</v>
      </c>
      <c r="G55" s="147" t="s">
        <v>1384</v>
      </c>
      <c r="H55" s="7" t="s">
        <v>1385</v>
      </c>
      <c r="I55" s="147" t="s">
        <v>1386</v>
      </c>
      <c r="J55" s="147" t="s">
        <v>1267</v>
      </c>
      <c r="K55" s="149" t="s">
        <v>1387</v>
      </c>
      <c r="L55" s="150"/>
      <c r="M55" s="150"/>
      <c r="N55" s="150"/>
      <c r="O55" s="150"/>
      <c r="P55" s="150"/>
      <c r="Q55" s="150"/>
      <c r="R55" s="150"/>
      <c r="S55" s="150"/>
      <c r="T55" s="150"/>
      <c r="U55" s="150"/>
      <c r="V55" s="150"/>
      <c r="W55" s="150"/>
      <c r="X55" s="150"/>
      <c r="Y55" s="150"/>
      <c r="Z55" s="150"/>
      <c r="AA55" s="150"/>
      <c r="AB55" s="150"/>
      <c r="AC55" s="150"/>
      <c r="AD55" s="150"/>
    </row>
    <row r="56">
      <c r="A56" s="140" t="s">
        <v>20</v>
      </c>
      <c r="B56" s="140" t="s">
        <v>292</v>
      </c>
      <c r="C56" s="140" t="s">
        <v>268</v>
      </c>
      <c r="D56" s="7" t="s">
        <v>721</v>
      </c>
      <c r="E56" s="147" t="s">
        <v>651</v>
      </c>
      <c r="F56" s="147" t="s">
        <v>1263</v>
      </c>
      <c r="G56" s="147" t="s">
        <v>1384</v>
      </c>
      <c r="H56" s="7" t="s">
        <v>1385</v>
      </c>
      <c r="I56" s="147" t="s">
        <v>1386</v>
      </c>
      <c r="J56" s="147" t="s">
        <v>1267</v>
      </c>
      <c r="K56" s="149" t="s">
        <v>1387</v>
      </c>
      <c r="L56" s="150"/>
      <c r="M56" s="150"/>
      <c r="N56" s="150"/>
      <c r="O56" s="150"/>
      <c r="P56" s="150"/>
      <c r="Q56" s="150"/>
      <c r="R56" s="150"/>
      <c r="S56" s="150"/>
      <c r="T56" s="150"/>
      <c r="U56" s="150"/>
      <c r="V56" s="150"/>
      <c r="W56" s="150"/>
      <c r="X56" s="150"/>
      <c r="Y56" s="150"/>
      <c r="Z56" s="150"/>
      <c r="AA56" s="150"/>
      <c r="AB56" s="150"/>
      <c r="AC56" s="150"/>
      <c r="AD56" s="150"/>
    </row>
    <row r="57">
      <c r="A57" s="147" t="s">
        <v>20</v>
      </c>
      <c r="B57" s="147" t="s">
        <v>68</v>
      </c>
      <c r="C57" s="147" t="s">
        <v>1390</v>
      </c>
      <c r="D57" s="7" t="s">
        <v>648</v>
      </c>
      <c r="E57" s="147" t="s">
        <v>257</v>
      </c>
      <c r="F57" s="147" t="s">
        <v>1263</v>
      </c>
      <c r="G57" s="147" t="s">
        <v>1264</v>
      </c>
      <c r="H57" s="138" t="s">
        <v>1265</v>
      </c>
      <c r="I57" s="147" t="s">
        <v>1266</v>
      </c>
      <c r="J57" s="147" t="s">
        <v>1267</v>
      </c>
      <c r="K57" s="147" t="s">
        <v>1268</v>
      </c>
      <c r="L57" s="150"/>
      <c r="M57" s="150"/>
      <c r="N57" s="150"/>
      <c r="O57" s="150"/>
      <c r="P57" s="150"/>
      <c r="Q57" s="150"/>
      <c r="R57" s="150"/>
      <c r="S57" s="150"/>
      <c r="T57" s="150"/>
      <c r="U57" s="150"/>
      <c r="V57" s="150"/>
      <c r="W57" s="150"/>
      <c r="X57" s="150"/>
      <c r="Y57" s="150"/>
      <c r="Z57" s="150"/>
      <c r="AA57" s="150"/>
      <c r="AB57" s="150"/>
      <c r="AC57" s="150"/>
      <c r="AD57" s="150"/>
    </row>
    <row r="58">
      <c r="A58" s="147" t="s">
        <v>20</v>
      </c>
      <c r="B58" s="147" t="s">
        <v>68</v>
      </c>
      <c r="C58" s="147" t="s">
        <v>1390</v>
      </c>
      <c r="D58" s="7" t="s">
        <v>648</v>
      </c>
      <c r="E58" s="147" t="s">
        <v>651</v>
      </c>
      <c r="F58" s="147" t="s">
        <v>1263</v>
      </c>
      <c r="G58" s="147" t="s">
        <v>1391</v>
      </c>
      <c r="H58" s="151" t="s">
        <v>1392</v>
      </c>
      <c r="I58" s="147" t="s">
        <v>1266</v>
      </c>
      <c r="J58" s="147" t="s">
        <v>1267</v>
      </c>
      <c r="K58" s="149" t="s">
        <v>1393</v>
      </c>
      <c r="L58" s="150"/>
      <c r="M58" s="150"/>
      <c r="N58" s="150"/>
      <c r="O58" s="150"/>
      <c r="P58" s="150"/>
      <c r="Q58" s="150"/>
      <c r="R58" s="150"/>
      <c r="S58" s="150"/>
      <c r="T58" s="150"/>
      <c r="U58" s="150"/>
      <c r="V58" s="150"/>
      <c r="W58" s="150"/>
      <c r="X58" s="150"/>
      <c r="Y58" s="150"/>
      <c r="Z58" s="150"/>
      <c r="AA58" s="150"/>
      <c r="AB58" s="150"/>
      <c r="AC58" s="150"/>
      <c r="AD58" s="150"/>
    </row>
    <row r="59">
      <c r="A59" s="147" t="s">
        <v>20</v>
      </c>
      <c r="B59" s="147" t="s">
        <v>68</v>
      </c>
      <c r="C59" s="147" t="s">
        <v>1390</v>
      </c>
      <c r="D59" s="7" t="s">
        <v>648</v>
      </c>
      <c r="E59" s="147" t="s">
        <v>436</v>
      </c>
      <c r="F59" s="147" t="s">
        <v>1263</v>
      </c>
      <c r="G59" s="147" t="s">
        <v>1269</v>
      </c>
      <c r="H59" s="140" t="s">
        <v>1270</v>
      </c>
      <c r="I59" s="147" t="s">
        <v>1271</v>
      </c>
      <c r="J59" s="147" t="s">
        <v>1267</v>
      </c>
      <c r="K59" s="146" t="s">
        <v>583</v>
      </c>
      <c r="L59" s="150"/>
      <c r="M59" s="150"/>
      <c r="N59" s="150"/>
      <c r="O59" s="150"/>
      <c r="P59" s="150"/>
      <c r="Q59" s="150"/>
      <c r="R59" s="150"/>
      <c r="S59" s="150"/>
      <c r="T59" s="150"/>
      <c r="U59" s="150"/>
      <c r="V59" s="150"/>
      <c r="W59" s="150"/>
      <c r="X59" s="150"/>
      <c r="Y59" s="150"/>
      <c r="Z59" s="150"/>
      <c r="AA59" s="150"/>
      <c r="AB59" s="150"/>
      <c r="AC59" s="150"/>
      <c r="AD59" s="150"/>
    </row>
    <row r="60">
      <c r="A60" s="152" t="s">
        <v>20</v>
      </c>
      <c r="B60" s="152" t="s">
        <v>1128</v>
      </c>
      <c r="C60" s="152" t="s">
        <v>226</v>
      </c>
      <c r="D60" s="152" t="s">
        <v>1129</v>
      </c>
      <c r="E60" s="152" t="s">
        <v>313</v>
      </c>
      <c r="F60" s="152" t="s">
        <v>1263</v>
      </c>
      <c r="G60" s="152" t="s">
        <v>1396</v>
      </c>
      <c r="H60" s="152" t="s">
        <v>1397</v>
      </c>
      <c r="I60" s="152" t="s">
        <v>1398</v>
      </c>
      <c r="J60" s="152" t="s">
        <v>1267</v>
      </c>
      <c r="K60" s="153" t="s">
        <v>578</v>
      </c>
      <c r="L60" s="154"/>
      <c r="M60" s="154"/>
      <c r="N60" s="154"/>
      <c r="O60" s="154"/>
      <c r="P60" s="154"/>
      <c r="Q60" s="154"/>
      <c r="R60" s="154"/>
      <c r="S60" s="154"/>
      <c r="T60" s="154"/>
      <c r="U60" s="154"/>
      <c r="V60" s="154"/>
      <c r="W60" s="154"/>
      <c r="X60" s="154"/>
      <c r="Y60" s="154"/>
      <c r="Z60" s="154"/>
      <c r="AA60" s="154"/>
      <c r="AB60" s="154"/>
      <c r="AC60" s="154"/>
      <c r="AD60" s="154"/>
    </row>
    <row r="61">
      <c r="A61" s="152" t="s">
        <v>20</v>
      </c>
      <c r="B61" s="152" t="s">
        <v>936</v>
      </c>
      <c r="C61" s="152" t="s">
        <v>226</v>
      </c>
      <c r="D61" s="152" t="s">
        <v>1139</v>
      </c>
      <c r="E61" s="152" t="s">
        <v>313</v>
      </c>
      <c r="F61" s="152" t="s">
        <v>1332</v>
      </c>
      <c r="G61" s="152" t="s">
        <v>1399</v>
      </c>
      <c r="H61" s="152" t="s">
        <v>1397</v>
      </c>
      <c r="I61" s="152" t="s">
        <v>1398</v>
      </c>
      <c r="J61" s="152" t="s">
        <v>1267</v>
      </c>
      <c r="K61" s="153" t="s">
        <v>578</v>
      </c>
      <c r="L61" s="154"/>
      <c r="M61" s="154"/>
      <c r="N61" s="154"/>
      <c r="O61" s="154"/>
      <c r="P61" s="154"/>
      <c r="Q61" s="154"/>
      <c r="R61" s="154"/>
      <c r="S61" s="154"/>
      <c r="T61" s="154"/>
      <c r="U61" s="154"/>
      <c r="V61" s="154"/>
      <c r="W61" s="154"/>
      <c r="X61" s="154"/>
      <c r="Y61" s="154"/>
      <c r="Z61" s="154"/>
      <c r="AA61" s="154"/>
      <c r="AB61" s="154"/>
      <c r="AC61" s="154"/>
      <c r="AD61" s="154"/>
    </row>
    <row r="62">
      <c r="A62" s="152" t="s">
        <v>20</v>
      </c>
      <c r="B62" s="152" t="s">
        <v>1400</v>
      </c>
      <c r="C62" s="152" t="s">
        <v>226</v>
      </c>
      <c r="D62" s="155" t="s">
        <v>1401</v>
      </c>
      <c r="E62" s="152" t="s">
        <v>313</v>
      </c>
      <c r="F62" s="152" t="s">
        <v>1357</v>
      </c>
      <c r="G62" s="152" t="s">
        <v>1402</v>
      </c>
      <c r="H62" s="152" t="s">
        <v>1397</v>
      </c>
      <c r="I62" s="152" t="s">
        <v>1398</v>
      </c>
      <c r="J62" s="152" t="s">
        <v>1267</v>
      </c>
      <c r="K62" s="153" t="s">
        <v>578</v>
      </c>
      <c r="L62" s="154"/>
      <c r="M62" s="154"/>
      <c r="N62" s="154"/>
      <c r="O62" s="154"/>
      <c r="P62" s="154"/>
      <c r="Q62" s="154"/>
      <c r="R62" s="154"/>
      <c r="S62" s="154"/>
      <c r="T62" s="154"/>
      <c r="U62" s="154"/>
      <c r="V62" s="154"/>
      <c r="W62" s="154"/>
      <c r="X62" s="154"/>
      <c r="Y62" s="154"/>
      <c r="Z62" s="154"/>
      <c r="AA62" s="154"/>
      <c r="AB62" s="154"/>
      <c r="AC62" s="154"/>
      <c r="AD62" s="154"/>
    </row>
    <row r="63">
      <c r="A63" s="152" t="s">
        <v>20</v>
      </c>
      <c r="B63" s="152" t="s">
        <v>234</v>
      </c>
      <c r="C63" s="152" t="s">
        <v>235</v>
      </c>
      <c r="D63" s="156" t="s">
        <v>1217</v>
      </c>
      <c r="E63" s="152" t="s">
        <v>1403</v>
      </c>
      <c r="F63" s="152" t="s">
        <v>1404</v>
      </c>
      <c r="G63" s="152" t="s">
        <v>1405</v>
      </c>
      <c r="H63" s="152" t="s">
        <v>1268</v>
      </c>
      <c r="I63" s="152" t="s">
        <v>1406</v>
      </c>
      <c r="J63" s="152" t="s">
        <v>1267</v>
      </c>
      <c r="K63" s="152" t="s">
        <v>1268</v>
      </c>
      <c r="L63" s="154"/>
      <c r="M63" s="154"/>
      <c r="N63" s="154"/>
      <c r="O63" s="154"/>
      <c r="P63" s="154"/>
      <c r="Q63" s="154"/>
      <c r="R63" s="154"/>
      <c r="S63" s="154"/>
      <c r="T63" s="154"/>
      <c r="U63" s="154"/>
      <c r="V63" s="154"/>
      <c r="W63" s="154"/>
      <c r="X63" s="154"/>
      <c r="Y63" s="154"/>
      <c r="Z63" s="154"/>
      <c r="AA63" s="154"/>
      <c r="AB63" s="154"/>
      <c r="AC63" s="154"/>
      <c r="AD63" s="154"/>
    </row>
    <row r="64">
      <c r="A64" s="152" t="s">
        <v>20</v>
      </c>
      <c r="B64" s="152" t="s">
        <v>1407</v>
      </c>
      <c r="C64" s="152" t="s">
        <v>1408</v>
      </c>
      <c r="D64" s="156" t="s">
        <v>1170</v>
      </c>
      <c r="E64" s="152" t="s">
        <v>1403</v>
      </c>
      <c r="F64" s="152" t="s">
        <v>1263</v>
      </c>
      <c r="G64" s="152" t="s">
        <v>1405</v>
      </c>
      <c r="H64" s="152" t="s">
        <v>1268</v>
      </c>
      <c r="I64" s="152" t="s">
        <v>1409</v>
      </c>
      <c r="J64" s="152" t="s">
        <v>1267</v>
      </c>
      <c r="K64" s="152" t="s">
        <v>1268</v>
      </c>
      <c r="L64" s="154"/>
      <c r="M64" s="154"/>
      <c r="N64" s="154"/>
      <c r="O64" s="154"/>
      <c r="P64" s="154"/>
      <c r="Q64" s="154"/>
      <c r="R64" s="154"/>
      <c r="S64" s="154"/>
      <c r="T64" s="154"/>
      <c r="U64" s="154"/>
      <c r="V64" s="154"/>
      <c r="W64" s="154"/>
      <c r="X64" s="154"/>
      <c r="Y64" s="154"/>
      <c r="Z64" s="154"/>
      <c r="AA64" s="154"/>
      <c r="AB64" s="154"/>
      <c r="AC64" s="154"/>
      <c r="AD64" s="154"/>
    </row>
    <row r="65">
      <c r="A65" s="152" t="s">
        <v>20</v>
      </c>
      <c r="B65" s="152" t="s">
        <v>1410</v>
      </c>
      <c r="C65" s="152" t="s">
        <v>1408</v>
      </c>
      <c r="D65" s="156" t="s">
        <v>1157</v>
      </c>
      <c r="E65" s="152" t="s">
        <v>1403</v>
      </c>
      <c r="F65" s="152" t="s">
        <v>1332</v>
      </c>
      <c r="G65" s="152" t="s">
        <v>1405</v>
      </c>
      <c r="H65" s="152" t="s">
        <v>1268</v>
      </c>
      <c r="I65" s="152" t="s">
        <v>1411</v>
      </c>
      <c r="J65" s="152" t="s">
        <v>1267</v>
      </c>
      <c r="K65" s="152" t="s">
        <v>1268</v>
      </c>
      <c r="L65" s="154"/>
      <c r="M65" s="154"/>
      <c r="N65" s="154"/>
      <c r="O65" s="154"/>
      <c r="P65" s="154"/>
      <c r="Q65" s="154"/>
      <c r="R65" s="154"/>
      <c r="S65" s="154"/>
      <c r="T65" s="154"/>
      <c r="U65" s="154"/>
      <c r="V65" s="154"/>
      <c r="W65" s="154"/>
      <c r="X65" s="154"/>
      <c r="Y65" s="154"/>
      <c r="Z65" s="154"/>
      <c r="AA65" s="154"/>
      <c r="AB65" s="154"/>
      <c r="AC65" s="154"/>
      <c r="AD65" s="154"/>
    </row>
    <row r="66">
      <c r="A66" s="152" t="s">
        <v>20</v>
      </c>
      <c r="B66" s="152" t="s">
        <v>1412</v>
      </c>
      <c r="C66" s="152" t="s">
        <v>1408</v>
      </c>
      <c r="D66" s="156" t="s">
        <v>1152</v>
      </c>
      <c r="E66" s="152" t="s">
        <v>1403</v>
      </c>
      <c r="F66" s="152" t="s">
        <v>1357</v>
      </c>
      <c r="G66" s="152" t="s">
        <v>1405</v>
      </c>
      <c r="H66" s="152" t="s">
        <v>1268</v>
      </c>
      <c r="I66" s="152" t="s">
        <v>1413</v>
      </c>
      <c r="J66" s="152" t="s">
        <v>1267</v>
      </c>
      <c r="K66" s="152" t="s">
        <v>1268</v>
      </c>
      <c r="L66" s="154"/>
      <c r="M66" s="154"/>
      <c r="N66" s="154"/>
      <c r="O66" s="154"/>
      <c r="P66" s="154"/>
      <c r="Q66" s="154"/>
      <c r="R66" s="154"/>
      <c r="S66" s="154"/>
      <c r="T66" s="154"/>
      <c r="U66" s="154"/>
      <c r="V66" s="154"/>
      <c r="W66" s="154"/>
      <c r="X66" s="154"/>
      <c r="Y66" s="154"/>
      <c r="Z66" s="154"/>
      <c r="AA66" s="154"/>
      <c r="AB66" s="154"/>
      <c r="AC66" s="154"/>
      <c r="AD66" s="154"/>
    </row>
    <row r="67">
      <c r="A67" s="152" t="s">
        <v>20</v>
      </c>
      <c r="B67" s="152" t="s">
        <v>1414</v>
      </c>
      <c r="C67" s="152" t="s">
        <v>1415</v>
      </c>
      <c r="D67" s="152" t="s">
        <v>416</v>
      </c>
      <c r="E67" s="152" t="s">
        <v>1416</v>
      </c>
      <c r="F67" s="152" t="s">
        <v>1263</v>
      </c>
      <c r="G67" s="152" t="s">
        <v>1417</v>
      </c>
      <c r="H67" s="152" t="s">
        <v>1418</v>
      </c>
      <c r="I67" s="152" t="s">
        <v>1419</v>
      </c>
      <c r="J67" s="152" t="s">
        <v>1267</v>
      </c>
      <c r="K67" s="153" t="s">
        <v>1420</v>
      </c>
      <c r="L67" s="154"/>
      <c r="M67" s="154"/>
      <c r="N67" s="154"/>
      <c r="O67" s="154"/>
      <c r="P67" s="154"/>
      <c r="Q67" s="154"/>
      <c r="R67" s="154"/>
      <c r="S67" s="154"/>
      <c r="T67" s="154"/>
      <c r="U67" s="154"/>
      <c r="V67" s="154"/>
      <c r="W67" s="154"/>
      <c r="X67" s="154"/>
      <c r="Y67" s="154"/>
      <c r="Z67" s="154"/>
      <c r="AA67" s="154"/>
      <c r="AB67" s="154"/>
      <c r="AC67" s="154"/>
      <c r="AD67" s="154"/>
    </row>
    <row r="68">
      <c r="A68" s="152" t="s">
        <v>20</v>
      </c>
      <c r="B68" s="152" t="s">
        <v>1421</v>
      </c>
      <c r="C68" s="152" t="s">
        <v>1422</v>
      </c>
      <c r="D68" s="152" t="s">
        <v>1363</v>
      </c>
      <c r="E68" s="152" t="s">
        <v>313</v>
      </c>
      <c r="F68" s="152" t="s">
        <v>1332</v>
      </c>
      <c r="G68" s="152" t="s">
        <v>1268</v>
      </c>
      <c r="H68" s="152" t="s">
        <v>1268</v>
      </c>
      <c r="I68" s="152" t="s">
        <v>1425</v>
      </c>
      <c r="J68" s="154"/>
      <c r="K68" s="154"/>
      <c r="L68" s="154"/>
      <c r="M68" s="154"/>
      <c r="N68" s="154"/>
      <c r="O68" s="154"/>
      <c r="P68" s="154"/>
      <c r="Q68" s="154"/>
      <c r="R68" s="154"/>
      <c r="S68" s="154"/>
      <c r="T68" s="154"/>
      <c r="U68" s="154"/>
      <c r="V68" s="154"/>
      <c r="W68" s="154"/>
      <c r="X68" s="154"/>
      <c r="Y68" s="154"/>
      <c r="Z68" s="154"/>
      <c r="AA68" s="154"/>
      <c r="AB68" s="154"/>
      <c r="AC68" s="154"/>
      <c r="AD68" s="154"/>
    </row>
    <row r="69">
      <c r="A69" s="11"/>
      <c r="B69" s="11" t="s">
        <v>1421</v>
      </c>
      <c r="C69" s="11" t="s">
        <v>1426</v>
      </c>
      <c r="D69" s="11"/>
      <c r="E69" s="11" t="s">
        <v>313</v>
      </c>
      <c r="I69" s="11" t="s">
        <v>1425</v>
      </c>
    </row>
    <row r="70">
      <c r="A70" s="11"/>
      <c r="B70" s="11" t="s">
        <v>1421</v>
      </c>
      <c r="C70" s="11" t="s">
        <v>1427</v>
      </c>
      <c r="D70" s="11"/>
      <c r="E70" s="11" t="s">
        <v>313</v>
      </c>
      <c r="I70" s="11" t="s">
        <v>1425</v>
      </c>
    </row>
    <row r="71">
      <c r="A71" s="11"/>
      <c r="B71" s="11" t="s">
        <v>1421</v>
      </c>
      <c r="C71" s="11" t="s">
        <v>1428</v>
      </c>
      <c r="D71" s="11"/>
      <c r="E71" s="11" t="s">
        <v>313</v>
      </c>
      <c r="I71" s="11" t="s">
        <v>1425</v>
      </c>
    </row>
    <row r="72">
      <c r="A72" s="11"/>
      <c r="B72" s="11" t="s">
        <v>1421</v>
      </c>
      <c r="C72" s="11" t="s">
        <v>1429</v>
      </c>
      <c r="D72" s="11"/>
      <c r="E72" s="11" t="s">
        <v>313</v>
      </c>
      <c r="I72" s="11" t="s">
        <v>1425</v>
      </c>
    </row>
    <row r="73">
      <c r="A73" s="152" t="s">
        <v>20</v>
      </c>
      <c r="B73" s="152" t="s">
        <v>259</v>
      </c>
      <c r="C73" s="152" t="s">
        <v>1422</v>
      </c>
      <c r="D73" s="152" t="s">
        <v>1430</v>
      </c>
      <c r="E73" s="152" t="s">
        <v>313</v>
      </c>
      <c r="F73" s="152" t="s">
        <v>1332</v>
      </c>
      <c r="G73" s="152" t="s">
        <v>1431</v>
      </c>
      <c r="H73" s="152" t="s">
        <v>1432</v>
      </c>
      <c r="I73" s="152" t="s">
        <v>1433</v>
      </c>
      <c r="J73" s="152" t="s">
        <v>1267</v>
      </c>
      <c r="K73" s="153" t="s">
        <v>1434</v>
      </c>
      <c r="L73" s="154"/>
      <c r="M73" s="154"/>
      <c r="N73" s="154"/>
      <c r="O73" s="154"/>
      <c r="P73" s="154"/>
      <c r="Q73" s="154"/>
      <c r="R73" s="154"/>
      <c r="S73" s="154"/>
      <c r="T73" s="154"/>
      <c r="U73" s="154"/>
      <c r="V73" s="154"/>
      <c r="W73" s="154"/>
      <c r="X73" s="154"/>
      <c r="Y73" s="154"/>
      <c r="Z73" s="154"/>
      <c r="AA73" s="154"/>
      <c r="AB73" s="154"/>
      <c r="AC73" s="154"/>
      <c r="AD73" s="154"/>
    </row>
    <row r="74">
      <c r="A74" s="11"/>
      <c r="B74" s="11" t="s">
        <v>259</v>
      </c>
      <c r="C74" s="11" t="s">
        <v>1435</v>
      </c>
      <c r="D74" s="11"/>
      <c r="E74" s="11" t="s">
        <v>313</v>
      </c>
      <c r="G74" s="11" t="s">
        <v>1436</v>
      </c>
      <c r="H74" s="11" t="s">
        <v>1437</v>
      </c>
      <c r="I74" s="11" t="s">
        <v>1433</v>
      </c>
      <c r="K74" s="30" t="s">
        <v>1434</v>
      </c>
    </row>
    <row r="75">
      <c r="A75" s="11"/>
      <c r="B75" s="11" t="s">
        <v>259</v>
      </c>
      <c r="C75" s="11" t="s">
        <v>1438</v>
      </c>
      <c r="D75" s="11"/>
      <c r="E75" s="11" t="s">
        <v>313</v>
      </c>
      <c r="G75" s="11" t="s">
        <v>1439</v>
      </c>
      <c r="H75" s="11" t="s">
        <v>1440</v>
      </c>
      <c r="I75" s="11" t="s">
        <v>1433</v>
      </c>
      <c r="K75" s="30" t="s">
        <v>1434</v>
      </c>
    </row>
    <row r="76">
      <c r="A76" s="11"/>
      <c r="B76" s="11" t="s">
        <v>259</v>
      </c>
      <c r="C76" s="11" t="s">
        <v>1441</v>
      </c>
      <c r="D76" s="11"/>
      <c r="E76" s="11" t="s">
        <v>313</v>
      </c>
      <c r="G76" s="11" t="s">
        <v>1442</v>
      </c>
      <c r="H76" s="11" t="s">
        <v>1443</v>
      </c>
      <c r="I76" s="11" t="s">
        <v>1433</v>
      </c>
      <c r="K76" s="30" t="s">
        <v>1434</v>
      </c>
    </row>
    <row r="77">
      <c r="A77" s="11"/>
      <c r="B77" s="11" t="s">
        <v>259</v>
      </c>
      <c r="C77" s="11" t="s">
        <v>1444</v>
      </c>
      <c r="D77" s="11"/>
      <c r="E77" s="11" t="s">
        <v>313</v>
      </c>
      <c r="I77" s="11" t="s">
        <v>1266</v>
      </c>
    </row>
    <row r="78">
      <c r="A78" s="11"/>
      <c r="B78" s="11" t="s">
        <v>259</v>
      </c>
      <c r="C78" s="11" t="s">
        <v>1445</v>
      </c>
      <c r="D78" s="11"/>
      <c r="E78" s="11" t="s">
        <v>313</v>
      </c>
      <c r="I78" s="11" t="s">
        <v>1266</v>
      </c>
    </row>
    <row r="79">
      <c r="A79" s="11"/>
      <c r="B79" s="11" t="s">
        <v>259</v>
      </c>
      <c r="C79" s="11" t="s">
        <v>1446</v>
      </c>
      <c r="D79" s="11"/>
      <c r="E79" s="11" t="s">
        <v>313</v>
      </c>
      <c r="I79" s="11" t="s">
        <v>1266</v>
      </c>
    </row>
    <row r="80">
      <c r="A80" s="152" t="s">
        <v>20</v>
      </c>
      <c r="B80" s="152" t="s">
        <v>309</v>
      </c>
      <c r="C80" s="152" t="s">
        <v>294</v>
      </c>
      <c r="D80" s="152" t="s">
        <v>998</v>
      </c>
      <c r="E80" s="152" t="s">
        <v>1447</v>
      </c>
      <c r="F80" s="152" t="s">
        <v>1448</v>
      </c>
      <c r="G80" s="152" t="s">
        <v>1449</v>
      </c>
      <c r="H80" s="152" t="s">
        <v>1268</v>
      </c>
      <c r="I80" s="152" t="s">
        <v>1266</v>
      </c>
      <c r="J80" s="152" t="s">
        <v>1267</v>
      </c>
      <c r="K80" s="152" t="s">
        <v>1268</v>
      </c>
      <c r="L80" s="154"/>
      <c r="M80" s="154"/>
      <c r="N80" s="154"/>
      <c r="O80" s="154"/>
      <c r="P80" s="154"/>
      <c r="Q80" s="154"/>
      <c r="R80" s="154"/>
      <c r="S80" s="154"/>
      <c r="T80" s="154"/>
      <c r="U80" s="154"/>
      <c r="V80" s="154"/>
      <c r="W80" s="154"/>
      <c r="X80" s="154"/>
      <c r="Y80" s="154"/>
      <c r="Z80" s="154"/>
      <c r="AA80" s="154"/>
      <c r="AB80" s="154"/>
      <c r="AC80" s="154"/>
      <c r="AD80" s="154"/>
    </row>
    <row r="81">
      <c r="A81" s="152" t="s">
        <v>20</v>
      </c>
      <c r="B81" s="152" t="s">
        <v>316</v>
      </c>
      <c r="C81" s="152" t="s">
        <v>317</v>
      </c>
      <c r="D81" s="156" t="s">
        <v>727</v>
      </c>
      <c r="E81" s="152" t="s">
        <v>313</v>
      </c>
      <c r="F81" s="152" t="s">
        <v>1332</v>
      </c>
      <c r="G81" s="152" t="s">
        <v>1449</v>
      </c>
      <c r="H81" s="152" t="s">
        <v>1268</v>
      </c>
      <c r="I81" s="152" t="s">
        <v>1266</v>
      </c>
      <c r="J81" s="152" t="s">
        <v>1267</v>
      </c>
      <c r="K81" s="152" t="s">
        <v>1268</v>
      </c>
      <c r="L81" s="154"/>
      <c r="M81" s="154"/>
      <c r="N81" s="154"/>
      <c r="O81" s="154"/>
      <c r="P81" s="154"/>
      <c r="Q81" s="154"/>
      <c r="R81" s="154"/>
      <c r="S81" s="154"/>
      <c r="T81" s="154"/>
      <c r="U81" s="154"/>
      <c r="V81" s="154"/>
      <c r="W81" s="154"/>
      <c r="X81" s="154"/>
      <c r="Y81" s="154"/>
      <c r="Z81" s="154"/>
      <c r="AA81" s="154"/>
      <c r="AB81" s="154"/>
      <c r="AC81" s="154"/>
      <c r="AD81" s="154"/>
    </row>
    <row r="82">
      <c r="A82" s="152" t="s">
        <v>20</v>
      </c>
      <c r="B82" s="152" t="s">
        <v>323</v>
      </c>
      <c r="C82" s="152" t="s">
        <v>317</v>
      </c>
      <c r="D82" s="156" t="s">
        <v>753</v>
      </c>
      <c r="E82" s="152" t="s">
        <v>313</v>
      </c>
      <c r="F82" s="152" t="s">
        <v>1332</v>
      </c>
      <c r="G82" s="152" t="s">
        <v>1449</v>
      </c>
      <c r="H82" s="152" t="s">
        <v>1268</v>
      </c>
      <c r="I82" s="152" t="s">
        <v>1266</v>
      </c>
      <c r="J82" s="152" t="s">
        <v>1267</v>
      </c>
      <c r="K82" s="152" t="s">
        <v>1268</v>
      </c>
      <c r="L82" s="154"/>
      <c r="M82" s="154"/>
      <c r="N82" s="154"/>
      <c r="O82" s="154"/>
      <c r="P82" s="154"/>
      <c r="Q82" s="154"/>
      <c r="R82" s="154"/>
      <c r="S82" s="154"/>
      <c r="T82" s="154"/>
      <c r="U82" s="154"/>
      <c r="V82" s="154"/>
      <c r="W82" s="154"/>
      <c r="X82" s="154"/>
      <c r="Y82" s="154"/>
      <c r="Z82" s="154"/>
      <c r="AA82" s="154"/>
      <c r="AB82" s="154"/>
      <c r="AC82" s="154"/>
      <c r="AD82" s="154"/>
    </row>
    <row r="83">
      <c r="A83" s="152" t="s">
        <v>20</v>
      </c>
      <c r="B83" s="152" t="s">
        <v>324</v>
      </c>
      <c r="C83" s="152" t="s">
        <v>317</v>
      </c>
      <c r="D83" s="156" t="s">
        <v>784</v>
      </c>
      <c r="E83" s="152" t="s">
        <v>313</v>
      </c>
      <c r="F83" s="152" t="s">
        <v>1332</v>
      </c>
      <c r="G83" s="152" t="s">
        <v>1449</v>
      </c>
      <c r="H83" s="152" t="s">
        <v>1268</v>
      </c>
      <c r="I83" s="152" t="s">
        <v>1266</v>
      </c>
      <c r="J83" s="152" t="s">
        <v>1267</v>
      </c>
      <c r="K83" s="152" t="s">
        <v>1268</v>
      </c>
      <c r="L83" s="154"/>
      <c r="M83" s="154"/>
      <c r="N83" s="154"/>
      <c r="O83" s="154"/>
      <c r="P83" s="154"/>
      <c r="Q83" s="154"/>
      <c r="R83" s="154"/>
      <c r="S83" s="154"/>
      <c r="T83" s="154"/>
      <c r="U83" s="154"/>
      <c r="V83" s="154"/>
      <c r="W83" s="154"/>
      <c r="X83" s="154"/>
      <c r="Y83" s="154"/>
      <c r="Z83" s="154"/>
      <c r="AA83" s="154"/>
      <c r="AB83" s="154"/>
      <c r="AC83" s="154"/>
      <c r="AD83" s="154"/>
    </row>
    <row r="84">
      <c r="A84" s="152" t="s">
        <v>20</v>
      </c>
      <c r="B84" s="152" t="s">
        <v>325</v>
      </c>
      <c r="C84" s="152" t="s">
        <v>317</v>
      </c>
      <c r="D84" s="156" t="s">
        <v>817</v>
      </c>
      <c r="E84" s="152" t="s">
        <v>313</v>
      </c>
      <c r="F84" s="152" t="s">
        <v>1332</v>
      </c>
      <c r="G84" s="152" t="s">
        <v>1449</v>
      </c>
      <c r="H84" s="152" t="s">
        <v>1268</v>
      </c>
      <c r="I84" s="152" t="s">
        <v>1266</v>
      </c>
      <c r="J84" s="152" t="s">
        <v>1267</v>
      </c>
      <c r="K84" s="152" t="s">
        <v>1268</v>
      </c>
      <c r="L84" s="154"/>
      <c r="M84" s="154"/>
      <c r="N84" s="154"/>
      <c r="O84" s="154"/>
      <c r="P84" s="154"/>
      <c r="Q84" s="154"/>
      <c r="R84" s="154"/>
      <c r="S84" s="154"/>
      <c r="T84" s="154"/>
      <c r="U84" s="154"/>
      <c r="V84" s="154"/>
      <c r="W84" s="154"/>
      <c r="X84" s="154"/>
      <c r="Y84" s="154"/>
      <c r="Z84" s="154"/>
      <c r="AA84" s="154"/>
      <c r="AB84" s="154"/>
      <c r="AC84" s="154"/>
      <c r="AD84" s="154"/>
    </row>
    <row r="85">
      <c r="A85" s="152" t="s">
        <v>20</v>
      </c>
      <c r="B85" s="152" t="s">
        <v>326</v>
      </c>
      <c r="C85" s="152" t="s">
        <v>317</v>
      </c>
      <c r="D85" s="156" t="s">
        <v>847</v>
      </c>
      <c r="E85" s="152" t="s">
        <v>313</v>
      </c>
      <c r="F85" s="152" t="s">
        <v>1332</v>
      </c>
      <c r="G85" s="152" t="s">
        <v>1449</v>
      </c>
      <c r="H85" s="152" t="s">
        <v>1268</v>
      </c>
      <c r="I85" s="152" t="s">
        <v>1266</v>
      </c>
      <c r="J85" s="152" t="s">
        <v>1267</v>
      </c>
      <c r="K85" s="152" t="s">
        <v>1268</v>
      </c>
      <c r="L85" s="154"/>
      <c r="M85" s="154"/>
      <c r="N85" s="154"/>
      <c r="O85" s="154"/>
      <c r="P85" s="154"/>
      <c r="Q85" s="154"/>
      <c r="R85" s="154"/>
      <c r="S85" s="154"/>
      <c r="T85" s="154"/>
      <c r="U85" s="154"/>
      <c r="V85" s="154"/>
      <c r="W85" s="154"/>
      <c r="X85" s="154"/>
      <c r="Y85" s="154"/>
      <c r="Z85" s="154"/>
      <c r="AA85" s="154"/>
      <c r="AB85" s="154"/>
      <c r="AC85" s="154"/>
      <c r="AD85" s="154"/>
    </row>
    <row r="86">
      <c r="A86" s="152" t="s">
        <v>20</v>
      </c>
      <c r="B86" s="152" t="s">
        <v>331</v>
      </c>
      <c r="C86" s="152" t="s">
        <v>317</v>
      </c>
      <c r="D86" s="156" t="s">
        <v>866</v>
      </c>
      <c r="E86" s="152" t="s">
        <v>313</v>
      </c>
      <c r="F86" s="152" t="s">
        <v>1332</v>
      </c>
      <c r="G86" s="152" t="s">
        <v>1449</v>
      </c>
      <c r="H86" s="152" t="s">
        <v>1268</v>
      </c>
      <c r="I86" s="152" t="s">
        <v>1266</v>
      </c>
      <c r="J86" s="152" t="s">
        <v>1267</v>
      </c>
      <c r="K86" s="152" t="s">
        <v>1268</v>
      </c>
      <c r="L86" s="154"/>
      <c r="M86" s="154"/>
      <c r="N86" s="154"/>
      <c r="O86" s="154"/>
      <c r="P86" s="154"/>
      <c r="Q86" s="154"/>
      <c r="R86" s="154"/>
      <c r="S86" s="154"/>
      <c r="T86" s="154"/>
      <c r="U86" s="154"/>
      <c r="V86" s="154"/>
      <c r="W86" s="154"/>
      <c r="X86" s="154"/>
      <c r="Y86" s="154"/>
      <c r="Z86" s="154"/>
      <c r="AA86" s="154"/>
      <c r="AB86" s="154"/>
      <c r="AC86" s="154"/>
      <c r="AD86" s="154"/>
    </row>
    <row r="87">
      <c r="A87" s="152" t="s">
        <v>20</v>
      </c>
      <c r="B87" s="152" t="s">
        <v>334</v>
      </c>
      <c r="C87" s="152" t="s">
        <v>317</v>
      </c>
      <c r="D87" s="156" t="s">
        <v>893</v>
      </c>
      <c r="E87" s="152" t="s">
        <v>313</v>
      </c>
      <c r="F87" s="152" t="s">
        <v>1332</v>
      </c>
      <c r="G87" s="152" t="s">
        <v>1449</v>
      </c>
      <c r="H87" s="152" t="s">
        <v>1268</v>
      </c>
      <c r="I87" s="152" t="s">
        <v>1266</v>
      </c>
      <c r="J87" s="152" t="s">
        <v>1267</v>
      </c>
      <c r="K87" s="152" t="s">
        <v>1268</v>
      </c>
      <c r="L87" s="154"/>
      <c r="M87" s="154"/>
      <c r="N87" s="154"/>
      <c r="O87" s="154"/>
      <c r="P87" s="154"/>
      <c r="Q87" s="154"/>
      <c r="R87" s="154"/>
      <c r="S87" s="154"/>
      <c r="T87" s="154"/>
      <c r="U87" s="154"/>
      <c r="V87" s="154"/>
      <c r="W87" s="154"/>
      <c r="X87" s="154"/>
      <c r="Y87" s="154"/>
      <c r="Z87" s="154"/>
      <c r="AA87" s="154"/>
      <c r="AB87" s="154"/>
      <c r="AC87" s="154"/>
      <c r="AD87" s="154"/>
    </row>
    <row r="88">
      <c r="A88" s="152" t="s">
        <v>20</v>
      </c>
      <c r="B88" s="152" t="s">
        <v>335</v>
      </c>
      <c r="C88" s="152" t="s">
        <v>317</v>
      </c>
      <c r="D88" s="156" t="s">
        <v>905</v>
      </c>
      <c r="E88" s="152" t="s">
        <v>313</v>
      </c>
      <c r="F88" s="152" t="s">
        <v>1332</v>
      </c>
      <c r="G88" s="152" t="s">
        <v>1449</v>
      </c>
      <c r="H88" s="152" t="s">
        <v>1268</v>
      </c>
      <c r="I88" s="152" t="s">
        <v>1266</v>
      </c>
      <c r="J88" s="152" t="s">
        <v>1267</v>
      </c>
      <c r="K88" s="152" t="s">
        <v>1268</v>
      </c>
      <c r="L88" s="154"/>
      <c r="M88" s="154"/>
      <c r="N88" s="154"/>
      <c r="O88" s="154"/>
      <c r="P88" s="154"/>
      <c r="Q88" s="154"/>
      <c r="R88" s="154"/>
      <c r="S88" s="154"/>
      <c r="T88" s="154"/>
      <c r="U88" s="154"/>
      <c r="V88" s="154"/>
      <c r="W88" s="154"/>
      <c r="X88" s="154"/>
      <c r="Y88" s="154"/>
      <c r="Z88" s="154"/>
      <c r="AA88" s="154"/>
      <c r="AB88" s="154"/>
      <c r="AC88" s="154"/>
      <c r="AD88" s="154"/>
    </row>
    <row r="89">
      <c r="A89" s="152" t="s">
        <v>20</v>
      </c>
      <c r="B89" s="152" t="s">
        <v>336</v>
      </c>
      <c r="C89" s="152" t="s">
        <v>317</v>
      </c>
      <c r="D89" s="156" t="s">
        <v>910</v>
      </c>
      <c r="E89" s="152" t="s">
        <v>313</v>
      </c>
      <c r="F89" s="152" t="s">
        <v>1332</v>
      </c>
      <c r="G89" s="152" t="s">
        <v>1449</v>
      </c>
      <c r="H89" s="152" t="s">
        <v>1268</v>
      </c>
      <c r="I89" s="152" t="s">
        <v>1266</v>
      </c>
      <c r="J89" s="152" t="s">
        <v>1267</v>
      </c>
      <c r="K89" s="152" t="s">
        <v>1268</v>
      </c>
      <c r="L89" s="154"/>
      <c r="M89" s="154"/>
      <c r="N89" s="154"/>
      <c r="O89" s="154"/>
      <c r="P89" s="154"/>
      <c r="Q89" s="154"/>
      <c r="R89" s="154"/>
      <c r="S89" s="154"/>
      <c r="T89" s="154"/>
      <c r="U89" s="154"/>
      <c r="V89" s="154"/>
      <c r="W89" s="154"/>
      <c r="X89" s="154"/>
      <c r="Y89" s="154"/>
      <c r="Z89" s="154"/>
      <c r="AA89" s="154"/>
      <c r="AB89" s="154"/>
      <c r="AC89" s="154"/>
      <c r="AD89" s="154"/>
    </row>
    <row r="90">
      <c r="A90" s="152" t="s">
        <v>20</v>
      </c>
      <c r="B90" s="152" t="s">
        <v>337</v>
      </c>
      <c r="C90" s="152" t="s">
        <v>317</v>
      </c>
      <c r="D90" s="156" t="s">
        <v>917</v>
      </c>
      <c r="E90" s="152" t="s">
        <v>313</v>
      </c>
      <c r="F90" s="152" t="s">
        <v>1332</v>
      </c>
      <c r="G90" s="152" t="s">
        <v>1449</v>
      </c>
      <c r="H90" s="152" t="s">
        <v>1268</v>
      </c>
      <c r="I90" s="152" t="s">
        <v>1266</v>
      </c>
      <c r="J90" s="152" t="s">
        <v>1267</v>
      </c>
      <c r="K90" s="152" t="s">
        <v>1268</v>
      </c>
      <c r="L90" s="154"/>
      <c r="M90" s="154"/>
      <c r="N90" s="154"/>
      <c r="O90" s="154"/>
      <c r="P90" s="154"/>
      <c r="Q90" s="154"/>
      <c r="R90" s="154"/>
      <c r="S90" s="154"/>
      <c r="T90" s="154"/>
      <c r="U90" s="154"/>
      <c r="V90" s="154"/>
      <c r="W90" s="154"/>
      <c r="X90" s="154"/>
      <c r="Y90" s="154"/>
      <c r="Z90" s="154"/>
      <c r="AA90" s="154"/>
      <c r="AB90" s="154"/>
      <c r="AC90" s="154"/>
      <c r="AD90" s="154"/>
    </row>
    <row r="91">
      <c r="A91" s="152" t="s">
        <v>20</v>
      </c>
      <c r="B91" s="152" t="s">
        <v>339</v>
      </c>
      <c r="C91" s="152" t="s">
        <v>317</v>
      </c>
      <c r="D91" s="156" t="s">
        <v>921</v>
      </c>
      <c r="E91" s="152" t="s">
        <v>313</v>
      </c>
      <c r="F91" s="152" t="s">
        <v>1332</v>
      </c>
      <c r="G91" s="152" t="s">
        <v>1449</v>
      </c>
      <c r="H91" s="152" t="s">
        <v>1268</v>
      </c>
      <c r="I91" s="152" t="s">
        <v>1266</v>
      </c>
      <c r="J91" s="152" t="s">
        <v>1267</v>
      </c>
      <c r="K91" s="152" t="s">
        <v>1268</v>
      </c>
      <c r="L91" s="154"/>
      <c r="M91" s="154"/>
      <c r="N91" s="154"/>
      <c r="O91" s="154"/>
      <c r="P91" s="154"/>
      <c r="Q91" s="154"/>
      <c r="R91" s="154"/>
      <c r="S91" s="154"/>
      <c r="T91" s="154"/>
      <c r="U91" s="154"/>
      <c r="V91" s="154"/>
      <c r="W91" s="154"/>
      <c r="X91" s="154"/>
      <c r="Y91" s="154"/>
      <c r="Z91" s="154"/>
      <c r="AA91" s="154"/>
      <c r="AB91" s="154"/>
      <c r="AC91" s="154"/>
      <c r="AD91" s="154"/>
    </row>
    <row r="92">
      <c r="A92" s="152" t="s">
        <v>20</v>
      </c>
      <c r="B92" s="152" t="s">
        <v>991</v>
      </c>
      <c r="C92" s="152" t="s">
        <v>317</v>
      </c>
      <c r="D92" s="152" t="s">
        <v>992</v>
      </c>
      <c r="E92" s="152" t="s">
        <v>313</v>
      </c>
      <c r="F92" s="152" t="s">
        <v>1263</v>
      </c>
      <c r="G92" s="152" t="s">
        <v>1452</v>
      </c>
      <c r="H92" s="152" t="s">
        <v>1453</v>
      </c>
      <c r="I92" s="152" t="s">
        <v>1454</v>
      </c>
      <c r="J92" s="152" t="s">
        <v>1267</v>
      </c>
      <c r="K92" s="153" t="s">
        <v>1455</v>
      </c>
      <c r="L92" s="154"/>
      <c r="M92" s="154"/>
      <c r="N92" s="154"/>
      <c r="O92" s="154"/>
      <c r="P92" s="154"/>
      <c r="Q92" s="154"/>
      <c r="R92" s="154"/>
      <c r="S92" s="154"/>
      <c r="T92" s="154"/>
      <c r="U92" s="154"/>
      <c r="V92" s="154"/>
      <c r="W92" s="154"/>
      <c r="X92" s="154"/>
      <c r="Y92" s="154"/>
      <c r="Z92" s="154"/>
      <c r="AA92" s="154"/>
      <c r="AB92" s="154"/>
      <c r="AC92" s="154"/>
      <c r="AD92" s="154"/>
    </row>
    <row r="93">
      <c r="A93" s="152" t="s">
        <v>20</v>
      </c>
      <c r="B93" s="152" t="s">
        <v>1456</v>
      </c>
      <c r="C93" s="152" t="s">
        <v>317</v>
      </c>
      <c r="D93" s="152" t="s">
        <v>979</v>
      </c>
      <c r="E93" s="152" t="s">
        <v>313</v>
      </c>
      <c r="F93" s="152" t="s">
        <v>1263</v>
      </c>
      <c r="G93" s="152" t="s">
        <v>1457</v>
      </c>
      <c r="H93" s="152" t="s">
        <v>1458</v>
      </c>
      <c r="I93" s="152" t="s">
        <v>1271</v>
      </c>
      <c r="J93" s="152" t="s">
        <v>1267</v>
      </c>
      <c r="K93" s="153" t="s">
        <v>1459</v>
      </c>
      <c r="L93" s="154"/>
      <c r="M93" s="154"/>
      <c r="N93" s="154"/>
      <c r="O93" s="154"/>
      <c r="P93" s="154"/>
      <c r="Q93" s="154"/>
      <c r="R93" s="154"/>
      <c r="S93" s="154"/>
      <c r="T93" s="154"/>
      <c r="U93" s="154"/>
      <c r="V93" s="154"/>
      <c r="W93" s="154"/>
      <c r="X93" s="154"/>
      <c r="Y93" s="154"/>
      <c r="Z93" s="154"/>
      <c r="AA93" s="154"/>
      <c r="AB93" s="154"/>
      <c r="AC93" s="154"/>
      <c r="AD93" s="154"/>
    </row>
    <row r="94">
      <c r="A94" s="152" t="s">
        <v>20</v>
      </c>
      <c r="B94" s="152" t="s">
        <v>968</v>
      </c>
      <c r="C94" s="152" t="s">
        <v>317</v>
      </c>
      <c r="D94" s="152" t="s">
        <v>970</v>
      </c>
      <c r="E94" s="152" t="s">
        <v>938</v>
      </c>
      <c r="F94" s="152" t="s">
        <v>1263</v>
      </c>
      <c r="G94" s="152" t="s">
        <v>1460</v>
      </c>
      <c r="H94" s="152" t="s">
        <v>1461</v>
      </c>
      <c r="I94" s="152" t="s">
        <v>1266</v>
      </c>
      <c r="J94" s="152" t="s">
        <v>1267</v>
      </c>
      <c r="K94" s="153" t="s">
        <v>1462</v>
      </c>
      <c r="L94" s="154"/>
      <c r="M94" s="154"/>
      <c r="N94" s="154"/>
      <c r="O94" s="154"/>
      <c r="P94" s="154"/>
      <c r="Q94" s="154"/>
      <c r="R94" s="154"/>
      <c r="S94" s="154"/>
      <c r="T94" s="154"/>
      <c r="U94" s="154"/>
      <c r="V94" s="154"/>
      <c r="W94" s="154"/>
      <c r="X94" s="154"/>
      <c r="Y94" s="154"/>
      <c r="Z94" s="154"/>
      <c r="AA94" s="154"/>
      <c r="AB94" s="154"/>
      <c r="AC94" s="154"/>
      <c r="AD94" s="154"/>
    </row>
    <row r="95">
      <c r="A95" s="152" t="s">
        <v>20</v>
      </c>
      <c r="B95" s="152" t="s">
        <v>936</v>
      </c>
      <c r="C95" s="152" t="s">
        <v>317</v>
      </c>
      <c r="D95" s="152" t="s">
        <v>937</v>
      </c>
      <c r="E95" s="152" t="s">
        <v>938</v>
      </c>
      <c r="F95" s="152" t="s">
        <v>1263</v>
      </c>
      <c r="G95" s="152" t="s">
        <v>1460</v>
      </c>
      <c r="H95" s="152" t="s">
        <v>1463</v>
      </c>
      <c r="I95" s="152" t="s">
        <v>1266</v>
      </c>
      <c r="J95" s="152" t="s">
        <v>1267</v>
      </c>
      <c r="K95" s="153" t="s">
        <v>1462</v>
      </c>
      <c r="L95" s="154"/>
      <c r="M95" s="154"/>
      <c r="N95" s="154"/>
      <c r="O95" s="154"/>
      <c r="P95" s="154"/>
      <c r="Q95" s="154"/>
      <c r="R95" s="154"/>
      <c r="S95" s="154"/>
      <c r="T95" s="154"/>
      <c r="U95" s="154"/>
      <c r="V95" s="154"/>
      <c r="W95" s="154"/>
      <c r="X95" s="154"/>
      <c r="Y95" s="154"/>
      <c r="Z95" s="154"/>
      <c r="AA95" s="154"/>
      <c r="AB95" s="154"/>
      <c r="AC95" s="154"/>
      <c r="AD95" s="154"/>
    </row>
    <row r="96">
      <c r="A96" s="152" t="s">
        <v>20</v>
      </c>
      <c r="B96" s="152" t="s">
        <v>949</v>
      </c>
      <c r="C96" s="152" t="s">
        <v>317</v>
      </c>
      <c r="D96" s="152" t="s">
        <v>950</v>
      </c>
      <c r="E96" s="152" t="s">
        <v>938</v>
      </c>
      <c r="F96" s="152" t="s">
        <v>1263</v>
      </c>
      <c r="G96" s="152" t="s">
        <v>1460</v>
      </c>
      <c r="H96" s="152" t="s">
        <v>1464</v>
      </c>
      <c r="I96" s="152" t="s">
        <v>1266</v>
      </c>
      <c r="J96" s="152" t="s">
        <v>1267</v>
      </c>
      <c r="K96" s="153" t="s">
        <v>1462</v>
      </c>
      <c r="L96" s="154"/>
      <c r="M96" s="154"/>
      <c r="N96" s="154"/>
      <c r="O96" s="154"/>
      <c r="P96" s="154"/>
      <c r="Q96" s="154"/>
      <c r="R96" s="154"/>
      <c r="S96" s="154"/>
      <c r="T96" s="154"/>
      <c r="U96" s="154"/>
      <c r="V96" s="154"/>
      <c r="W96" s="154"/>
      <c r="X96" s="154"/>
      <c r="Y96" s="154"/>
      <c r="Z96" s="154"/>
      <c r="AA96" s="154"/>
      <c r="AB96" s="154"/>
      <c r="AC96" s="154"/>
      <c r="AD96" s="154"/>
    </row>
    <row r="97">
      <c r="A97" s="152" t="s">
        <v>20</v>
      </c>
      <c r="B97" s="152" t="s">
        <v>1465</v>
      </c>
      <c r="C97" s="152" t="s">
        <v>317</v>
      </c>
      <c r="D97" s="152" t="s">
        <v>986</v>
      </c>
      <c r="E97" s="152" t="s">
        <v>313</v>
      </c>
      <c r="F97" s="152" t="s">
        <v>1263</v>
      </c>
      <c r="G97" s="152" t="s">
        <v>1457</v>
      </c>
      <c r="H97" s="152" t="s">
        <v>1458</v>
      </c>
      <c r="I97" s="152" t="s">
        <v>1271</v>
      </c>
      <c r="J97" s="152" t="s">
        <v>1267</v>
      </c>
      <c r="K97" s="153" t="s">
        <v>1459</v>
      </c>
      <c r="L97" s="154"/>
      <c r="M97" s="154"/>
      <c r="N97" s="154"/>
      <c r="O97" s="154"/>
      <c r="P97" s="154"/>
      <c r="Q97" s="154"/>
      <c r="R97" s="154"/>
      <c r="S97" s="154"/>
      <c r="T97" s="154"/>
      <c r="U97" s="154"/>
      <c r="V97" s="154"/>
      <c r="W97" s="154"/>
      <c r="X97" s="154"/>
      <c r="Y97" s="154"/>
      <c r="Z97" s="154"/>
      <c r="AA97" s="154"/>
      <c r="AB97" s="154"/>
      <c r="AC97" s="154"/>
      <c r="AD97" s="154"/>
    </row>
    <row r="98">
      <c r="A98" s="152" t="s">
        <v>20</v>
      </c>
      <c r="B98" s="152" t="s">
        <v>949</v>
      </c>
      <c r="C98" s="152" t="s">
        <v>1292</v>
      </c>
      <c r="D98" s="152" t="s">
        <v>1293</v>
      </c>
      <c r="E98" s="152" t="s">
        <v>680</v>
      </c>
      <c r="F98" s="152" t="s">
        <v>1263</v>
      </c>
      <c r="G98" s="152" t="s">
        <v>1467</v>
      </c>
      <c r="H98" s="152" t="s">
        <v>1468</v>
      </c>
      <c r="I98" s="152" t="s">
        <v>1469</v>
      </c>
      <c r="J98" s="152" t="s">
        <v>1267</v>
      </c>
      <c r="K98" s="153" t="s">
        <v>1470</v>
      </c>
      <c r="L98" s="154"/>
      <c r="M98" s="154"/>
      <c r="N98" s="154"/>
      <c r="O98" s="154"/>
      <c r="P98" s="154"/>
      <c r="Q98" s="154"/>
      <c r="R98" s="154"/>
      <c r="S98" s="154"/>
      <c r="T98" s="154"/>
      <c r="U98" s="154"/>
      <c r="V98" s="154"/>
      <c r="W98" s="154"/>
      <c r="X98" s="154"/>
      <c r="Y98" s="154"/>
      <c r="Z98" s="154"/>
      <c r="AA98" s="154"/>
      <c r="AB98" s="154"/>
      <c r="AC98" s="154"/>
      <c r="AD98" s="154"/>
    </row>
    <row r="99">
      <c r="A99" s="152" t="s">
        <v>20</v>
      </c>
      <c r="B99" s="152" t="s">
        <v>1235</v>
      </c>
      <c r="C99" s="152" t="s">
        <v>1236</v>
      </c>
      <c r="D99" s="152" t="s">
        <v>1237</v>
      </c>
      <c r="E99" s="152" t="s">
        <v>313</v>
      </c>
      <c r="F99" s="152" t="s">
        <v>1263</v>
      </c>
      <c r="G99" s="152" t="s">
        <v>1471</v>
      </c>
      <c r="H99" s="152" t="s">
        <v>1472</v>
      </c>
      <c r="I99" s="152" t="s">
        <v>1473</v>
      </c>
      <c r="J99" s="152" t="s">
        <v>1267</v>
      </c>
      <c r="K99" s="153" t="s">
        <v>1474</v>
      </c>
      <c r="L99" s="154"/>
      <c r="M99" s="154"/>
      <c r="N99" s="154"/>
      <c r="O99" s="154"/>
      <c r="P99" s="154"/>
      <c r="Q99" s="154"/>
      <c r="R99" s="154"/>
      <c r="S99" s="154"/>
      <c r="T99" s="154"/>
      <c r="U99" s="154"/>
      <c r="V99" s="154"/>
      <c r="W99" s="154"/>
      <c r="X99" s="154"/>
      <c r="Y99" s="154"/>
      <c r="Z99" s="154"/>
      <c r="AA99" s="154"/>
      <c r="AB99" s="154"/>
      <c r="AC99" s="154"/>
      <c r="AD99" s="154"/>
    </row>
  </sheetData>
  <mergeCells count="1">
    <mergeCell ref="A2:AD2"/>
  </mergeCells>
  <hyperlinks>
    <hyperlink r:id="rId1" ref="K4"/>
    <hyperlink r:id="rId2" ref="K5"/>
    <hyperlink r:id="rId3" ref="K6"/>
    <hyperlink r:id="rId4" ref="K8"/>
    <hyperlink r:id="rId5" ref="K9"/>
    <hyperlink r:id="rId6" ref="K10"/>
    <hyperlink r:id="rId7" ref="K11"/>
    <hyperlink r:id="rId8" ref="K12"/>
    <hyperlink r:id="rId9" ref="K14"/>
    <hyperlink r:id="rId10" ref="K15"/>
    <hyperlink r:id="rId11" ref="K16"/>
    <hyperlink r:id="rId12" ref="K17"/>
    <hyperlink r:id="rId13" ref="K18"/>
    <hyperlink r:id="rId14" ref="K22"/>
    <hyperlink r:id="rId15" ref="K24"/>
    <hyperlink r:id="rId16" ref="K25"/>
    <hyperlink r:id="rId17" ref="K26"/>
    <hyperlink r:id="rId18" ref="K27"/>
    <hyperlink r:id="rId19" ref="K28"/>
    <hyperlink r:id="rId20" ref="K29"/>
    <hyperlink r:id="rId21" ref="K30"/>
    <hyperlink r:id="rId22" ref="K31"/>
    <hyperlink r:id="rId23" ref="K32"/>
    <hyperlink r:id="rId24" ref="K33"/>
    <hyperlink r:id="rId25" location=":~:text=The%20design%2Dbased%20estimates%20of,to%204%2C712)%20individuals%2C%20respectively." ref="K34"/>
    <hyperlink r:id="rId26" location=":~:text=The%20design%2Dbased%20estimates%20of,to%204%2C712)%20individuals%2C%20respectively." ref="K35"/>
    <hyperlink r:id="rId27" ref="K36"/>
    <hyperlink r:id="rId28" ref="K37"/>
    <hyperlink r:id="rId29" ref="K38"/>
    <hyperlink r:id="rId30" ref="K40"/>
    <hyperlink r:id="rId31" ref="K42"/>
    <hyperlink r:id="rId32" ref="K44"/>
    <hyperlink r:id="rId33" ref="K45"/>
    <hyperlink r:id="rId34" ref="K46"/>
    <hyperlink r:id="rId35" ref="K48"/>
    <hyperlink r:id="rId36" ref="K49"/>
    <hyperlink r:id="rId37" ref="K50"/>
    <hyperlink r:id="rId38" ref="K52"/>
    <hyperlink r:id="rId39" ref="K53"/>
    <hyperlink r:id="rId40" ref="K54"/>
    <hyperlink r:id="rId41" ref="K55"/>
    <hyperlink r:id="rId42" ref="K56"/>
    <hyperlink r:id="rId43" ref="K58"/>
    <hyperlink r:id="rId44" ref="K59"/>
    <hyperlink r:id="rId45" ref="K60"/>
    <hyperlink r:id="rId46" ref="K61"/>
    <hyperlink r:id="rId47" ref="K62"/>
    <hyperlink r:id="rId48" ref="K67"/>
    <hyperlink r:id="rId49" ref="K73"/>
    <hyperlink r:id="rId50" ref="K74"/>
    <hyperlink r:id="rId51" ref="K75"/>
    <hyperlink r:id="rId52" ref="K76"/>
    <hyperlink r:id="rId53" ref="K92"/>
    <hyperlink r:id="rId54" ref="K93"/>
    <hyperlink r:id="rId55" ref="K94"/>
    <hyperlink r:id="rId56" ref="K95"/>
    <hyperlink r:id="rId57" ref="K96"/>
    <hyperlink r:id="rId58" ref="K97"/>
    <hyperlink r:id="rId59" ref="K98"/>
    <hyperlink r:id="rId60" ref="K99"/>
  </hyperlinks>
  <drawing r:id="rId61"/>
</worksheet>
</file>